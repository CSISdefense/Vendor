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2 KOta" sheetId="1" state="visible" r:id="rId1"/>
    <sheet name="3-1 Area" sheetId="2" state="visible" r:id="rId2"/>
    <sheet name="4-1 Price" sheetId="3" state="visible" r:id="rId3"/>
    <sheet name="8-2 PriceUCA PSR" sheetId="4" state="visible" r:id="rId4"/>
    <sheet name="psr_pricing_dollar" sheetId="5" state="visible" r:id="rId5"/>
    <sheet name="pricinghistory" sheetId="6" state="visible" r:id="rId6"/>
  </sheets>
</workbook>
</file>

<file path=xl/sharedStrings.xml><?xml version="1.0" encoding="utf-8"?>
<sst xmlns="http://schemas.openxmlformats.org/spreadsheetml/2006/main" count="72" uniqueCount="72">
  <si>
    <t xml:space="preserve">AreaType</t>
  </si>
  <si>
    <t xml:space="preserve">SimpleAreaType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</si>
  <si>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</si>
  <si>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</si>
  <si>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</si>
  <si>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</si>
  <si>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</si>
  <si>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</si>
  <si>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</si>
  <si>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</si>
  <si>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</si>
  <si>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OTA for Production</t>
  </si>
  <si>
    <t xml:space="preserve">Products and Production</t>
  </si>
  <si>
    <t xml:space="preserve">Contract for Products</t>
  </si>
  <si>
    <t xml:space="preserve">OTA for Prototype</t>
  </si>
  <si>
    <t xml:space="preserve">R&amp;D and Prototypes</t>
  </si>
  <si>
    <t xml:space="preserve">Contract for R&amp;D</t>
  </si>
  <si>
    <t xml:space="preserve">Contract for Services</t>
  </si>
  <si>
    <t xml:space="preserve">Services</t>
  </si>
  <si>
    <t xml:space="preserve">Unlabeled</t>
  </si>
  <si>
    <t xml:space="preserve">Grand Total</t>
  </si>
  <si>
    <t xml:space="preserve"/>
  </si>
  <si>
    <t xml:space="preserve">SimpleArea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</si>
  <si>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</si>
  <si>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</si>
  <si>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</si>
  <si>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</si>
  <si>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</si>
  <si>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</si>
  <si>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</si>
  <si>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</si>
  <si>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</si>
  <si>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</si>
  <si>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</si>
  <si>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</si>
  <si>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</si>
  <si>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</si>
  <si>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</si>
  <si>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</si>
  <si>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</si>
  <si>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</si>
  <si>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</si>
  <si>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</si>
  <si>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</si>
  <si>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</si>
  <si>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</si>
  <si>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</si>
  <si>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</si>
  <si>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Products (All)</t>
  </si>
  <si>
    <t xml:space="preserve">R&amp;D</t>
  </si>
  <si>
    <t xml:space="preserve">Services (Non-R&amp;D)</t>
  </si>
  <si>
    <t xml:space="preserve">2024</t>
  </si>
  <si>
    <t xml:space="preserve">PricingUCA.sum</t>
  </si>
  <si>
    <t xml:space="preserve">PricingUCA</t>
  </si>
  <si>
    <t xml:space="preserve">Fixed-Price</t>
  </si>
  <si>
    <t xml:space="preserve">FFP</t>
  </si>
  <si>
    <t xml:space="preserve">FP-Econ. Price Adj.</t>
  </si>
  <si>
    <t xml:space="preserve">Other FP</t>
  </si>
  <si>
    <t xml:space="preserve">Incentive</t>
  </si>
  <si>
    <t xml:space="preserve">CB-Incentive</t>
  </si>
  <si>
    <t xml:space="preserve">FP-Incentive</t>
  </si>
  <si>
    <t xml:space="preserve">Cost or Effort-Based</t>
  </si>
  <si>
    <t xml:space="preserve">Other CB</t>
  </si>
  <si>
    <t xml:space="preserve">T&amp;M/LH/FPLOE</t>
  </si>
  <si>
    <t xml:space="preserve">Crosscutting</t>
  </si>
  <si>
    <t xml:space="preserve">Combination or Other</t>
  </si>
  <si>
    <t xml:space="preserve">UCA</t>
  </si>
  <si>
    <t xml:space="preserve">Products</t>
  </si>
  <si>
    <t xml:space="preserve">PricingInflation</t>
  </si>
  <si>
    <t xml:space="preserve">All Other</t>
  </si>
  <si>
    <t xml:space="preserve">Cost-Based</t>
  </si>
  <si>
    <t xml:space="preserve"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</si>
</sst>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94" formatCode="0.00,,,&quot;B&quot;"/>
    <numFmt numFmtId="170" formatCode="0.00,,,&quot;B&quot;"/>
    <numFmt numFmtId="171" formatCode="0.00,,,&quot;B&quot;"/>
    <numFmt numFmtId="192" formatCode="0.00,,,&quot;B&quot;"/>
    <numFmt numFmtId="184" formatCode="0.00,,,&quot;B&quot;"/>
    <numFmt numFmtId="189" formatCode="0.00,,,&quot;B&quot;"/>
    <numFmt numFmtId="185" formatCode="0.00,,,&quot;B&quot;"/>
    <numFmt numFmtId="191" formatCode="0.00,,,&quot;B&quot;"/>
    <numFmt numFmtId="195" formatCode="0.00,,,&quot;B&quot;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94" fontId="1" fillId="0" borderId="0" xfId="0" applyFont="1" applyNumberFormat="1"/>
    <xf numFmtId="10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92" fontId="1" fillId="0" borderId="0" xfId="0" applyFont="1" applyNumberFormat="1"/>
    <xf numFmtId="184" fontId="1" fillId="0" borderId="0" xfId="0" applyFont="1" applyNumberFormat="1"/>
    <xf numFmtId="189" fontId="1" fillId="0" borderId="0" xfId="0" applyFont="1" applyNumberFormat="1"/>
    <xf numFmtId="185" fontId="1" fillId="0" borderId="0" xfId="0" applyFont="1" applyNumberFormat="1"/>
    <xf numFmtId="191" fontId="1" fillId="0" borderId="0" xfId="0" applyFont="1" applyNumberFormat="1"/>
    <xf numFmtId="19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M1</f>
      </c>
      <c r="B1" t="str">
        <f>N1</f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51</v>
      </c>
      <c r="Y1" t="s">
        <v>71</v>
      </c>
    </row>
    <row r="2">
      <c r="A2" t="str">
        <f>M2</f>
      </c>
      <c r="B2" t="str">
        <f>N2</f>
      </c>
      <c r="M2" t="s">
        <v>11</v>
      </c>
      <c r="N2" t="s">
        <v>12</v>
      </c>
      <c r="O2" s="10"/>
      <c r="P2" s="10"/>
      <c r="Q2" s="10"/>
      <c r="R2" s="10"/>
      <c r="S2" s="10" t="n">
        <v>1003576.97</v>
      </c>
      <c r="T2" s="10" t="n">
        <v>357061685.3</v>
      </c>
      <c r="U2" s="10" t="n">
        <v>1079497813.63</v>
      </c>
      <c r="V2" s="10" t="n">
        <v>1009695237.82</v>
      </c>
      <c r="W2" s="10" t="n">
        <v>2133305065.01</v>
      </c>
      <c r="X2" s="10" t="n">
        <v>2103266639.71</v>
      </c>
      <c r="Y2" s="10" t="n">
        <v>813506880.62</v>
      </c>
      <c r="Z2" s="10"/>
    </row>
    <row r="3">
      <c r="A3" t="str">
        <f>M3</f>
      </c>
      <c r="B3" t="str">
        <f>N3</f>
      </c>
      <c r="M3" t="s">
        <v>13</v>
      </c>
      <c r="N3" t="s">
        <v>12</v>
      </c>
      <c r="O3" s="10" t="n">
        <v>130024174548.166</v>
      </c>
      <c r="P3" s="10" t="n">
        <v>148242111137.543</v>
      </c>
      <c r="Q3" s="10" t="n">
        <v>163965715084.165</v>
      </c>
      <c r="R3" s="10" t="n">
        <v>183684450292.025</v>
      </c>
      <c r="S3" s="10" t="n">
        <v>192690208362.845</v>
      </c>
      <c r="T3" s="10" t="n">
        <v>218255696904.225</v>
      </c>
      <c r="U3" s="10" t="n">
        <v>193900948909.684</v>
      </c>
      <c r="V3" s="10" t="n">
        <v>209618962116.655</v>
      </c>
      <c r="W3" s="10" t="n">
        <v>226847061259.989</v>
      </c>
      <c r="X3" s="10" t="n">
        <v>204686829180.545</v>
      </c>
      <c r="Y3" s="10" t="n">
        <v>99002075992.4</v>
      </c>
      <c r="Z3" s="10"/>
    </row>
    <row r="4">
      <c r="A4" t="str">
        <f>M4</f>
      </c>
      <c r="B4" t="str">
        <f>N4</f>
      </c>
      <c r="M4" t="s">
        <v>14</v>
      </c>
      <c r="N4" t="s">
        <v>15</v>
      </c>
      <c r="O4" s="10" t="n">
        <v>694883317.68</v>
      </c>
      <c r="P4" s="10" t="n">
        <v>1433156330.3</v>
      </c>
      <c r="Q4" s="10" t="n">
        <v>2115488321.87</v>
      </c>
      <c r="R4" s="10" t="n">
        <v>3953909229.18</v>
      </c>
      <c r="S4" s="10" t="n">
        <v>7211714530.32</v>
      </c>
      <c r="T4" s="10" t="n">
        <v>15973111844.76</v>
      </c>
      <c r="U4" s="10" t="n">
        <v>13589077157.71</v>
      </c>
      <c r="V4" s="10" t="n">
        <v>9983235081.8</v>
      </c>
      <c r="W4" s="10" t="n">
        <v>13645775437.54</v>
      </c>
      <c r="X4" s="10" t="n">
        <v>16099816346.12</v>
      </c>
      <c r="Y4" s="10" t="n">
        <v>6769378595.93</v>
      </c>
      <c r="Z4" s="10"/>
    </row>
    <row r="5">
      <c r="A5" t="str">
        <f>M5</f>
      </c>
      <c r="B5" t="str">
        <f>N5</f>
      </c>
      <c r="M5" t="s">
        <v>16</v>
      </c>
      <c r="N5" t="s">
        <v>15</v>
      </c>
      <c r="O5" s="10" t="n">
        <v>23830162343.2503</v>
      </c>
      <c r="P5" s="10" t="n">
        <v>24660797780.0499</v>
      </c>
      <c r="Q5" s="10" t="n">
        <v>25758844146.1547</v>
      </c>
      <c r="R5" s="10" t="n">
        <v>27135330736.078</v>
      </c>
      <c r="S5" s="10" t="n">
        <v>30944389231.3831</v>
      </c>
      <c r="T5" s="10" t="n">
        <v>31532127407.6225</v>
      </c>
      <c r="U5" s="10" t="n">
        <v>32737659987.8826</v>
      </c>
      <c r="V5" s="10" t="n">
        <v>35154371340.2271</v>
      </c>
      <c r="W5" s="10" t="n">
        <v>43027844437.2665</v>
      </c>
      <c r="X5" s="10" t="n">
        <v>44577233951.81</v>
      </c>
      <c r="Y5" s="10" t="n">
        <v>18053686100.88</v>
      </c>
      <c r="Z5" s="10"/>
    </row>
    <row r="6">
      <c r="A6" t="str">
        <f>M6</f>
      </c>
      <c r="B6" t="str">
        <f>N6</f>
      </c>
      <c r="M6" t="s">
        <v>17</v>
      </c>
      <c r="N6" t="s">
        <v>18</v>
      </c>
      <c r="O6" s="10" t="n">
        <v>120371986974.161</v>
      </c>
      <c r="P6" s="10" t="n">
        <v>125445672974.055</v>
      </c>
      <c r="Q6" s="10" t="n">
        <v>132126613561.477</v>
      </c>
      <c r="R6" s="10" t="n">
        <v>148541865087.789</v>
      </c>
      <c r="S6" s="10" t="n">
        <v>159973447491.765</v>
      </c>
      <c r="T6" s="10" t="n">
        <v>172746939002.311</v>
      </c>
      <c r="U6" s="10" t="n">
        <v>160331002348.719</v>
      </c>
      <c r="V6" s="10" t="n">
        <v>169552546800.424</v>
      </c>
      <c r="W6" s="10" t="n">
        <v>187207956196.268</v>
      </c>
      <c r="X6" s="10" t="n">
        <v>195573405131.743</v>
      </c>
      <c r="Y6" s="10" t="n">
        <v>81399194848.62</v>
      </c>
      <c r="Z6" s="10"/>
    </row>
    <row r="7">
      <c r="A7" t="str">
        <f>M7</f>
      </c>
      <c r="B7" t="str">
        <f>N7</f>
      </c>
      <c r="M7" t="s">
        <v>19</v>
      </c>
      <c r="N7" t="s">
        <v>19</v>
      </c>
      <c r="O7" s="10" t="n">
        <v>30000</v>
      </c>
      <c r="P7" s="10" t="n">
        <v>3581529.4309</v>
      </c>
      <c r="Q7" s="10" t="n">
        <v>31755</v>
      </c>
      <c r="R7" s="10" t="n">
        <v>-212795.37</v>
      </c>
      <c r="S7" s="10" t="n">
        <v>465885</v>
      </c>
      <c r="T7" s="10" t="n">
        <v>245000</v>
      </c>
      <c r="U7" s="10" t="n">
        <v>386316</v>
      </c>
      <c r="V7" s="10" t="n">
        <v>0</v>
      </c>
      <c r="W7" s="10" t="n">
        <v>10000</v>
      </c>
      <c r="X7" s="10" t="n">
        <v>1114156.43</v>
      </c>
      <c r="Y7" s="10" t="n">
        <v>2370050.95</v>
      </c>
      <c r="Z7" s="10"/>
    </row>
    <row r="8">
      <c r="A8" t="str">
        <f>M8</f>
      </c>
      <c r="B8" t="str">
        <f>N8</f>
      </c>
      <c r="M8" t="s">
        <v>20</v>
      </c>
      <c r="N8" t="s">
        <v>21</v>
      </c>
      <c r="O8" s="10" t="str">
        <f>Sum(O2:O7)</f>
      </c>
      <c r="P8" s="10" t="str">
        <f>Sum(P2:P7)</f>
      </c>
      <c r="Q8" s="10" t="str">
        <f>Sum(Q2:Q7)</f>
      </c>
      <c r="R8" s="10" t="str">
        <f>Sum(R2:R7)</f>
      </c>
      <c r="S8" s="10" t="str">
        <f>Sum(S2:S7)</f>
      </c>
      <c r="T8" s="10" t="str">
        <f>Sum(T2:T7)</f>
      </c>
      <c r="U8" s="10" t="str">
        <f>Sum(U2:U7)</f>
      </c>
      <c r="V8" s="10" t="str">
        <f>Sum(V2:V7)</f>
      </c>
      <c r="W8" s="10" t="str">
        <f>Sum(W2:W7)</f>
      </c>
      <c r="X8" s="10" t="str">
        <f>Sum(X2:X7)</f>
      </c>
      <c r="Y8" s="10" t="str">
        <f>Sum(Y2:Y7)</f>
      </c>
      <c r="Z8" s="10"/>
    </row>
    <row r="9">
      <c r="A9" t="str">
        <f>M9</f>
      </c>
      <c r="B9" t="str">
        <f>N9</f>
      </c>
      <c r="M9" t="s">
        <v>20</v>
      </c>
      <c r="N9" t="s">
        <v>21</v>
      </c>
      <c r="O9" s="3" t="str">
        <f>Sum(O2:O8)</f>
      </c>
      <c r="P9" s="3" t="str">
        <f>Sum(P2:P8)</f>
      </c>
      <c r="Q9" s="3" t="str">
        <f>Sum(Q2:Q8)</f>
      </c>
      <c r="R9" s="3" t="str">
        <f>Sum(R2:R8)</f>
      </c>
      <c r="S9" s="3" t="str">
        <f>Sum(S2:S8)</f>
      </c>
      <c r="T9" s="3" t="str">
        <f>Sum(T2:T8)</f>
      </c>
      <c r="U9" s="3" t="str">
        <f>Sum(U2:U8)</f>
      </c>
      <c r="V9" s="3" t="str">
        <f>Sum(V2:V8)</f>
      </c>
      <c r="W9" s="3" t="str">
        <f>Sum(W2:W8)</f>
      </c>
      <c r="X9" s="3" t="str">
        <f>Sum(X2:X8)</f>
      </c>
      <c r="Y9" s="3"/>
    </row>
    <row r="11">
      <c r="A11" t="str">
        <f>M11</f>
      </c>
      <c r="B11" t="str">
        <f>N11</f>
      </c>
      <c r="C11" t="str">
        <f>T11</f>
      </c>
      <c r="D11" t="str">
        <f>W11</f>
      </c>
      <c r="E11" t="str">
        <f>X11</f>
      </c>
      <c r="G11" t="str">
        <f>W11&amp;"-"&amp;X11</f>
      </c>
      <c r="H11" t="str">
        <f>T11&amp;"-"&amp;X11</f>
      </c>
      <c r="J11" t="str">
        <f>"Share "&amp;X11</f>
      </c>
      <c r="M11" t="s">
        <v>0</v>
      </c>
      <c r="N11" t="s">
        <v>1</v>
      </c>
      <c r="O11" t="s">
        <v>2</v>
      </c>
      <c r="P11" t="s">
        <v>3</v>
      </c>
      <c r="Q11" t="s">
        <v>4</v>
      </c>
      <c r="R11" t="s">
        <v>5</v>
      </c>
      <c r="S11" t="s">
        <v>6</v>
      </c>
      <c r="T11" t="s">
        <v>7</v>
      </c>
      <c r="U11" t="s">
        <v>8</v>
      </c>
      <c r="V11" t="s">
        <v>9</v>
      </c>
      <c r="W11" t="s">
        <v>10</v>
      </c>
      <c r="X11" t="s">
        <v>51</v>
      </c>
      <c r="Y11" t="s">
        <v>71</v>
      </c>
    </row>
    <row r="12">
      <c r="A12" t="str">
        <f>M12</f>
      </c>
      <c r="B12" t="str">
        <f>N12</f>
      </c>
      <c r="C12" s="10" t="str">
        <f>T12</f>
      </c>
      <c r="D12" s="10" t="str">
        <f>W12</f>
      </c>
      <c r="E12" s="10" t="str">
        <f>X12</f>
      </c>
      <c r="F12" s="10"/>
      <c r="G12" s="2" t="str">
        <f>X12/W12-1</f>
      </c>
      <c r="H12" s="2" t="str">
        <f>X12/T12-1</f>
      </c>
      <c r="I12" s="2"/>
      <c r="J12" s="2" t="str">
        <f>X12/Sum(X$11:X$17)</f>
      </c>
      <c r="K12" s="2"/>
      <c r="M12" t="s">
        <v>11</v>
      </c>
      <c r="N12" t="s">
        <v>12</v>
      </c>
      <c r="O12" s="10"/>
      <c r="P12" s="10"/>
      <c r="Q12" s="10"/>
      <c r="R12" s="10"/>
      <c r="S12" s="10" t="n">
        <v>1176703.87838105</v>
      </c>
      <c r="T12" s="10" t="n">
        <v>413259883.550845</v>
      </c>
      <c r="U12" s="10" t="n">
        <v>1207830413.4704</v>
      </c>
      <c r="V12" s="10" t="n">
        <v>1055885356.65388</v>
      </c>
      <c r="W12" s="10" t="n">
        <v>2133305065.01</v>
      </c>
      <c r="X12" s="10" t="n">
        <v>2048557877.61316</v>
      </c>
      <c r="Y12" s="10" t="n">
        <v>775334048.414971</v>
      </c>
      <c r="Z12" s="10"/>
    </row>
    <row r="13">
      <c r="A13" t="str">
        <f>M13</f>
      </c>
      <c r="B13" t="str">
        <f>N13</f>
      </c>
      <c r="C13" s="10" t="str">
        <f>T13</f>
      </c>
      <c r="D13" s="10" t="str">
        <f>W13</f>
      </c>
      <c r="E13" s="10" t="str">
        <f>X13</f>
      </c>
      <c r="F13" s="10"/>
      <c r="G13" s="2" t="str">
        <f>X13/W13-1</f>
      </c>
      <c r="H13" s="2" t="str">
        <f>X13/T13-1</f>
      </c>
      <c r="I13" s="2"/>
      <c r="J13" s="2" t="str">
        <f>X13/Sum(X$11:X$17)</f>
      </c>
      <c r="K13" s="2"/>
      <c r="M13" t="s">
        <v>13</v>
      </c>
      <c r="N13" t="s">
        <v>12</v>
      </c>
      <c r="O13" s="10" t="n">
        <v>162690149516.514</v>
      </c>
      <c r="P13" s="10" t="n">
        <v>184013773787.873</v>
      </c>
      <c r="Q13" s="10" t="n">
        <v>200152948441.69</v>
      </c>
      <c r="R13" s="10" t="n">
        <v>219353950689.654</v>
      </c>
      <c r="S13" s="10" t="n">
        <v>225931166501.97</v>
      </c>
      <c r="T13" s="10" t="n">
        <v>252607119722.651</v>
      </c>
      <c r="U13" s="10" t="n">
        <v>216952234952.983</v>
      </c>
      <c r="V13" s="10" t="n">
        <v>219208315821.946</v>
      </c>
      <c r="W13" s="10" t="n">
        <v>226847061259.989</v>
      </c>
      <c r="X13" s="10" t="n">
        <v>199362652573.275</v>
      </c>
      <c r="Y13" s="10" t="n">
        <v>94356522617.4523</v>
      </c>
      <c r="Z13" s="10"/>
    </row>
    <row r="14">
      <c r="A14" t="str">
        <f>M14</f>
      </c>
      <c r="B14" t="str">
        <f>N14</f>
      </c>
      <c r="C14" s="10" t="str">
        <f>T14</f>
      </c>
      <c r="D14" s="10" t="str">
        <f>W14</f>
      </c>
      <c r="E14" s="10" t="str">
        <f>X14</f>
      </c>
      <c r="F14" s="10"/>
      <c r="G14" s="2" t="str">
        <f>X14/W14-1</f>
      </c>
      <c r="H14" s="2" t="str">
        <f>X14/T14-1</f>
      </c>
      <c r="I14" s="2"/>
      <c r="J14" s="2" t="str">
        <f>X14/Sum(X$11:X$17)</f>
      </c>
      <c r="K14" s="2"/>
      <c r="M14" t="s">
        <v>14</v>
      </c>
      <c r="N14" t="s">
        <v>15</v>
      </c>
      <c r="O14" s="10" t="n">
        <v>869458862.113459</v>
      </c>
      <c r="P14" s="10" t="n">
        <v>1778985085.56584</v>
      </c>
      <c r="Q14" s="10" t="n">
        <v>2582376595.00278</v>
      </c>
      <c r="R14" s="10" t="n">
        <v>4721714923.11983</v>
      </c>
      <c r="S14" s="10" t="n">
        <v>8455806292.17161</v>
      </c>
      <c r="T14" s="10" t="n">
        <v>18487131531.2479</v>
      </c>
      <c r="U14" s="10" t="n">
        <v>15204570564.9792</v>
      </c>
      <c r="V14" s="10" t="n">
        <v>10439934091.0679</v>
      </c>
      <c r="W14" s="10" t="n">
        <v>13645775437.54</v>
      </c>
      <c r="X14" s="10" t="n">
        <v>15681038714.3861</v>
      </c>
      <c r="Y14" s="10" t="n">
        <v>6451733644.87831</v>
      </c>
      <c r="Z14" s="10"/>
    </row>
    <row r="15">
      <c r="A15" t="str">
        <f>M15</f>
      </c>
      <c r="B15" t="str">
        <f>N15</f>
      </c>
      <c r="C15" s="10" t="str">
        <f>T15</f>
      </c>
      <c r="D15" s="10" t="str">
        <f>W15</f>
      </c>
      <c r="E15" s="10" t="str">
        <f>X15</f>
      </c>
      <c r="F15" s="10"/>
      <c r="G15" s="2" t="str">
        <f>X15/W15-1</f>
      </c>
      <c r="H15" s="2" t="str">
        <f>X15/T15-1</f>
      </c>
      <c r="I15" s="2"/>
      <c r="J15" s="2" t="str">
        <f>X15/Sum(X$11:X$17)</f>
      </c>
      <c r="K15" s="2"/>
      <c r="M15" t="s">
        <v>16</v>
      </c>
      <c r="N15" t="s">
        <v>15</v>
      </c>
      <c r="O15" s="10" t="n">
        <v>29817014321.3639</v>
      </c>
      <c r="P15" s="10" t="n">
        <v>30611588227.5596</v>
      </c>
      <c r="Q15" s="10" t="n">
        <v>31443821055.2514</v>
      </c>
      <c r="R15" s="10" t="n">
        <v>32404713576.8222</v>
      </c>
      <c r="S15" s="10" t="n">
        <v>36282601047.2334</v>
      </c>
      <c r="T15" s="10" t="n">
        <v>36494991865.722</v>
      </c>
      <c r="U15" s="10" t="n">
        <v>36629570620.6688</v>
      </c>
      <c r="V15" s="10" t="n">
        <v>36762564118.5168</v>
      </c>
      <c r="W15" s="10" t="n">
        <v>43027844437.2665</v>
      </c>
      <c r="X15" s="10" t="n">
        <v>43417720820.588</v>
      </c>
      <c r="Y15" s="10" t="n">
        <v>17206538588.5124</v>
      </c>
      <c r="Z15" s="10"/>
    </row>
    <row r="16">
      <c r="A16" t="str">
        <f>M16</f>
      </c>
      <c r="B16" t="str">
        <f>N16</f>
      </c>
      <c r="C16" s="10" t="str">
        <f>T16</f>
      </c>
      <c r="D16" s="10" t="str">
        <f>W16</f>
      </c>
      <c r="E16" s="10" t="str">
        <f>X16</f>
      </c>
      <c r="F16" s="10"/>
      <c r="G16" s="2" t="str">
        <f>X16/W16-1</f>
      </c>
      <c r="H16" s="2" t="str">
        <f>X16/T16-1</f>
      </c>
      <c r="I16" s="2"/>
      <c r="J16" s="2" t="str">
        <f>X16/Sum(X$11:X$17)</f>
      </c>
      <c r="K16" s="2"/>
      <c r="M16" t="s">
        <v>17</v>
      </c>
      <c r="N16" t="s">
        <v>18</v>
      </c>
      <c r="O16" s="10" t="n">
        <v>150613042739.769</v>
      </c>
      <c r="P16" s="10" t="n">
        <v>155716425732.076</v>
      </c>
      <c r="Q16" s="10" t="n">
        <v>161286957205.478</v>
      </c>
      <c r="R16" s="10" t="n">
        <v>177387061877.12</v>
      </c>
      <c r="S16" s="10" t="n">
        <v>187570442256.709</v>
      </c>
      <c r="T16" s="10" t="n">
        <v>199935705327.44</v>
      </c>
      <c r="U16" s="10" t="n">
        <v>179391434066.723</v>
      </c>
      <c r="V16" s="10" t="n">
        <v>177308998442.415</v>
      </c>
      <c r="W16" s="10" t="n">
        <v>187207956196.268</v>
      </c>
      <c r="X16" s="10" t="n">
        <v>190486280802.468</v>
      </c>
      <c r="Y16" s="10" t="n">
        <v>77579635505.48</v>
      </c>
      <c r="Z16" s="10"/>
    </row>
    <row r="17">
      <c r="A17" t="str">
        <f>M17</f>
      </c>
      <c r="B17" t="str">
        <f>N17</f>
      </c>
      <c r="C17" s="10" t="str">
        <f>T17</f>
      </c>
      <c r="D17" s="10" t="str">
        <f>W17</f>
      </c>
      <c r="E17" s="10" t="str">
        <f>X17</f>
      </c>
      <c r="F17" s="10"/>
      <c r="G17" s="2" t="str">
        <f>X17/W17-1</f>
      </c>
      <c r="H17" s="2" t="str">
        <f>X17/T17-1</f>
      </c>
      <c r="I17" s="2"/>
      <c r="J17" s="2" t="str">
        <f>X17/Sum(X$11:X$17)</f>
      </c>
      <c r="K17" s="2"/>
      <c r="M17" t="s">
        <v>19</v>
      </c>
      <c r="N17" t="s">
        <v>19</v>
      </c>
      <c r="O17" s="10" t="n">
        <v>37536.9003683804</v>
      </c>
      <c r="P17" s="10" t="n">
        <v>4445772.80676177</v>
      </c>
      <c r="Q17" s="10" t="n">
        <v>38763.3285074464</v>
      </c>
      <c r="R17" s="10" t="n">
        <v>-254117.890892549</v>
      </c>
      <c r="S17" s="10" t="n">
        <v>546254.749528136</v>
      </c>
      <c r="T17" s="10" t="n">
        <v>283560.728127099</v>
      </c>
      <c r="U17" s="10" t="n">
        <v>432241.925938871</v>
      </c>
      <c r="V17" s="10" t="n">
        <v>0</v>
      </c>
      <c r="W17" s="10" t="n">
        <v>10000</v>
      </c>
      <c r="X17" s="10" t="n">
        <v>1085175.73971722</v>
      </c>
      <c r="Y17" s="10" t="n">
        <v>2258839.15894205</v>
      </c>
      <c r="Z17" s="10"/>
    </row>
    <row r="18">
      <c r="A18" t="str">
        <f>M18</f>
      </c>
      <c r="B18" t="str">
        <f>N18</f>
      </c>
      <c r="C18" s="10" t="str">
        <f>T18</f>
      </c>
      <c r="D18" s="10" t="str">
        <f>W18</f>
      </c>
      <c r="E18" s="10" t="str">
        <f>X18</f>
      </c>
      <c r="F18" s="10"/>
      <c r="G18" s="2" t="str">
        <f>X18/W18-1</f>
      </c>
      <c r="H18" s="2" t="str">
        <f>X18/T18-1</f>
      </c>
      <c r="I18" s="2"/>
      <c r="J18" s="2" t="str">
        <f>Sum(J$11:J$17)</f>
      </c>
      <c r="K18" s="2"/>
      <c r="M18" t="s">
        <v>20</v>
      </c>
      <c r="N18" t="s">
        <v>21</v>
      </c>
      <c r="O18" s="10" t="str">
        <f>Sum(O12:O17)</f>
      </c>
      <c r="P18" s="10" t="str">
        <f>Sum(P12:P17)</f>
      </c>
      <c r="Q18" s="10" t="str">
        <f>Sum(Q12:Q17)</f>
      </c>
      <c r="R18" s="10" t="str">
        <f>Sum(R12:R17)</f>
      </c>
      <c r="S18" s="10" t="str">
        <f>Sum(S12:S17)</f>
      </c>
      <c r="T18" s="10" t="str">
        <f>Sum(T12:T17)</f>
      </c>
      <c r="U18" s="10" t="str">
        <f>Sum(U12:U17)</f>
      </c>
      <c r="V18" s="10" t="str">
        <f>Sum(V12:V17)</f>
      </c>
      <c r="W18" s="10" t="str">
        <f>Sum(W12:W17)</f>
      </c>
      <c r="X18" s="10" t="str">
        <f>Sum(X12:X17)</f>
      </c>
      <c r="Y18" s="10" t="str">
        <f>Sum(Y12:Y17)</f>
      </c>
      <c r="Z18" s="10"/>
    </row>
    <row r="19">
      <c r="A19" t="str">
        <f>M19</f>
      </c>
      <c r="B19" t="str">
        <f>N19</f>
      </c>
      <c r="C19" s="3" t="str">
        <f>T19</f>
      </c>
      <c r="D19" s="3" t="str">
        <f>W19</f>
      </c>
      <c r="E19" s="3" t="str">
        <f>X19</f>
      </c>
      <c r="F19" s="3"/>
      <c r="G19" s="2" t="str">
        <f>X19/W19-1</f>
      </c>
      <c r="H19" s="2" t="str">
        <f>X19/T19-1</f>
      </c>
      <c r="I19" s="2"/>
      <c r="J19" s="2" t="str">
        <f>X19/Sum(X$12:X$19)</f>
      </c>
      <c r="K19" s="2"/>
      <c r="M19"/>
      <c r="N19"/>
      <c r="O19" s="3"/>
      <c r="P19" s="3"/>
      <c r="Q19" s="3"/>
      <c r="R19" s="3"/>
      <c r="S19" s="3"/>
      <c r="T19" s="3"/>
      <c r="U19" s="3"/>
      <c r="V19" s="3"/>
      <c r="W19" s="3"/>
      <c r="X19" s="3" t="n">
        <v>8450.56920034248</v>
      </c>
      <c r="Y19" s="3"/>
    </row>
    <row r="20">
      <c r="A20" t="str">
        <f>M20</f>
      </c>
      <c r="B20" t="str">
        <f>N20</f>
      </c>
      <c r="C20" s="3" t="str">
        <f>T20</f>
      </c>
      <c r="D20" s="3" t="str">
        <f>W20</f>
      </c>
      <c r="E20" s="3" t="str">
        <f>X20</f>
      </c>
      <c r="F20" s="3"/>
      <c r="G20" s="2" t="str">
        <f>X20/W20-1</f>
      </c>
      <c r="H20" s="2" t="str">
        <f>X20/T20-1</f>
      </c>
      <c r="I20" s="2"/>
      <c r="J20" s="2" t="str">
        <f>Sum(J$12:J$19)</f>
      </c>
      <c r="K20" s="2"/>
      <c r="M20" t="s">
        <v>20</v>
      </c>
      <c r="N20" t="s">
        <v>21</v>
      </c>
      <c r="O20" s="3" t="str">
        <f>Sum(O13:O19)</f>
      </c>
      <c r="P20" s="3" t="str">
        <f>Sum(P13:P19)</f>
      </c>
      <c r="Q20" s="3" t="str">
        <f>Sum(Q13:Q19)</f>
      </c>
      <c r="R20" s="3" t="str">
        <f>Sum(R13:R19)</f>
      </c>
      <c r="S20" s="3" t="str">
        <f>Sum(S13:S19)</f>
      </c>
      <c r="T20" s="3" t="str">
        <f>Sum(T13:T19)</f>
      </c>
      <c r="U20" s="3" t="str">
        <f>Sum(U13:U19)</f>
      </c>
      <c r="V20" s="3" t="str">
        <f>Sum(V13:V19)</f>
      </c>
      <c r="W20" s="3" t="str">
        <f>Sum(W13:W19)</f>
      </c>
      <c r="X20" s="3" t="str">
        <f>Sum(X13:X19)</f>
      </c>
      <c r="Y20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tr">
        <f>L1</f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  <c r="AE1" t="s">
        <v>41</v>
      </c>
      <c r="AF1" t="s">
        <v>42</v>
      </c>
      <c r="AG1" t="s">
        <v>43</v>
      </c>
      <c r="AH1" t="s">
        <v>44</v>
      </c>
      <c r="AI1" t="s">
        <v>45</v>
      </c>
      <c r="AJ1" t="s">
        <v>46</v>
      </c>
      <c r="AK1" t="s">
        <v>47</v>
      </c>
      <c r="AL1" t="s">
        <v>2</v>
      </c>
      <c r="AM1" t="s">
        <v>3</v>
      </c>
      <c r="AN1" t="s">
        <v>4</v>
      </c>
      <c r="AO1" t="s">
        <v>5</v>
      </c>
      <c r="AP1" t="s">
        <v>6</v>
      </c>
      <c r="AQ1" t="s">
        <v>7</v>
      </c>
      <c r="AR1" t="s">
        <v>8</v>
      </c>
      <c r="AS1" t="s">
        <v>9</v>
      </c>
      <c r="AT1" t="s">
        <v>10</v>
      </c>
    </row>
    <row r="2">
      <c r="A2" t="str">
        <f>L2</f>
      </c>
      <c r="L2" t="s">
        <v>48</v>
      </c>
      <c r="M2" s="4" t="n">
        <v>68380721115</v>
      </c>
      <c r="N2" s="4" t="n">
        <v>73383395678</v>
      </c>
      <c r="O2" s="4" t="n">
        <v>60090730088</v>
      </c>
      <c r="P2" s="4" t="n">
        <v>60299705534</v>
      </c>
      <c r="Q2" s="4" t="n">
        <v>51512841085</v>
      </c>
      <c r="R2" s="4" t="n">
        <v>49691607958</v>
      </c>
      <c r="S2" s="4" t="n">
        <v>52193436723</v>
      </c>
      <c r="T2" s="4" t="n">
        <v>49278780640</v>
      </c>
      <c r="U2" s="4" t="n">
        <v>48098195391</v>
      </c>
      <c r="V2" s="4" t="n">
        <v>51802770524</v>
      </c>
      <c r="W2" s="4" t="n">
        <v>59593906260.5134</v>
      </c>
      <c r="X2" s="4" t="n">
        <v>65032039583.7452</v>
      </c>
      <c r="Y2" s="4" t="n">
        <v>76869019699.1336</v>
      </c>
      <c r="Z2" s="4" t="n">
        <v>94870527525.624</v>
      </c>
      <c r="AA2" s="4" t="n">
        <v>103856299540.031</v>
      </c>
      <c r="AB2" s="4" t="n">
        <v>123344298337.017</v>
      </c>
      <c r="AC2" s="4" t="n">
        <v>136247006006.672</v>
      </c>
      <c r="AD2" s="4" t="n">
        <v>158496594476.276</v>
      </c>
      <c r="AE2" s="4" t="n">
        <v>190007295990.497</v>
      </c>
      <c r="AF2" s="4" t="n">
        <v>173660867842.544</v>
      </c>
      <c r="AG2" s="4" t="n">
        <v>162299987036.463</v>
      </c>
      <c r="AH2" s="4" t="n">
        <v>173058263127.792</v>
      </c>
      <c r="AI2" s="4" t="n">
        <v>171685524933.593</v>
      </c>
      <c r="AJ2" s="4" t="n">
        <v>148420654317.737</v>
      </c>
      <c r="AK2" s="4" t="n">
        <v>129441377920.117</v>
      </c>
      <c r="AL2" s="4" t="n">
        <v>130023680111.761</v>
      </c>
      <c r="AM2" s="4" t="n">
        <v>148517002874.483</v>
      </c>
      <c r="AN2" s="4" t="n">
        <v>164161425612.126</v>
      </c>
      <c r="AO2" s="4" t="n">
        <v>183145205083.336</v>
      </c>
      <c r="AP2" s="4" t="n">
        <v>192856195322.137</v>
      </c>
      <c r="AQ2" s="4" t="n">
        <v>218503704772.574</v>
      </c>
      <c r="AR2" s="4" t="n">
        <v>194493127546.995</v>
      </c>
      <c r="AS2" s="4" t="n">
        <v>209770703154.571</v>
      </c>
      <c r="AT2" s="4" t="n">
        <v>225642793034.253</v>
      </c>
      <c r="AU2" s="4"/>
      <c r="AV2" s="4"/>
    </row>
    <row r="3">
      <c r="A3" t="str">
        <f>L3</f>
      </c>
      <c r="L3" t="s">
        <v>49</v>
      </c>
      <c r="M3" s="4" t="n">
        <v>20898140764</v>
      </c>
      <c r="N3" s="4" t="n">
        <v>21045199499</v>
      </c>
      <c r="O3" s="4" t="n">
        <v>22012760444</v>
      </c>
      <c r="P3" s="4" t="n">
        <v>22617936228</v>
      </c>
      <c r="Q3" s="4" t="n">
        <v>22512253381</v>
      </c>
      <c r="R3" s="4" t="n">
        <v>22283993517</v>
      </c>
      <c r="S3" s="4" t="n">
        <v>20876200390</v>
      </c>
      <c r="T3" s="4" t="n">
        <v>20450686698</v>
      </c>
      <c r="U3" s="4" t="n">
        <v>20659742325</v>
      </c>
      <c r="V3" s="4" t="n">
        <v>20055211175</v>
      </c>
      <c r="W3" s="4" t="n">
        <v>20078299690.203</v>
      </c>
      <c r="X3" s="4" t="n">
        <v>21799583742.3897</v>
      </c>
      <c r="Y3" s="4" t="n">
        <v>25924063095.6199</v>
      </c>
      <c r="Z3" s="4" t="n">
        <v>29603523628.5788</v>
      </c>
      <c r="AA3" s="4" t="n">
        <v>31280534845.8972</v>
      </c>
      <c r="AB3" s="4" t="n">
        <v>35779585233.4557</v>
      </c>
      <c r="AC3" s="4" t="n">
        <v>39357564533.108</v>
      </c>
      <c r="AD3" s="4" t="n">
        <v>42270212366.3936</v>
      </c>
      <c r="AE3" s="4" t="n">
        <v>41153639513.1526</v>
      </c>
      <c r="AF3" s="4" t="n">
        <v>43765936441.8482</v>
      </c>
      <c r="AG3" s="4" t="n">
        <v>41464968984.3674</v>
      </c>
      <c r="AH3" s="4" t="n">
        <v>39030312928.4509</v>
      </c>
      <c r="AI3" s="4" t="n">
        <v>34968496717.3259</v>
      </c>
      <c r="AJ3" s="4" t="n">
        <v>28020952063.7746</v>
      </c>
      <c r="AK3" s="4" t="n">
        <v>25817090463.5144</v>
      </c>
      <c r="AL3" s="4" t="n">
        <v>23828431643.2635</v>
      </c>
      <c r="AM3" s="4" t="n">
        <v>24607903018.4481</v>
      </c>
      <c r="AN3" s="4" t="n">
        <v>25707251341.973</v>
      </c>
      <c r="AO3" s="4" t="n">
        <v>27247839455.2387</v>
      </c>
      <c r="AP3" s="4" t="n">
        <v>31052346821.8831</v>
      </c>
      <c r="AQ3" s="4" t="n">
        <v>31748331409.7009</v>
      </c>
      <c r="AR3" s="4" t="n">
        <v>32923935962.3838</v>
      </c>
      <c r="AS3" s="4" t="n">
        <v>35368418863.7585</v>
      </c>
      <c r="AT3" s="4" t="n">
        <v>43247146108.6712</v>
      </c>
      <c r="AU3" s="4"/>
      <c r="AV3" s="4"/>
    </row>
    <row r="4">
      <c r="A4" t="str">
        <f>L4</f>
      </c>
      <c r="L4" t="s">
        <v>50</v>
      </c>
      <c r="M4" s="4" t="n">
        <v>31071267526</v>
      </c>
      <c r="N4" s="4" t="n">
        <v>41725598667</v>
      </c>
      <c r="O4" s="4" t="n">
        <v>41303170018</v>
      </c>
      <c r="P4" s="4" t="n">
        <v>38455740380</v>
      </c>
      <c r="Q4" s="4" t="n">
        <v>43136808259</v>
      </c>
      <c r="R4" s="4" t="n">
        <v>44616413393</v>
      </c>
      <c r="S4" s="4" t="n">
        <v>45379141985</v>
      </c>
      <c r="T4" s="4" t="n">
        <v>46252684541</v>
      </c>
      <c r="U4" s="4" t="n">
        <v>48207944451</v>
      </c>
      <c r="V4" s="4" t="n">
        <v>50327054789</v>
      </c>
      <c r="W4" s="4" t="n">
        <v>52476773397.1324</v>
      </c>
      <c r="X4" s="4" t="n">
        <v>57152176720.2494</v>
      </c>
      <c r="Y4" s="4" t="n">
        <v>66933354479.4362</v>
      </c>
      <c r="Z4" s="4" t="n">
        <v>86983295149.484</v>
      </c>
      <c r="AA4" s="4" t="n">
        <v>94631119240.2011</v>
      </c>
      <c r="AB4" s="4" t="n">
        <v>106536832495.863</v>
      </c>
      <c r="AC4" s="4" t="n">
        <v>119450867506.53</v>
      </c>
      <c r="AD4" s="4" t="n">
        <v>127369568426.202</v>
      </c>
      <c r="AE4" s="4" t="n">
        <v>146826782537.959</v>
      </c>
      <c r="AF4" s="4" t="n">
        <v>150222275025.885</v>
      </c>
      <c r="AG4" s="4" t="n">
        <v>158931643135.492</v>
      </c>
      <c r="AH4" s="4" t="n">
        <v>156475223638.35</v>
      </c>
      <c r="AI4" s="4" t="n">
        <v>151139289875.509</v>
      </c>
      <c r="AJ4" s="4" t="n">
        <v>131786906603.739</v>
      </c>
      <c r="AK4" s="4" t="n">
        <v>128190620403.918</v>
      </c>
      <c r="AL4" s="4" t="n">
        <v>120374098515.522</v>
      </c>
      <c r="AM4" s="4" t="n">
        <v>125396286181.833</v>
      </c>
      <c r="AN4" s="4" t="n">
        <v>131985042215.006</v>
      </c>
      <c r="AO4" s="4" t="n">
        <v>148437277391.569</v>
      </c>
      <c r="AP4" s="4" t="n">
        <v>160066617314.297</v>
      </c>
      <c r="AQ4" s="4" t="n">
        <v>172495598554.661</v>
      </c>
      <c r="AR4" s="4" t="n">
        <v>160285623042.445</v>
      </c>
      <c r="AS4" s="4" t="n">
        <v>169356818403.81</v>
      </c>
      <c r="AT4" s="4" t="n">
        <v>187356782728.035</v>
      </c>
      <c r="AU4" s="4"/>
      <c r="AV4" s="4"/>
    </row>
    <row r="5">
      <c r="A5" t="str">
        <f>L5</f>
      </c>
      <c r="L5" t="s">
        <v>19</v>
      </c>
      <c r="M5" s="4"/>
      <c r="N5" s="4"/>
      <c r="O5" s="4"/>
      <c r="P5" s="4"/>
      <c r="Q5" s="4"/>
      <c r="R5" s="4"/>
      <c r="S5" s="4"/>
      <c r="T5" s="4"/>
      <c r="U5" s="4"/>
      <c r="V5" s="4"/>
      <c r="W5" s="4" t="n">
        <v>29507158.5386</v>
      </c>
      <c r="X5" s="4" t="n">
        <v>9838575.9431</v>
      </c>
      <c r="Y5" s="4" t="n">
        <v>84083862.2953</v>
      </c>
      <c r="Z5" s="4" t="n">
        <v>75741000.1739</v>
      </c>
      <c r="AA5" s="4" t="n">
        <v>7078195.786</v>
      </c>
      <c r="AB5" s="4" t="n">
        <v>3802636.121</v>
      </c>
      <c r="AC5" s="4" t="n">
        <v>109748296.8079</v>
      </c>
      <c r="AD5" s="4" t="n">
        <v>18047584.62</v>
      </c>
      <c r="AE5" s="4" t="n">
        <v>368043.2203</v>
      </c>
      <c r="AF5" s="4" t="n">
        <v>986168.1493</v>
      </c>
      <c r="AG5" s="4" t="n">
        <v>-253919.658</v>
      </c>
      <c r="AH5" s="4" t="n">
        <v>-140825.1013</v>
      </c>
      <c r="AI5" s="4" t="n">
        <v>-6477.8001</v>
      </c>
      <c r="AJ5" s="4" t="n">
        <v>-99723.1206</v>
      </c>
      <c r="AK5" s="4" t="n">
        <v>449040</v>
      </c>
      <c r="AL5" s="4" t="n">
        <v>30000</v>
      </c>
      <c r="AM5" s="4" t="n">
        <v>3581529.4309</v>
      </c>
      <c r="AN5" s="4" t="n">
        <v>1357607</v>
      </c>
      <c r="AO5" s="4" t="n">
        <v>-212795.3691</v>
      </c>
      <c r="AP5" s="4" t="n">
        <v>465885</v>
      </c>
      <c r="AQ5" s="4" t="n">
        <v>10000</v>
      </c>
      <c r="AR5" s="4" t="n">
        <v>386316</v>
      </c>
      <c r="AS5" s="4" t="n">
        <v>0</v>
      </c>
      <c r="AT5" s="4" t="n">
        <v>10000</v>
      </c>
      <c r="AU5" s="4"/>
      <c r="AV5" s="4"/>
    </row>
    <row r="6">
      <c r="A6" t="str">
        <f>L6</f>
      </c>
      <c r="L6" t="s">
        <v>20</v>
      </c>
      <c r="M6" s="4" t="str">
        <f>Sum(M2:M5)</f>
      </c>
      <c r="N6" s="4" t="str">
        <f>Sum(N2:N5)</f>
      </c>
      <c r="O6" s="4" t="str">
        <f>Sum(O2:O5)</f>
      </c>
      <c r="P6" s="4" t="str">
        <f>Sum(P2:P5)</f>
      </c>
      <c r="Q6" s="4" t="str">
        <f>Sum(Q2:Q5)</f>
      </c>
      <c r="R6" s="4" t="str">
        <f>Sum(R2:R5)</f>
      </c>
      <c r="S6" s="4" t="str">
        <f>Sum(S2:S5)</f>
      </c>
      <c r="T6" s="4" t="str">
        <f>Sum(T2:T5)</f>
      </c>
      <c r="U6" s="4" t="str">
        <f>Sum(U2:U5)</f>
      </c>
      <c r="V6" s="4" t="str">
        <f>Sum(V2:V5)</f>
      </c>
      <c r="W6" s="4" t="str">
        <f>Sum(W2:W5)</f>
      </c>
      <c r="X6" s="4" t="str">
        <f>Sum(X2:X5)</f>
      </c>
      <c r="Y6" s="4" t="str">
        <f>Sum(Y2:Y5)</f>
      </c>
      <c r="Z6" s="4" t="str">
        <f>Sum(Z2:Z5)</f>
      </c>
      <c r="AA6" s="4" t="str">
        <f>Sum(AA2:AA5)</f>
      </c>
      <c r="AB6" s="4" t="str">
        <f>Sum(AB2:AB5)</f>
      </c>
      <c r="AC6" s="4" t="str">
        <f>Sum(AC2:AC5)</f>
      </c>
      <c r="AD6" s="4" t="str">
        <f>Sum(AD2:AD5)</f>
      </c>
      <c r="AE6" s="4" t="str">
        <f>Sum(AE2:AE5)</f>
      </c>
      <c r="AF6" s="4" t="str">
        <f>Sum(AF2:AF5)</f>
      </c>
      <c r="AG6" s="4" t="str">
        <f>Sum(AG2:AG5)</f>
      </c>
      <c r="AH6" s="4" t="str">
        <f>Sum(AH2:AH5)</f>
      </c>
      <c r="AI6" s="4" t="str">
        <f>Sum(AI2:AI5)</f>
      </c>
      <c r="AJ6" s="4" t="str">
        <f>Sum(AJ2:AJ5)</f>
      </c>
      <c r="AK6" s="4" t="str">
        <f>Sum(AK2:AK5)</f>
      </c>
      <c r="AL6" s="4" t="str">
        <f>Sum(AL2:AL5)</f>
      </c>
      <c r="AM6" s="4" t="str">
        <f>Sum(AM2:AM5)</f>
      </c>
      <c r="AN6" s="4" t="str">
        <f>Sum(AN2:AN5)</f>
      </c>
      <c r="AO6" s="4" t="str">
        <f>Sum(AO2:AO5)</f>
      </c>
      <c r="AP6" s="4" t="str">
        <f>Sum(AP2:AP5)</f>
      </c>
      <c r="AQ6" s="4" t="str">
        <f>Sum(AQ2:AQ5)</f>
      </c>
      <c r="AR6" s="4" t="str">
        <f>Sum(AR2:AR5)</f>
      </c>
      <c r="AS6" s="4" t="str">
        <f>Sum(AS2:AS5)</f>
      </c>
      <c r="AT6" s="4" t="str">
        <f>Sum(AT2:AT5)</f>
      </c>
      <c r="AU6" s="4" t="str">
        <f>Sum(AU2:AU5)</f>
      </c>
      <c r="AV6" s="4"/>
    </row>
    <row r="9">
      <c r="A9" t="str">
        <f>L9</f>
      </c>
      <c r="B9" t="str">
        <f>AQ9</f>
      </c>
      <c r="C9" t="str">
        <f>9</f>
      </c>
      <c r="D9" t="str">
        <f>9</f>
      </c>
      <c r="E9" t="str">
        <f>9</f>
      </c>
      <c r="F9" t="str">
        <f>9&amp;"-"&amp;9</f>
      </c>
      <c r="G9" t="str">
        <f>AQ9&amp;"-"&amp;9</f>
      </c>
      <c r="H9" t="str">
        <f>9&amp;"/"&amp;9</f>
      </c>
      <c r="I9" t="str">
        <f>"Share "&amp;9</f>
      </c>
      <c r="J9" t="str">
        <f>"Share "&amp;9</f>
      </c>
      <c r="L9" t="s">
        <v>22</v>
      </c>
      <c r="M9" t="s">
        <v>23</v>
      </c>
      <c r="N9" t="s">
        <v>24</v>
      </c>
      <c r="O9" t="s">
        <v>25</v>
      </c>
      <c r="P9" t="s">
        <v>26</v>
      </c>
      <c r="Q9" t="s">
        <v>27</v>
      </c>
      <c r="R9" t="s">
        <v>28</v>
      </c>
      <c r="S9" t="s">
        <v>29</v>
      </c>
      <c r="T9" t="s">
        <v>30</v>
      </c>
      <c r="U9" t="s">
        <v>31</v>
      </c>
      <c r="V9" t="s">
        <v>32</v>
      </c>
      <c r="W9" t="s">
        <v>33</v>
      </c>
      <c r="X9" t="s">
        <v>34</v>
      </c>
      <c r="Y9" t="s">
        <v>35</v>
      </c>
      <c r="Z9" t="s">
        <v>36</v>
      </c>
      <c r="AA9" t="s">
        <v>37</v>
      </c>
      <c r="AB9" t="s">
        <v>38</v>
      </c>
      <c r="AC9" t="s">
        <v>39</v>
      </c>
      <c r="AD9" t="s">
        <v>40</v>
      </c>
      <c r="AE9" t="s">
        <v>41</v>
      </c>
      <c r="AF9" t="s">
        <v>42</v>
      </c>
      <c r="AG9" t="s">
        <v>43</v>
      </c>
      <c r="AH9" t="s">
        <v>44</v>
      </c>
      <c r="AI9" t="s">
        <v>45</v>
      </c>
      <c r="AJ9" t="s">
        <v>46</v>
      </c>
      <c r="AK9" t="s">
        <v>47</v>
      </c>
      <c r="AL9" t="s">
        <v>2</v>
      </c>
      <c r="AM9" t="s">
        <v>3</v>
      </c>
      <c r="AN9" t="s">
        <v>4</v>
      </c>
      <c r="AO9" t="s">
        <v>5</v>
      </c>
      <c r="AP9" t="s">
        <v>6</v>
      </c>
      <c r="AQ9" t="s">
        <v>7</v>
      </c>
      <c r="AR9" t="s">
        <v>8</v>
      </c>
      <c r="AS9" t="s">
        <v>9</v>
      </c>
      <c r="AT9" t="s">
        <v>10</v>
      </c>
    </row>
    <row r="10">
      <c r="A10" t="str">
        <f>L10</f>
      </c>
      <c r="B10" s="4" t="str">
        <f>AQ10</f>
      </c>
      <c r="C10" s="4" t="str">
        <f>10</f>
      </c>
      <c r="D10" s="4" t="str">
        <f>10</f>
      </c>
      <c r="E10" s="4" t="str">
        <f>10</f>
      </c>
      <c r="F10" s="2" t="str">
        <f>10/10-1</f>
      </c>
      <c r="G10" s="2" t="str">
        <f>10/AQ10-1</f>
      </c>
      <c r="H10" s="2" t="str">
        <f>10/10</f>
      </c>
      <c r="I10" s="2" t="str">
        <f>10/Sum($9:$13)</f>
      </c>
      <c r="J10" s="2" t="str">
        <f>10/Sum(9:$13)</f>
      </c>
      <c r="L10" t="s">
        <v>48</v>
      </c>
      <c r="M10" s="4" t="n">
        <v>141430610336.473</v>
      </c>
      <c r="N10" s="4" t="n">
        <v>146538706204.412</v>
      </c>
      <c r="O10" s="4" t="n">
        <v>117064721081.524</v>
      </c>
      <c r="P10" s="4" t="n">
        <v>114779121366.484</v>
      </c>
      <c r="Q10" s="4" t="n">
        <v>95958683265.3155</v>
      </c>
      <c r="R10" s="4" t="n">
        <v>90643373999.6259</v>
      </c>
      <c r="S10" s="4" t="n">
        <v>93447533279.1592</v>
      </c>
      <c r="T10" s="4" t="n">
        <v>86690600303.0182</v>
      </c>
      <c r="U10" s="4" t="n">
        <v>83565993682.0383</v>
      </c>
      <c r="V10" s="4" t="n">
        <v>88901507025.1122</v>
      </c>
      <c r="W10" s="4" t="n">
        <v>100187689493.376</v>
      </c>
      <c r="X10" s="4" t="n">
        <v>106742786977.337</v>
      </c>
      <c r="Y10" s="4" t="n">
        <v>124217649425.402</v>
      </c>
      <c r="Z10" s="4" t="n">
        <v>150420123233.342</v>
      </c>
      <c r="AA10" s="4" t="n">
        <v>160742214852.305</v>
      </c>
      <c r="AB10" s="4" t="n">
        <v>185266869769.122</v>
      </c>
      <c r="AC10" s="4" t="n">
        <v>198208461644.317</v>
      </c>
      <c r="AD10" s="4" t="n">
        <v>224398971147.652</v>
      </c>
      <c r="AE10" s="4" t="n">
        <v>263540400092.861</v>
      </c>
      <c r="AF10" s="4" t="n">
        <v>238429671863.585</v>
      </c>
      <c r="AG10" s="4" t="n">
        <v>220918369873.768</v>
      </c>
      <c r="AH10" s="4" t="n">
        <v>230927221179.799</v>
      </c>
      <c r="AI10" s="4" t="n">
        <v>225012368871.316</v>
      </c>
      <c r="AJ10" s="4" t="n">
        <v>191054616327.853</v>
      </c>
      <c r="AK10" s="4" t="n">
        <v>163638245681.56</v>
      </c>
      <c r="AL10" s="4" t="n">
        <v>162689530862.845</v>
      </c>
      <c r="AM10" s="4" t="n">
        <v>184354998460.871</v>
      </c>
      <c r="AN10" s="4" t="n">
        <v>200391852283.217</v>
      </c>
      <c r="AO10" s="4" t="n">
        <v>218709989991.139</v>
      </c>
      <c r="AP10" s="4" t="n">
        <v>226125787846.02</v>
      </c>
      <c r="AQ10" s="4" t="n">
        <v>252894161729.713</v>
      </c>
      <c r="AR10" s="4" t="n">
        <v>217614812828.844</v>
      </c>
      <c r="AS10" s="4" t="n">
        <v>219366998495.625</v>
      </c>
      <c r="AT10" s="4" t="n">
        <v>225642793034.253</v>
      </c>
      <c r="AU10" s="4"/>
      <c r="AV10" s="4"/>
    </row>
    <row r="11">
      <c r="A11" t="str">
        <f>L11</f>
      </c>
      <c r="B11" s="4" t="str">
        <f>AQ11</f>
      </c>
      <c r="C11" s="4" t="str">
        <f>11</f>
      </c>
      <c r="D11" s="4" t="str">
        <f>11</f>
      </c>
      <c r="E11" s="4" t="str">
        <f>11</f>
      </c>
      <c r="F11" s="2" t="str">
        <f>11/11-1</f>
      </c>
      <c r="G11" s="2" t="str">
        <f>11/AQ11-1</f>
      </c>
      <c r="H11" s="2" t="str">
        <f>11/11</f>
      </c>
      <c r="I11" s="2" t="str">
        <f>11/Sum($9:$13)</f>
      </c>
      <c r="J11" s="2" t="str">
        <f>11/Sum(9:$13)</f>
      </c>
      <c r="L11" t="s">
        <v>49</v>
      </c>
      <c r="M11" s="4" t="n">
        <v>43223247063.7356</v>
      </c>
      <c r="N11" s="4" t="n">
        <v>42024987776.925</v>
      </c>
      <c r="O11" s="4" t="n">
        <v>42883780207.6544</v>
      </c>
      <c r="P11" s="4" t="n">
        <v>43052728440.0953</v>
      </c>
      <c r="Q11" s="4" t="n">
        <v>41936071594.4853</v>
      </c>
      <c r="R11" s="4" t="n">
        <v>40648641522.6071</v>
      </c>
      <c r="S11" s="4" t="n">
        <v>37376910837.2826</v>
      </c>
      <c r="T11" s="4" t="n">
        <v>35976586340.6836</v>
      </c>
      <c r="U11" s="4" t="n">
        <v>35894317501.2869</v>
      </c>
      <c r="V11" s="4" t="n">
        <v>34417821269.5853</v>
      </c>
      <c r="W11" s="4" t="n">
        <v>33755103183.2576</v>
      </c>
      <c r="X11" s="4" t="n">
        <v>35781567647.3132</v>
      </c>
      <c r="Y11" s="4" t="n">
        <v>41892379971.7716</v>
      </c>
      <c r="Z11" s="4" t="n">
        <v>46937292207.5219</v>
      </c>
      <c r="AA11" s="4" t="n">
        <v>48414034345.1787</v>
      </c>
      <c r="AB11" s="4" t="n">
        <v>53742020078.8518</v>
      </c>
      <c r="AC11" s="4" t="n">
        <v>57256321065.8167</v>
      </c>
      <c r="AD11" s="4" t="n">
        <v>59846031370.9219</v>
      </c>
      <c r="AE11" s="4" t="n">
        <v>57080158769.8823</v>
      </c>
      <c r="AF11" s="4" t="n">
        <v>60088942283.1501</v>
      </c>
      <c r="AG11" s="4" t="n">
        <v>56440998684.9522</v>
      </c>
      <c r="AH11" s="4" t="n">
        <v>52081660496.5551</v>
      </c>
      <c r="AI11" s="4" t="n">
        <v>45829980630.445</v>
      </c>
      <c r="AJ11" s="4" t="n">
        <v>36069994909.3664</v>
      </c>
      <c r="AK11" s="4" t="n">
        <v>32637657756.2301</v>
      </c>
      <c r="AL11" s="4" t="n">
        <v>29814848817.5981</v>
      </c>
      <c r="AM11" s="4" t="n">
        <v>30545929659.8202</v>
      </c>
      <c r="AN11" s="4" t="n">
        <v>31380841719.1747</v>
      </c>
      <c r="AO11" s="4" t="n">
        <v>32539070252.0644</v>
      </c>
      <c r="AP11" s="4" t="n">
        <v>36409182385.0276</v>
      </c>
      <c r="AQ11" s="4" t="n">
        <v>36745224372.8785</v>
      </c>
      <c r="AR11" s="4" t="n">
        <v>36837991410.8368</v>
      </c>
      <c r="AS11" s="4" t="n">
        <v>36986403587.3577</v>
      </c>
      <c r="AT11" s="4" t="n">
        <v>43247146108.6712</v>
      </c>
      <c r="AU11" s="4"/>
      <c r="AV11" s="4"/>
    </row>
    <row r="12">
      <c r="A12" t="str">
        <f>L12</f>
      </c>
      <c r="B12" s="4" t="str">
        <f>AQ12</f>
      </c>
      <c r="C12" s="4" t="str">
        <f>12</f>
      </c>
      <c r="D12" s="4" t="str">
        <f>12</f>
      </c>
      <c r="E12" s="4" t="str">
        <f>12</f>
      </c>
      <c r="F12" s="2" t="str">
        <f>12/12-1</f>
      </c>
      <c r="G12" s="2" t="str">
        <f>12/AQ12-1</f>
      </c>
      <c r="H12" s="2" t="str">
        <f>12/12</f>
      </c>
      <c r="I12" s="2" t="str">
        <f>12/Sum($9:$13)</f>
      </c>
      <c r="J12" s="2" t="str">
        <f>12/Sum(9:$13)</f>
      </c>
      <c r="L12" t="s">
        <v>50</v>
      </c>
      <c r="M12" s="4" t="n">
        <v>64264141390.6654</v>
      </c>
      <c r="N12" s="4" t="n">
        <v>83321508738.7922</v>
      </c>
      <c r="O12" s="4" t="n">
        <v>80464059445.76</v>
      </c>
      <c r="P12" s="4" t="n">
        <v>73199629305.4075</v>
      </c>
      <c r="Q12" s="4" t="n">
        <v>80355717790.2843</v>
      </c>
      <c r="R12" s="4" t="n">
        <v>81385618455.37</v>
      </c>
      <c r="S12" s="4" t="n">
        <v>81247167212.3919</v>
      </c>
      <c r="T12" s="4" t="n">
        <v>81367130769.2775</v>
      </c>
      <c r="U12" s="4" t="n">
        <v>83756672130.1592</v>
      </c>
      <c r="V12" s="4" t="n">
        <v>86368952270.7021</v>
      </c>
      <c r="W12" s="4" t="n">
        <v>88222555100.567</v>
      </c>
      <c r="X12" s="4" t="n">
        <v>93808877347.0603</v>
      </c>
      <c r="Y12" s="4" t="n">
        <v>108161961660.693</v>
      </c>
      <c r="Z12" s="4" t="n">
        <v>137914675051.149</v>
      </c>
      <c r="AA12" s="4" t="n">
        <v>146464063980.63</v>
      </c>
      <c r="AB12" s="4" t="n">
        <v>160021547308.947</v>
      </c>
      <c r="AC12" s="4" t="n">
        <v>173773893346.244</v>
      </c>
      <c r="AD12" s="4" t="n">
        <v>180329427296.55</v>
      </c>
      <c r="AE12" s="4" t="n">
        <v>203648964176.283</v>
      </c>
      <c r="AF12" s="4" t="n">
        <v>206249388166.702</v>
      </c>
      <c r="AG12" s="4" t="n">
        <v>216333470901.412</v>
      </c>
      <c r="AH12" s="4" t="n">
        <v>208798978593.753</v>
      </c>
      <c r="AI12" s="4" t="n">
        <v>198084315247.723</v>
      </c>
      <c r="AJ12" s="4" t="n">
        <v>169642810119.339</v>
      </c>
      <c r="AK12" s="4" t="n">
        <v>162057052951.596</v>
      </c>
      <c r="AL12" s="4" t="n">
        <v>150615684763.692</v>
      </c>
      <c r="AM12" s="4" t="n">
        <v>155655121626.634</v>
      </c>
      <c r="AN12" s="4" t="n">
        <v>161114141062.807</v>
      </c>
      <c r="AO12" s="4" t="n">
        <v>177262164400.371</v>
      </c>
      <c r="AP12" s="4" t="n">
        <v>187679684790.962</v>
      </c>
      <c r="AQ12" s="4" t="n">
        <v>199644806223.997</v>
      </c>
      <c r="AR12" s="4" t="n">
        <v>179340659988.658</v>
      </c>
      <c r="AS12" s="4" t="n">
        <v>177104316138.166</v>
      </c>
      <c r="AT12" s="4" t="n">
        <v>187356782728.035</v>
      </c>
      <c r="AU12" s="4"/>
      <c r="AV12" s="4"/>
    </row>
    <row r="13">
      <c r="A13" t="str">
        <f>L13</f>
      </c>
      <c r="B13" s="4" t="str">
        <f>AQ13</f>
      </c>
      <c r="C13" s="4" t="str">
        <f>13</f>
      </c>
      <c r="D13" s="4" t="str">
        <f>13</f>
      </c>
      <c r="E13" s="4" t="str">
        <f>13</f>
      </c>
      <c r="F13" s="2" t="str">
        <f>13/13-1</f>
      </c>
      <c r="G13" s="2" t="str">
        <f>13/AQ13-1</f>
      </c>
      <c r="H13" s="2" t="str">
        <f>13/13</f>
      </c>
      <c r="I13" s="2" t="str">
        <f>13/Sum($9:$13)</f>
      </c>
      <c r="J13" s="2" t="str">
        <f>13/Sum(9:$13)</f>
      </c>
      <c r="L13" t="s">
        <v>19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 t="n">
        <v>49606649.79023</v>
      </c>
      <c r="X13" s="4" t="n">
        <v>16148917.0995827</v>
      </c>
      <c r="Y13" s="4" t="n">
        <v>135876582.917436</v>
      </c>
      <c r="Z13" s="4" t="n">
        <v>120089672.494942</v>
      </c>
      <c r="AA13" s="4" t="n">
        <v>10955183.9689931</v>
      </c>
      <c r="AB13" s="4" t="n">
        <v>5711674.56061679</v>
      </c>
      <c r="AC13" s="4" t="n">
        <v>159658855.74992</v>
      </c>
      <c r="AD13" s="4" t="n">
        <v>25551712.5387472</v>
      </c>
      <c r="AE13" s="4" t="n">
        <v>510476.489987931</v>
      </c>
      <c r="AF13" s="4" t="n">
        <v>1353970.82348517</v>
      </c>
      <c r="AG13" s="4" t="n">
        <v>-345628.597688439</v>
      </c>
      <c r="AH13" s="4" t="n">
        <v>-187915.611354302</v>
      </c>
      <c r="AI13" s="4" t="n">
        <v>-8489.85461144517</v>
      </c>
      <c r="AJ13" s="4" t="n">
        <v>-128368.673705357</v>
      </c>
      <c r="AK13" s="4" t="n">
        <v>567671.010781381</v>
      </c>
      <c r="AL13" s="4" t="n">
        <v>37536.9003683804</v>
      </c>
      <c r="AM13" s="4" t="n">
        <v>4445772.80676177</v>
      </c>
      <c r="AN13" s="4" t="n">
        <v>1657230.86521835</v>
      </c>
      <c r="AO13" s="4" t="n">
        <v>-254117.889817779</v>
      </c>
      <c r="AP13" s="4" t="n">
        <v>546254.749528136</v>
      </c>
      <c r="AQ13" s="4" t="n">
        <v>11573.9072704938</v>
      </c>
      <c r="AR13" s="4" t="n">
        <v>432241.925938871</v>
      </c>
      <c r="AS13" s="4" t="n">
        <v>0</v>
      </c>
      <c r="AT13" s="4" t="n">
        <v>10000</v>
      </c>
      <c r="AU13" s="4"/>
      <c r="AV13" s="4"/>
    </row>
    <row r="14">
      <c r="A14" t="str">
        <f>L14</f>
      </c>
      <c r="B14" s="4" t="str">
        <f>AQ14</f>
      </c>
      <c r="C14" s="4" t="str">
        <f>14</f>
      </c>
      <c r="D14" s="4" t="str">
        <f>14</f>
      </c>
      <c r="E14" s="4" t="str">
        <f>14</f>
      </c>
      <c r="F14" s="2" t="str">
        <f>14/14-1</f>
      </c>
      <c r="G14" s="2" t="str">
        <f>14/AQ14-1</f>
      </c>
      <c r="H14" s="2" t="str">
        <f>14/14</f>
      </c>
      <c r="I14" s="2" t="str">
        <f>Sum(I$9:I$13)</f>
      </c>
      <c r="J14" s="2" t="str">
        <f>Sum(J$9:J$13)</f>
      </c>
      <c r="L14" t="s">
        <v>20</v>
      </c>
      <c r="M14" s="4" t="str">
        <f>Sum(M10:M13)</f>
      </c>
      <c r="N14" s="4" t="str">
        <f>Sum(N10:N13)</f>
      </c>
      <c r="O14" s="4" t="str">
        <f>Sum(O10:O13)</f>
      </c>
      <c r="P14" s="4" t="str">
        <f>Sum(P10:P13)</f>
      </c>
      <c r="Q14" s="4" t="str">
        <f>Sum(Q10:Q13)</f>
      </c>
      <c r="R14" s="4" t="str">
        <f>Sum(R10:R13)</f>
      </c>
      <c r="S14" s="4" t="str">
        <f>Sum(S10:S13)</f>
      </c>
      <c r="T14" s="4" t="str">
        <f>Sum(T10:T13)</f>
      </c>
      <c r="U14" s="4" t="str">
        <f>Sum(U10:U13)</f>
      </c>
      <c r="V14" s="4" t="str">
        <f>Sum(V10:V13)</f>
      </c>
      <c r="W14" s="4" t="str">
        <f>Sum(W10:W13)</f>
      </c>
      <c r="X14" s="4" t="str">
        <f>Sum(X10:X13)</f>
      </c>
      <c r="Y14" s="4" t="str">
        <f>Sum(Y10:Y13)</f>
      </c>
      <c r="Z14" s="4" t="str">
        <f>Sum(Z10:Z13)</f>
      </c>
      <c r="AA14" s="4" t="str">
        <f>Sum(AA10:AA13)</f>
      </c>
      <c r="AB14" s="4" t="str">
        <f>Sum(AB10:AB13)</f>
      </c>
      <c r="AC14" s="4" t="str">
        <f>Sum(AC10:AC13)</f>
      </c>
      <c r="AD14" s="4" t="str">
        <f>Sum(AD10:AD13)</f>
      </c>
      <c r="AE14" s="4" t="str">
        <f>Sum(AE10:AE13)</f>
      </c>
      <c r="AF14" s="4" t="str">
        <f>Sum(AF10:AF13)</f>
      </c>
      <c r="AG14" s="4" t="str">
        <f>Sum(AG10:AG13)</f>
      </c>
      <c r="AH14" s="4" t="str">
        <f>Sum(AH10:AH13)</f>
      </c>
      <c r="AI14" s="4" t="str">
        <f>Sum(AI10:AI13)</f>
      </c>
      <c r="AJ14" s="4" t="str">
        <f>Sum(AJ10:AJ13)</f>
      </c>
      <c r="AK14" s="4" t="str">
        <f>Sum(AK10:AK13)</f>
      </c>
      <c r="AL14" s="4" t="str">
        <f>Sum(AL10:AL13)</f>
      </c>
      <c r="AM14" s="4" t="str">
        <f>Sum(AM10:AM13)</f>
      </c>
      <c r="AN14" s="4" t="str">
        <f>Sum(AN10:AN13)</f>
      </c>
      <c r="AO14" s="4" t="str">
        <f>Sum(AO10:AO13)</f>
      </c>
      <c r="AP14" s="4" t="str">
        <f>Sum(AP10:AP13)</f>
      </c>
      <c r="AQ14" s="4" t="str">
        <f>Sum(AQ10:AQ13)</f>
      </c>
      <c r="AR14" s="4" t="str">
        <f>Sum(AR10:AR13)</f>
      </c>
      <c r="AS14" s="4" t="str">
        <f>Sum(AS10:AS13)</f>
      </c>
      <c r="AT14" s="4" t="str">
        <f>Sum(AT10:AT13)</f>
      </c>
      <c r="AU14" s="4" t="str">
        <f>Sum(AU10:AU13)</f>
      </c>
      <c r="AV14" s="4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M1</f>
      </c>
      <c r="B1" t="str">
        <f>N1</f>
      </c>
      <c r="M1" t="s">
        <v>52</v>
      </c>
      <c r="N1" t="s">
        <v>53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2</v>
      </c>
      <c r="AO1" t="s">
        <v>3</v>
      </c>
      <c r="AP1" t="s">
        <v>4</v>
      </c>
      <c r="AQ1" t="s">
        <v>5</v>
      </c>
      <c r="AR1" t="s">
        <v>6</v>
      </c>
      <c r="AS1" t="s">
        <v>7</v>
      </c>
      <c r="AT1" t="s">
        <v>8</v>
      </c>
      <c r="AU1" t="s">
        <v>9</v>
      </c>
      <c r="AV1" t="s">
        <v>10</v>
      </c>
      <c r="AW1" t="s">
        <v>51</v>
      </c>
    </row>
    <row r="2">
      <c r="A2" t="str">
        <f>M2</f>
      </c>
      <c r="B2" t="str">
        <f>N2</f>
      </c>
      <c r="M2" t="s">
        <v>54</v>
      </c>
      <c r="N2" t="s">
        <v>55</v>
      </c>
      <c r="O2" s="5"/>
      <c r="P2" s="5"/>
      <c r="Q2" s="5"/>
      <c r="R2" s="5"/>
      <c r="S2" s="5"/>
      <c r="T2" s="5"/>
      <c r="U2" s="5"/>
      <c r="V2" s="5"/>
      <c r="W2" s="5"/>
      <c r="X2" s="5"/>
      <c r="Y2" s="5" t="n">
        <v>59180597697.378</v>
      </c>
      <c r="Z2" s="5" t="n">
        <v>68029133140.4963</v>
      </c>
      <c r="AA2" s="5" t="n">
        <v>84172927045.2604</v>
      </c>
      <c r="AB2" s="5" t="n">
        <v>109191257117.131</v>
      </c>
      <c r="AC2" s="5" t="n">
        <v>109916829388.952</v>
      </c>
      <c r="AD2" s="5" t="n">
        <v>128055920615.379</v>
      </c>
      <c r="AE2" s="5" t="n">
        <v>145646321248.104</v>
      </c>
      <c r="AF2" s="5" t="n">
        <v>166847504445.292</v>
      </c>
      <c r="AG2" s="5" t="n">
        <v>193683604329.733</v>
      </c>
      <c r="AH2" s="5" t="n">
        <v>174919592258.472</v>
      </c>
      <c r="AI2" s="5" t="n">
        <v>190999962236.724</v>
      </c>
      <c r="AJ2" s="5" t="n">
        <v>185453438471.699</v>
      </c>
      <c r="AK2" s="5" t="n">
        <v>172452411014.604</v>
      </c>
      <c r="AL2" s="5" t="n">
        <v>146688840548.586</v>
      </c>
      <c r="AM2" s="5" t="n">
        <v>145768921953.585</v>
      </c>
      <c r="AN2" s="5" t="n">
        <v>141434777332.903</v>
      </c>
      <c r="AO2" s="5" t="n">
        <v>151076383014.59</v>
      </c>
      <c r="AP2" s="5" t="n">
        <v>156657509545.924</v>
      </c>
      <c r="AQ2" s="5" t="n">
        <v>179109699516.117</v>
      </c>
      <c r="AR2" s="5" t="n">
        <v>193460168755.637</v>
      </c>
      <c r="AS2" s="5" t="n">
        <v>214818853679.889</v>
      </c>
      <c r="AT2" s="5" t="n">
        <v>212566660802.25</v>
      </c>
      <c r="AU2" s="5" t="n">
        <v>221282124184.548</v>
      </c>
      <c r="AV2" s="5" t="n">
        <v>229155776069.99</v>
      </c>
      <c r="AW2" s="5" t="n">
        <v>223337217801.76</v>
      </c>
      <c r="AX2" s="5"/>
    </row>
    <row r="3">
      <c r="A3" t="str">
        <f>M3</f>
      </c>
      <c r="B3" t="str">
        <f>N3</f>
      </c>
      <c r="M3" t="s">
        <v>54</v>
      </c>
      <c r="N3" t="s">
        <v>56</v>
      </c>
      <c r="O3" s="5"/>
      <c r="P3" s="5"/>
      <c r="Q3" s="5"/>
      <c r="R3" s="5"/>
      <c r="S3" s="5"/>
      <c r="T3" s="5"/>
      <c r="U3" s="5"/>
      <c r="V3" s="5"/>
      <c r="W3" s="5"/>
      <c r="X3" s="5"/>
      <c r="Y3" s="5" t="n">
        <v>5866981783</v>
      </c>
      <c r="Z3" s="5" t="n">
        <v>8355043007</v>
      </c>
      <c r="AA3" s="5" t="n">
        <v>8568508430</v>
      </c>
      <c r="AB3" s="5" t="n">
        <v>9446210344.1396</v>
      </c>
      <c r="AC3" s="5" t="n">
        <v>11392034495.2552</v>
      </c>
      <c r="AD3" s="5" t="n">
        <v>22074131513.6508</v>
      </c>
      <c r="AE3" s="5" t="n">
        <v>19496741799.8163</v>
      </c>
      <c r="AF3" s="5" t="n">
        <v>17332396700.2473</v>
      </c>
      <c r="AG3" s="5" t="n">
        <v>22695323709.5189</v>
      </c>
      <c r="AH3" s="5" t="n">
        <v>24305277577.0872</v>
      </c>
      <c r="AI3" s="5" t="n">
        <v>17166981775.4083</v>
      </c>
      <c r="AJ3" s="5" t="n">
        <v>19616137972.3993</v>
      </c>
      <c r="AK3" s="5" t="n">
        <v>27116363534.6684</v>
      </c>
      <c r="AL3" s="5" t="n">
        <v>18305960685.1594</v>
      </c>
      <c r="AM3" s="5" t="n">
        <v>11857612390.5243</v>
      </c>
      <c r="AN3" s="5" t="n">
        <v>8979268726.5904</v>
      </c>
      <c r="AO3" s="5" t="n">
        <v>7378144851.9658</v>
      </c>
      <c r="AP3" s="5" t="n">
        <v>9206054541.7008</v>
      </c>
      <c r="AQ3" s="5" t="n">
        <v>10484521166.6575</v>
      </c>
      <c r="AR3" s="5" t="n">
        <v>9749228354.0059</v>
      </c>
      <c r="AS3" s="5" t="n">
        <v>8878683422.4911</v>
      </c>
      <c r="AT3" s="5" t="n">
        <v>10360675618.2093</v>
      </c>
      <c r="AU3" s="5" t="n">
        <v>17515768686.6156</v>
      </c>
      <c r="AV3" s="5" t="n">
        <v>16776830306.481</v>
      </c>
      <c r="AW3" s="5" t="n">
        <v>17419499858.04</v>
      </c>
      <c r="AX3" s="5"/>
    </row>
    <row r="4">
      <c r="A4" t="str">
        <f>M4</f>
      </c>
      <c r="B4" t="str">
        <f>N4</f>
      </c>
      <c r="M4" t="s">
        <v>54</v>
      </c>
      <c r="N4" t="s">
        <v>57</v>
      </c>
      <c r="O4" s="5"/>
      <c r="P4" s="5"/>
      <c r="Q4" s="5"/>
      <c r="R4" s="5"/>
      <c r="S4" s="5"/>
      <c r="T4" s="5"/>
      <c r="U4" s="5"/>
      <c r="V4" s="5"/>
      <c r="W4" s="5"/>
      <c r="X4" s="5"/>
      <c r="Y4" s="5" t="n">
        <v>972819279</v>
      </c>
      <c r="Z4" s="5" t="n">
        <v>1570724370.5388</v>
      </c>
      <c r="AA4" s="5" t="n">
        <v>1753774695.64</v>
      </c>
      <c r="AB4" s="5" t="n">
        <v>2126173998.58</v>
      </c>
      <c r="AC4" s="5" t="n">
        <v>2422119314.4787</v>
      </c>
      <c r="AD4" s="5" t="n">
        <v>2494335831.8172</v>
      </c>
      <c r="AE4" s="5" t="n">
        <v>2359548085.2906</v>
      </c>
      <c r="AF4" s="5" t="n">
        <v>1688436144.1354</v>
      </c>
      <c r="AG4" s="5" t="n">
        <v>2704344656.9408</v>
      </c>
      <c r="AH4" s="5" t="n">
        <v>1809665944.0899</v>
      </c>
      <c r="AI4" s="5" t="n">
        <v>1829730576.1443</v>
      </c>
      <c r="AJ4" s="5" t="n">
        <v>1938581347.4045</v>
      </c>
      <c r="AK4" s="5" t="n">
        <v>1220801966.4954</v>
      </c>
      <c r="AL4" s="5" t="n">
        <v>654738316.8306</v>
      </c>
      <c r="AM4" s="5" t="n">
        <v>472312874.5174</v>
      </c>
      <c r="AN4" s="5" t="n">
        <v>541724638.1255</v>
      </c>
      <c r="AO4" s="5" t="n">
        <v>555617181.8077</v>
      </c>
      <c r="AP4" s="5" t="n">
        <v>490378558.3192</v>
      </c>
      <c r="AQ4" s="5" t="n">
        <v>440263526.8345</v>
      </c>
      <c r="AR4" s="5" t="n">
        <v>784505779.7384</v>
      </c>
      <c r="AS4" s="5" t="n">
        <v>1120331895.2647</v>
      </c>
      <c r="AT4" s="5" t="n">
        <v>1217674990.7416</v>
      </c>
      <c r="AU4" s="5" t="n">
        <v>1045016396.2211</v>
      </c>
      <c r="AV4" s="5" t="n">
        <v>1231672307.5974</v>
      </c>
      <c r="AW4" s="5" t="n">
        <v>1674889726.57</v>
      </c>
      <c r="AX4" s="5"/>
    </row>
    <row r="5">
      <c r="A5" t="str">
        <f>M5</f>
      </c>
      <c r="B5" t="str">
        <f>N5</f>
      </c>
      <c r="M5" t="s">
        <v>58</v>
      </c>
      <c r="N5" t="s">
        <v>59</v>
      </c>
      <c r="O5" s="5"/>
      <c r="P5" s="5"/>
      <c r="Q5" s="5"/>
      <c r="R5" s="5"/>
      <c r="S5" s="5"/>
      <c r="T5" s="5"/>
      <c r="U5" s="5"/>
      <c r="V5" s="5"/>
      <c r="W5" s="5"/>
      <c r="X5" s="5"/>
      <c r="Y5" s="5" t="n">
        <v>3291545650</v>
      </c>
      <c r="Z5" s="5" t="n">
        <v>3143486709</v>
      </c>
      <c r="AA5" s="5" t="n">
        <v>3345169156</v>
      </c>
      <c r="AB5" s="5" t="n">
        <v>5351937141.05</v>
      </c>
      <c r="AC5" s="5" t="n">
        <v>6684892601.61</v>
      </c>
      <c r="AD5" s="5" t="n">
        <v>10414113301.3569</v>
      </c>
      <c r="AE5" s="5" t="n">
        <v>13722589382.0111</v>
      </c>
      <c r="AF5" s="5" t="n">
        <v>13968024141.3283</v>
      </c>
      <c r="AG5" s="5" t="n">
        <v>18056879490.7396</v>
      </c>
      <c r="AH5" s="5" t="n">
        <v>14820879349.2833</v>
      </c>
      <c r="AI5" s="5" t="n">
        <v>19828399352.6762</v>
      </c>
      <c r="AJ5" s="5" t="n">
        <v>26969280878.0824</v>
      </c>
      <c r="AK5" s="5" t="n">
        <v>18077028467.1119</v>
      </c>
      <c r="AL5" s="5" t="n">
        <v>17615332077.3368</v>
      </c>
      <c r="AM5" s="5" t="n">
        <v>14461482018.4858</v>
      </c>
      <c r="AN5" s="5" t="n">
        <v>12601321121.1564</v>
      </c>
      <c r="AO5" s="5" t="n">
        <v>13209086097.471</v>
      </c>
      <c r="AP5" s="5" t="n">
        <v>16602157338.5228</v>
      </c>
      <c r="AQ5" s="5" t="n">
        <v>15728961093.0458</v>
      </c>
      <c r="AR5" s="5" t="n">
        <v>17935551439.9628</v>
      </c>
      <c r="AS5" s="5" t="n">
        <v>18867445497.8901</v>
      </c>
      <c r="AT5" s="5" t="n">
        <v>23346336999.4278</v>
      </c>
      <c r="AU5" s="5" t="n">
        <v>24202437752.744</v>
      </c>
      <c r="AV5" s="5" t="n">
        <v>23736144989.9615</v>
      </c>
      <c r="AW5" s="5" t="n">
        <v>28532797482.55</v>
      </c>
      <c r="AX5" s="5"/>
    </row>
    <row r="6">
      <c r="A6" t="str">
        <f>M6</f>
      </c>
      <c r="B6" t="str">
        <f>N6</f>
      </c>
      <c r="M6" t="s">
        <v>58</v>
      </c>
      <c r="N6" t="s">
        <v>60</v>
      </c>
      <c r="O6" s="5"/>
      <c r="P6" s="5"/>
      <c r="Q6" s="5"/>
      <c r="R6" s="5"/>
      <c r="S6" s="5"/>
      <c r="T6" s="5"/>
      <c r="U6" s="5"/>
      <c r="V6" s="5"/>
      <c r="W6" s="5"/>
      <c r="X6" s="5"/>
      <c r="Y6" s="5" t="n">
        <v>2319508632</v>
      </c>
      <c r="Z6" s="5" t="n">
        <v>3862873021</v>
      </c>
      <c r="AA6" s="5" t="n">
        <v>6716695667</v>
      </c>
      <c r="AB6" s="5" t="n">
        <v>5826683842</v>
      </c>
      <c r="AC6" s="5" t="n">
        <v>6420590775.49</v>
      </c>
      <c r="AD6" s="5" t="n">
        <v>6663817369.9382</v>
      </c>
      <c r="AE6" s="5" t="n">
        <v>6681147280.0875</v>
      </c>
      <c r="AF6" s="5" t="n">
        <v>4732921597.2025</v>
      </c>
      <c r="AG6" s="5" t="n">
        <v>4721726624.2396</v>
      </c>
      <c r="AH6" s="5" t="n">
        <v>8546751672.1361</v>
      </c>
      <c r="AI6" s="5" t="n">
        <v>12943793441.7904</v>
      </c>
      <c r="AJ6" s="5" t="n">
        <v>23517330173.7729</v>
      </c>
      <c r="AK6" s="5" t="n">
        <v>24143140491.499</v>
      </c>
      <c r="AL6" s="5" t="n">
        <v>28161849751.9937</v>
      </c>
      <c r="AM6" s="5" t="n">
        <v>23486898520.3541</v>
      </c>
      <c r="AN6" s="5" t="n">
        <v>24974244313.7798</v>
      </c>
      <c r="AO6" s="5" t="n">
        <v>24565223200.942</v>
      </c>
      <c r="AP6" s="5" t="n">
        <v>19926671669.1148</v>
      </c>
      <c r="AQ6" s="5" t="n">
        <v>35369351064.3003</v>
      </c>
      <c r="AR6" s="5" t="n">
        <v>44571508294.1472</v>
      </c>
      <c r="AS6" s="5" t="n">
        <v>40847400896.9524</v>
      </c>
      <c r="AT6" s="5" t="n">
        <v>30275234223.2911</v>
      </c>
      <c r="AU6" s="5" t="n">
        <v>31600710295.201</v>
      </c>
      <c r="AV6" s="5" t="n">
        <v>54347517240.636</v>
      </c>
      <c r="AW6" s="5" t="n">
        <v>29096990570.6</v>
      </c>
      <c r="AX6" s="5"/>
    </row>
    <row r="7">
      <c r="A7" t="str">
        <f>M7</f>
      </c>
      <c r="B7" t="str">
        <f>N7</f>
      </c>
      <c r="M7" t="s">
        <v>61</v>
      </c>
      <c r="N7" t="s">
        <v>62</v>
      </c>
      <c r="O7" s="5"/>
      <c r="P7" s="5"/>
      <c r="Q7" s="5"/>
      <c r="R7" s="5"/>
      <c r="S7" s="5"/>
      <c r="T7" s="5"/>
      <c r="U7" s="5"/>
      <c r="V7" s="5"/>
      <c r="W7" s="5"/>
      <c r="X7" s="5"/>
      <c r="Y7" s="5" t="n">
        <v>33923574153.8018</v>
      </c>
      <c r="Z7" s="5" t="n">
        <v>37082616732.5682</v>
      </c>
      <c r="AA7" s="5" t="n">
        <v>41094385089.2003</v>
      </c>
      <c r="AB7" s="5" t="n">
        <v>51899640529.7878</v>
      </c>
      <c r="AC7" s="5" t="n">
        <v>61338691864.7592</v>
      </c>
      <c r="AD7" s="5" t="n">
        <v>63248753981.3984</v>
      </c>
      <c r="AE7" s="5" t="n">
        <v>68417078947.989</v>
      </c>
      <c r="AF7" s="5" t="n">
        <v>67886464978.9324</v>
      </c>
      <c r="AG7" s="5" t="n">
        <v>68195497229.5496</v>
      </c>
      <c r="AH7" s="5" t="n">
        <v>73116878071.4808</v>
      </c>
      <c r="AI7" s="5" t="n">
        <v>78737229887.1436</v>
      </c>
      <c r="AJ7" s="5" t="n">
        <v>82973865635.6812</v>
      </c>
      <c r="AK7" s="5" t="n">
        <v>79353388215.7327</v>
      </c>
      <c r="AL7" s="5" t="n">
        <v>74840004095.2775</v>
      </c>
      <c r="AM7" s="5" t="n">
        <v>75370128901.0737</v>
      </c>
      <c r="AN7" s="5" t="n">
        <v>73951921579.6607</v>
      </c>
      <c r="AO7" s="5" t="n">
        <v>72437343715.4981</v>
      </c>
      <c r="AP7" s="5" t="n">
        <v>77152941104.441</v>
      </c>
      <c r="AQ7" s="5" t="n">
        <v>74458064197.8283</v>
      </c>
      <c r="AR7" s="5" t="n">
        <v>81481014952.3075</v>
      </c>
      <c r="AS7" s="5" t="n">
        <v>81204255963.2088</v>
      </c>
      <c r="AT7" s="5" t="n">
        <v>82593624514.5921</v>
      </c>
      <c r="AU7" s="5" t="n">
        <v>87678852342.816</v>
      </c>
      <c r="AV7" s="5" t="n">
        <v>93248680100.8503</v>
      </c>
      <c r="AW7" s="5" t="n">
        <v>100393087198.87</v>
      </c>
      <c r="AX7" s="5"/>
    </row>
    <row r="8">
      <c r="A8" t="str">
        <f>M8</f>
      </c>
      <c r="B8" t="str">
        <f>N8</f>
      </c>
      <c r="M8" t="s">
        <v>61</v>
      </c>
      <c r="N8" t="s">
        <v>63</v>
      </c>
      <c r="O8" s="5"/>
      <c r="P8" s="5"/>
      <c r="Q8" s="5"/>
      <c r="R8" s="5"/>
      <c r="S8" s="5"/>
      <c r="T8" s="5"/>
      <c r="U8" s="5"/>
      <c r="V8" s="5"/>
      <c r="W8" s="5"/>
      <c r="X8" s="5"/>
      <c r="Y8" s="5" t="n">
        <v>5171873907.0695</v>
      </c>
      <c r="Z8" s="5" t="n">
        <v>4864881903.9802</v>
      </c>
      <c r="AA8" s="5" t="n">
        <v>6141425431.5808</v>
      </c>
      <c r="AB8" s="5" t="n">
        <v>8168326712.3567</v>
      </c>
      <c r="AC8" s="5" t="n">
        <v>9868043371.4774</v>
      </c>
      <c r="AD8" s="5" t="n">
        <v>11498663297.6905</v>
      </c>
      <c r="AE8" s="5" t="n">
        <v>14175256682.9303</v>
      </c>
      <c r="AF8" s="5" t="n">
        <v>15507929106.4192</v>
      </c>
      <c r="AG8" s="5" t="n">
        <v>17351555639.3725</v>
      </c>
      <c r="AH8" s="5" t="n">
        <v>16371231518.8311</v>
      </c>
      <c r="AI8" s="5" t="n">
        <v>16070266192.7763</v>
      </c>
      <c r="AJ8" s="5" t="n">
        <v>11392985702.5436</v>
      </c>
      <c r="AK8" s="5" t="n">
        <v>8343721909.8577</v>
      </c>
      <c r="AL8" s="5" t="n">
        <v>4941324200.1482</v>
      </c>
      <c r="AM8" s="5" t="n">
        <v>2989748396.1557</v>
      </c>
      <c r="AN8" s="5" t="n">
        <v>2594164919.7514</v>
      </c>
      <c r="AO8" s="5" t="n">
        <v>2878470209.757</v>
      </c>
      <c r="AP8" s="5" t="n">
        <v>3157863136.3186</v>
      </c>
      <c r="AQ8" s="5" t="n">
        <v>4603543026.0793</v>
      </c>
      <c r="AR8" s="5" t="n">
        <v>4274862144.6913</v>
      </c>
      <c r="AS8" s="5" t="n">
        <v>4355505138.7022</v>
      </c>
      <c r="AT8" s="5" t="n">
        <v>3787805557.1531</v>
      </c>
      <c r="AU8" s="5" t="n">
        <v>3768786244.3028</v>
      </c>
      <c r="AV8" s="5" t="n">
        <v>4907687338.1557</v>
      </c>
      <c r="AW8" s="5" t="n">
        <v>5527023886.1</v>
      </c>
      <c r="AX8" s="5"/>
    </row>
    <row r="9">
      <c r="A9" t="str">
        <f>M9</f>
      </c>
      <c r="B9" t="str">
        <f>N9</f>
      </c>
      <c r="M9" t="s">
        <v>64</v>
      </c>
      <c r="N9" t="s">
        <v>65</v>
      </c>
      <c r="O9" s="5"/>
      <c r="P9" s="5"/>
      <c r="Q9" s="5"/>
      <c r="R9" s="5"/>
      <c r="S9" s="5"/>
      <c r="T9" s="5"/>
      <c r="U9" s="5"/>
      <c r="V9" s="5"/>
      <c r="W9" s="5"/>
      <c r="X9" s="5"/>
      <c r="Y9" s="5" t="n">
        <v>5224643.8135</v>
      </c>
      <c r="Z9" s="5" t="n">
        <v>206279071.1</v>
      </c>
      <c r="AA9" s="5" t="n">
        <v>65968128.7305</v>
      </c>
      <c r="AB9" s="5" t="n">
        <v>202574519.3575</v>
      </c>
      <c r="AC9" s="5" t="n">
        <v>495140498.2077</v>
      </c>
      <c r="AD9" s="5" t="n">
        <v>1041052980.9954</v>
      </c>
      <c r="AE9" s="5" t="n">
        <v>3813647653.7202</v>
      </c>
      <c r="AF9" s="5" t="n">
        <v>18970921950.2802</v>
      </c>
      <c r="AG9" s="5" t="n">
        <v>27068236392.5027</v>
      </c>
      <c r="AH9" s="5" t="n">
        <v>33825821881.1283</v>
      </c>
      <c r="AI9" s="5" t="n">
        <v>568243791.9806</v>
      </c>
      <c r="AJ9" s="5" t="n">
        <v>236279895.5134</v>
      </c>
      <c r="AK9" s="5" t="n">
        <v>-2993690.9378</v>
      </c>
      <c r="AL9" s="5" t="n">
        <v>-28841006.2989</v>
      </c>
      <c r="AM9" s="5" t="n">
        <v>-28331004.3713</v>
      </c>
      <c r="AN9" s="5" t="n">
        <v>186433.53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62886.3819</v>
      </c>
      <c r="AT9" s="5" t="n">
        <v>0</v>
      </c>
      <c r="AU9" s="5" t="n">
        <v>467462</v>
      </c>
      <c r="AV9" s="5"/>
      <c r="AW9" s="5" t="n">
        <v>0</v>
      </c>
      <c r="AX9" s="5"/>
    </row>
    <row r="10">
      <c r="A10" t="str">
        <f>M10</f>
      </c>
      <c r="B10" t="str">
        <f>N10</f>
      </c>
      <c r="M10" t="s">
        <v>64</v>
      </c>
      <c r="N10" t="s">
        <v>66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 t="n">
        <v>9177040538</v>
      </c>
      <c r="Z10" s="5" t="n">
        <v>10460196173.875</v>
      </c>
      <c r="AA10" s="5" t="n">
        <v>9441916441.72</v>
      </c>
      <c r="AB10" s="5" t="n">
        <v>10235455587.1225</v>
      </c>
      <c r="AC10" s="5" t="n">
        <v>11966493373.1891</v>
      </c>
      <c r="AD10" s="5" t="n">
        <v>12763119292.3131</v>
      </c>
      <c r="AE10" s="5" t="n">
        <v>16140443560.881</v>
      </c>
      <c r="AF10" s="5" t="n">
        <v>20400039840.0291</v>
      </c>
      <c r="AG10" s="5" t="n">
        <v>17378053458.7427</v>
      </c>
      <c r="AH10" s="5" t="n">
        <v>16622753232.4096</v>
      </c>
      <c r="AI10" s="5" t="n">
        <v>23392371164.3383</v>
      </c>
      <c r="AJ10" s="5" t="n">
        <v>14851064502.5036</v>
      </c>
      <c r="AK10" s="5" t="n">
        <v>23337931129.3426</v>
      </c>
      <c r="AL10" s="5" t="n">
        <v>16367850469.2403</v>
      </c>
      <c r="AM10" s="5" t="n">
        <v>8248826567.2416</v>
      </c>
      <c r="AN10" s="5" t="n">
        <v>8437264592.828</v>
      </c>
      <c r="AO10" s="5" t="n">
        <v>25697143392.6293</v>
      </c>
      <c r="AP10" s="5" t="n">
        <v>37516349527.2804</v>
      </c>
      <c r="AQ10" s="5" t="n">
        <v>38635685339.2009</v>
      </c>
      <c r="AR10" s="5" t="n">
        <v>31718734719.2681</v>
      </c>
      <c r="AS10" s="5" t="n">
        <v>52655095356.1555</v>
      </c>
      <c r="AT10" s="5" t="n">
        <v>23555050162.1593</v>
      </c>
      <c r="AU10" s="5" t="n">
        <v>27401777057.6908</v>
      </c>
      <c r="AV10" s="5" t="n">
        <v>32842452842.2362</v>
      </c>
      <c r="AW10" s="5" t="n">
        <v>39062361238.13</v>
      </c>
      <c r="AX10" s="5"/>
    </row>
    <row r="11">
      <c r="A11" t="str">
        <f>M11</f>
      </c>
      <c r="B11" t="str">
        <f>N11</f>
      </c>
      <c r="M11" t="s">
        <v>64</v>
      </c>
      <c r="N11"/>
      <c r="O11" s="5" t="n">
        <v>120350129405</v>
      </c>
      <c r="P11" s="5" t="n">
        <v>136154193844</v>
      </c>
      <c r="Q11" s="5" t="n">
        <v>123406660550</v>
      </c>
      <c r="R11" s="5" t="n">
        <v>121373382142</v>
      </c>
      <c r="S11" s="5" t="n">
        <v>117161902725</v>
      </c>
      <c r="T11" s="5" t="n">
        <v>116592014868</v>
      </c>
      <c r="U11" s="5" t="n">
        <v>118448779098</v>
      </c>
      <c r="V11" s="5" t="n">
        <v>115982151879</v>
      </c>
      <c r="W11" s="5" t="n">
        <v>116965882167</v>
      </c>
      <c r="X11" s="5" t="n">
        <v>122185036488</v>
      </c>
      <c r="Y11" s="5" t="n">
        <v>12269320222.3246</v>
      </c>
      <c r="Z11" s="5" t="n">
        <v>6418404492.7689</v>
      </c>
      <c r="AA11" s="5" t="n">
        <v>8509751051.353</v>
      </c>
      <c r="AB11" s="5" t="n">
        <v>9084827512.3353</v>
      </c>
      <c r="AC11" s="5" t="n">
        <v>9270196138.4963</v>
      </c>
      <c r="AD11" s="5" t="n">
        <v>7410610517.917</v>
      </c>
      <c r="AE11" s="5" t="n">
        <v>4712411702.288</v>
      </c>
      <c r="AF11" s="5" t="n">
        <v>819783949.6251</v>
      </c>
      <c r="AG11" s="5" t="n">
        <v>6132864553.4893</v>
      </c>
      <c r="AH11" s="5" t="n">
        <v>3311213973.5083</v>
      </c>
      <c r="AI11" s="5" t="n">
        <v>1159366817.6825</v>
      </c>
      <c r="AJ11" s="5" t="n">
        <v>1614694289.8918</v>
      </c>
      <c r="AK11" s="5" t="n">
        <v>3751512010.253</v>
      </c>
      <c r="AL11" s="5" t="n">
        <v>681354123.8563</v>
      </c>
      <c r="AM11" s="5" t="n">
        <v>821937209.9831</v>
      </c>
      <c r="AN11" s="5" t="n">
        <v>711366612.2216</v>
      </c>
      <c r="AO11" s="5" t="n">
        <v>727361939.5339</v>
      </c>
      <c r="AP11" s="5" t="n">
        <v>1145151354.4828</v>
      </c>
      <c r="AQ11" s="5" t="n">
        <v>20204.7109</v>
      </c>
      <c r="AR11" s="5" t="n">
        <v>50903.5586</v>
      </c>
      <c r="AS11" s="5" t="n">
        <v>10000</v>
      </c>
      <c r="AT11" s="5" t="n">
        <v>10000</v>
      </c>
      <c r="AU11" s="5" t="n">
        <v>0</v>
      </c>
      <c r="AV11" s="5" t="n">
        <v>-29324.9492</v>
      </c>
      <c r="AW11" s="5" t="n">
        <v>10000</v>
      </c>
      <c r="AX11" s="5"/>
    </row>
    <row r="12">
      <c r="A12" t="str">
        <f>M12</f>
      </c>
      <c r="B12" t="str">
        <f>N12</f>
      </c>
      <c r="M12" t="s">
        <v>20</v>
      </c>
      <c r="N12" t="s">
        <v>21</v>
      </c>
      <c r="O12" s="5" t="str">
        <f>Sum(O2:O11)</f>
      </c>
      <c r="P12" s="5" t="str">
        <f>Sum(P2:P11)</f>
      </c>
      <c r="Q12" s="5" t="str">
        <f>Sum(Q2:Q11)</f>
      </c>
      <c r="R12" s="5" t="str">
        <f>Sum(R2:R11)</f>
      </c>
      <c r="S12" s="5" t="str">
        <f>Sum(S2:S11)</f>
      </c>
      <c r="T12" s="5" t="str">
        <f>Sum(T2:T11)</f>
      </c>
      <c r="U12" s="5" t="str">
        <f>Sum(U2:U11)</f>
      </c>
      <c r="V12" s="5" t="str">
        <f>Sum(V2:V11)</f>
      </c>
      <c r="W12" s="5" t="str">
        <f>Sum(W2:W11)</f>
      </c>
      <c r="X12" s="5" t="str">
        <f>Sum(X2:X11)</f>
      </c>
      <c r="Y12" s="5" t="str">
        <f>Sum(Y2:Y11)</f>
      </c>
      <c r="Z12" s="5" t="str">
        <f>Sum(Z2:Z11)</f>
      </c>
      <c r="AA12" s="5" t="str">
        <f>Sum(AA2:AA11)</f>
      </c>
      <c r="AB12" s="5" t="str">
        <f>Sum(AB2:AB11)</f>
      </c>
      <c r="AC12" s="5" t="str">
        <f>Sum(AC2:AC11)</f>
      </c>
      <c r="AD12" s="5" t="str">
        <f>Sum(AD2:AD11)</f>
      </c>
      <c r="AE12" s="5" t="str">
        <f>Sum(AE2:AE11)</f>
      </c>
      <c r="AF12" s="5" t="str">
        <f>Sum(AF2:AF11)</f>
      </c>
      <c r="AG12" s="5" t="str">
        <f>Sum(AG2:AG11)</f>
      </c>
      <c r="AH12" s="5" t="str">
        <f>Sum(AH2:AH11)</f>
      </c>
      <c r="AI12" s="5" t="str">
        <f>Sum(AI2:AI11)</f>
      </c>
      <c r="AJ12" s="5" t="str">
        <f>Sum(AJ2:AJ11)</f>
      </c>
      <c r="AK12" s="5" t="str">
        <f>Sum(AK2:AK11)</f>
      </c>
      <c r="AL12" s="5" t="str">
        <f>Sum(AL2:AL11)</f>
      </c>
      <c r="AM12" s="5" t="str">
        <f>Sum(AM2:AM11)</f>
      </c>
      <c r="AN12" s="5" t="str">
        <f>Sum(AN2:AN11)</f>
      </c>
      <c r="AO12" s="5" t="str">
        <f>Sum(AO2:AO11)</f>
      </c>
      <c r="AP12" s="5" t="str">
        <f>Sum(AP2:AP11)</f>
      </c>
      <c r="AQ12" s="5" t="str">
        <f>Sum(AQ2:AQ11)</f>
      </c>
      <c r="AR12" s="5" t="str">
        <f>Sum(AR2:AR11)</f>
      </c>
      <c r="AS12" s="5" t="str">
        <f>Sum(AS2:AS11)</f>
      </c>
      <c r="AT12" s="5" t="str">
        <f>Sum(AT2:AT11)</f>
      </c>
      <c r="AU12" s="5" t="str">
        <f>Sum(AU2:AU11)</f>
      </c>
      <c r="AV12" s="5" t="str">
        <f>Sum(AV2:AV11)</f>
      </c>
      <c r="AW12" s="5" t="str">
        <f>Sum(AW2:AW11)</f>
      </c>
      <c r="AX12" s="5"/>
    </row>
    <row r="15">
      <c r="A15" t="str">
        <f>M15</f>
      </c>
      <c r="B15" t="str">
        <f>N15</f>
      </c>
      <c r="C15" t="str">
        <f>AS15</f>
      </c>
      <c r="D15" t="str">
        <f>AV15</f>
      </c>
      <c r="E15" t="str">
        <f>AW15</f>
      </c>
      <c r="F15" t="str">
        <f>AX15</f>
      </c>
      <c r="G15" t="str">
        <f>AV15&amp;"-"&amp;AW15</f>
      </c>
      <c r="H15" t="str">
        <f>AS15&amp;"-"&amp;AW15</f>
      </c>
      <c r="I15" t="str">
        <f>AX15&amp;"/"&amp;AW15</f>
      </c>
      <c r="J15" t="str">
        <f>"Share "&amp;AW15</f>
      </c>
      <c r="K15" t="str">
        <f>"Share "&amp;AX15</f>
      </c>
      <c r="M15" t="s">
        <v>52</v>
      </c>
      <c r="N15" t="s">
        <v>53</v>
      </c>
      <c r="O15" t="s">
        <v>23</v>
      </c>
      <c r="P15" t="s">
        <v>24</v>
      </c>
      <c r="Q15" t="s">
        <v>25</v>
      </c>
      <c r="R15" t="s">
        <v>26</v>
      </c>
      <c r="S15" t="s">
        <v>27</v>
      </c>
      <c r="T15" t="s">
        <v>28</v>
      </c>
      <c r="U15" t="s">
        <v>29</v>
      </c>
      <c r="V15" t="s">
        <v>30</v>
      </c>
      <c r="W15" t="s">
        <v>31</v>
      </c>
      <c r="X15" t="s">
        <v>32</v>
      </c>
      <c r="Y15" t="s">
        <v>33</v>
      </c>
      <c r="Z15" t="s">
        <v>34</v>
      </c>
      <c r="AA15" t="s">
        <v>35</v>
      </c>
      <c r="AB15" t="s">
        <v>36</v>
      </c>
      <c r="AC15" t="s">
        <v>37</v>
      </c>
      <c r="AD15" t="s">
        <v>38</v>
      </c>
      <c r="AE15" t="s">
        <v>39</v>
      </c>
      <c r="AF15" t="s">
        <v>40</v>
      </c>
      <c r="AG15" t="s">
        <v>41</v>
      </c>
      <c r="AH15" t="s">
        <v>42</v>
      </c>
      <c r="AI15" t="s">
        <v>43</v>
      </c>
      <c r="AJ15" t="s">
        <v>44</v>
      </c>
      <c r="AK15" t="s">
        <v>45</v>
      </c>
      <c r="AL15" t="s">
        <v>46</v>
      </c>
      <c r="AM15" t="s">
        <v>47</v>
      </c>
      <c r="AN15" t="s">
        <v>2</v>
      </c>
      <c r="AO15" t="s">
        <v>3</v>
      </c>
      <c r="AP15" t="s">
        <v>4</v>
      </c>
      <c r="AQ15" t="s">
        <v>5</v>
      </c>
      <c r="AR15" t="s">
        <v>6</v>
      </c>
      <c r="AS15" t="s">
        <v>7</v>
      </c>
      <c r="AT15" t="s">
        <v>8</v>
      </c>
      <c r="AU15" t="s">
        <v>9</v>
      </c>
      <c r="AV15" t="s">
        <v>10</v>
      </c>
      <c r="AW15" t="s">
        <v>51</v>
      </c>
    </row>
    <row r="16">
      <c r="A16" t="str">
        <f>M16</f>
      </c>
      <c r="B16" t="str">
        <f>N16</f>
      </c>
      <c r="C16" s="5" t="str">
        <f>AS16</f>
      </c>
      <c r="D16" s="5" t="str">
        <f>AV16</f>
      </c>
      <c r="E16" s="5" t="str">
        <f>AW16</f>
      </c>
      <c r="F16" s="5" t="str">
        <f>AX16</f>
      </c>
      <c r="G16" s="2" t="str">
        <f>AW16/AV16-1</f>
      </c>
      <c r="H16" s="2" t="str">
        <f>AW16/AS16-1</f>
      </c>
      <c r="I16" s="2" t="str">
        <f>AX16/AW16</f>
      </c>
      <c r="J16" s="2" t="str">
        <f>AW16/Sum(AW$15:AW$25)</f>
      </c>
      <c r="K16" s="2" t="str">
        <f>AX16/Sum(AX15:AX$25)</f>
      </c>
      <c r="M16" t="s">
        <v>54</v>
      </c>
      <c r="N16" t="s">
        <v>55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 t="n">
        <v>99492846134.6049</v>
      </c>
      <c r="Z16" s="5" t="n">
        <v>111662179343.426</v>
      </c>
      <c r="AA16" s="5" t="n">
        <v>136020508440.748</v>
      </c>
      <c r="AB16" s="5" t="n">
        <v>173126078034.363</v>
      </c>
      <c r="AC16" s="5" t="n">
        <v>170122319818.576</v>
      </c>
      <c r="AD16" s="5" t="n">
        <v>192343869053.366</v>
      </c>
      <c r="AE16" s="5" t="n">
        <v>211882331398.365</v>
      </c>
      <c r="AF16" s="5" t="n">
        <v>236222162752.406</v>
      </c>
      <c r="AG16" s="5" t="n">
        <v>268639445187.611</v>
      </c>
      <c r="AH16" s="5" t="n">
        <v>240157851926.169</v>
      </c>
      <c r="AI16" s="5" t="n">
        <v>259984002918.056</v>
      </c>
      <c r="AJ16" s="5" t="n">
        <v>247467219596.929</v>
      </c>
      <c r="AK16" s="5" t="n">
        <v>226017455664.798</v>
      </c>
      <c r="AL16" s="5" t="n">
        <v>188825337547.636</v>
      </c>
      <c r="AM16" s="5" t="n">
        <v>184279332054.837</v>
      </c>
      <c r="AN16" s="5" t="n">
        <v>176967438178.975</v>
      </c>
      <c r="AO16" s="5" t="n">
        <v>187531971552.558</v>
      </c>
      <c r="AP16" s="5" t="n">
        <v>191231821939.445</v>
      </c>
      <c r="AQ16" s="5" t="n">
        <v>213890833618.391</v>
      </c>
      <c r="AR16" s="5" t="n">
        <v>226833952643.423</v>
      </c>
      <c r="AS16" s="5" t="n">
        <v>248629349244.482</v>
      </c>
      <c r="AT16" s="5" t="n">
        <v>237836959524.222</v>
      </c>
      <c r="AU16" s="5" t="n">
        <v>231405027838.097</v>
      </c>
      <c r="AV16" s="5" t="n">
        <v>229155776069.99</v>
      </c>
      <c r="AW16" s="5" t="n">
        <v>217527919786.283</v>
      </c>
      <c r="AX16" s="5"/>
    </row>
    <row r="17">
      <c r="A17" t="str">
        <f>M17</f>
      </c>
      <c r="B17" t="str">
        <f>N17</f>
      </c>
      <c r="C17" s="5" t="str">
        <f>AS17</f>
      </c>
      <c r="D17" s="5" t="str">
        <f>AV17</f>
      </c>
      <c r="E17" s="5" t="str">
        <f>AW17</f>
      </c>
      <c r="F17" s="5" t="str">
        <f>AX17</f>
      </c>
      <c r="G17" s="2" t="str">
        <f>AW17/AV17-1</f>
      </c>
      <c r="H17" s="2" t="str">
        <f>AW17/AS17-1</f>
      </c>
      <c r="I17" s="2" t="str">
        <f>AX17/AW17</f>
      </c>
      <c r="J17" s="2" t="str">
        <f>AW17/Sum(AW$15:AW$25)</f>
      </c>
      <c r="K17" s="2" t="str">
        <f>AX17/Sum(AX15:AX$25)</f>
      </c>
      <c r="M17" t="s">
        <v>54</v>
      </c>
      <c r="N17" t="s">
        <v>56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 t="n">
        <v>9863413661.2718</v>
      </c>
      <c r="Z17" s="5" t="n">
        <v>13713864451.9095</v>
      </c>
      <c r="AA17" s="5" t="n">
        <v>13846410171.7735</v>
      </c>
      <c r="AB17" s="5" t="n">
        <v>14977255435.5173</v>
      </c>
      <c r="AC17" s="5" t="n">
        <v>17631870811.4125</v>
      </c>
      <c r="AD17" s="5" t="n">
        <v>33156013723.7303</v>
      </c>
      <c r="AE17" s="5" t="n">
        <v>28363332982.3688</v>
      </c>
      <c r="AF17" s="5" t="n">
        <v>24539151771.1166</v>
      </c>
      <c r="AG17" s="5" t="n">
        <v>31478447495.7358</v>
      </c>
      <c r="AH17" s="5" t="n">
        <v>33370208437.013</v>
      </c>
      <c r="AI17" s="5" t="n">
        <v>23367233101.6504</v>
      </c>
      <c r="AJ17" s="5" t="n">
        <v>26175578966.1467</v>
      </c>
      <c r="AK17" s="5" t="n">
        <v>35538914515.196</v>
      </c>
      <c r="AL17" s="5" t="n">
        <v>23564363809.6933</v>
      </c>
      <c r="AM17" s="5" t="n">
        <v>14990252118.2584</v>
      </c>
      <c r="AN17" s="5" t="n">
        <v>11235130519.0313</v>
      </c>
      <c r="AO17" s="5" t="n">
        <v>9158533073.66965</v>
      </c>
      <c r="AP17" s="5" t="n">
        <v>11237830781.213</v>
      </c>
      <c r="AQ17" s="5" t="n">
        <v>12520499886.2959</v>
      </c>
      <c r="AR17" s="5" t="n">
        <v>11431066234.3928</v>
      </c>
      <c r="AS17" s="5" t="n">
        <v>10276105861.5983</v>
      </c>
      <c r="AT17" s="5" t="n">
        <v>11592370968.9547</v>
      </c>
      <c r="AU17" s="5" t="n">
        <v>18317055457.9075</v>
      </c>
      <c r="AV17" s="5" t="n">
        <v>16776830306.481</v>
      </c>
      <c r="AW17" s="5" t="n">
        <v>16966395503.3249</v>
      </c>
      <c r="AX17" s="5"/>
    </row>
    <row r="18">
      <c r="A18" t="str">
        <f>M18</f>
      </c>
      <c r="B18" t="str">
        <f>N18</f>
      </c>
      <c r="C18" s="5" t="str">
        <f>AS18</f>
      </c>
      <c r="D18" s="5" t="str">
        <f>AV18</f>
      </c>
      <c r="E18" s="5" t="str">
        <f>AW18</f>
      </c>
      <c r="F18" s="5" t="str">
        <f>AX18</f>
      </c>
      <c r="G18" s="2" t="str">
        <f>AW18/AV18-1</f>
      </c>
      <c r="H18" s="2" t="str">
        <f>AW18/AS18-1</f>
      </c>
      <c r="I18" s="2" t="str">
        <f>AX18/AW18</f>
      </c>
      <c r="J18" s="2" t="str">
        <f>AW18/Sum(AW$15:AW$25)</f>
      </c>
      <c r="K18" s="2" t="str">
        <f>AX18/Sum(AX15:AX$25)</f>
      </c>
      <c r="M18" t="s">
        <v>54</v>
      </c>
      <c r="N18" t="s">
        <v>57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 t="n">
        <v>1635477886.47313</v>
      </c>
      <c r="Z18" s="5" t="n">
        <v>2578167591.81643</v>
      </c>
      <c r="AA18" s="5" t="n">
        <v>2834038617.46666</v>
      </c>
      <c r="AB18" s="5" t="n">
        <v>3371113908.85382</v>
      </c>
      <c r="AC18" s="5" t="n">
        <v>3748803153.68627</v>
      </c>
      <c r="AD18" s="5" t="n">
        <v>3746567923.6431</v>
      </c>
      <c r="AE18" s="5" t="n">
        <v>3432606776.97638</v>
      </c>
      <c r="AF18" s="5" t="n">
        <v>2390482488.56353</v>
      </c>
      <c r="AG18" s="5" t="n">
        <v>3750930032.25946</v>
      </c>
      <c r="AH18" s="5" t="n">
        <v>2484601525.90781</v>
      </c>
      <c r="AI18" s="5" t="n">
        <v>2490579965.96866</v>
      </c>
      <c r="AJ18" s="5" t="n">
        <v>2586823625.15413</v>
      </c>
      <c r="AK18" s="5" t="n">
        <v>1599992442.63686</v>
      </c>
      <c r="AL18" s="5" t="n">
        <v>842812467.659801</v>
      </c>
      <c r="AM18" s="5" t="n">
        <v>597092301.092001</v>
      </c>
      <c r="AN18" s="5" t="n">
        <v>677822125.613794</v>
      </c>
      <c r="AO18" s="5" t="n">
        <v>689690760.751214</v>
      </c>
      <c r="AP18" s="5" t="n">
        <v>598605106.255239</v>
      </c>
      <c r="AQ18" s="5" t="n">
        <v>525757862.476511</v>
      </c>
      <c r="AR18" s="5" t="n">
        <v>919840750.859922</v>
      </c>
      <c r="AS18" s="5" t="n">
        <v>1296661746.79702</v>
      </c>
      <c r="AT18" s="5" t="n">
        <v>1362434336.56837</v>
      </c>
      <c r="AU18" s="5" t="n">
        <v>1092822337.77335</v>
      </c>
      <c r="AV18" s="5" t="n">
        <v>1231672307.5974</v>
      </c>
      <c r="AW18" s="5" t="n">
        <v>1631323617.61389</v>
      </c>
      <c r="AX18" s="5"/>
    </row>
    <row r="19">
      <c r="A19" t="str">
        <f>M19</f>
      </c>
      <c r="B19" t="str">
        <f>N19</f>
      </c>
      <c r="C19" s="5" t="str">
        <f>AS19</f>
      </c>
      <c r="D19" s="5" t="str">
        <f>AV19</f>
      </c>
      <c r="E19" s="5" t="str">
        <f>AW19</f>
      </c>
      <c r="F19" s="5" t="str">
        <f>AX19</f>
      </c>
      <c r="G19" s="2" t="str">
        <f>AW19/AV19-1</f>
      </c>
      <c r="H19" s="2" t="str">
        <f>AW19/AS19-1</f>
      </c>
      <c r="I19" s="2" t="str">
        <f>AX19/AW19</f>
      </c>
      <c r="J19" s="2" t="str">
        <f>AW19/Sum(AW$15:AW$25)</f>
      </c>
      <c r="K19" s="2" t="str">
        <f>AX19/Sum(AX15:AX$25)</f>
      </c>
      <c r="M19" t="s">
        <v>58</v>
      </c>
      <c r="N19" t="s">
        <v>59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 t="n">
        <v>5533658963.28193</v>
      </c>
      <c r="Z19" s="5" t="n">
        <v>5159680279.02277</v>
      </c>
      <c r="AA19" s="5" t="n">
        <v>5405676449.56396</v>
      </c>
      <c r="AB19" s="5" t="n">
        <v>8485660038.90305</v>
      </c>
      <c r="AC19" s="5" t="n">
        <v>10346454163.9903</v>
      </c>
      <c r="AD19" s="5" t="n">
        <v>15642313416.8038</v>
      </c>
      <c r="AE19" s="5" t="n">
        <v>19963252117.6419</v>
      </c>
      <c r="AF19" s="5" t="n">
        <v>19775883870.797</v>
      </c>
      <c r="AG19" s="5" t="n">
        <v>25044918515.4242</v>
      </c>
      <c r="AH19" s="5" t="n">
        <v>20348495570.0175</v>
      </c>
      <c r="AI19" s="5" t="n">
        <v>26989883007.2929</v>
      </c>
      <c r="AJ19" s="5" t="n">
        <v>35987539559.4035</v>
      </c>
      <c r="AK19" s="5" t="n">
        <v>23691892482.563</v>
      </c>
      <c r="AL19" s="5" t="n">
        <v>22675351533.7461</v>
      </c>
      <c r="AM19" s="5" t="n">
        <v>18282033036.7687</v>
      </c>
      <c r="AN19" s="5" t="n">
        <v>15767151181.1605</v>
      </c>
      <c r="AO19" s="5" t="n">
        <v>16396513530.6887</v>
      </c>
      <c r="AP19" s="5" t="n">
        <v>20266253467.0279</v>
      </c>
      <c r="AQ19" s="5" t="n">
        <v>18783352376.9608</v>
      </c>
      <c r="AR19" s="5" t="n">
        <v>21029610653.8864</v>
      </c>
      <c r="AS19" s="5" t="n">
        <v>21837006462.3676</v>
      </c>
      <c r="AT19" s="5" t="n">
        <v>26121790628.0107</v>
      </c>
      <c r="AU19" s="5" t="n">
        <v>25309616863.8217</v>
      </c>
      <c r="AV19" s="5" t="n">
        <v>23736144989.9615</v>
      </c>
      <c r="AW19" s="5" t="n">
        <v>27790621478.824</v>
      </c>
      <c r="AX19" s="5"/>
    </row>
    <row r="20">
      <c r="A20" t="str">
        <f>M20</f>
      </c>
      <c r="B20" t="str">
        <f>N20</f>
      </c>
      <c r="C20" s="5" t="str">
        <f>AS20</f>
      </c>
      <c r="D20" s="5" t="str">
        <f>AV20</f>
      </c>
      <c r="E20" s="5" t="str">
        <f>AW20</f>
      </c>
      <c r="F20" s="5" t="str">
        <f>AX20</f>
      </c>
      <c r="G20" s="2" t="str">
        <f>AW20/AV20-1</f>
      </c>
      <c r="H20" s="2" t="str">
        <f>AW20/AS20-1</f>
      </c>
      <c r="I20" s="2" t="str">
        <f>AX20/AW20</f>
      </c>
      <c r="J20" s="2" t="str">
        <f>AW20/Sum(AW$15:AW$25)</f>
      </c>
      <c r="K20" s="2" t="str">
        <f>AX20/Sum(AX15:AX$25)</f>
      </c>
      <c r="M20" t="s">
        <v>58</v>
      </c>
      <c r="N20" t="s">
        <v>60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 t="n">
        <v>3899496193.18712</v>
      </c>
      <c r="Z20" s="5" t="n">
        <v>6340472090.99328</v>
      </c>
      <c r="AA20" s="5" t="n">
        <v>10853945463.6745</v>
      </c>
      <c r="AB20" s="5" t="n">
        <v>9238385454.51997</v>
      </c>
      <c r="AC20" s="5" t="n">
        <v>9937384506.12464</v>
      </c>
      <c r="AD20" s="5" t="n">
        <v>10009255405.2905</v>
      </c>
      <c r="AE20" s="5" t="n">
        <v>9719552474.71939</v>
      </c>
      <c r="AF20" s="5" t="n">
        <v>6700855248.30451</v>
      </c>
      <c r="AG20" s="5" t="n">
        <v>6549041799.65516</v>
      </c>
      <c r="AH20" s="5" t="n">
        <v>11734360319.6467</v>
      </c>
      <c r="AI20" s="5" t="n">
        <v>17618742917.7099</v>
      </c>
      <c r="AJ20" s="5" t="n">
        <v>31381290950.4757</v>
      </c>
      <c r="AK20" s="5" t="n">
        <v>31642185537.1118</v>
      </c>
      <c r="AL20" s="5" t="n">
        <v>36251365581.0423</v>
      </c>
      <c r="AM20" s="5" t="n">
        <v>29691856901.7663</v>
      </c>
      <c r="AN20" s="5" t="n">
        <v>31248524019.3981</v>
      </c>
      <c r="AO20" s="5" t="n">
        <v>30492950960.1538</v>
      </c>
      <c r="AP20" s="5" t="n">
        <v>24324488111.1612</v>
      </c>
      <c r="AQ20" s="5" t="n">
        <v>42237690109.0382</v>
      </c>
      <c r="AR20" s="5" t="n">
        <v>52260532318.728</v>
      </c>
      <c r="AS20" s="5" t="n">
        <v>47276403022.2014</v>
      </c>
      <c r="AT20" s="5" t="n">
        <v>33874407347.6785</v>
      </c>
      <c r="AU20" s="5" t="n">
        <v>33046335181.8965</v>
      </c>
      <c r="AV20" s="5" t="n">
        <v>54347517240.636</v>
      </c>
      <c r="AW20" s="5" t="n">
        <v>28340139154.4236</v>
      </c>
      <c r="AX20" s="5"/>
    </row>
    <row r="21">
      <c r="A21" t="str">
        <f>M21</f>
      </c>
      <c r="B21" t="str">
        <f>N21</f>
      </c>
      <c r="C21" s="5" t="str">
        <f>AS21</f>
      </c>
      <c r="D21" s="5" t="str">
        <f>AV21</f>
      </c>
      <c r="E21" s="5" t="str">
        <f>AW21</f>
      </c>
      <c r="F21" s="5" t="str">
        <f>AX21</f>
      </c>
      <c r="G21" s="2" t="str">
        <f>AW21/AV21-1</f>
      </c>
      <c r="H21" s="2" t="str">
        <f>AW21/AS21-1</f>
      </c>
      <c r="I21" s="2" t="str">
        <f>AX21/AW21</f>
      </c>
      <c r="J21" s="2" t="str">
        <f>AW21/Sum(AW$15:AW$25)</f>
      </c>
      <c r="K21" s="2" t="str">
        <f>AX21/Sum(AX15:AX$25)</f>
      </c>
      <c r="M21" t="s">
        <v>61</v>
      </c>
      <c r="N21" t="s">
        <v>62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 t="n">
        <v>57031410207.7681</v>
      </c>
      <c r="Z21" s="5" t="n">
        <v>60866949334.2502</v>
      </c>
      <c r="AA21" s="5" t="n">
        <v>66407090142.9782</v>
      </c>
      <c r="AB21" s="5" t="n">
        <v>82288467534.3273</v>
      </c>
      <c r="AC21" s="5" t="n">
        <v>94936149565.8151</v>
      </c>
      <c r="AD21" s="5" t="n">
        <v>95001543037.7971</v>
      </c>
      <c r="AE21" s="5" t="n">
        <v>99531317171.2164</v>
      </c>
      <c r="AF21" s="5" t="n">
        <v>96113439827.9061</v>
      </c>
      <c r="AG21" s="5" t="n">
        <v>94587255351.0047</v>
      </c>
      <c r="AH21" s="5" t="n">
        <v>100386652807.007</v>
      </c>
      <c r="AI21" s="5" t="n">
        <v>107174996083.862</v>
      </c>
      <c r="AJ21" s="5" t="n">
        <v>110719499176.094</v>
      </c>
      <c r="AK21" s="5" t="n">
        <v>104001160652.848</v>
      </c>
      <c r="AL21" s="5" t="n">
        <v>96337860347.8465</v>
      </c>
      <c r="AM21" s="5" t="n">
        <v>95282017762.3275</v>
      </c>
      <c r="AN21" s="5" t="n">
        <v>92530863746.2001</v>
      </c>
      <c r="AO21" s="5" t="n">
        <v>89916885815.871</v>
      </c>
      <c r="AP21" s="5" t="n">
        <v>94180595224.2832</v>
      </c>
      <c r="AQ21" s="5" t="n">
        <v>88917001501.9319</v>
      </c>
      <c r="AR21" s="5" t="n">
        <v>95537292280.4362</v>
      </c>
      <c r="AS21" s="5" t="n">
        <v>93985052848.7624</v>
      </c>
      <c r="AT21" s="5" t="n">
        <v>92412499949.4177</v>
      </c>
      <c r="AU21" s="5" t="n">
        <v>91689861266.3376</v>
      </c>
      <c r="AV21" s="5" t="n">
        <v>93248680100.8503</v>
      </c>
      <c r="AW21" s="5" t="n">
        <v>97781729504.1139</v>
      </c>
      <c r="AX21" s="5"/>
    </row>
    <row r="22">
      <c r="A22" t="str">
        <f>M22</f>
      </c>
      <c r="B22" t="str">
        <f>N22</f>
      </c>
      <c r="C22" s="5" t="str">
        <f>AS22</f>
      </c>
      <c r="D22" s="5" t="str">
        <f>AV22</f>
      </c>
      <c r="E22" s="5" t="str">
        <f>AW22</f>
      </c>
      <c r="F22" s="5" t="str">
        <f>AX22</f>
      </c>
      <c r="G22" s="2" t="str">
        <f>AW22/AV22-1</f>
      </c>
      <c r="H22" s="2" t="str">
        <f>AW22/AS22-1</f>
      </c>
      <c r="I22" s="2" t="str">
        <f>AX22/AW22</f>
      </c>
      <c r="J22" s="2" t="str">
        <f>AW22/Sum(AW$15:AW$25)</f>
      </c>
      <c r="K22" s="2" t="str">
        <f>AX22/Sum(AX15:AX$25)</f>
      </c>
      <c r="M22" t="s">
        <v>61</v>
      </c>
      <c r="N22" t="s">
        <v>63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 t="n">
        <v>8694816796.12103</v>
      </c>
      <c r="Z22" s="5" t="n">
        <v>7985157102.10416</v>
      </c>
      <c r="AA22" s="5" t="n">
        <v>9924328867.7057</v>
      </c>
      <c r="AB22" s="5" t="n">
        <v>12951131850.2053</v>
      </c>
      <c r="AC22" s="5" t="n">
        <v>15273133693.5271</v>
      </c>
      <c r="AD22" s="5" t="n">
        <v>17271340340.9331</v>
      </c>
      <c r="AE22" s="5" t="n">
        <v>20621780271.6292</v>
      </c>
      <c r="AF22" s="5" t="n">
        <v>21956076391.4842</v>
      </c>
      <c r="AG22" s="5" t="n">
        <v>24066633292.1367</v>
      </c>
      <c r="AH22" s="5" t="n">
        <v>22477069287.5774</v>
      </c>
      <c r="AI22" s="5" t="n">
        <v>21874413396.8911</v>
      </c>
      <c r="AJ22" s="5" t="n">
        <v>15202686550.0597</v>
      </c>
      <c r="AK22" s="5" t="n">
        <v>10935346080.3802</v>
      </c>
      <c r="AL22" s="5" t="n">
        <v>6360723873.30816</v>
      </c>
      <c r="AM22" s="5" t="n">
        <v>3779604253.58035</v>
      </c>
      <c r="AN22" s="5" t="n">
        <v>3245897004.39519</v>
      </c>
      <c r="AO22" s="5" t="n">
        <v>3573061405.89099</v>
      </c>
      <c r="AP22" s="5" t="n">
        <v>3854803531.24462</v>
      </c>
      <c r="AQ22" s="5" t="n">
        <v>5497500459.8097</v>
      </c>
      <c r="AR22" s="5" t="n">
        <v>5012317954.24977</v>
      </c>
      <c r="AS22" s="5" t="n">
        <v>5041021259.14986</v>
      </c>
      <c r="AT22" s="5" t="n">
        <v>4238106547.76353</v>
      </c>
      <c r="AU22" s="5" t="n">
        <v>3941195381.20207</v>
      </c>
      <c r="AV22" s="5" t="n">
        <v>4907687338.1557</v>
      </c>
      <c r="AW22" s="5" t="n">
        <v>5383258645.31726</v>
      </c>
      <c r="AX22" s="5"/>
    </row>
    <row r="23">
      <c r="A23" t="str">
        <f>M23</f>
      </c>
      <c r="B23" t="str">
        <f>N23</f>
      </c>
      <c r="C23" s="5" t="str">
        <f>AS23</f>
      </c>
      <c r="D23" s="5" t="str">
        <f>AV23</f>
      </c>
      <c r="E23" s="5" t="str">
        <f>AW23</f>
      </c>
      <c r="F23" s="5" t="str">
        <f>AX23</f>
      </c>
      <c r="G23" s="2" t="str">
        <f>AW23/AV23-1</f>
      </c>
      <c r="H23" s="2" t="str">
        <f>AW23/AS23-1</f>
      </c>
      <c r="I23" s="2" t="str">
        <f>AX23/AW23</f>
      </c>
      <c r="J23" s="2" t="str">
        <f>AW23/Sum(AW$15:AW$25)</f>
      </c>
      <c r="K23" s="2" t="str">
        <f>AX23/Sum(AX15:AX$25)</f>
      </c>
      <c r="M23" t="s">
        <v>64</v>
      </c>
      <c r="N23" t="s">
        <v>65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 t="n">
        <v>8783532.15867742</v>
      </c>
      <c r="Z23" s="5" t="n">
        <v>338583920.868045</v>
      </c>
      <c r="AA23" s="5" t="n">
        <v>106602190.582995</v>
      </c>
      <c r="AB23" s="5" t="n">
        <v>321188096.666375</v>
      </c>
      <c r="AC23" s="5" t="n">
        <v>766347161.39007</v>
      </c>
      <c r="AD23" s="5" t="n">
        <v>1563693090.42434</v>
      </c>
      <c r="AE23" s="5" t="n">
        <v>5547991525.48221</v>
      </c>
      <c r="AF23" s="5" t="n">
        <v>26858970575.5634</v>
      </c>
      <c r="AG23" s="5" t="n">
        <v>37543683843.8302</v>
      </c>
      <c r="AH23" s="5" t="n">
        <v>46441548472.1981</v>
      </c>
      <c r="AI23" s="5" t="n">
        <v>773478140.740941</v>
      </c>
      <c r="AJ23" s="5" t="n">
        <v>315289537.20789</v>
      </c>
      <c r="AK23" s="5" t="n">
        <v>-3923554.35814127</v>
      </c>
      <c r="AL23" s="5" t="n">
        <v>-37125610.4365996</v>
      </c>
      <c r="AM23" s="5" t="n">
        <v>-35815717.7265001</v>
      </c>
      <c r="AN23" s="5" t="n">
        <v>233271.228031182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72784.1152687462</v>
      </c>
      <c r="AT23" s="5" t="n">
        <v>0</v>
      </c>
      <c r="AU23" s="5" t="n">
        <v>488846.794660361</v>
      </c>
      <c r="AV23" s="5"/>
      <c r="AW23" s="5" t="n">
        <v>0</v>
      </c>
      <c r="AX23" s="5"/>
    </row>
    <row r="24">
      <c r="A24" t="str">
        <f>M24</f>
      </c>
      <c r="B24" t="str">
        <f>N24</f>
      </c>
      <c r="C24" s="5" t="str">
        <f>AS24</f>
      </c>
      <c r="D24" s="5" t="str">
        <f>AV24</f>
      </c>
      <c r="E24" s="5" t="str">
        <f>AW24</f>
      </c>
      <c r="F24" s="5" t="str">
        <f>AX24</f>
      </c>
      <c r="G24" s="2" t="str">
        <f>AW24/AV24-1</f>
      </c>
      <c r="H24" s="2" t="str">
        <f>AW24/AS24-1</f>
      </c>
      <c r="I24" s="2" t="str">
        <f>AX24/AW24</f>
      </c>
      <c r="J24" s="2" t="str">
        <f>AW24/Sum(AW$15:AW$25)</f>
      </c>
      <c r="K24" s="2" t="str">
        <f>AX24/Sum(AX15:AX$25)</f>
      </c>
      <c r="M24" t="s">
        <v>64</v>
      </c>
      <c r="N24" t="s">
        <v>66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 t="n">
        <v>15428196364.0715</v>
      </c>
      <c r="Z24" s="5" t="n">
        <v>17169236872.715</v>
      </c>
      <c r="AA24" s="5" t="n">
        <v>15257806994.9646</v>
      </c>
      <c r="AB24" s="5" t="n">
        <v>16228627909.2158</v>
      </c>
      <c r="AC24" s="5" t="n">
        <v>18520981946.6024</v>
      </c>
      <c r="AD24" s="5" t="n">
        <v>19170591520.2982</v>
      </c>
      <c r="AE24" s="5" t="n">
        <v>23480681023.5704</v>
      </c>
      <c r="AF24" s="5" t="n">
        <v>28882311109.5857</v>
      </c>
      <c r="AG24" s="5" t="n">
        <v>24103385806.7283</v>
      </c>
      <c r="AH24" s="5" t="n">
        <v>22822398896.8332</v>
      </c>
      <c r="AI24" s="5" t="n">
        <v>31841065421.322</v>
      </c>
      <c r="AJ24" s="5" t="n">
        <v>19817112428.7353</v>
      </c>
      <c r="AK24" s="5" t="n">
        <v>30586871956.7371</v>
      </c>
      <c r="AL24" s="5" t="n">
        <v>21069529748.9917</v>
      </c>
      <c r="AM24" s="5" t="n">
        <v>10428068134.6569</v>
      </c>
      <c r="AN24" s="5" t="n">
        <v>10556958680.0883</v>
      </c>
      <c r="AO24" s="5" t="n">
        <v>31898009917.4282</v>
      </c>
      <c r="AP24" s="5" t="n">
        <v>45796207876.7486</v>
      </c>
      <c r="AQ24" s="5" t="n">
        <v>46138310582.5372</v>
      </c>
      <c r="AR24" s="5" t="n">
        <v>37190528755.8586</v>
      </c>
      <c r="AS24" s="5" t="n">
        <v>60942519097.1154</v>
      </c>
      <c r="AT24" s="5" t="n">
        <v>26355315978.832</v>
      </c>
      <c r="AU24" s="5" t="n">
        <v>28655315047.3193</v>
      </c>
      <c r="AV24" s="5" t="n">
        <v>32842452842.2362</v>
      </c>
      <c r="AW24" s="5" t="n">
        <v>38046297279.5382</v>
      </c>
      <c r="AX24" s="5"/>
    </row>
    <row r="25">
      <c r="A25" t="str">
        <f>M25</f>
      </c>
      <c r="B25" t="str">
        <f>N25</f>
      </c>
      <c r="C25" s="5" t="str">
        <f>AS25</f>
      </c>
      <c r="D25" s="5" t="str">
        <f>AV25</f>
      </c>
      <c r="E25" s="5" t="str">
        <f>AW25</f>
      </c>
      <c r="F25" s="5" t="str">
        <f>AX25</f>
      </c>
      <c r="G25" s="2" t="str">
        <f>AW25/AV25-1</f>
      </c>
      <c r="H25" s="2" t="str">
        <f>AW25/AS25-1</f>
      </c>
      <c r="I25" s="2" t="str">
        <f>AX25/AW25</f>
      </c>
      <c r="J25" s="2" t="str">
        <f>AW25/Sum(AW$15:AW$25)</f>
      </c>
      <c r="K25" s="2" t="str">
        <f>AX25/Sum(AX15:AX$25)</f>
      </c>
      <c r="M25" t="s">
        <v>64</v>
      </c>
      <c r="N25"/>
      <c r="O25" s="5" t="n">
        <v>248917998790.874</v>
      </c>
      <c r="P25" s="5" t="n">
        <v>271885202720.129</v>
      </c>
      <c r="Q25" s="5" t="n">
        <v>240412560734.939</v>
      </c>
      <c r="R25" s="5" t="n">
        <v>231031479111.987</v>
      </c>
      <c r="S25" s="5" t="n">
        <v>218250472650.085</v>
      </c>
      <c r="T25" s="5" t="n">
        <v>212677633977.603</v>
      </c>
      <c r="U25" s="5" t="n">
        <v>212071611328.834</v>
      </c>
      <c r="V25" s="5" t="n">
        <v>204034317412.979</v>
      </c>
      <c r="W25" s="5" t="n">
        <v>203216983313.484</v>
      </c>
      <c r="X25" s="5" t="n">
        <v>209688280565.4</v>
      </c>
      <c r="Y25" s="5" t="n">
        <v>20626854688.053</v>
      </c>
      <c r="Z25" s="5" t="n">
        <v>10535089901.7053</v>
      </c>
      <c r="AA25" s="5" t="n">
        <v>13751460301.3251</v>
      </c>
      <c r="AB25" s="5" t="n">
        <v>14404271901.9353</v>
      </c>
      <c r="AC25" s="5" t="n">
        <v>14347823540.9574</v>
      </c>
      <c r="AD25" s="5" t="n">
        <v>11130961319.1953</v>
      </c>
      <c r="AE25" s="5" t="n">
        <v>6855489170.15793</v>
      </c>
      <c r="AF25" s="5" t="n">
        <v>1160647491.93565</v>
      </c>
      <c r="AG25" s="5" t="n">
        <v>8506292191.13106</v>
      </c>
      <c r="AH25" s="5" t="n">
        <v>4546169041.89102</v>
      </c>
      <c r="AI25" s="5" t="n">
        <v>1578098878.04004</v>
      </c>
      <c r="AJ25" s="5" t="n">
        <v>2154631964.28973</v>
      </c>
      <c r="AK25" s="5" t="n">
        <v>4916760481.71637</v>
      </c>
      <c r="AL25" s="5" t="n">
        <v>877073688.397079</v>
      </c>
      <c r="AM25" s="5" t="n">
        <v>1039083214.83595</v>
      </c>
      <c r="AN25" s="5" t="n">
        <v>890083254.945149</v>
      </c>
      <c r="AO25" s="5" t="n">
        <v>902878503.120584</v>
      </c>
      <c r="AP25" s="5" t="n">
        <v>1397886258.68569</v>
      </c>
      <c r="AQ25" s="5" t="n">
        <v>24128.2435797438</v>
      </c>
      <c r="AR25" s="5" t="n">
        <v>59684.9236466806</v>
      </c>
      <c r="AS25" s="5" t="n">
        <v>11573.9072704938</v>
      </c>
      <c r="AT25" s="5" t="n">
        <v>11188.817598517</v>
      </c>
      <c r="AU25" s="5" t="n">
        <v>0</v>
      </c>
      <c r="AV25" s="5" t="n">
        <v>-29324.9492</v>
      </c>
      <c r="AW25" s="5" t="n">
        <v>9739.88670259903</v>
      </c>
      <c r="AX25" s="5"/>
    </row>
    <row r="26">
      <c r="A26" t="str">
        <f>M26</f>
      </c>
      <c r="B26" t="str">
        <f>N26</f>
      </c>
      <c r="C26" s="5" t="str">
        <f>AS26</f>
      </c>
      <c r="D26" s="5" t="str">
        <f>AV26</f>
      </c>
      <c r="E26" s="5" t="str">
        <f>AW26</f>
      </c>
      <c r="F26" s="5" t="str">
        <f>AX26</f>
      </c>
      <c r="G26" s="2" t="str">
        <f>AW26/AV26-1</f>
      </c>
      <c r="H26" s="2" t="str">
        <f>AW26/AS26-1</f>
      </c>
      <c r="I26" s="2" t="str">
        <f>AX26/AW26</f>
      </c>
      <c r="J26" s="2" t="str">
        <f>Sum(J$15:J$25)</f>
      </c>
      <c r="K26" s="2" t="str">
        <f>Sum(K$15:K$25)</f>
      </c>
      <c r="M26" t="s">
        <v>20</v>
      </c>
      <c r="N26" t="s">
        <v>21</v>
      </c>
      <c r="O26" s="5" t="str">
        <f>Sum(O16:O25)</f>
      </c>
      <c r="P26" s="5" t="str">
        <f>Sum(P16:P25)</f>
      </c>
      <c r="Q26" s="5" t="str">
        <f>Sum(Q16:Q25)</f>
      </c>
      <c r="R26" s="5" t="str">
        <f>Sum(R16:R25)</f>
      </c>
      <c r="S26" s="5" t="str">
        <f>Sum(S16:S25)</f>
      </c>
      <c r="T26" s="5" t="str">
        <f>Sum(T16:T25)</f>
      </c>
      <c r="U26" s="5" t="str">
        <f>Sum(U16:U25)</f>
      </c>
      <c r="V26" s="5" t="str">
        <f>Sum(V16:V25)</f>
      </c>
      <c r="W26" s="5" t="str">
        <f>Sum(W16:W25)</f>
      </c>
      <c r="X26" s="5" t="str">
        <f>Sum(X16:X25)</f>
      </c>
      <c r="Y26" s="5" t="str">
        <f>Sum(Y16:Y25)</f>
      </c>
      <c r="Z26" s="5" t="str">
        <f>Sum(Z16:Z25)</f>
      </c>
      <c r="AA26" s="5" t="str">
        <f>Sum(AA16:AA25)</f>
      </c>
      <c r="AB26" s="5" t="str">
        <f>Sum(AB16:AB25)</f>
      </c>
      <c r="AC26" s="5" t="str">
        <f>Sum(AC16:AC25)</f>
      </c>
      <c r="AD26" s="5" t="str">
        <f>Sum(AD16:AD25)</f>
      </c>
      <c r="AE26" s="5" t="str">
        <f>Sum(AE16:AE25)</f>
      </c>
      <c r="AF26" s="5" t="str">
        <f>Sum(AF16:AF25)</f>
      </c>
      <c r="AG26" s="5" t="str">
        <f>Sum(AG16:AG25)</f>
      </c>
      <c r="AH26" s="5" t="str">
        <f>Sum(AH16:AH25)</f>
      </c>
      <c r="AI26" s="5" t="str">
        <f>Sum(AI16:AI25)</f>
      </c>
      <c r="AJ26" s="5" t="str">
        <f>Sum(AJ16:AJ25)</f>
      </c>
      <c r="AK26" s="5" t="str">
        <f>Sum(AK16:AK25)</f>
      </c>
      <c r="AL26" s="5" t="str">
        <f>Sum(AL16:AL25)</f>
      </c>
      <c r="AM26" s="5" t="str">
        <f>Sum(AM16:AM25)</f>
      </c>
      <c r="AN26" s="5" t="str">
        <f>Sum(AN16:AN25)</f>
      </c>
      <c r="AO26" s="5" t="str">
        <f>Sum(AO16:AO25)</f>
      </c>
      <c r="AP26" s="5" t="str">
        <f>Sum(AP16:AP25)</f>
      </c>
      <c r="AQ26" s="5" t="str">
        <f>Sum(AQ16:AQ25)</f>
      </c>
      <c r="AR26" s="5" t="str">
        <f>Sum(AR16:AR25)</f>
      </c>
      <c r="AS26" s="5" t="str">
        <f>Sum(AS16:AS25)</f>
      </c>
      <c r="AT26" s="5" t="str">
        <f>Sum(AT16:AT25)</f>
      </c>
      <c r="AU26" s="5" t="str">
        <f>Sum(AU16:AU25)</f>
      </c>
      <c r="AV26" s="5" t="str">
        <f>Sum(AV16:AV25)</f>
      </c>
      <c r="AW26" s="5" t="str">
        <f>Sum(AW16:AW25)</f>
      </c>
      <c r="AX26" s="5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L1</f>
      </c>
      <c r="B1" t="str">
        <f>N1</f>
      </c>
      <c r="L1" t="s">
        <v>68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  <c r="Z1" t="s">
        <v>46</v>
      </c>
      <c r="AA1" t="s">
        <v>47</v>
      </c>
      <c r="AB1" t="s">
        <v>2</v>
      </c>
      <c r="AC1" t="s">
        <v>3</v>
      </c>
      <c r="AD1" t="s">
        <v>4</v>
      </c>
      <c r="AE1" t="s">
        <v>5</v>
      </c>
      <c r="AF1" t="s">
        <v>6</v>
      </c>
      <c r="AG1" t="s">
        <v>7</v>
      </c>
      <c r="AH1" t="s">
        <v>8</v>
      </c>
      <c r="AI1" t="s">
        <v>9</v>
      </c>
      <c r="AJ1" t="s">
        <v>10</v>
      </c>
      <c r="AK1" t="s">
        <v>51</v>
      </c>
      <c r="AL1" t="s">
        <v>10</v>
      </c>
      <c r="AM1" t="s">
        <v>51</v>
      </c>
    </row>
    <row r="2">
      <c r="A2" t="str">
        <f>L2</f>
      </c>
      <c r="B2" t="str">
        <f>N2</f>
      </c>
      <c r="L2" t="s">
        <v>69</v>
      </c>
      <c r="M2" s="7" t="n">
        <v>6381928579.3536</v>
      </c>
      <c r="N2" s="7" t="n">
        <v>6747108088.619</v>
      </c>
      <c r="O2" s="7" t="n">
        <v>8072281192.2013</v>
      </c>
      <c r="P2" s="7" t="n">
        <v>10540757674.2942</v>
      </c>
      <c r="Q2" s="7" t="n">
        <v>12837555957.1638</v>
      </c>
      <c r="R2" s="7" t="n">
        <v>15096204296.5031</v>
      </c>
      <c r="S2" s="7" t="n">
        <v>20557893154.9814</v>
      </c>
      <c r="T2" s="7" t="n">
        <v>37399824102.3718</v>
      </c>
      <c r="U2" s="7" t="n">
        <v>49726656794.9868</v>
      </c>
      <c r="V2" s="7" t="n">
        <v>54631556718.4632</v>
      </c>
      <c r="W2" s="7" t="n">
        <v>18690465759.476</v>
      </c>
      <c r="X2" s="7" t="n">
        <v>13792564390.7305</v>
      </c>
      <c r="Y2" s="7" t="n">
        <v>9960146812.9704</v>
      </c>
      <c r="Z2" s="7" t="n">
        <v>5674820889.0681</v>
      </c>
      <c r="AA2" s="7" t="n">
        <v>3560661708.8258</v>
      </c>
      <c r="AB2" s="7" t="n">
        <v>3309138661.2531</v>
      </c>
      <c r="AC2" s="7" t="n">
        <v>3497892252.0064</v>
      </c>
      <c r="AD2" s="7" t="n">
        <v>3785717114.4289</v>
      </c>
      <c r="AE2" s="7" t="n">
        <v>5065767840.963</v>
      </c>
      <c r="AF2" s="7" t="n">
        <v>5080092983.2125</v>
      </c>
      <c r="AG2" s="7" t="n">
        <v>5492573941.4207</v>
      </c>
      <c r="AH2" s="7" t="n">
        <v>5019427737.2304</v>
      </c>
      <c r="AI2" s="7" t="n">
        <v>4855696567.4635</v>
      </c>
      <c r="AJ2" s="7" t="n">
        <v>6240783323.4101</v>
      </c>
      <c r="AK2" s="7" t="n">
        <v>7219861841.72</v>
      </c>
      <c r="AL2" s="7" t="n">
        <v>10324291240.99</v>
      </c>
      <c r="AM2" s="7" t="n">
        <v>13262037598.87</v>
      </c>
      <c r="AN2" s="6"/>
    </row>
    <row r="3">
      <c r="A3" t="str">
        <f>L3</f>
      </c>
      <c r="B3" t="str">
        <f>N3</f>
      </c>
      <c r="L3" t="s">
        <v>70</v>
      </c>
      <c r="M3" s="7" t="n">
        <v>41017731029.8018</v>
      </c>
      <c r="N3" s="7" t="n">
        <v>43077261719.4941</v>
      </c>
      <c r="O3" s="7" t="n">
        <v>47986493060.5011</v>
      </c>
      <c r="P3" s="7" t="n">
        <v>60359498534.808</v>
      </c>
      <c r="Q3" s="7" t="n">
        <v>72636344256.3692</v>
      </c>
      <c r="R3" s="7" t="n">
        <v>78922436134.7553</v>
      </c>
      <c r="S3" s="7" t="n">
        <v>91529553402.1407</v>
      </c>
      <c r="T3" s="7" t="n">
        <v>90597609774.4867</v>
      </c>
      <c r="U3" s="7" t="n">
        <v>92243967300.8319</v>
      </c>
      <c r="V3" s="7" t="n">
        <v>93384043495.1289</v>
      </c>
      <c r="W3" s="7" t="n">
        <v>106597055566.163</v>
      </c>
      <c r="X3" s="7" t="n">
        <v>114593342600.983</v>
      </c>
      <c r="Y3" s="7" t="n">
        <v>101983846618.247</v>
      </c>
      <c r="Z3" s="7" t="n">
        <v>95556972800.1595</v>
      </c>
      <c r="AA3" s="7" t="n">
        <v>92928871336.1869</v>
      </c>
      <c r="AB3" s="7" t="n">
        <v>88179253906.2632</v>
      </c>
      <c r="AC3" s="7" t="n">
        <v>91924227580.0939</v>
      </c>
      <c r="AD3" s="7" t="n">
        <v>98723360346.6838</v>
      </c>
      <c r="AE3" s="7" t="n">
        <v>101053858127.361</v>
      </c>
      <c r="AF3" s="7" t="n">
        <v>108597077492.154</v>
      </c>
      <c r="AG3" s="7" t="n">
        <v>108114538828.644</v>
      </c>
      <c r="AH3" s="7" t="n">
        <v>113102366189.102</v>
      </c>
      <c r="AI3" s="7" t="n">
        <v>118414679206.352</v>
      </c>
      <c r="AJ3" s="7" t="n">
        <v>127278745636.945</v>
      </c>
      <c r="AK3" s="7" t="n">
        <v>140190170596.9</v>
      </c>
      <c r="AL3" s="7" t="n">
        <v>4353744193.3247</v>
      </c>
      <c r="AM3" s="7" t="n">
        <v>4945925112.25</v>
      </c>
      <c r="AN3" s="6"/>
    </row>
    <row r="4">
      <c r="A4" t="str">
        <f>L4</f>
      </c>
      <c r="B4" t="str">
        <f>N4</f>
      </c>
      <c r="L4" t="s">
        <v>55</v>
      </c>
      <c r="M4" s="7" t="n">
        <v>65729849056.083</v>
      </c>
      <c r="N4" s="7" t="n">
        <v>73056891006.8772</v>
      </c>
      <c r="O4" s="7" t="n">
        <v>87658370256.8362</v>
      </c>
      <c r="P4" s="7" t="n">
        <v>112233600483.614</v>
      </c>
      <c r="Q4" s="7" t="n">
        <v>113809654964.141</v>
      </c>
      <c r="R4" s="7" t="n">
        <v>135269794700.926</v>
      </c>
      <c r="S4" s="7" t="n">
        <v>151371749273.841</v>
      </c>
      <c r="T4" s="7" t="n">
        <v>176305123926.349</v>
      </c>
      <c r="U4" s="7" t="n">
        <v>201282666535.121</v>
      </c>
      <c r="V4" s="7" t="n">
        <v>182260902974.079</v>
      </c>
      <c r="W4" s="7" t="n">
        <v>205091243389.123</v>
      </c>
      <c r="X4" s="7" t="n">
        <v>196042614484.438</v>
      </c>
      <c r="Y4" s="7" t="n">
        <v>190911668190.224</v>
      </c>
      <c r="Z4" s="7" t="n">
        <v>154549244061.639</v>
      </c>
      <c r="AA4" s="7" t="n">
        <v>150023467175.449</v>
      </c>
      <c r="AB4" s="7" t="n">
        <v>148167793539.232</v>
      </c>
      <c r="AC4" s="7" t="n">
        <v>162671372686.458</v>
      </c>
      <c r="AD4" s="7" t="n">
        <v>164423899394.237</v>
      </c>
      <c r="AE4" s="7" t="n">
        <v>186214236769.723</v>
      </c>
      <c r="AF4" s="7" t="n">
        <v>202877106832.583</v>
      </c>
      <c r="AG4" s="7" t="n">
        <v>223388717765.705</v>
      </c>
      <c r="AH4" s="7" t="n">
        <v>221867314116.506</v>
      </c>
      <c r="AI4" s="7" t="n">
        <v>229190166357.694</v>
      </c>
      <c r="AJ4" s="7" t="n">
        <v>241088412575.15</v>
      </c>
      <c r="AK4" s="7" t="n">
        <v>241348214838.25</v>
      </c>
      <c r="AL4" s="7" t="n">
        <v>9058109555.6468</v>
      </c>
      <c r="AM4" s="7" t="n">
        <v>10324834771.43</v>
      </c>
      <c r="AN4" s="6"/>
    </row>
    <row r="5">
      <c r="A5" t="str">
        <f>L5</f>
      </c>
      <c r="B5" t="str">
        <f>N5</f>
      </c>
      <c r="L5" t="s">
        <v>56</v>
      </c>
      <c r="M5" s="7" t="n">
        <v>6301955255</v>
      </c>
      <c r="N5" s="7" t="n">
        <v>8495776002</v>
      </c>
      <c r="O5" s="7" t="n">
        <v>8579162029</v>
      </c>
      <c r="P5" s="7" t="n">
        <v>10237410913.1396</v>
      </c>
      <c r="Q5" s="7" t="n">
        <v>11393769098.2552</v>
      </c>
      <c r="R5" s="7" t="n">
        <v>22121395381.4164</v>
      </c>
      <c r="S5" s="7" t="n">
        <v>19911512736.7794</v>
      </c>
      <c r="T5" s="7" t="n">
        <v>17480281868.3767</v>
      </c>
      <c r="U5" s="7" t="n">
        <v>23192843019.3978</v>
      </c>
      <c r="V5" s="7" t="n">
        <v>24772255556.7469</v>
      </c>
      <c r="W5" s="7" t="n">
        <v>17167106144.1264</v>
      </c>
      <c r="X5" s="7" t="n">
        <v>19616156026.3993</v>
      </c>
      <c r="Y5" s="7" t="n">
        <v>27118150470.6684</v>
      </c>
      <c r="Z5" s="7" t="n">
        <v>18300928885.4694</v>
      </c>
      <c r="AA5" s="7" t="n">
        <v>11867343341.3143</v>
      </c>
      <c r="AB5" s="7" t="n">
        <v>8985851310.0384</v>
      </c>
      <c r="AC5" s="7" t="n">
        <v>7381526904.9523</v>
      </c>
      <c r="AD5" s="7" t="n">
        <v>9214656305.5226</v>
      </c>
      <c r="AE5" s="7" t="n">
        <v>10630900917.601</v>
      </c>
      <c r="AF5" s="7" t="n">
        <v>9804333730.5025</v>
      </c>
      <c r="AG5" s="7" t="n">
        <v>8945182432.6572</v>
      </c>
      <c r="AH5" s="7" t="n">
        <v>10400372579.0701</v>
      </c>
      <c r="AI5" s="7" t="n">
        <v>17547545516.7689</v>
      </c>
      <c r="AJ5" s="7" t="n">
        <v>16981868245.7354</v>
      </c>
      <c r="AK5" s="7" t="n">
        <v>17457190518.18</v>
      </c>
      <c r="AL5" s="7"/>
      <c r="AM5" s="7" t="n">
        <v>0</v>
      </c>
      <c r="AN5" s="6"/>
    </row>
    <row r="6">
      <c r="A6" t="str">
        <f>L6</f>
      </c>
      <c r="B6" t="str">
        <f>N6</f>
      </c>
      <c r="L6" t="s">
        <v>60</v>
      </c>
      <c r="M6" s="7" t="n">
        <v>6133098636</v>
      </c>
      <c r="N6" s="7" t="n">
        <v>6192593184</v>
      </c>
      <c r="O6" s="7" t="n">
        <v>9031564886</v>
      </c>
      <c r="P6" s="7" t="n">
        <v>9079232479</v>
      </c>
      <c r="Q6" s="7" t="n">
        <v>9827511407.49</v>
      </c>
      <c r="R6" s="7" t="n">
        <v>6844005103.9382</v>
      </c>
      <c r="S6" s="7" t="n">
        <v>7082066073.0875</v>
      </c>
      <c r="T6" s="7" t="n">
        <v>5551385159.2825</v>
      </c>
      <c r="U6" s="7" t="n">
        <v>5349736696.5096</v>
      </c>
      <c r="V6" s="7" t="n">
        <v>9307112508.7261</v>
      </c>
      <c r="W6" s="7" t="n">
        <v>14936091789.0248</v>
      </c>
      <c r="X6" s="7" t="n">
        <v>24522062766.4876</v>
      </c>
      <c r="Y6" s="7" t="n">
        <v>27821465995.2082</v>
      </c>
      <c r="Z6" s="7" t="n">
        <v>34145937904.3437</v>
      </c>
      <c r="AA6" s="7" t="n">
        <v>25072028857.0941</v>
      </c>
      <c r="AB6" s="7" t="n">
        <v>25584172858.1798</v>
      </c>
      <c r="AC6" s="7" t="n">
        <v>33049812670.3039</v>
      </c>
      <c r="AD6" s="7" t="n">
        <v>45706086881.0323</v>
      </c>
      <c r="AE6" s="7" t="n">
        <v>55865325274.4157</v>
      </c>
      <c r="AF6" s="7" t="n">
        <v>57616963401.306</v>
      </c>
      <c r="AG6" s="7" t="n">
        <v>76806621768.5092</v>
      </c>
      <c r="AH6" s="7" t="n">
        <v>37313582245.916</v>
      </c>
      <c r="AI6" s="7" t="n">
        <v>44487852773.861</v>
      </c>
      <c r="AJ6" s="7" t="n">
        <v>64656951414.6669</v>
      </c>
      <c r="AK6" s="7" t="n">
        <v>38828429967.57</v>
      </c>
      <c r="AL6" s="7"/>
      <c r="AM6" s="7"/>
      <c r="AN6" s="6"/>
    </row>
    <row r="7">
      <c r="A7" t="str">
        <f>L7</f>
      </c>
      <c r="B7" t="str">
        <f>N7</f>
      </c>
      <c r="L7"/>
      <c r="M7" s="7" t="n">
        <v>6613923950.149</v>
      </c>
      <c r="N7" s="7" t="n">
        <v>6424008621.3371</v>
      </c>
      <c r="O7" s="7" t="n">
        <v>8482649711.9464</v>
      </c>
      <c r="P7" s="7" t="n">
        <v>9082587219.0046</v>
      </c>
      <c r="Q7" s="7" t="n">
        <v>9270196138.4963</v>
      </c>
      <c r="R7" s="7" t="n">
        <v>7410683084.917</v>
      </c>
      <c r="S7" s="7" t="n">
        <v>4712411702.288</v>
      </c>
      <c r="T7" s="7" t="n">
        <v>820198022.6251</v>
      </c>
      <c r="U7" s="7" t="n">
        <v>6192215737.982</v>
      </c>
      <c r="V7" s="7" t="n">
        <v>3294194225.2823</v>
      </c>
      <c r="W7" s="7" t="n">
        <v>214382588.7513</v>
      </c>
      <c r="X7" s="7" t="n">
        <v>-3081399.5465</v>
      </c>
      <c r="Y7" s="7" t="n">
        <v>-1973038.6911</v>
      </c>
      <c r="Z7" s="7" t="n">
        <v>508721.45</v>
      </c>
      <c r="AA7" s="7" t="n">
        <v>-2834591.3209</v>
      </c>
      <c r="AB7" s="7" t="n">
        <v>29995.58</v>
      </c>
      <c r="AC7" s="7" t="n">
        <v>-58489.62</v>
      </c>
      <c r="AD7" s="7" t="n">
        <v>1356734.2</v>
      </c>
      <c r="AE7" s="7" t="n">
        <v>20204.7109</v>
      </c>
      <c r="AF7" s="7" t="n">
        <v>50903.5586</v>
      </c>
      <c r="AG7" s="7" t="n">
        <v>10000</v>
      </c>
      <c r="AH7" s="7" t="n">
        <v>10000</v>
      </c>
      <c r="AI7" s="7" t="n">
        <v>0</v>
      </c>
      <c r="AJ7" s="7" t="n">
        <v>-29324.9492</v>
      </c>
      <c r="AK7" s="7" t="n">
        <v>10000</v>
      </c>
      <c r="AL7" s="7"/>
      <c r="AM7" s="7"/>
      <c r="AN7" s="6"/>
    </row>
    <row r="8">
      <c r="A8" t="str">
        <f>L8</f>
      </c>
      <c r="B8" t="str">
        <f>N8</f>
      </c>
      <c r="L8" t="s">
        <v>20</v>
      </c>
      <c r="M8" s="7" t="str">
        <f>Sum(M2:M7)</f>
      </c>
      <c r="N8" s="7" t="str">
        <f>Sum(N2:N7)</f>
      </c>
      <c r="O8" s="7" t="str">
        <f>Sum(O2:O7)</f>
      </c>
      <c r="P8" s="7" t="str">
        <f>Sum(P2:P7)</f>
      </c>
      <c r="Q8" s="7" t="str">
        <f>Sum(Q2:Q7)</f>
      </c>
      <c r="R8" s="7" t="str">
        <f>Sum(R2:R7)</f>
      </c>
      <c r="S8" s="7" t="str">
        <f>Sum(S2:S7)</f>
      </c>
      <c r="T8" s="7" t="str">
        <f>Sum(T2:T7)</f>
      </c>
      <c r="U8" s="7" t="str">
        <f>Sum(U2:U7)</f>
      </c>
      <c r="V8" s="7" t="str">
        <f>Sum(V2:V7)</f>
      </c>
      <c r="W8" s="7" t="str">
        <f>Sum(W2:W7)</f>
      </c>
      <c r="X8" s="7" t="str">
        <f>Sum(X2:X7)</f>
      </c>
      <c r="Y8" s="7" t="str">
        <f>Sum(Y2:Y7)</f>
      </c>
      <c r="Z8" s="7" t="str">
        <f>Sum(Z2:Z7)</f>
      </c>
      <c r="AA8" s="7" t="str">
        <f>Sum(AA2:AA7)</f>
      </c>
      <c r="AB8" s="7" t="str">
        <f>Sum(AB2:AB7)</f>
      </c>
      <c r="AC8" s="7" t="str">
        <f>Sum(AC2:AC7)</f>
      </c>
      <c r="AD8" s="7" t="str">
        <f>Sum(AD2:AD7)</f>
      </c>
      <c r="AE8" s="7" t="str">
        <f>Sum(AE2:AE7)</f>
      </c>
      <c r="AF8" s="7" t="str">
        <f>Sum(AF2:AF7)</f>
      </c>
      <c r="AG8" s="7" t="str">
        <f>Sum(AG2:AG7)</f>
      </c>
      <c r="AH8" s="7" t="str">
        <f>Sum(AH2:AH7)</f>
      </c>
      <c r="AI8" s="7" t="str">
        <f>Sum(AI2:AI7)</f>
      </c>
      <c r="AJ8" s="7" t="str">
        <f>Sum(AJ2:AJ7)</f>
      </c>
      <c r="AK8" s="7" t="str">
        <f>Sum(AK2:AK7)</f>
      </c>
      <c r="AL8" s="7" t="str">
        <f>Sum(AL2:AL7)</f>
      </c>
      <c r="AM8" s="7"/>
      <c r="AN8" s="6"/>
    </row>
    <row r="9">
      <c r="A9" t="str">
        <f>M9</f>
      </c>
      <c r="B9" t="str">
        <f>N9</f>
      </c>
      <c r="M9" t="s">
        <v>55</v>
      </c>
      <c r="N9" t="s">
        <v>67</v>
      </c>
      <c r="O9" s="6" t="n">
        <v>30350535041.2501</v>
      </c>
      <c r="P9" s="6" t="n">
        <v>34832154427.5165</v>
      </c>
      <c r="Q9" s="6" t="n">
        <v>44467471853.2131</v>
      </c>
      <c r="R9" s="6" t="n">
        <v>56646865993.1425</v>
      </c>
      <c r="S9" s="6" t="n">
        <v>58686686293.0256</v>
      </c>
      <c r="T9" s="6" t="n">
        <v>70737707134.2315</v>
      </c>
      <c r="U9" s="6" t="n">
        <v>83096231966.4469</v>
      </c>
      <c r="V9" s="6" t="n">
        <v>103977986435.902</v>
      </c>
      <c r="W9" s="6" t="n">
        <v>119267911707.122</v>
      </c>
      <c r="X9" s="6" t="n">
        <v>101634630490.355</v>
      </c>
      <c r="Y9" s="6" t="n">
        <v>101320948717.128</v>
      </c>
      <c r="Z9" s="6" t="n">
        <v>94062194544.4447</v>
      </c>
      <c r="AA9" s="6" t="n">
        <v>81901054882.9135</v>
      </c>
      <c r="AB9" s="6" t="n">
        <v>71898404949.2174</v>
      </c>
      <c r="AC9" s="6" t="n">
        <v>67838468484.4961</v>
      </c>
      <c r="AD9" s="6" t="n">
        <v>69501201414.128</v>
      </c>
      <c r="AE9" s="6" t="n">
        <v>77388588742.6648</v>
      </c>
      <c r="AF9" s="6" t="n">
        <v>79738814973.6615</v>
      </c>
      <c r="AG9" s="6" t="n">
        <v>91060090729.2274</v>
      </c>
      <c r="AH9" s="6" t="n">
        <v>99483857723.4897</v>
      </c>
      <c r="AI9" s="6" t="n">
        <v>103794313302.725</v>
      </c>
      <c r="AJ9" s="6" t="n">
        <v>115781217665.318</v>
      </c>
      <c r="AK9" s="6" t="n">
        <v>115730856272.451</v>
      </c>
      <c r="AL9" s="6" t="n">
        <v>109771628121.668</v>
      </c>
      <c r="AM9" s="6" t="n">
        <v>100065772866.38</v>
      </c>
      <c r="AN9" s="6"/>
    </row>
    <row r="10">
      <c r="A10" t="str">
        <f>M10</f>
      </c>
      <c r="B10" t="str">
        <f>N10</f>
      </c>
      <c r="M10" t="s">
        <v>55</v>
      </c>
      <c r="N10" t="s">
        <v>18</v>
      </c>
      <c r="O10" s="6" t="n">
        <v>26723748711.2592</v>
      </c>
      <c r="P10" s="6" t="n">
        <v>30529781474.0104</v>
      </c>
      <c r="Q10" s="6" t="n">
        <v>36493550581.3077</v>
      </c>
      <c r="R10" s="6" t="n">
        <v>50049853377.2454</v>
      </c>
      <c r="S10" s="6" t="n">
        <v>48359708239.2654</v>
      </c>
      <c r="T10" s="6" t="n">
        <v>52716090316.7817</v>
      </c>
      <c r="U10" s="6" t="n">
        <v>59872456143.488</v>
      </c>
      <c r="V10" s="6" t="n">
        <v>59876528788.1555</v>
      </c>
      <c r="W10" s="6" t="n">
        <v>71104395149.1528</v>
      </c>
      <c r="X10" s="6" t="n">
        <v>69408366628.0904</v>
      </c>
      <c r="Y10" s="6" t="n">
        <v>84447133575.0836</v>
      </c>
      <c r="Z10" s="6" t="n">
        <v>84034697702.4335</v>
      </c>
      <c r="AA10" s="6" t="n">
        <v>83914359863.02</v>
      </c>
      <c r="AB10" s="6" t="n">
        <v>71710819334.513</v>
      </c>
      <c r="AC10" s="6" t="n">
        <v>75228287437.7632</v>
      </c>
      <c r="AD10" s="6" t="n">
        <v>69818773879.5831</v>
      </c>
      <c r="AE10" s="6" t="n">
        <v>72048952336.4696</v>
      </c>
      <c r="AF10" s="6" t="n">
        <v>75018192824.2555</v>
      </c>
      <c r="AG10" s="6" t="n">
        <v>85949194451.4529</v>
      </c>
      <c r="AH10" s="6" t="n">
        <v>91609518193.7815</v>
      </c>
      <c r="AI10" s="6" t="n">
        <v>104251634104.84</v>
      </c>
      <c r="AJ10" s="6" t="n">
        <v>93527116638.7399</v>
      </c>
      <c r="AK10" s="6" t="n">
        <v>100567803967.076</v>
      </c>
      <c r="AL10" s="6" t="n">
        <v>113110089585.992</v>
      </c>
      <c r="AM10" s="6" t="n">
        <v>117014370657.91</v>
      </c>
      <c r="AN10" s="6"/>
    </row>
    <row r="11">
      <c r="A11" t="str">
        <f>L11</f>
      </c>
      <c r="B11" t="str">
        <f>AG11</f>
      </c>
      <c r="C11" t="str">
        <f>AJ11</f>
      </c>
      <c r="D11" t="str">
        <f>AK11</f>
      </c>
      <c r="F11" t="str">
        <f>AJ11&amp;"-"&amp;AK11</f>
      </c>
      <c r="G11" t="str">
        <f>AG11&amp;"-"&amp;AK11</f>
      </c>
      <c r="I11" t="str">
        <f>"Share "&amp;AK11</f>
      </c>
      <c r="L11" t="s">
        <v>68</v>
      </c>
      <c r="M11" t="s">
        <v>33</v>
      </c>
      <c r="N11" t="s">
        <v>34</v>
      </c>
      <c r="O11" s="6" t="s">
        <v>35</v>
      </c>
      <c r="P11" s="6" t="s">
        <v>36</v>
      </c>
      <c r="Q11" s="6" t="s">
        <v>37</v>
      </c>
      <c r="R11" s="6" t="s">
        <v>38</v>
      </c>
      <c r="S11" s="6" t="s">
        <v>39</v>
      </c>
      <c r="T11" s="6" t="s">
        <v>40</v>
      </c>
      <c r="U11" s="6" t="s">
        <v>41</v>
      </c>
      <c r="V11" s="6" t="s">
        <v>42</v>
      </c>
      <c r="W11" s="6" t="s">
        <v>43</v>
      </c>
      <c r="X11" s="6" t="s">
        <v>44</v>
      </c>
      <c r="Y11" s="6" t="s">
        <v>45</v>
      </c>
      <c r="Z11" s="6" t="s">
        <v>46</v>
      </c>
      <c r="AA11" s="6" t="s">
        <v>47</v>
      </c>
      <c r="AB11" s="6" t="s">
        <v>2</v>
      </c>
      <c r="AC11" s="6" t="s">
        <v>3</v>
      </c>
      <c r="AD11" s="6" t="s">
        <v>4</v>
      </c>
      <c r="AE11" s="6" t="s">
        <v>5</v>
      </c>
      <c r="AF11" s="6" t="s">
        <v>6</v>
      </c>
      <c r="AG11" s="6" t="s">
        <v>7</v>
      </c>
      <c r="AH11" s="6" t="s">
        <v>8</v>
      </c>
      <c r="AI11" s="6" t="s">
        <v>9</v>
      </c>
      <c r="AJ11" s="6" t="s">
        <v>10</v>
      </c>
      <c r="AK11" s="6" t="s">
        <v>51</v>
      </c>
      <c r="AL11" s="6" t="n">
        <v>6274058362.33</v>
      </c>
      <c r="AM11" s="6" t="n">
        <v>6257075601.22</v>
      </c>
      <c r="AN11" s="6"/>
    </row>
    <row r="12">
      <c r="A12" t="str">
        <f>L12</f>
      </c>
      <c r="B12" s="7" t="str">
        <f>AG12</f>
      </c>
      <c r="C12" s="7" t="str">
        <f>AJ12</f>
      </c>
      <c r="D12" s="7" t="str">
        <f>AK12</f>
      </c>
      <c r="E12" s="7"/>
      <c r="F12" s="2" t="str">
        <f>AK12/AJ12-1</f>
      </c>
      <c r="G12" s="2" t="str">
        <f>AK12/AG12-1</f>
      </c>
      <c r="H12" s="2"/>
      <c r="I12" s="2" t="str">
        <f>AK12/Sum(AK$11:AK$17)</f>
      </c>
      <c r="J12" s="2"/>
      <c r="L12" t="s">
        <v>69</v>
      </c>
      <c r="M12" s="7" t="n">
        <v>10729128513.2762</v>
      </c>
      <c r="N12" s="7" t="n">
        <v>11074619926.2147</v>
      </c>
      <c r="O12" s="7" t="n">
        <v>13044524297.5751</v>
      </c>
      <c r="P12" s="7" t="n">
        <v>16712693706.8193</v>
      </c>
      <c r="Q12" s="7" t="n">
        <v>19869157547.3429</v>
      </c>
      <c r="R12" s="7" t="n">
        <v>22674955819.7369</v>
      </c>
      <c r="S12" s="7" t="n">
        <v>29907067291.4277</v>
      </c>
      <c r="T12" s="7" t="n">
        <v>52950551255.7345</v>
      </c>
      <c r="U12" s="7" t="n">
        <v>68970946398.2195</v>
      </c>
      <c r="V12" s="7" t="n">
        <v>75007019736.8259</v>
      </c>
      <c r="W12" s="7" t="n">
        <v>25440958456.9914</v>
      </c>
      <c r="X12" s="7" t="n">
        <v>18404660431.2842</v>
      </c>
      <c r="Y12" s="7" t="n">
        <v>13053844985.2393</v>
      </c>
      <c r="Z12" s="7" t="n">
        <v>7304918123.92328</v>
      </c>
      <c r="AA12" s="7" t="n">
        <v>4501346052.24413</v>
      </c>
      <c r="AB12" s="7" t="n">
        <v>4140493607.75378</v>
      </c>
      <c r="AC12" s="7" t="n">
        <v>4341953501.98336</v>
      </c>
      <c r="AD12" s="7" t="n">
        <v>4621224882.4711</v>
      </c>
      <c r="AE12" s="7" t="n">
        <v>6049484250.98168</v>
      </c>
      <c r="AF12" s="7" t="n">
        <v>5956459040.5881</v>
      </c>
      <c r="AG12" s="7" t="n">
        <v>6357054147.4334</v>
      </c>
      <c r="AH12" s="7" t="n">
        <v>5616146140.08081</v>
      </c>
      <c r="AI12" s="7" t="n">
        <v>5077828150.4119</v>
      </c>
      <c r="AJ12" s="7" t="n">
        <v>6240783323.4101</v>
      </c>
      <c r="AK12" s="7" t="n">
        <v>7032063634.67708</v>
      </c>
      <c r="AL12" s="7"/>
      <c r="AM12" s="7"/>
      <c r="AN12" s="6"/>
    </row>
    <row r="13">
      <c r="A13" t="str">
        <f>L13</f>
      </c>
      <c r="B13" s="7" t="str">
        <f>AG13</f>
      </c>
      <c r="C13" s="7" t="str">
        <f>AJ13</f>
      </c>
      <c r="D13" s="7" t="str">
        <f>AK13</f>
      </c>
      <c r="E13" s="7"/>
      <c r="F13" s="2" t="str">
        <f>AK13/AJ13-1</f>
      </c>
      <c r="G13" s="2" t="str">
        <f>AK13/AG13-1</f>
      </c>
      <c r="H13" s="2"/>
      <c r="I13" s="2" t="str">
        <f>AK13/Sum(AK$11:AK$17)</f>
      </c>
      <c r="J13" s="2"/>
      <c r="L13" t="s">
        <v>70</v>
      </c>
      <c r="M13" s="7" t="n">
        <v>68957917981.9518</v>
      </c>
      <c r="N13" s="7" t="n">
        <v>70706485614.2123</v>
      </c>
      <c r="O13" s="7" t="n">
        <v>77544495760.1167</v>
      </c>
      <c r="P13" s="7" t="n">
        <v>95701831166.2309</v>
      </c>
      <c r="Q13" s="7" t="n">
        <v>112421941723.843</v>
      </c>
      <c r="R13" s="7" t="n">
        <v>118543888078.947</v>
      </c>
      <c r="S13" s="7" t="n">
        <v>133154720287.514</v>
      </c>
      <c r="T13" s="7" t="n">
        <v>128267805936.199</v>
      </c>
      <c r="U13" s="7" t="n">
        <v>127942518848.486</v>
      </c>
      <c r="V13" s="7" t="n">
        <v>128212689044.179</v>
      </c>
      <c r="W13" s="7" t="n">
        <v>145097040234.079</v>
      </c>
      <c r="X13" s="7" t="n">
        <v>152912214038.626</v>
      </c>
      <c r="Y13" s="7" t="n">
        <v>133660813414.857</v>
      </c>
      <c r="Z13" s="7" t="n">
        <v>123005796327.39</v>
      </c>
      <c r="AA13" s="7" t="n">
        <v>117479570466.297</v>
      </c>
      <c r="AB13" s="7" t="n">
        <v>110332528947.917</v>
      </c>
      <c r="AC13" s="7" t="n">
        <v>114106065339.652</v>
      </c>
      <c r="AD13" s="7" t="n">
        <v>120511605998.347</v>
      </c>
      <c r="AE13" s="7" t="n">
        <v>120677406157.285</v>
      </c>
      <c r="AF13" s="7" t="n">
        <v>127331142588.759</v>
      </c>
      <c r="AG13" s="7" t="n">
        <v>125130764699.493</v>
      </c>
      <c r="AH13" s="7" t="n">
        <v>126548174525.055</v>
      </c>
      <c r="AI13" s="7" t="n">
        <v>123831747544.741</v>
      </c>
      <c r="AJ13" s="7" t="n">
        <v>127278745636.945</v>
      </c>
      <c r="AK13" s="7" t="n">
        <v>136543637843.184</v>
      </c>
      <c r="AL13" s="7"/>
      <c r="AM13" s="7" t="n">
        <v>-1323.75</v>
      </c>
      <c r="AN13" s="6"/>
    </row>
    <row r="14">
      <c r="A14" t="str">
        <f>L14</f>
      </c>
      <c r="B14" s="7" t="str">
        <f>AG14</f>
      </c>
      <c r="C14" s="7" t="str">
        <f>AJ14</f>
      </c>
      <c r="D14" s="7" t="str">
        <f>AK14</f>
      </c>
      <c r="E14" s="7"/>
      <c r="F14" s="2" t="str">
        <f>AK14/AJ14-1</f>
      </c>
      <c r="G14" s="2" t="str">
        <f>AK14/AG14-1</f>
      </c>
      <c r="H14" s="2"/>
      <c r="I14" s="2" t="str">
        <f>AK14/Sum(AK$11:AK$17)</f>
      </c>
      <c r="J14" s="2"/>
      <c r="L14" t="s">
        <v>55</v>
      </c>
      <c r="M14" s="7" t="n">
        <v>110503273252.298</v>
      </c>
      <c r="N14" s="7" t="n">
        <v>119914679039.574</v>
      </c>
      <c r="O14" s="7" t="n">
        <v>141652862861.844</v>
      </c>
      <c r="P14" s="7" t="n">
        <v>177949806499.254</v>
      </c>
      <c r="Q14" s="7" t="n">
        <v>176147389147.649</v>
      </c>
      <c r="R14" s="7" t="n">
        <v>203179326295.875</v>
      </c>
      <c r="S14" s="7" t="n">
        <v>220211529334.509</v>
      </c>
      <c r="T14" s="7" t="n">
        <v>249612230141.979</v>
      </c>
      <c r="U14" s="7" t="n">
        <v>279179355686.829</v>
      </c>
      <c r="V14" s="7" t="n">
        <v>250237188317.358</v>
      </c>
      <c r="W14" s="7" t="n">
        <v>279164675193.288</v>
      </c>
      <c r="X14" s="7" t="n">
        <v>261597310509.72</v>
      </c>
      <c r="Y14" s="7" t="n">
        <v>250210300031.25</v>
      </c>
      <c r="Z14" s="7" t="n">
        <v>198943648804.73</v>
      </c>
      <c r="AA14" s="7" t="n">
        <v>189657877365.969</v>
      </c>
      <c r="AB14" s="7" t="n">
        <v>185391990129.497</v>
      </c>
      <c r="AC14" s="7" t="n">
        <v>201924898030.597</v>
      </c>
      <c r="AD14" s="7" t="n">
        <v>200712254029.102</v>
      </c>
      <c r="AE14" s="7" t="n">
        <v>222374993883.033</v>
      </c>
      <c r="AF14" s="7" t="n">
        <v>237875405256.288</v>
      </c>
      <c r="AG14" s="7" t="n">
        <v>258548030469.478</v>
      </c>
      <c r="AH14" s="7" t="n">
        <v>248243290872.247</v>
      </c>
      <c r="AI14" s="7" t="n">
        <v>239674836011.556</v>
      </c>
      <c r="AJ14" s="7" t="n">
        <v>241088412575.15</v>
      </c>
      <c r="AK14" s="7" t="n">
        <v>235070426839.909</v>
      </c>
      <c r="AL14" s="7" t="n">
        <v>13005116422.3806</v>
      </c>
      <c r="AM14" s="7" t="n">
        <v>13637235569.29</v>
      </c>
      <c r="AN14" s="6"/>
    </row>
    <row r="15">
      <c r="A15" t="str">
        <f>L15</f>
      </c>
      <c r="B15" s="7" t="str">
        <f>AG15</f>
      </c>
      <c r="C15" s="7" t="str">
        <f>AJ15</f>
      </c>
      <c r="D15" s="7" t="str">
        <f>AK15</f>
      </c>
      <c r="E15" s="7"/>
      <c r="F15" s="2" t="str">
        <f>AK15/AJ15-1</f>
      </c>
      <c r="G15" s="2" t="str">
        <f>AK15/AG15-1</f>
      </c>
      <c r="H15" s="2"/>
      <c r="I15" s="2" t="str">
        <f>AK15/Sum(AK$11:AK$17)</f>
      </c>
      <c r="J15" s="2"/>
      <c r="L15" t="s">
        <v>56</v>
      </c>
      <c r="M15" s="7" t="n">
        <v>10594679488.353</v>
      </c>
      <c r="N15" s="7" t="n">
        <v>13944861852.608</v>
      </c>
      <c r="O15" s="7" t="n">
        <v>13863626015.4369</v>
      </c>
      <c r="P15" s="7" t="n">
        <v>16231728138.4242</v>
      </c>
      <c r="Q15" s="7" t="n">
        <v>17634555520.278</v>
      </c>
      <c r="R15" s="7" t="n">
        <v>33227005483.805</v>
      </c>
      <c r="S15" s="7" t="n">
        <v>28966730530.3942</v>
      </c>
      <c r="T15" s="7" t="n">
        <v>24748527118.8072</v>
      </c>
      <c r="U15" s="7" t="n">
        <v>32168507513.1468</v>
      </c>
      <c r="V15" s="7" t="n">
        <v>34011351187.4841</v>
      </c>
      <c r="W15" s="7" t="n">
        <v>23367402388.9989</v>
      </c>
      <c r="X15" s="7" t="n">
        <v>26175603057.2243</v>
      </c>
      <c r="Y15" s="7" t="n">
        <v>35541256487.2553</v>
      </c>
      <c r="Z15" s="7" t="n">
        <v>23557886621.167</v>
      </c>
      <c r="AA15" s="7" t="n">
        <v>15002553870.1532</v>
      </c>
      <c r="AB15" s="7" t="n">
        <v>11243366844.9997</v>
      </c>
      <c r="AC15" s="7" t="n">
        <v>9162731235.234</v>
      </c>
      <c r="AD15" s="7" t="n">
        <v>11248330954.3122</v>
      </c>
      <c r="AE15" s="7" t="n">
        <v>12695304975.2372</v>
      </c>
      <c r="AF15" s="7" t="n">
        <v>11495677830.8937</v>
      </c>
      <c r="AG15" s="7" t="n">
        <v>10353071199.3225</v>
      </c>
      <c r="AH15" s="7" t="n">
        <v>11636787174.3834</v>
      </c>
      <c r="AI15" s="7" t="n">
        <v>18350285969.8313</v>
      </c>
      <c r="AJ15" s="7" t="n">
        <v>16981868245.7354</v>
      </c>
      <c r="AK15" s="7" t="n">
        <v>17003105779.2759</v>
      </c>
      <c r="AL15" s="7" t="n">
        <v>3771713884.1004</v>
      </c>
      <c r="AM15" s="7" t="n">
        <v>3782264288.75</v>
      </c>
      <c r="AN15" s="6"/>
    </row>
    <row r="16">
      <c r="A16" t="str">
        <f>L16</f>
      </c>
      <c r="B16" s="7" t="str">
        <f>AG16</f>
      </c>
      <c r="C16" s="7" t="str">
        <f>AJ16</f>
      </c>
      <c r="D16" s="7" t="str">
        <f>AK16</f>
      </c>
      <c r="E16" s="7"/>
      <c r="F16" s="2" t="str">
        <f>AK16/AJ16-1</f>
      </c>
      <c r="G16" s="2" t="str">
        <f>AK16/AG16-1</f>
      </c>
      <c r="H16" s="2"/>
      <c r="I16" s="2" t="str">
        <f>AK16/Sum(AK$11:AK$17)</f>
      </c>
      <c r="J16" s="2"/>
      <c r="L16" t="s">
        <v>60</v>
      </c>
      <c r="M16" s="7" t="n">
        <v>10310802233.5323</v>
      </c>
      <c r="N16" s="7" t="n">
        <v>10164446007.0455</v>
      </c>
      <c r="O16" s="7" t="n">
        <v>14594693221.8333</v>
      </c>
      <c r="P16" s="7" t="n">
        <v>14395400805.4448</v>
      </c>
      <c r="Q16" s="7" t="n">
        <v>15210400882.0125</v>
      </c>
      <c r="R16" s="7" t="n">
        <v>10279902836.0924</v>
      </c>
      <c r="S16" s="7" t="n">
        <v>10302798298.1244</v>
      </c>
      <c r="T16" s="7" t="n">
        <v>7859633339.78007</v>
      </c>
      <c r="U16" s="7" t="n">
        <v>7420092697.17786</v>
      </c>
      <c r="V16" s="7" t="n">
        <v>12778306414.2294</v>
      </c>
      <c r="W16" s="7" t="n">
        <v>20330605753.9919</v>
      </c>
      <c r="X16" s="7" t="n">
        <v>32721996106.4789</v>
      </c>
      <c r="Y16" s="7" t="n">
        <v>36463027220.7046</v>
      </c>
      <c r="Z16" s="7" t="n">
        <v>43954388258.5447</v>
      </c>
      <c r="AA16" s="7" t="n">
        <v>31695759762.263</v>
      </c>
      <c r="AB16" s="7" t="n">
        <v>32011684919.4972</v>
      </c>
      <c r="AC16" s="7" t="n">
        <v>41024920016.1634</v>
      </c>
      <c r="AD16" s="7" t="n">
        <v>55793420266.394</v>
      </c>
      <c r="AE16" s="7" t="n">
        <v>66713757130.9034</v>
      </c>
      <c r="AF16" s="7" t="n">
        <v>67556456875.3065</v>
      </c>
      <c r="AG16" s="7" t="n">
        <v>88895271810.8618</v>
      </c>
      <c r="AH16" s="7" t="n">
        <v>41749486569.6818</v>
      </c>
      <c r="AI16" s="7" t="n">
        <v>46523020544.609</v>
      </c>
      <c r="AJ16" s="7" t="n">
        <v>64656951414.6669</v>
      </c>
      <c r="AK16" s="7" t="n">
        <v>37818450872.3933</v>
      </c>
      <c r="AL16" s="7"/>
      <c r="AM16" s="7"/>
      <c r="AN16" s="6"/>
    </row>
    <row r="17">
      <c r="A17" t="str">
        <f>L17</f>
      </c>
      <c r="B17" s="7" t="str">
        <f>AG17</f>
      </c>
      <c r="C17" s="7" t="str">
        <f>AJ17</f>
      </c>
      <c r="D17" s="7" t="str">
        <f>AK17</f>
      </c>
      <c r="E17" s="7"/>
      <c r="F17" s="2" t="str">
        <f>AK17/AJ17-1</f>
      </c>
      <c r="G17" s="2" t="str">
        <f>AK17/AG17-1</f>
      </c>
      <c r="H17" s="2"/>
      <c r="I17" s="2" t="str">
        <f>AK17/Sum(AK$11:AK$17)</f>
      </c>
      <c r="J17" s="2"/>
      <c r="L17"/>
      <c r="M17" s="7" t="n">
        <v>11119152957.58</v>
      </c>
      <c r="N17" s="7" t="n">
        <v>10544288449.1564</v>
      </c>
      <c r="O17" s="7" t="n">
        <v>13707665483.978</v>
      </c>
      <c r="P17" s="7" t="n">
        <v>14400719848.3348</v>
      </c>
      <c r="Q17" s="7" t="n">
        <v>14347823540.9574</v>
      </c>
      <c r="R17" s="7" t="n">
        <v>11131070317.0259</v>
      </c>
      <c r="S17" s="7" t="n">
        <v>6855489170.15793</v>
      </c>
      <c r="T17" s="7" t="n">
        <v>1161233735.1637</v>
      </c>
      <c r="U17" s="7" t="n">
        <v>8588612371.65704</v>
      </c>
      <c r="V17" s="7" t="n">
        <v>4522801584.18371</v>
      </c>
      <c r="W17" s="7" t="n">
        <v>291811804.184649</v>
      </c>
      <c r="X17" s="7" t="n">
        <v>-4111788.83780017</v>
      </c>
      <c r="Y17" s="7" t="n">
        <v>-2585879.6769902</v>
      </c>
      <c r="Z17" s="7" t="n">
        <v>654852.128864949</v>
      </c>
      <c r="AA17" s="7" t="n">
        <v>-3583456.53012523</v>
      </c>
      <c r="AB17" s="7" t="n">
        <v>37531.3699317261</v>
      </c>
      <c r="AC17" s="7" t="n">
        <v>-72603.4972183619</v>
      </c>
      <c r="AD17" s="7" t="n">
        <v>1656165.43825815</v>
      </c>
      <c r="AE17" s="7" t="n">
        <v>24128.2435797438</v>
      </c>
      <c r="AF17" s="7" t="n">
        <v>59684.9236466806</v>
      </c>
      <c r="AG17" s="7" t="n">
        <v>11573.9072704938</v>
      </c>
      <c r="AH17" s="7" t="n">
        <v>11188.817598517</v>
      </c>
      <c r="AI17" s="7" t="n">
        <v>0</v>
      </c>
      <c r="AJ17" s="7" t="n">
        <v>-29324.9492</v>
      </c>
      <c r="AK17" s="7" t="n">
        <v>9739.88670259903</v>
      </c>
      <c r="AL17" s="7"/>
      <c r="AM17" s="7"/>
      <c r="AN17" s="6"/>
    </row>
    <row r="18">
      <c r="A18" t="str">
        <f>L18</f>
      </c>
      <c r="B18" s="7" t="str">
        <f>AG18</f>
      </c>
      <c r="C18" s="7" t="str">
        <f>AJ18</f>
      </c>
      <c r="D18" s="7" t="str">
        <f>AK18</f>
      </c>
      <c r="E18" s="7"/>
      <c r="F18" s="2" t="str">
        <f>AK18/AJ18-1</f>
      </c>
      <c r="G18" s="2" t="str">
        <f>AK18/AG18-1</f>
      </c>
      <c r="H18" s="2"/>
      <c r="I18" s="2" t="str">
        <f>Sum(I$11:I$17)</f>
      </c>
      <c r="J18" s="2"/>
      <c r="L18" t="s">
        <v>20</v>
      </c>
      <c r="M18" s="7" t="str">
        <f>Sum(M12:M17)</f>
      </c>
      <c r="N18" s="7" t="str">
        <f>Sum(N12:N17)</f>
      </c>
      <c r="O18" s="7" t="str">
        <f>Sum(O12:O17)</f>
      </c>
      <c r="P18" s="7" t="str">
        <f>Sum(P12:P17)</f>
      </c>
      <c r="Q18" s="7" t="str">
        <f>Sum(Q12:Q17)</f>
      </c>
      <c r="R18" s="7" t="str">
        <f>Sum(R12:R17)</f>
      </c>
      <c r="S18" s="7" t="str">
        <f>Sum(S12:S17)</f>
      </c>
      <c r="T18" s="7" t="str">
        <f>Sum(T12:T17)</f>
      </c>
      <c r="U18" s="7" t="str">
        <f>Sum(U12:U17)</f>
      </c>
      <c r="V18" s="7" t="str">
        <f>Sum(V12:V17)</f>
      </c>
      <c r="W18" s="7" t="str">
        <f>Sum(W12:W17)</f>
      </c>
      <c r="X18" s="7" t="str">
        <f>Sum(X12:X17)</f>
      </c>
      <c r="Y18" s="7" t="str">
        <f>Sum(Y12:Y17)</f>
      </c>
      <c r="Z18" s="7" t="str">
        <f>Sum(Z12:Z17)</f>
      </c>
      <c r="AA18" s="7" t="str">
        <f>Sum(AA12:AA17)</f>
      </c>
      <c r="AB18" s="7" t="str">
        <f>Sum(AB12:AB17)</f>
      </c>
      <c r="AC18" s="7" t="str">
        <f>Sum(AC12:AC17)</f>
      </c>
      <c r="AD18" s="7" t="str">
        <f>Sum(AD12:AD17)</f>
      </c>
      <c r="AE18" s="7" t="str">
        <f>Sum(AE12:AE17)</f>
      </c>
      <c r="AF18" s="7" t="str">
        <f>Sum(AF12:AF17)</f>
      </c>
      <c r="AG18" s="7" t="str">
        <f>Sum(AG12:AG17)</f>
      </c>
      <c r="AH18" s="7" t="str">
        <f>Sum(AH12:AH17)</f>
      </c>
      <c r="AI18" s="7" t="str">
        <f>Sum(AI12:AI17)</f>
      </c>
      <c r="AJ18" s="7" t="str">
        <f>Sum(AJ12:AJ17)</f>
      </c>
      <c r="AK18" s="7" t="str">
        <f>Sum(AK12:AK17)</f>
      </c>
      <c r="AL18" s="7" t="str">
        <f>Sum(AL12:AL17)</f>
      </c>
      <c r="AM18" s="7" t="n">
        <v>25832696351.36</v>
      </c>
      <c r="AN18" s="6"/>
    </row>
    <row r="19">
      <c r="A19" t="str">
        <f>M19</f>
      </c>
      <c r="B19" t="str">
        <f>N19</f>
      </c>
      <c r="M19" t="s">
        <v>60</v>
      </c>
      <c r="N19" t="s">
        <v>18</v>
      </c>
      <c r="O19" s="6" t="n">
        <v>512057199</v>
      </c>
      <c r="P19" s="6" t="n">
        <v>2311727532</v>
      </c>
      <c r="Q19" s="6" t="n">
        <v>2627492847</v>
      </c>
      <c r="R19" s="6" t="n">
        <v>1620053630</v>
      </c>
      <c r="S19" s="6" t="n">
        <v>1296775900.74</v>
      </c>
      <c r="T19" s="6" t="n">
        <v>1462215574.1484</v>
      </c>
      <c r="U19" s="6" t="n">
        <v>1409952456.6536</v>
      </c>
      <c r="V19" s="6" t="n">
        <v>1017434588.6266</v>
      </c>
      <c r="W19" s="6" t="n">
        <v>725762334.4813</v>
      </c>
      <c r="X19" s="6" t="n">
        <v>517320094.921</v>
      </c>
      <c r="Y19" s="6" t="n">
        <v>2453355653.9206</v>
      </c>
      <c r="Z19" s="6" t="n">
        <v>1188699909.2695</v>
      </c>
      <c r="AA19" s="6" t="n">
        <v>1412743180.2563</v>
      </c>
      <c r="AB19" s="6" t="n">
        <v>1579694158.0139</v>
      </c>
      <c r="AC19" s="6" t="n">
        <v>1862629640.2746</v>
      </c>
      <c r="AD19" s="6" t="n">
        <v>1421554973.9398</v>
      </c>
      <c r="AE19" s="6" t="n">
        <v>1852731162.2413</v>
      </c>
      <c r="AF19" s="6" t="n">
        <v>1080048015.3156</v>
      </c>
      <c r="AG19" s="6" t="n">
        <v>1409752546.9787</v>
      </c>
      <c r="AH19" s="6" t="n">
        <v>2530848755.8539</v>
      </c>
      <c r="AI19" s="6" t="n">
        <v>2319605948.3177</v>
      </c>
      <c r="AJ19" s="6" t="n">
        <v>2299612385.0877</v>
      </c>
      <c r="AK19" s="6" t="n">
        <v>2098613730.7502</v>
      </c>
      <c r="AL19" s="6" t="n">
        <v>2180156305.7018</v>
      </c>
      <c r="AM19" s="6" t="n">
        <v>2034951335.55</v>
      </c>
      <c r="AN19" s="6"/>
    </row>
    <row r="20">
      <c r="A20" t="str">
        <f>M20</f>
      </c>
      <c r="B20" t="str">
        <f>N20</f>
      </c>
      <c r="M20" t="s">
        <v>60</v>
      </c>
      <c r="N20" t="s">
        <v>49</v>
      </c>
      <c r="O20" s="6" t="n">
        <v>103631708</v>
      </c>
      <c r="P20" s="6" t="n">
        <v>113832613</v>
      </c>
      <c r="Q20" s="6" t="n">
        <v>368207683</v>
      </c>
      <c r="R20" s="6" t="n">
        <v>218802737</v>
      </c>
      <c r="S20" s="6" t="n">
        <v>107730812</v>
      </c>
      <c r="T20" s="6" t="n">
        <v>212321832</v>
      </c>
      <c r="U20" s="6" t="n">
        <v>131419036</v>
      </c>
      <c r="V20" s="6" t="n">
        <v>115585491.47</v>
      </c>
      <c r="W20" s="6" t="n">
        <v>149923228.77</v>
      </c>
      <c r="X20" s="6" t="n">
        <v>460531349.6376</v>
      </c>
      <c r="Y20" s="6" t="n">
        <v>1115942757.504</v>
      </c>
      <c r="Z20" s="6" t="n">
        <v>438924968.8533</v>
      </c>
      <c r="AA20" s="6" t="n">
        <v>331984182.5465</v>
      </c>
      <c r="AB20" s="6" t="n">
        <v>333288955.28</v>
      </c>
      <c r="AC20" s="6" t="n">
        <v>1084880226.5075</v>
      </c>
      <c r="AD20" s="6" t="n">
        <v>668609820.2</v>
      </c>
      <c r="AE20" s="6" t="n">
        <v>1003196367.9414</v>
      </c>
      <c r="AF20" s="6" t="n">
        <v>650350668.2779</v>
      </c>
      <c r="AG20" s="6" t="n">
        <v>922512009.4571</v>
      </c>
      <c r="AH20" s="6" t="n">
        <v>1458529263.7827</v>
      </c>
      <c r="AI20" s="6" t="n">
        <v>1344378070.8554</v>
      </c>
      <c r="AJ20" s="6" t="n">
        <v>1047004634.1588</v>
      </c>
      <c r="AK20" s="6" t="n">
        <v>66045494.4112</v>
      </c>
      <c r="AL20" s="6" t="n">
        <v>826551205.1926</v>
      </c>
      <c r="AM20" s="6" t="n">
        <v>1229342883.69</v>
      </c>
      <c r="AN20" s="6"/>
    </row>
    <row r="21">
      <c r="A21" t="str">
        <f>M21</f>
      </c>
      <c r="B21" t="str">
        <f>N21</f>
      </c>
      <c r="M21" t="s">
        <v>60</v>
      </c>
      <c r="N21" t="s">
        <v>19</v>
      </c>
      <c r="O21" s="6" t="n">
        <v>0</v>
      </c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</row>
    <row r="22">
      <c r="A22" t="str">
        <f>M22</f>
      </c>
      <c r="B22" t="str">
        <f>N22</f>
      </c>
      <c r="M22" t="s">
        <v>62</v>
      </c>
      <c r="N22" t="s">
        <v>67</v>
      </c>
      <c r="O22" s="6" t="n">
        <v>6513769396.4375</v>
      </c>
      <c r="P22" s="6" t="n">
        <v>10507941617.2188</v>
      </c>
      <c r="Q22" s="6" t="n">
        <v>9562627225.8099</v>
      </c>
      <c r="R22" s="6" t="n">
        <v>10469525461.7911</v>
      </c>
      <c r="S22" s="6" t="n">
        <v>12574857758.6896</v>
      </c>
      <c r="T22" s="6" t="n">
        <v>12092697238.2144</v>
      </c>
      <c r="U22" s="6" t="n">
        <v>13161841268.8854</v>
      </c>
      <c r="V22" s="6" t="n">
        <v>13025327973.5558</v>
      </c>
      <c r="W22" s="6" t="n">
        <v>12814310050.6883</v>
      </c>
      <c r="X22" s="6" t="n">
        <v>13030410936.9839</v>
      </c>
      <c r="Y22" s="6" t="n">
        <v>13162173315.3269</v>
      </c>
      <c r="Z22" s="6" t="n">
        <v>15147915845.8773</v>
      </c>
      <c r="AA22" s="6" t="n">
        <v>14241262576.4331</v>
      </c>
      <c r="AB22" s="6" t="n">
        <v>12374053794.0901</v>
      </c>
      <c r="AC22" s="6" t="n">
        <v>17732244990.0306</v>
      </c>
      <c r="AD22" s="6" t="n">
        <v>17620623146.4159</v>
      </c>
      <c r="AE22" s="6" t="n">
        <v>17717433126.7292</v>
      </c>
      <c r="AF22" s="6" t="n">
        <v>17731747008.9495</v>
      </c>
      <c r="AG22" s="6" t="n">
        <v>13621076395.4179</v>
      </c>
      <c r="AH22" s="6" t="n">
        <v>15287533107.834</v>
      </c>
      <c r="AI22" s="6" t="n">
        <v>17266800012.7943</v>
      </c>
      <c r="AJ22" s="6" t="n">
        <v>13652729992.482</v>
      </c>
      <c r="AK22" s="6" t="n">
        <v>15615392767.384</v>
      </c>
      <c r="AL22" s="6" t="n">
        <v>14592254986.3846</v>
      </c>
      <c r="AM22" s="6" t="n">
        <v>19405206830.44</v>
      </c>
      <c r="AN22" s="6"/>
    </row>
    <row r="23">
      <c r="A23" t="str">
        <f>M23</f>
      </c>
      <c r="B23" t="str">
        <f>N23</f>
      </c>
      <c r="M23" t="s">
        <v>62</v>
      </c>
      <c r="N23" t="s">
        <v>18</v>
      </c>
      <c r="O23" s="6" t="n">
        <v>13445590250.9415</v>
      </c>
      <c r="P23" s="6" t="n">
        <v>12440402261.4594</v>
      </c>
      <c r="Q23" s="6" t="n">
        <v>15279365182.4309</v>
      </c>
      <c r="R23" s="6" t="n">
        <v>20020401441.5495</v>
      </c>
      <c r="S23" s="6" t="n">
        <v>26673243664.8758</v>
      </c>
      <c r="T23" s="6" t="n">
        <v>26722523150.3171</v>
      </c>
      <c r="U23" s="6" t="n">
        <v>28885863928.37</v>
      </c>
      <c r="V23" s="6" t="n">
        <v>27956889834.1425</v>
      </c>
      <c r="W23" s="6" t="n">
        <v>30658200415.0513</v>
      </c>
      <c r="X23" s="6" t="n">
        <v>32825971456.4472</v>
      </c>
      <c r="Y23" s="6" t="n">
        <v>37160372378.3152</v>
      </c>
      <c r="Z23" s="6" t="n">
        <v>41962152356.8694</v>
      </c>
      <c r="AA23" s="6" t="n">
        <v>41256850669.6969</v>
      </c>
      <c r="AB23" s="6" t="n">
        <v>42005278625.0978</v>
      </c>
      <c r="AC23" s="6" t="n">
        <v>38402270325.2427</v>
      </c>
      <c r="AD23" s="6" t="n">
        <v>38371424338.8482</v>
      </c>
      <c r="AE23" s="6" t="n">
        <v>36391492310.1355</v>
      </c>
      <c r="AF23" s="6" t="n">
        <v>40104403901.2089</v>
      </c>
      <c r="AG23" s="6" t="n">
        <v>40379511099.7579</v>
      </c>
      <c r="AH23" s="6" t="n">
        <v>45000913799.9764</v>
      </c>
      <c r="AI23" s="6" t="n">
        <v>46522354572.0242</v>
      </c>
      <c r="AJ23" s="6" t="n">
        <v>48309836399.1912</v>
      </c>
      <c r="AK23" s="6" t="n">
        <v>49871932852.5629</v>
      </c>
      <c r="AL23" s="6" t="n">
        <v>53828484657.8607</v>
      </c>
      <c r="AM23" s="6" t="n">
        <v>56323031924.68</v>
      </c>
      <c r="AN23" s="6"/>
    </row>
    <row r="24">
      <c r="A24" t="str">
        <f>M24</f>
      </c>
      <c r="B24" t="str">
        <f>N24</f>
      </c>
      <c r="M24" t="s">
        <v>62</v>
      </c>
      <c r="N24" t="s">
        <v>49</v>
      </c>
      <c r="O24" s="6" t="n">
        <v>13962246259.4228</v>
      </c>
      <c r="P24" s="6" t="n">
        <v>14132766441.89</v>
      </c>
      <c r="Q24" s="6" t="n">
        <v>16243156136.9595</v>
      </c>
      <c r="R24" s="6" t="n">
        <v>21393580271.4472</v>
      </c>
      <c r="S24" s="6" t="n">
        <v>22089153491.1938</v>
      </c>
      <c r="T24" s="6" t="n">
        <v>24433102486.5368</v>
      </c>
      <c r="U24" s="6" t="n">
        <v>26359953829.8537</v>
      </c>
      <c r="V24" s="6" t="n">
        <v>26904247171.2341</v>
      </c>
      <c r="W24" s="6" t="n">
        <v>24723137907.3606</v>
      </c>
      <c r="X24" s="6" t="n">
        <v>27260481152.6702</v>
      </c>
      <c r="Y24" s="6" t="n">
        <v>28414687100.8316</v>
      </c>
      <c r="Z24" s="6" t="n">
        <v>25863797432.9345</v>
      </c>
      <c r="AA24" s="6" t="n">
        <v>23855274969.6027</v>
      </c>
      <c r="AB24" s="6" t="n">
        <v>20460671676.0896</v>
      </c>
      <c r="AC24" s="6" t="n">
        <v>19235613585.8004</v>
      </c>
      <c r="AD24" s="6" t="n">
        <v>17959874094.3966</v>
      </c>
      <c r="AE24" s="6" t="n">
        <v>18328418278.6334</v>
      </c>
      <c r="AF24" s="6" t="n">
        <v>19316790194.2826</v>
      </c>
      <c r="AG24" s="6" t="n">
        <v>20457476702.6525</v>
      </c>
      <c r="AH24" s="6" t="n">
        <v>21192568044.4971</v>
      </c>
      <c r="AI24" s="6" t="n">
        <v>17415101378.3903</v>
      </c>
      <c r="AJ24" s="6" t="n">
        <v>20631058122.9189</v>
      </c>
      <c r="AK24" s="6" t="n">
        <v>22191526722.8691</v>
      </c>
      <c r="AL24" s="6" t="n">
        <v>24827940456.605</v>
      </c>
      <c r="AM24" s="6" t="n">
        <v>24664848443.75</v>
      </c>
      <c r="AN24" s="6"/>
    </row>
    <row r="25">
      <c r="A25" t="str">
        <f>M25</f>
      </c>
      <c r="B25" t="str">
        <f>N25</f>
      </c>
      <c r="M25" t="s">
        <v>62</v>
      </c>
      <c r="N25" t="s">
        <v>19</v>
      </c>
      <c r="O25" s="6" t="n">
        <v>1968247</v>
      </c>
      <c r="P25" s="6" t="n">
        <v>1506412</v>
      </c>
      <c r="Q25" s="6" t="n">
        <v>9236544</v>
      </c>
      <c r="R25" s="6" t="n">
        <v>16133355</v>
      </c>
      <c r="S25" s="6" t="n">
        <v>1436950</v>
      </c>
      <c r="T25" s="6" t="n">
        <v>431106.3301</v>
      </c>
      <c r="U25" s="6" t="n">
        <v>9419920.8799</v>
      </c>
      <c r="V25" s="6" t="n">
        <v>0</v>
      </c>
      <c r="W25" s="6" t="n">
        <v>-151143.5506</v>
      </c>
      <c r="X25" s="6" t="n">
        <v>14525.3795</v>
      </c>
      <c r="Y25" s="6" t="n">
        <v>-2907.3301</v>
      </c>
      <c r="Z25" s="6"/>
      <c r="AA25" s="6"/>
      <c r="AB25" s="6"/>
      <c r="AC25" s="6"/>
      <c r="AD25" s="6"/>
      <c r="AE25" s="6" t="n">
        <v>0</v>
      </c>
      <c r="AF25" s="6"/>
      <c r="AG25" s="6"/>
      <c r="AH25" s="6"/>
      <c r="AI25" s="6" t="n">
        <v>0</v>
      </c>
      <c r="AJ25" s="6" t="n">
        <v>0</v>
      </c>
      <c r="AK25" s="6" t="n">
        <v>0</v>
      </c>
      <c r="AL25" s="6"/>
      <c r="AM25" s="6"/>
      <c r="AN25" s="6"/>
    </row>
    <row r="26">
      <c r="A26" t="str">
        <f>M26</f>
      </c>
      <c r="B26" t="str">
        <f>N26</f>
      </c>
      <c r="M26" t="s">
        <v>57</v>
      </c>
      <c r="N26" t="s">
        <v>67</v>
      </c>
      <c r="O26" s="6" t="n">
        <v>352966475</v>
      </c>
      <c r="P26" s="6" t="n">
        <v>514207712.5388</v>
      </c>
      <c r="Q26" s="6" t="n">
        <v>857430743</v>
      </c>
      <c r="R26" s="6" t="n">
        <v>1034643226.5</v>
      </c>
      <c r="S26" s="6" t="n">
        <v>1443552010.8003</v>
      </c>
      <c r="T26" s="6" t="n">
        <v>1491349694.1175</v>
      </c>
      <c r="U26" s="6" t="n">
        <v>916423634.7701</v>
      </c>
      <c r="V26" s="6" t="n">
        <v>297769498.1608</v>
      </c>
      <c r="W26" s="6" t="n">
        <v>1578450706.6445</v>
      </c>
      <c r="X26" s="6" t="n">
        <v>496314225.6912</v>
      </c>
      <c r="Y26" s="6" t="n">
        <v>258950493.0971</v>
      </c>
      <c r="Z26" s="6" t="n">
        <v>93954126.9499</v>
      </c>
      <c r="AA26" s="6" t="n">
        <v>115109320.3202</v>
      </c>
      <c r="AB26" s="6" t="n">
        <v>81781673.3492</v>
      </c>
      <c r="AC26" s="6" t="n">
        <v>-4290213.0797</v>
      </c>
      <c r="AD26" s="6" t="n">
        <v>16076982.7546</v>
      </c>
      <c r="AE26" s="6" t="n">
        <v>35114868.3173</v>
      </c>
      <c r="AF26" s="6" t="n">
        <v>84366022.6525</v>
      </c>
      <c r="AG26" s="6" t="n">
        <v>101289370.6215</v>
      </c>
      <c r="AH26" s="6" t="n">
        <v>461962986.5428</v>
      </c>
      <c r="AI26" s="6" t="n">
        <v>568753755.414</v>
      </c>
      <c r="AJ26" s="6" t="n">
        <v>436149212.4472</v>
      </c>
      <c r="AK26" s="6" t="n">
        <v>597856323.9826</v>
      </c>
      <c r="AL26" s="6" t="n">
        <v>257400182.7926</v>
      </c>
      <c r="AM26" s="6" t="n">
        <v>193634467.93</v>
      </c>
      <c r="AN26" s="6"/>
    </row>
    <row r="27">
      <c r="A27" t="str">
        <f>M27</f>
      </c>
      <c r="B27" t="str">
        <f>N27</f>
      </c>
      <c r="M27" t="s">
        <v>57</v>
      </c>
      <c r="N27" t="s">
        <v>18</v>
      </c>
      <c r="O27" s="6" t="n">
        <v>505285791</v>
      </c>
      <c r="P27" s="6" t="n">
        <v>987370106</v>
      </c>
      <c r="Q27" s="6" t="n">
        <v>855343916.64</v>
      </c>
      <c r="R27" s="6" t="n">
        <v>1025034872.08</v>
      </c>
      <c r="S27" s="6" t="n">
        <v>905327746.4784</v>
      </c>
      <c r="T27" s="6" t="n">
        <v>933511559.6997</v>
      </c>
      <c r="U27" s="6" t="n">
        <v>1420253860.0505</v>
      </c>
      <c r="V27" s="6" t="n">
        <v>1388648271.3747</v>
      </c>
      <c r="W27" s="6" t="n">
        <v>1102017141.8163</v>
      </c>
      <c r="X27" s="6" t="n">
        <v>1286402816.9136</v>
      </c>
      <c r="Y27" s="6" t="n">
        <v>1566271722.8831</v>
      </c>
      <c r="Z27" s="6" t="n">
        <v>1845169280.5351</v>
      </c>
      <c r="AA27" s="6" t="n">
        <v>1098077208.0287</v>
      </c>
      <c r="AB27" s="6" t="n">
        <v>564942288.0733</v>
      </c>
      <c r="AC27" s="6" t="n">
        <v>472432023.6379</v>
      </c>
      <c r="AD27" s="6" t="n">
        <v>524654798.6309</v>
      </c>
      <c r="AE27" s="6" t="n">
        <v>521869859.0182</v>
      </c>
      <c r="AF27" s="6" t="n">
        <v>405776957.6433</v>
      </c>
      <c r="AG27" s="6" t="n">
        <v>339148366.6661</v>
      </c>
      <c r="AH27" s="6" t="n">
        <v>319275007.9768</v>
      </c>
      <c r="AI27" s="6" t="n">
        <v>548821417.1319</v>
      </c>
      <c r="AJ27" s="6" t="n">
        <v>780665180.1344</v>
      </c>
      <c r="AK27" s="6" t="n">
        <v>445730813.1759</v>
      </c>
      <c r="AL27" s="6" t="n">
        <v>974125590.9298</v>
      </c>
      <c r="AM27" s="6" t="n">
        <v>1481255258.64</v>
      </c>
      <c r="AN27" s="6"/>
    </row>
    <row r="28">
      <c r="A28" t="str">
        <f>M28</f>
      </c>
      <c r="B28" t="str">
        <f>N28</f>
      </c>
      <c r="M28" t="s">
        <v>57</v>
      </c>
      <c r="N28" t="s">
        <v>49</v>
      </c>
      <c r="O28" s="6" t="n">
        <v>114567013</v>
      </c>
      <c r="P28" s="6" t="n">
        <v>69133210</v>
      </c>
      <c r="Q28" s="6" t="n">
        <v>41000036</v>
      </c>
      <c r="R28" s="6" t="n">
        <v>66495900</v>
      </c>
      <c r="S28" s="6" t="n">
        <v>73236672</v>
      </c>
      <c r="T28" s="6" t="n">
        <v>69474578</v>
      </c>
      <c r="U28" s="6" t="n">
        <v>22870590.47</v>
      </c>
      <c r="V28" s="6" t="n">
        <v>2018374.5999</v>
      </c>
      <c r="W28" s="6" t="n">
        <v>23876808.48</v>
      </c>
      <c r="X28" s="6" t="n">
        <v>26948901.4851</v>
      </c>
      <c r="Y28" s="6" t="n">
        <v>4508360.1641</v>
      </c>
      <c r="Z28" s="6" t="n">
        <v>-542060.0805</v>
      </c>
      <c r="AA28" s="6" t="n">
        <v>7615438.1465</v>
      </c>
      <c r="AB28" s="6" t="n">
        <v>8014355.4081</v>
      </c>
      <c r="AC28" s="6" t="n">
        <v>4171063.9592</v>
      </c>
      <c r="AD28" s="6" t="n">
        <v>992856.74</v>
      </c>
      <c r="AE28" s="6" t="n">
        <v>-1367545.5278</v>
      </c>
      <c r="AF28" s="6" t="n">
        <v>235578.0234</v>
      </c>
      <c r="AG28" s="6" t="n">
        <v>-174210.4531</v>
      </c>
      <c r="AH28" s="6" t="n">
        <v>3267785.2188</v>
      </c>
      <c r="AI28" s="6" t="n">
        <v>2756722.7188</v>
      </c>
      <c r="AJ28" s="6" t="n">
        <v>860598.16</v>
      </c>
      <c r="AK28" s="6" t="n">
        <v>1429259.0626</v>
      </c>
      <c r="AL28" s="6" t="n">
        <v>146533.875</v>
      </c>
      <c r="AM28" s="6" t="n">
        <v>0</v>
      </c>
      <c r="AN28" s="6"/>
    </row>
    <row r="29">
      <c r="A29" t="str">
        <f>M29</f>
      </c>
      <c r="B29" t="str">
        <f>N29</f>
      </c>
      <c r="M29" t="s">
        <v>57</v>
      </c>
      <c r="N29" t="s">
        <v>19</v>
      </c>
      <c r="O29" s="6"/>
      <c r="P29" s="6" t="n">
        <v>13342</v>
      </c>
      <c r="Q29" s="6"/>
      <c r="R29" s="6"/>
      <c r="S29" s="6" t="n">
        <v>2885.2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</row>
    <row r="30">
      <c r="A30" t="str">
        <f>M30</f>
      </c>
      <c r="B30" t="str">
        <f>N30</f>
      </c>
      <c r="M30" t="s">
        <v>63</v>
      </c>
      <c r="N30" t="s">
        <v>67</v>
      </c>
      <c r="O30" s="6" t="n">
        <v>273063414.0913</v>
      </c>
      <c r="P30" s="6" t="n">
        <v>338869135.445</v>
      </c>
      <c r="Q30" s="6" t="n">
        <v>401271075.5234</v>
      </c>
      <c r="R30" s="6" t="n">
        <v>528160391.4866</v>
      </c>
      <c r="S30" s="6" t="n">
        <v>501124242.9962</v>
      </c>
      <c r="T30" s="6" t="n">
        <v>734037253.6085</v>
      </c>
      <c r="U30" s="6" t="n">
        <v>1151213186.2592</v>
      </c>
      <c r="V30" s="6" t="n">
        <v>596742549.391</v>
      </c>
      <c r="W30" s="6" t="n">
        <v>1448064862.0567</v>
      </c>
      <c r="X30" s="6" t="n">
        <v>1831940149.3225</v>
      </c>
      <c r="Y30" s="6" t="n">
        <v>1380298144.5025</v>
      </c>
      <c r="Z30" s="6" t="n">
        <v>1652422933.7811</v>
      </c>
      <c r="AA30" s="6" t="n">
        <v>1206160883.8138</v>
      </c>
      <c r="AB30" s="6" t="n">
        <v>202946600.7618</v>
      </c>
      <c r="AC30" s="6" t="n">
        <v>131117876.3989</v>
      </c>
      <c r="AD30" s="6" t="n">
        <v>132225287.0514</v>
      </c>
      <c r="AE30" s="6" t="n">
        <v>52641257.5254</v>
      </c>
      <c r="AF30" s="6" t="n">
        <v>45186829.0609</v>
      </c>
      <c r="AG30" s="6" t="n">
        <v>43640859.2425</v>
      </c>
      <c r="AH30" s="6" t="n">
        <v>72713332.4346</v>
      </c>
      <c r="AI30" s="6" t="n">
        <v>143950264.5566</v>
      </c>
      <c r="AJ30" s="6" t="n">
        <v>89995815.1169</v>
      </c>
      <c r="AK30" s="6" t="n">
        <v>47953911.8422</v>
      </c>
      <c r="AL30" s="6" t="n">
        <v>58001035.387</v>
      </c>
      <c r="AM30" s="6" t="n">
        <v>94445248.73</v>
      </c>
      <c r="AN30" s="6"/>
    </row>
    <row r="31">
      <c r="A31" t="str">
        <f>M31</f>
      </c>
      <c r="B31" t="str">
        <f>N31</f>
      </c>
      <c r="M31" t="s">
        <v>63</v>
      </c>
      <c r="N31" t="s">
        <v>18</v>
      </c>
      <c r="O31" s="6" t="n">
        <v>4433281199.8362</v>
      </c>
      <c r="P31" s="6" t="n">
        <v>3998748863.4497</v>
      </c>
      <c r="Q31" s="6" t="n">
        <v>5028738324.017</v>
      </c>
      <c r="R31" s="6" t="n">
        <v>6771427164.2903</v>
      </c>
      <c r="S31" s="6" t="n">
        <v>8516140756.8523</v>
      </c>
      <c r="T31" s="6" t="n">
        <v>9681509322.567</v>
      </c>
      <c r="U31" s="6" t="n">
        <v>11878843873.117</v>
      </c>
      <c r="V31" s="6" t="n">
        <v>13863543683.7914</v>
      </c>
      <c r="W31" s="6" t="n">
        <v>15031394484.0218</v>
      </c>
      <c r="X31" s="6" t="n">
        <v>13927375576.7554</v>
      </c>
      <c r="Y31" s="6" t="n">
        <v>13792419510.2462</v>
      </c>
      <c r="Z31" s="6" t="n">
        <v>9175377736.6993</v>
      </c>
      <c r="AA31" s="6" t="n">
        <v>6673533527.0807</v>
      </c>
      <c r="AB31" s="6" t="n">
        <v>4448859173.6125</v>
      </c>
      <c r="AC31" s="6" t="n">
        <v>2735883970.0408</v>
      </c>
      <c r="AD31" s="6" t="n">
        <v>2293526391.6088</v>
      </c>
      <c r="AE31" s="6" t="n">
        <v>2648778790.0299</v>
      </c>
      <c r="AF31" s="6" t="n">
        <v>2969577256.5284</v>
      </c>
      <c r="AG31" s="6" t="n">
        <v>4459181588.6797</v>
      </c>
      <c r="AH31" s="6" t="n">
        <v>4088693954.8812</v>
      </c>
      <c r="AI31" s="6" t="n">
        <v>4072806067.8927</v>
      </c>
      <c r="AJ31" s="6" t="n">
        <v>3554164967.2405</v>
      </c>
      <c r="AK31" s="6" t="n">
        <v>3540357610.5549</v>
      </c>
      <c r="AL31" s="6" t="n">
        <v>4560092598.0283</v>
      </c>
      <c r="AM31" s="6" t="n">
        <v>5066602101.44</v>
      </c>
      <c r="AN31" s="6"/>
    </row>
    <row r="32">
      <c r="A32" t="str">
        <f>M32</f>
      </c>
      <c r="B32" t="str">
        <f>N32</f>
      </c>
      <c r="M32" t="s">
        <v>63</v>
      </c>
      <c r="N32" t="s">
        <v>49</v>
      </c>
      <c r="O32" s="6" t="n">
        <v>443776642</v>
      </c>
      <c r="P32" s="6" t="n">
        <v>524058654.2202</v>
      </c>
      <c r="Q32" s="6" t="n">
        <v>674969145</v>
      </c>
      <c r="R32" s="6" t="n">
        <v>816246585</v>
      </c>
      <c r="S32" s="6" t="n">
        <v>848101570.6485</v>
      </c>
      <c r="T32" s="6" t="n">
        <v>1082253362.515</v>
      </c>
      <c r="U32" s="6" t="n">
        <v>1077588231.5541</v>
      </c>
      <c r="V32" s="6" t="n">
        <v>1047679906.7068</v>
      </c>
      <c r="W32" s="6" t="n">
        <v>872288993.9557</v>
      </c>
      <c r="X32" s="6" t="n">
        <v>611915792.7532</v>
      </c>
      <c r="Y32" s="6" t="n">
        <v>897573025.7385</v>
      </c>
      <c r="Z32" s="6" t="n">
        <v>565185035.9232</v>
      </c>
      <c r="AA32" s="6" t="n">
        <v>464030328.0633</v>
      </c>
      <c r="AB32" s="6" t="n">
        <v>289565998.0434</v>
      </c>
      <c r="AC32" s="6" t="n">
        <v>122746549.716</v>
      </c>
      <c r="AD32" s="6" t="n">
        <v>168413241.0912</v>
      </c>
      <c r="AE32" s="6" t="n">
        <v>177050163.2717</v>
      </c>
      <c r="AF32" s="6" t="n">
        <v>143099050.7293</v>
      </c>
      <c r="AG32" s="6" t="n">
        <v>100720578.1571</v>
      </c>
      <c r="AH32" s="6" t="n">
        <v>113454857.3755</v>
      </c>
      <c r="AI32" s="6" t="n">
        <v>138748806.2529</v>
      </c>
      <c r="AJ32" s="6" t="n">
        <v>143644774.7957</v>
      </c>
      <c r="AK32" s="6" t="n">
        <v>180474721.9057</v>
      </c>
      <c r="AL32" s="6" t="n">
        <v>289593704.7404</v>
      </c>
      <c r="AM32" s="6" t="n">
        <v>365976535.93</v>
      </c>
      <c r="AN32" s="6"/>
    </row>
    <row r="33">
      <c r="A33" t="str">
        <f>M33</f>
      </c>
      <c r="B33" t="str">
        <f>N33</f>
      </c>
      <c r="M33" t="s">
        <v>63</v>
      </c>
      <c r="N33" t="s">
        <v>19</v>
      </c>
      <c r="O33" s="6" t="n">
        <v>21752651.142</v>
      </c>
      <c r="P33" s="6" t="n">
        <v>3205250.8653</v>
      </c>
      <c r="Q33" s="6" t="n">
        <v>36446887.0404</v>
      </c>
      <c r="R33" s="6" t="n">
        <v>52492571.5798</v>
      </c>
      <c r="S33" s="6" t="n">
        <v>2676800.9804</v>
      </c>
      <c r="T33" s="6" t="n">
        <v>863359</v>
      </c>
      <c r="U33" s="6" t="n">
        <v>67611392</v>
      </c>
      <c r="V33" s="6" t="n">
        <v>-37033.47</v>
      </c>
      <c r="W33" s="6" t="n">
        <v>-192700.6617</v>
      </c>
      <c r="X33" s="6" t="n">
        <v>0</v>
      </c>
      <c r="Y33" s="6" t="n">
        <v>-24487.7109</v>
      </c>
      <c r="Z33" s="6" t="n">
        <v>-3.86</v>
      </c>
      <c r="AA33" s="6" t="n">
        <v>-2829.1001</v>
      </c>
      <c r="AB33" s="6" t="n">
        <v>-47572.2695</v>
      </c>
      <c r="AC33" s="6"/>
      <c r="AD33" s="6"/>
      <c r="AE33" s="6" t="n">
        <v>-1.07</v>
      </c>
      <c r="AF33" s="6"/>
      <c r="AG33" s="6"/>
      <c r="AH33" s="6"/>
      <c r="AI33" s="6"/>
      <c r="AJ33" s="6"/>
      <c r="AK33" s="6"/>
      <c r="AL33" s="6"/>
      <c r="AM33" s="6"/>
      <c r="AN33" s="6"/>
    </row>
    <row r="34">
      <c r="A34" t="str">
        <f>M34</f>
      </c>
      <c r="B34" t="str">
        <f>N34</f>
      </c>
      <c r="M34" t="s">
        <v>66</v>
      </c>
      <c r="N34" t="s">
        <v>67</v>
      </c>
      <c r="O34" s="6" t="n">
        <v>7220600055</v>
      </c>
      <c r="P34" s="6" t="n">
        <v>6995059721.875</v>
      </c>
      <c r="Q34" s="6" t="n">
        <v>4926270011</v>
      </c>
      <c r="R34" s="6" t="n">
        <v>7074597623.06</v>
      </c>
      <c r="S34" s="6" t="n">
        <v>8240114522.4791</v>
      </c>
      <c r="T34" s="6" t="n">
        <v>8133250151.2931</v>
      </c>
      <c r="U34" s="6" t="n">
        <v>7963229601.907</v>
      </c>
      <c r="V34" s="6" t="n">
        <v>11780409865.316</v>
      </c>
      <c r="W34" s="6" t="n">
        <v>9287360499.5488</v>
      </c>
      <c r="X34" s="6" t="n">
        <v>10104381050.9099</v>
      </c>
      <c r="Y34" s="6" t="n">
        <v>15956286917.2972</v>
      </c>
      <c r="Z34" s="6" t="n">
        <v>10909778609.9692</v>
      </c>
      <c r="AA34" s="6" t="n">
        <v>18365823144.5623</v>
      </c>
      <c r="AB34" s="6" t="n">
        <v>12611092695.6147</v>
      </c>
      <c r="AC34" s="6" t="n">
        <v>5812544783.2509</v>
      </c>
      <c r="AD34" s="6" t="n">
        <v>6812910741.9093</v>
      </c>
      <c r="AE34" s="6" t="n">
        <v>19426554836.6308</v>
      </c>
      <c r="AF34" s="6" t="n">
        <v>32526563218.708</v>
      </c>
      <c r="AG34" s="6" t="n">
        <v>28401528022.4931</v>
      </c>
      <c r="AH34" s="6" t="n">
        <v>20738984039.052</v>
      </c>
      <c r="AI34" s="6" t="n">
        <v>43369023931.5147</v>
      </c>
      <c r="AJ34" s="6" t="n">
        <v>18384465291.6416</v>
      </c>
      <c r="AK34" s="6" t="n">
        <v>21816035918.4226</v>
      </c>
      <c r="AL34" s="6" t="n">
        <v>26293291314.9084</v>
      </c>
      <c r="AM34" s="6" t="n">
        <v>32166704257.65</v>
      </c>
      <c r="AN34" s="6"/>
    </row>
    <row r="35">
      <c r="A35" t="str">
        <f>M35</f>
      </c>
      <c r="B35" t="str">
        <f>N35</f>
      </c>
      <c r="M35" t="s">
        <v>66</v>
      </c>
      <c r="N35" t="s">
        <v>18</v>
      </c>
      <c r="O35" s="6" t="n">
        <v>319357578</v>
      </c>
      <c r="P35" s="6" t="n">
        <v>371648584</v>
      </c>
      <c r="Q35" s="6" t="n">
        <v>383748825</v>
      </c>
      <c r="R35" s="6" t="n">
        <v>380135737</v>
      </c>
      <c r="S35" s="6" t="n">
        <v>367744504.46</v>
      </c>
      <c r="T35" s="6" t="n">
        <v>834613208.02</v>
      </c>
      <c r="U35" s="6" t="n">
        <v>865912980.2396</v>
      </c>
      <c r="V35" s="6" t="n">
        <v>1633573667.5536</v>
      </c>
      <c r="W35" s="6" t="n">
        <v>2309086710.3731</v>
      </c>
      <c r="X35" s="6" t="n">
        <v>2861005691.3012</v>
      </c>
      <c r="Y35" s="6" t="n">
        <v>4849346993.1112</v>
      </c>
      <c r="Z35" s="6" t="n">
        <v>2890880608.7584</v>
      </c>
      <c r="AA35" s="6" t="n">
        <v>4186112782.0506</v>
      </c>
      <c r="AB35" s="6" t="n">
        <v>2915092891.5959</v>
      </c>
      <c r="AC35" s="6" t="n">
        <v>1945153365.4589</v>
      </c>
      <c r="AD35" s="6" t="n">
        <v>1359617866.6512</v>
      </c>
      <c r="AE35" s="6" t="n">
        <v>5752189639.5996</v>
      </c>
      <c r="AF35" s="6" t="n">
        <v>3987559892.7583</v>
      </c>
      <c r="AG35" s="6" t="n">
        <v>9489825552.2587</v>
      </c>
      <c r="AH35" s="6" t="n">
        <v>8846196590.2956</v>
      </c>
      <c r="AI35" s="6" t="n">
        <v>7728295413.2777</v>
      </c>
      <c r="AJ35" s="6" t="n">
        <v>4019270971.087</v>
      </c>
      <c r="AK35" s="6" t="n">
        <v>4529556299.0972</v>
      </c>
      <c r="AL35" s="6" t="n">
        <v>4578415237.0464</v>
      </c>
      <c r="AM35" s="6" t="n">
        <v>5093841233.98</v>
      </c>
      <c r="AN35" s="6"/>
    </row>
    <row r="36">
      <c r="A36" t="str">
        <f>M36</f>
      </c>
      <c r="B36" t="str">
        <f>N36</f>
      </c>
      <c r="M36" t="s">
        <v>66</v>
      </c>
      <c r="N36" t="s">
        <v>49</v>
      </c>
      <c r="O36" s="6" t="n">
        <v>1637082905</v>
      </c>
      <c r="P36" s="6" t="n">
        <v>3093480068</v>
      </c>
      <c r="Q36" s="6" t="n">
        <v>4131374141</v>
      </c>
      <c r="R36" s="6" t="n">
        <v>2780700956</v>
      </c>
      <c r="S36" s="6" t="n">
        <v>3358634346.25</v>
      </c>
      <c r="T36" s="6" t="n">
        <v>3795255933</v>
      </c>
      <c r="U36" s="6" t="n">
        <v>7311300978.7344</v>
      </c>
      <c r="V36" s="6" t="n">
        <v>6986056307.1595</v>
      </c>
      <c r="W36" s="6" t="n">
        <v>5781606248.8208</v>
      </c>
      <c r="X36" s="6" t="n">
        <v>3657366490.1985</v>
      </c>
      <c r="Y36" s="6" t="n">
        <v>2586915050.3674</v>
      </c>
      <c r="Z36" s="6" t="n">
        <v>1050405283.776</v>
      </c>
      <c r="AA36" s="6" t="n">
        <v>785995202.7297</v>
      </c>
      <c r="AB36" s="6" t="n">
        <v>841664882.0297</v>
      </c>
      <c r="AC36" s="6" t="n">
        <v>491128418.5318</v>
      </c>
      <c r="AD36" s="6" t="n">
        <v>264735984.2675</v>
      </c>
      <c r="AE36" s="6" t="n">
        <v>518398916.3989</v>
      </c>
      <c r="AF36" s="6" t="n">
        <v>1002226415.8141</v>
      </c>
      <c r="AG36" s="6" t="n">
        <v>744331764.4491</v>
      </c>
      <c r="AH36" s="6" t="n">
        <v>2133554089.9205</v>
      </c>
      <c r="AI36" s="6" t="n">
        <v>1557776011.3631</v>
      </c>
      <c r="AJ36" s="6" t="n">
        <v>1151313899.4307</v>
      </c>
      <c r="AK36" s="6" t="n">
        <v>1056184840.171</v>
      </c>
      <c r="AL36" s="6" t="n">
        <v>1970746290.2814</v>
      </c>
      <c r="AM36" s="6" t="n">
        <v>1801815746.5</v>
      </c>
      <c r="AN36" s="6"/>
    </row>
    <row r="37">
      <c r="A37" t="str">
        <f>M37</f>
      </c>
      <c r="B37" t="str">
        <f>N37</f>
      </c>
      <c r="M37" t="s">
        <v>66</v>
      </c>
      <c r="N37" t="s">
        <v>19</v>
      </c>
      <c r="O37" s="6" t="n">
        <v>0</v>
      </c>
      <c r="P37" s="6" t="n">
        <v>7800</v>
      </c>
      <c r="Q37" s="6" t="n">
        <v>523464.72</v>
      </c>
      <c r="R37" s="6" t="n">
        <v>21271.0625</v>
      </c>
      <c r="S37" s="6"/>
      <c r="T37" s="6"/>
      <c r="U37" s="6" t="n">
        <v>0</v>
      </c>
      <c r="V37" s="6"/>
      <c r="W37" s="6" t="n">
        <v>0</v>
      </c>
      <c r="X37" s="6"/>
      <c r="Y37" s="6" t="n">
        <v>-177796.4375</v>
      </c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</row>
    <row r="38">
      <c r="A38" t="str">
        <f>M38</f>
      </c>
      <c r="B38" t="str">
        <f>N38</f>
      </c>
      <c r="M38"/>
      <c r="N38" t="s">
        <v>67</v>
      </c>
      <c r="O38" s="6" t="n">
        <v>6792047749.7345</v>
      </c>
      <c r="P38" s="6" t="n">
        <v>2680130884.1511</v>
      </c>
      <c r="Q38" s="6" t="n">
        <v>4331516199.5872</v>
      </c>
      <c r="R38" s="6" t="n">
        <v>5301948846.9241</v>
      </c>
      <c r="S38" s="6" t="n">
        <v>5716919948.7381</v>
      </c>
      <c r="T38" s="6" t="n">
        <v>4322021268.475</v>
      </c>
      <c r="U38" s="6" t="n">
        <v>2993458394.1029</v>
      </c>
      <c r="V38" s="6" t="n">
        <v>621060339.8827</v>
      </c>
      <c r="W38" s="6" t="n">
        <v>3372605070.1632</v>
      </c>
      <c r="X38" s="6" t="n">
        <v>1385280592.2809</v>
      </c>
      <c r="Y38" s="6" t="n">
        <v>883977611.3758</v>
      </c>
      <c r="Z38" s="6" t="n">
        <v>1413194173.0446</v>
      </c>
      <c r="AA38" s="6" t="n">
        <v>3302044710.9436</v>
      </c>
      <c r="AB38" s="6" t="n">
        <v>269216831.4072</v>
      </c>
      <c r="AC38" s="6" t="n">
        <v>371682156.5232</v>
      </c>
      <c r="AD38" s="6" t="n">
        <v>114116269.6944</v>
      </c>
      <c r="AE38" s="6" t="n">
        <v>395591475.9449</v>
      </c>
      <c r="AF38" s="6" t="n">
        <v>229316848.9024</v>
      </c>
      <c r="AG38" s="6" t="n">
        <v>0</v>
      </c>
      <c r="AH38" s="6" t="n">
        <v>0</v>
      </c>
      <c r="AI38" s="6" t="n">
        <v>0</v>
      </c>
      <c r="AJ38" s="6" t="n">
        <v>0</v>
      </c>
      <c r="AK38" s="6" t="n">
        <v>0</v>
      </c>
      <c r="AL38" s="6" t="n">
        <v>0</v>
      </c>
      <c r="AM38" s="6" t="n">
        <v>0</v>
      </c>
      <c r="AN38" s="6"/>
    </row>
    <row r="39">
      <c r="A39" t="str">
        <f>M39</f>
      </c>
      <c r="B39" t="str">
        <f>N39</f>
      </c>
      <c r="M39"/>
      <c r="N39" t="s">
        <v>18</v>
      </c>
      <c r="O39" s="6" t="n">
        <v>4974749803.282</v>
      </c>
      <c r="P39" s="6" t="n">
        <v>3724985149.2299</v>
      </c>
      <c r="Q39" s="6" t="n">
        <v>4177495092.3101</v>
      </c>
      <c r="R39" s="6" t="n">
        <v>3781821652.4914</v>
      </c>
      <c r="S39" s="6" t="n">
        <v>3553114165.7582</v>
      </c>
      <c r="T39" s="6" t="n">
        <v>3087794537.123</v>
      </c>
      <c r="U39" s="6" t="n">
        <v>1715657556.8452</v>
      </c>
      <c r="V39" s="6" t="n">
        <v>189424052.2424</v>
      </c>
      <c r="W39" s="6" t="n">
        <v>1555299113.6282</v>
      </c>
      <c r="X39" s="6" t="n">
        <v>482812060.4976</v>
      </c>
      <c r="Y39" s="6" t="n">
        <v>257784707.7643</v>
      </c>
      <c r="Z39" s="6" t="n">
        <v>200934891.1872</v>
      </c>
      <c r="AA39" s="6" t="n">
        <v>448112873.3177</v>
      </c>
      <c r="AB39" s="6" t="n">
        <v>406808234.4922</v>
      </c>
      <c r="AC39" s="6" t="n">
        <v>433554753.4963</v>
      </c>
      <c r="AD39" s="6" t="n">
        <v>503697527.9746</v>
      </c>
      <c r="AE39" s="6" t="n">
        <v>320548116.3669</v>
      </c>
      <c r="AF39" s="6" t="n">
        <v>898754145.0967</v>
      </c>
      <c r="AG39" s="6" t="n">
        <v>0</v>
      </c>
      <c r="AH39" s="6" t="n">
        <v>50903.5586</v>
      </c>
      <c r="AI39" s="6" t="n">
        <v>0</v>
      </c>
      <c r="AJ39" s="6" t="n">
        <v>0</v>
      </c>
      <c r="AK39" s="6" t="n">
        <v>0</v>
      </c>
      <c r="AL39" s="6" t="n">
        <v>-39324.9492</v>
      </c>
      <c r="AM39" s="6" t="n">
        <v>0</v>
      </c>
      <c r="AN39" s="6"/>
    </row>
    <row r="40">
      <c r="A40" t="str">
        <f>M40</f>
      </c>
      <c r="B40" t="str">
        <f>N40</f>
      </c>
      <c r="M40"/>
      <c r="N40" t="s">
        <v>49</v>
      </c>
      <c r="O40" s="6" t="n">
        <v>497048628.7802</v>
      </c>
      <c r="P40" s="6" t="n">
        <v>11054780.2795</v>
      </c>
      <c r="Q40" s="6" t="n">
        <v>744083.2604</v>
      </c>
      <c r="R40" s="6" t="n">
        <v>906359</v>
      </c>
      <c r="S40" s="6" t="n">
        <v>164524</v>
      </c>
      <c r="T40" s="6" t="n">
        <v>776490.2888</v>
      </c>
      <c r="U40" s="6" t="n">
        <v>2668020.5899</v>
      </c>
      <c r="V40" s="6" t="n">
        <v>9299557.5</v>
      </c>
      <c r="W40" s="6" t="n">
        <v>1204968474.8479</v>
      </c>
      <c r="X40" s="6" t="n">
        <v>1442823305.11</v>
      </c>
      <c r="Y40" s="6" t="n">
        <v>17605920.0424</v>
      </c>
      <c r="Z40" s="6" t="n">
        <v>565405</v>
      </c>
      <c r="AA40" s="6" t="n">
        <v>1354425.9917</v>
      </c>
      <c r="AB40" s="6" t="n">
        <v>5329057.9569</v>
      </c>
      <c r="AC40" s="6" t="n">
        <v>16700299.9636</v>
      </c>
      <c r="AD40" s="6" t="n">
        <v>93522814.5526</v>
      </c>
      <c r="AE40" s="6" t="n">
        <v>11220608.9921</v>
      </c>
      <c r="AF40" s="6" t="n">
        <v>15722508.4837</v>
      </c>
      <c r="AG40" s="6" t="n">
        <v>0</v>
      </c>
      <c r="AH40" s="6" t="n">
        <v>0</v>
      </c>
      <c r="AI40" s="6" t="n">
        <v>0</v>
      </c>
      <c r="AJ40" s="6" t="n">
        <v>0</v>
      </c>
      <c r="AK40" s="6" t="n">
        <v>0</v>
      </c>
      <c r="AL40" s="6" t="n">
        <v>0</v>
      </c>
      <c r="AM40" s="6" t="n">
        <v>0</v>
      </c>
      <c r="AN40" s="6"/>
    </row>
    <row r="41">
      <c r="A41" t="str">
        <f>M41</f>
      </c>
      <c r="B41" t="str">
        <f>N41</f>
      </c>
      <c r="M41"/>
      <c r="N41" t="s">
        <v>19</v>
      </c>
      <c r="O41" s="6" t="n">
        <v>5474040.5279</v>
      </c>
      <c r="P41" s="6" t="n">
        <v>2233679.1084</v>
      </c>
      <c r="Q41" s="6" t="n">
        <v>-4323.80469999999</v>
      </c>
      <c r="R41" s="6" t="n">
        <v>150653.9198</v>
      </c>
      <c r="S41" s="6" t="n">
        <v>-2500</v>
      </c>
      <c r="T41" s="6" t="n">
        <v>18222.0302</v>
      </c>
      <c r="U41" s="6" t="n">
        <v>627730.75</v>
      </c>
      <c r="V41" s="6" t="n">
        <v>0</v>
      </c>
      <c r="W41" s="6" t="n">
        <v>-8105.15</v>
      </c>
      <c r="X41" s="6" t="n">
        <v>298015.6198</v>
      </c>
      <c r="Y41" s="6" t="n">
        <v>-1421.5</v>
      </c>
      <c r="Z41" s="6" t="n">
        <v>-179.34</v>
      </c>
      <c r="AA41" s="6"/>
      <c r="AB41" s="6"/>
      <c r="AC41" s="6"/>
      <c r="AD41" s="6" t="n">
        <v>30000</v>
      </c>
      <c r="AE41" s="6" t="n">
        <v>1738.23</v>
      </c>
      <c r="AF41" s="6" t="n">
        <v>1357852</v>
      </c>
      <c r="AG41" s="6" t="n">
        <v>20204.7109</v>
      </c>
      <c r="AH41" s="6" t="n">
        <v>0</v>
      </c>
      <c r="AI41" s="6" t="n">
        <v>10000</v>
      </c>
      <c r="AJ41" s="6" t="n">
        <v>10000</v>
      </c>
      <c r="AK41" s="6"/>
      <c r="AL41" s="6" t="n">
        <v>10000</v>
      </c>
      <c r="AM41" s="6"/>
      <c r="AN41" s="6"/>
    </row>
    <row r="42">
      <c r="A42" t="str">
        <f>M42</f>
      </c>
      <c r="B42" t="str">
        <f>N42</f>
      </c>
      <c r="M42"/>
      <c r="N42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 t="n">
        <v>10000</v>
      </c>
      <c r="AN42" s="6"/>
    </row>
    <row r="43">
      <c r="A43" t="str">
        <f>M43</f>
      </c>
      <c r="B43" t="str">
        <f>N43</f>
      </c>
      <c r="M43" t="s">
        <v>20</v>
      </c>
      <c r="N43" t="s">
        <v>21</v>
      </c>
      <c r="O43" s="6" t="str">
        <f>Sum(O2:O42)</f>
      </c>
      <c r="P43" s="6" t="str">
        <f>Sum(P2:P42)</f>
      </c>
      <c r="Q43" s="6" t="str">
        <f>Sum(Q2:Q42)</f>
      </c>
      <c r="R43" s="6" t="str">
        <f>Sum(R2:R42)</f>
      </c>
      <c r="S43" s="6" t="str">
        <f>Sum(S2:S42)</f>
      </c>
      <c r="T43" s="6" t="str">
        <f>Sum(T2:T42)</f>
      </c>
      <c r="U43" s="6" t="str">
        <f>Sum(U2:U42)</f>
      </c>
      <c r="V43" s="6" t="str">
        <f>Sum(V2:V42)</f>
      </c>
      <c r="W43" s="6" t="str">
        <f>Sum(W2:W42)</f>
      </c>
      <c r="X43" s="6" t="str">
        <f>Sum(X2:X42)</f>
      </c>
      <c r="Y43" s="6" t="str">
        <f>Sum(Y2:Y42)</f>
      </c>
      <c r="Z43" s="6" t="str">
        <f>Sum(Z2:Z42)</f>
      </c>
      <c r="AA43" s="6" t="str">
        <f>Sum(AA2:AA42)</f>
      </c>
      <c r="AB43" s="6" t="str">
        <f>Sum(AB2:AB42)</f>
      </c>
      <c r="AC43" s="6" t="str">
        <f>Sum(AC2:AC42)</f>
      </c>
      <c r="AD43" s="6" t="str">
        <f>Sum(AD2:AD42)</f>
      </c>
      <c r="AE43" s="6" t="str">
        <f>Sum(AE2:AE42)</f>
      </c>
      <c r="AF43" s="6" t="str">
        <f>Sum(AF2:AF42)</f>
      </c>
      <c r="AG43" s="6" t="str">
        <f>Sum(AG2:AG42)</f>
      </c>
      <c r="AH43" s="6" t="str">
        <f>Sum(AH2:AH42)</f>
      </c>
      <c r="AI43" s="6" t="str">
        <f>Sum(AI2:AI42)</f>
      </c>
      <c r="AJ43" s="6" t="str">
        <f>Sum(AJ2:AJ42)</f>
      </c>
      <c r="AK43" s="6" t="str">
        <f>Sum(AK2:AK42)</f>
      </c>
      <c r="AL43" s="6" t="str">
        <f>Sum(AL2:AL42)</f>
      </c>
      <c r="AM43" s="6" t="str">
        <f>Sum(AM2:AM42)</f>
      </c>
      <c r="AN43" s="6"/>
    </row>
    <row r="46">
      <c r="A46" t="str">
        <f>M46</f>
      </c>
      <c r="B46" t="str">
        <f>N46</f>
      </c>
      <c r="C46" t="str">
        <f>AI46</f>
      </c>
      <c r="D46" t="str">
        <f>AL46</f>
      </c>
      <c r="E46" t="str">
        <f>AM46</f>
      </c>
      <c r="G46" t="str">
        <f>AL46&amp;"-"&amp;AM46</f>
      </c>
      <c r="H46" t="str">
        <f>AI46&amp;"-"&amp;AM46</f>
      </c>
      <c r="J46" t="str">
        <f>"Share "&amp;AM46</f>
      </c>
      <c r="M46" t="s">
        <v>53</v>
      </c>
      <c r="N46" t="s">
        <v>22</v>
      </c>
      <c r="O46" t="s">
        <v>33</v>
      </c>
      <c r="P46" t="s">
        <v>34</v>
      </c>
      <c r="Q46" t="s">
        <v>35</v>
      </c>
      <c r="R46" t="s">
        <v>36</v>
      </c>
      <c r="S46" t="s">
        <v>37</v>
      </c>
      <c r="T46" t="s">
        <v>38</v>
      </c>
      <c r="U46" t="s">
        <v>39</v>
      </c>
      <c r="V46" t="s">
        <v>40</v>
      </c>
      <c r="W46" t="s">
        <v>41</v>
      </c>
      <c r="X46" t="s">
        <v>42</v>
      </c>
      <c r="Y46" t="s">
        <v>43</v>
      </c>
      <c r="Z46" t="s">
        <v>44</v>
      </c>
      <c r="AA46" t="s">
        <v>45</v>
      </c>
      <c r="AB46" t="s">
        <v>46</v>
      </c>
      <c r="AC46" t="s">
        <v>47</v>
      </c>
      <c r="AD46" t="s">
        <v>2</v>
      </c>
      <c r="AE46" t="s">
        <v>3</v>
      </c>
      <c r="AF46" t="s">
        <v>4</v>
      </c>
      <c r="AG46" t="s">
        <v>5</v>
      </c>
      <c r="AH46" t="s">
        <v>6</v>
      </c>
      <c r="AI46" t="s">
        <v>7</v>
      </c>
      <c r="AJ46" t="s">
        <v>8</v>
      </c>
      <c r="AK46" t="s">
        <v>9</v>
      </c>
      <c r="AL46" t="s">
        <v>10</v>
      </c>
      <c r="AM46" t="s">
        <v>51</v>
      </c>
    </row>
    <row r="47">
      <c r="A47" t="str">
        <f>M47</f>
      </c>
      <c r="B47" t="str">
        <f>N47</f>
      </c>
      <c r="C47" s="6" t="str">
        <f>AI47</f>
      </c>
      <c r="D47" s="6" t="str">
        <f>AL47</f>
      </c>
      <c r="E47" s="6" t="str">
        <f>AM47</f>
      </c>
      <c r="F47" s="6"/>
      <c r="G47" s="2" t="str">
        <f>AM47/AL47-1</f>
      </c>
      <c r="H47" s="2" t="str">
        <f>AM47/AI47-1</f>
      </c>
      <c r="I47" s="2"/>
      <c r="J47" s="2" t="str">
        <f>AM47/Sum(AM$46:AM$87)</f>
      </c>
      <c r="K47" s="2"/>
      <c r="M47" t="s">
        <v>59</v>
      </c>
      <c r="N47" t="s">
        <v>67</v>
      </c>
      <c r="O47" s="6" t="n">
        <v>2907389757.85762</v>
      </c>
      <c r="P47" s="6" t="n">
        <v>2276231925.44949</v>
      </c>
      <c r="Q47" s="6" t="n">
        <v>2033853238.09275</v>
      </c>
      <c r="R47" s="6" t="n">
        <v>2788200443.31594</v>
      </c>
      <c r="S47" s="6" t="n">
        <v>3357420136.61953</v>
      </c>
      <c r="T47" s="6" t="n">
        <v>2279234998.15425</v>
      </c>
      <c r="U47" s="6" t="n">
        <v>5394312605.74585</v>
      </c>
      <c r="V47" s="6" t="n">
        <v>3709615694.54882</v>
      </c>
      <c r="W47" s="6" t="n">
        <v>10755965723.8062</v>
      </c>
      <c r="X47" s="6" t="n">
        <v>6064193888.03817</v>
      </c>
      <c r="Y47" s="6" t="n">
        <v>6361446297.03983</v>
      </c>
      <c r="Z47" s="6" t="n">
        <v>15400473679.8793</v>
      </c>
      <c r="AA47" s="6" t="n">
        <v>8889698410.30679</v>
      </c>
      <c r="AB47" s="6" t="n">
        <v>11618216633.4806</v>
      </c>
      <c r="AC47" s="6" t="n">
        <v>9395717025.91704</v>
      </c>
      <c r="AD47" s="6" t="n">
        <v>7070764200.68988</v>
      </c>
      <c r="AE47" s="6" t="n">
        <v>7163607698.69746</v>
      </c>
      <c r="AF47" s="6" t="n">
        <v>9882892095.10568</v>
      </c>
      <c r="AG47" s="6" t="n">
        <v>9964262298.57924</v>
      </c>
      <c r="AH47" s="6" t="n">
        <v>10654014636.9156</v>
      </c>
      <c r="AI47" s="6" t="n">
        <v>11331641686.541</v>
      </c>
      <c r="AJ47" s="6" t="n">
        <v>13015986478.8125</v>
      </c>
      <c r="AK47" s="6" t="n">
        <v>13805470370.2901</v>
      </c>
      <c r="AL47" s="6" t="n">
        <v>10324291240.99</v>
      </c>
      <c r="AM47" s="6" t="n">
        <v>12917074365.8602</v>
      </c>
      <c r="AN47" s="6"/>
    </row>
    <row r="48">
      <c r="A48" t="str">
        <f>M48</f>
      </c>
      <c r="B48" t="str">
        <f>N48</f>
      </c>
      <c r="C48" s="6" t="str">
        <f>AI48</f>
      </c>
      <c r="D48" s="6" t="str">
        <f>AL48</f>
      </c>
      <c r="E48" s="6" t="str">
        <f>AM48</f>
      </c>
      <c r="F48" s="6"/>
      <c r="G48" s="2" t="str">
        <f>AM48/AL48-1</f>
      </c>
      <c r="H48" s="2" t="str">
        <f>AM48/AI48-1</f>
      </c>
      <c r="I48" s="2"/>
      <c r="J48" s="2" t="str">
        <f>AM48/Sum(AM$46:AM$87)</f>
      </c>
      <c r="K48" s="2"/>
      <c r="M48" t="s">
        <v>59</v>
      </c>
      <c r="N48" t="s">
        <v>18</v>
      </c>
      <c r="O48" s="6" t="n">
        <v>644655137.985391</v>
      </c>
      <c r="P48" s="6" t="n">
        <v>971390780.588162</v>
      </c>
      <c r="Q48" s="6" t="n">
        <v>1307720387.44688</v>
      </c>
      <c r="R48" s="6" t="n">
        <v>2782650632.87761</v>
      </c>
      <c r="S48" s="6" t="n">
        <v>4022219091.95725</v>
      </c>
      <c r="T48" s="6" t="n">
        <v>11100810222.8807</v>
      </c>
      <c r="U48" s="6" t="n">
        <v>12325360062.0088</v>
      </c>
      <c r="V48" s="6" t="n">
        <v>12880430685.1858</v>
      </c>
      <c r="W48" s="6" t="n">
        <v>12689011603.6491</v>
      </c>
      <c r="X48" s="6" t="n">
        <v>11793497646.8051</v>
      </c>
      <c r="Y48" s="6" t="n">
        <v>16363362156.4178</v>
      </c>
      <c r="Z48" s="6" t="n">
        <v>15602908882.8209</v>
      </c>
      <c r="AA48" s="6" t="n">
        <v>11027747031.9993</v>
      </c>
      <c r="AB48" s="6" t="n">
        <v>7189600345.77618</v>
      </c>
      <c r="AC48" s="6" t="n">
        <v>6150037437.3521</v>
      </c>
      <c r="AD48" s="6" t="n">
        <v>5496626301.20345</v>
      </c>
      <c r="AE48" s="6" t="n">
        <v>5588774865.17329</v>
      </c>
      <c r="AF48" s="6" t="n">
        <v>7113930125.14786</v>
      </c>
      <c r="AG48" s="6" t="n">
        <v>5329281369.18962</v>
      </c>
      <c r="AH48" s="6" t="n">
        <v>5938061520.9567</v>
      </c>
      <c r="AI48" s="6" t="n">
        <v>5277819573.97102</v>
      </c>
      <c r="AJ48" s="6" t="n">
        <v>5618131327.47451</v>
      </c>
      <c r="AK48" s="6" t="n">
        <v>4299690878.17363</v>
      </c>
      <c r="AL48" s="6" t="n">
        <v>4353744193.3247</v>
      </c>
      <c r="AM48" s="6" t="n">
        <v>4817275023.28544</v>
      </c>
      <c r="AN48" s="6"/>
    </row>
    <row r="49">
      <c r="A49" t="str">
        <f>M49</f>
      </c>
      <c r="B49" t="str">
        <f>N49</f>
      </c>
      <c r="C49" s="6" t="str">
        <f>AI49</f>
      </c>
      <c r="D49" s="6" t="str">
        <f>AL49</f>
      </c>
      <c r="E49" s="6" t="str">
        <f>AM49</f>
      </c>
      <c r="F49" s="6"/>
      <c r="G49" s="2" t="str">
        <f>AM49/AL49-1</f>
      </c>
      <c r="H49" s="2" t="str">
        <f>AM49/AI49-1</f>
      </c>
      <c r="I49" s="2"/>
      <c r="J49" s="2" t="str">
        <f>AM49/Sum(AM$46:AM$87)</f>
      </c>
      <c r="K49" s="2"/>
      <c r="M49" t="s">
        <v>59</v>
      </c>
      <c r="N49" t="s">
        <v>49</v>
      </c>
      <c r="O49" s="6" t="n">
        <v>1981614067.43892</v>
      </c>
      <c r="P49" s="6" t="n">
        <v>1912057572.98512</v>
      </c>
      <c r="Q49" s="6" t="n">
        <v>2064102824.02433</v>
      </c>
      <c r="R49" s="6" t="n">
        <v>2914808962.7095</v>
      </c>
      <c r="S49" s="6" t="n">
        <v>2966814935.41355</v>
      </c>
      <c r="T49" s="6" t="n">
        <v>2262268195.76893</v>
      </c>
      <c r="U49" s="6" t="n">
        <v>2243579449.8872</v>
      </c>
      <c r="V49" s="6" t="n">
        <v>3185837491.06236</v>
      </c>
      <c r="W49" s="6" t="n">
        <v>1599941187.96893</v>
      </c>
      <c r="X49" s="6" t="n">
        <v>2490804035.17426</v>
      </c>
      <c r="Y49" s="6" t="n">
        <v>4265074553.83527</v>
      </c>
      <c r="Z49" s="6" t="n">
        <v>4984156996.70319</v>
      </c>
      <c r="AA49" s="6" t="n">
        <v>3774447040.25682</v>
      </c>
      <c r="AB49" s="6" t="n">
        <v>3867534554.48928</v>
      </c>
      <c r="AC49" s="6" t="n">
        <v>2736278573.49954</v>
      </c>
      <c r="AD49" s="6" t="n">
        <v>3199760679.26717</v>
      </c>
      <c r="AE49" s="6" t="n">
        <v>3644130966.81791</v>
      </c>
      <c r="AF49" s="6" t="n">
        <v>3269431246.77438</v>
      </c>
      <c r="AG49" s="6" t="n">
        <v>3489808709.19198</v>
      </c>
      <c r="AH49" s="6" t="n">
        <v>4437534496.01411</v>
      </c>
      <c r="AI49" s="6" t="n">
        <v>5227545201.85561</v>
      </c>
      <c r="AJ49" s="6" t="n">
        <v>7487672821.72373</v>
      </c>
      <c r="AK49" s="6" t="n">
        <v>7204455615.35793</v>
      </c>
      <c r="AL49" s="6" t="n">
        <v>9058109555.6468</v>
      </c>
      <c r="AM49" s="6" t="n">
        <v>10056272089.6783</v>
      </c>
      <c r="AN49" s="6"/>
    </row>
    <row r="50">
      <c r="A50" t="str">
        <f>M50</f>
      </c>
      <c r="B50" t="str">
        <f>N50</f>
      </c>
      <c r="C50" s="6" t="str">
        <f>AI50</f>
      </c>
      <c r="D50" s="6" t="str">
        <f>AL50</f>
      </c>
      <c r="E50" s="6" t="str">
        <f>AM50</f>
      </c>
      <c r="F50" s="6"/>
      <c r="G50" s="2" t="str">
        <f>AM50/AL50-1</f>
      </c>
      <c r="H50" s="2" t="str">
        <f>AM50/AI50-1</f>
      </c>
      <c r="I50" s="2"/>
      <c r="J50" s="2" t="str">
        <f>AM50/Sum(AM$46:AM$87)</f>
      </c>
      <c r="K50" s="2"/>
      <c r="M50" t="s">
        <v>65</v>
      </c>
      <c r="N50" t="s">
        <v>67</v>
      </c>
      <c r="O50" s="6"/>
      <c r="P50" s="6" t="n">
        <v>197138.864350143</v>
      </c>
      <c r="Q50" s="6" t="n">
        <v>41192975.5990053</v>
      </c>
      <c r="R50" s="6" t="n">
        <v>39937930.8854374</v>
      </c>
      <c r="S50" s="6" t="n">
        <v>63810483.630382</v>
      </c>
      <c r="T50" s="6" t="n">
        <v>187812562.721029</v>
      </c>
      <c r="U50" s="6" t="n">
        <v>676868197.908275</v>
      </c>
      <c r="V50" s="6" t="n">
        <v>8873788802.05721</v>
      </c>
      <c r="W50" s="6" t="n">
        <v>12847583961.5593</v>
      </c>
      <c r="X50" s="6" t="n">
        <v>13403489634.3284</v>
      </c>
      <c r="Y50" s="6" t="n">
        <v>-275538618.531115</v>
      </c>
      <c r="Z50" s="6" t="n">
        <v>-860097.03633602</v>
      </c>
      <c r="AA50" s="6" t="n">
        <v>-6647752.13422534</v>
      </c>
      <c r="AB50" s="6" t="n">
        <v>6893947.76077749</v>
      </c>
      <c r="AC50" s="6" t="n">
        <v>-3334919.27833647</v>
      </c>
      <c r="AD50" s="6" t="n">
        <v>-315.309963094395</v>
      </c>
      <c r="AE50" s="6" t="n">
        <v>0</v>
      </c>
      <c r="AF50" s="6" t="n">
        <v>0</v>
      </c>
      <c r="AG50" s="6" t="n">
        <v>0</v>
      </c>
      <c r="AH50" s="6" t="n">
        <v>0</v>
      </c>
      <c r="AI50" s="6" t="n">
        <v>72784.1152687462</v>
      </c>
      <c r="AJ50" s="6" t="n">
        <v>0</v>
      </c>
      <c r="AK50" s="6"/>
      <c r="AL50" s="6"/>
      <c r="AM50" s="6" t="n">
        <v>0</v>
      </c>
      <c r="AN50" s="6"/>
    </row>
    <row r="51">
      <c r="A51" t="str">
        <f>M51</f>
      </c>
      <c r="B51" t="str">
        <f>N51</f>
      </c>
      <c r="C51" s="6" t="str">
        <f>AI51</f>
      </c>
      <c r="D51" s="6" t="str">
        <f>AL51</f>
      </c>
      <c r="E51" s="6" t="str">
        <f>AM51</f>
      </c>
      <c r="F51" s="6"/>
      <c r="G51" s="2" t="str">
        <f>AM51/AL51-1</f>
      </c>
      <c r="H51" s="2" t="str">
        <f>AM51/AI51-1</f>
      </c>
      <c r="I51" s="2"/>
      <c r="J51" s="2" t="str">
        <f>AM51/Sum(AM$46:AM$87)</f>
      </c>
      <c r="K51" s="2"/>
      <c r="M51" t="s">
        <v>65</v>
      </c>
      <c r="N51" t="s">
        <v>18</v>
      </c>
      <c r="O51" s="6" t="n">
        <v>8416291.59954491</v>
      </c>
      <c r="P51" s="6" t="n">
        <v>338366305.692693</v>
      </c>
      <c r="Q51" s="6" t="n">
        <v>64663967.4531775</v>
      </c>
      <c r="R51" s="6" t="n">
        <v>281096512.011714</v>
      </c>
      <c r="S51" s="6" t="n">
        <v>672867218.726165</v>
      </c>
      <c r="T51" s="6" t="n">
        <v>1364757602.30301</v>
      </c>
      <c r="U51" s="6" t="n">
        <v>4489421313.92956</v>
      </c>
      <c r="V51" s="6" t="n">
        <v>15181988834.697</v>
      </c>
      <c r="W51" s="6" t="n">
        <v>19240070347.711</v>
      </c>
      <c r="X51" s="6" t="n">
        <v>26700792417.1437</v>
      </c>
      <c r="Y51" s="6" t="n">
        <v>964287755.808401</v>
      </c>
      <c r="Z51" s="6" t="n">
        <v>289453627.797238</v>
      </c>
      <c r="AA51" s="6" t="n">
        <v>-4045850.82634726</v>
      </c>
      <c r="AB51" s="6" t="n">
        <v>-41773336.735975</v>
      </c>
      <c r="AC51" s="6" t="n">
        <v>-27017006.6243897</v>
      </c>
      <c r="AD51" s="6" t="n">
        <v>-2458.00382222241</v>
      </c>
      <c r="AE51" s="6"/>
      <c r="AF51" s="6"/>
      <c r="AG51" s="6"/>
      <c r="AH51" s="6" t="n">
        <v>0</v>
      </c>
      <c r="AI51" s="6"/>
      <c r="AJ51" s="6"/>
      <c r="AK51" s="6" t="n">
        <v>488846.794660361</v>
      </c>
      <c r="AL51" s="6"/>
      <c r="AM51" s="6"/>
      <c r="AN51" s="6"/>
    </row>
    <row r="52">
      <c r="A52" t="str">
        <f>M52</f>
      </c>
      <c r="B52" t="str">
        <f>N52</f>
      </c>
      <c r="C52" s="6" t="str">
        <f>AI52</f>
      </c>
      <c r="D52" s="6" t="str">
        <f>AL52</f>
      </c>
      <c r="E52" s="6" t="str">
        <f>AM52</f>
      </c>
      <c r="F52" s="6"/>
      <c r="G52" s="2" t="str">
        <f>AM52/AL52-1</f>
      </c>
      <c r="H52" s="2" t="str">
        <f>AM52/AI52-1</f>
      </c>
      <c r="I52" s="2"/>
      <c r="J52" s="2" t="str">
        <f>AM52/Sum(AM$46:AM$87)</f>
      </c>
      <c r="K52" s="2"/>
      <c r="M52" t="s">
        <v>65</v>
      </c>
      <c r="N52" t="s">
        <v>49</v>
      </c>
      <c r="O52" s="6" t="n">
        <v>285799.47653405</v>
      </c>
      <c r="P52" s="6"/>
      <c r="Q52" s="6"/>
      <c r="R52" s="6" t="n">
        <v>94009.2795873029</v>
      </c>
      <c r="S52" s="6" t="n">
        <v>29669459.0335231</v>
      </c>
      <c r="T52" s="6" t="n">
        <v>11113934.2470989</v>
      </c>
      <c r="U52" s="6" t="n">
        <v>365407255.80821</v>
      </c>
      <c r="V52" s="6" t="n">
        <v>2803133475.3436</v>
      </c>
      <c r="W52" s="6" t="n">
        <v>5456068505.80631</v>
      </c>
      <c r="X52" s="6" t="n">
        <v>6337266420.72603</v>
      </c>
      <c r="Y52" s="6" t="n">
        <v>84729003.4636559</v>
      </c>
      <c r="Z52" s="6" t="n">
        <v>26696006.446988</v>
      </c>
      <c r="AA52" s="6" t="n">
        <v>6770048.60243133</v>
      </c>
      <c r="AB52" s="6" t="n">
        <v>-2246221.46140204</v>
      </c>
      <c r="AC52" s="6" t="n">
        <v>-5463791.8237739</v>
      </c>
      <c r="AD52" s="6" t="n">
        <v>236044.541816499</v>
      </c>
      <c r="AE52" s="6"/>
      <c r="AF52" s="6"/>
      <c r="AG52" s="6"/>
      <c r="AH52" s="6"/>
      <c r="AI52" s="6"/>
      <c r="AJ52" s="6"/>
      <c r="AK52" s="6"/>
      <c r="AL52" s="6"/>
      <c r="AM52" s="6"/>
      <c r="AN52" s="6"/>
    </row>
    <row r="53">
      <c r="A53" t="str">
        <f>M53</f>
      </c>
      <c r="B53" t="str">
        <f>N53</f>
      </c>
      <c r="C53" s="6" t="str">
        <f>AI53</f>
      </c>
      <c r="D53" s="6" t="str">
        <f>AL53</f>
      </c>
      <c r="E53" s="6" t="str">
        <f>AM53</f>
      </c>
      <c r="F53" s="6"/>
      <c r="G53" s="2" t="str">
        <f>AM53/AL53-1</f>
      </c>
      <c r="H53" s="2" t="str">
        <f>AM53/AI53-1</f>
      </c>
      <c r="I53" s="2"/>
      <c r="J53" s="2" t="str">
        <f>AM53/Sum(AM$46:AM$87)</f>
      </c>
      <c r="K53" s="2"/>
      <c r="M53" t="s">
        <v>65</v>
      </c>
      <c r="N53" t="s">
        <v>19</v>
      </c>
      <c r="O53" s="6" t="n">
        <v>81441.0825984646</v>
      </c>
      <c r="P53" s="6" t="n">
        <v>20476.3110009412</v>
      </c>
      <c r="Q53" s="6" t="n">
        <v>745247.530811864</v>
      </c>
      <c r="R53" s="6" t="n">
        <v>59644.4896362943</v>
      </c>
      <c r="S53" s="6"/>
      <c r="T53" s="6" t="n">
        <v>8991.15319791918</v>
      </c>
      <c r="U53" s="6" t="n">
        <v>16294757.8361637</v>
      </c>
      <c r="V53" s="6" t="n">
        <v>59463.4655674707</v>
      </c>
      <c r="W53" s="6" t="n">
        <v>-38971.2463858521</v>
      </c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</row>
    <row r="54">
      <c r="A54" t="str">
        <f>M54</f>
      </c>
      <c r="B54" t="str">
        <f>N54</f>
      </c>
      <c r="C54" s="6" t="str">
        <f>AI54</f>
      </c>
      <c r="D54" s="6" t="str">
        <f>AL54</f>
      </c>
      <c r="E54" s="6" t="str">
        <f>AM54</f>
      </c>
      <c r="F54" s="6"/>
      <c r="G54" s="2" t="str">
        <f>AM54/AL54-1</f>
      </c>
      <c r="H54" s="2" t="str">
        <f>AM54/AI54-1</f>
      </c>
      <c r="I54" s="2"/>
      <c r="J54" s="2" t="str">
        <f>AM54/Sum(AM$46:AM$87)</f>
      </c>
      <c r="K54" s="2"/>
      <c r="M54" t="s">
        <v>55</v>
      </c>
      <c r="N54" t="s">
        <v>67</v>
      </c>
      <c r="O54" s="6" t="n">
        <v>51024511925.3977</v>
      </c>
      <c r="P54" s="6" t="n">
        <v>57173068287.8267</v>
      </c>
      <c r="Q54" s="6" t="n">
        <v>71857880471.43</v>
      </c>
      <c r="R54" s="6" t="n">
        <v>89815338711.6949</v>
      </c>
      <c r="S54" s="6" t="n">
        <v>90831542996.073</v>
      </c>
      <c r="T54" s="6" t="n">
        <v>106250177366.09</v>
      </c>
      <c r="U54" s="6" t="n">
        <v>120886152211.684</v>
      </c>
      <c r="V54" s="6" t="n">
        <v>147211700385.862</v>
      </c>
      <c r="W54" s="6" t="n">
        <v>165424769642.041</v>
      </c>
      <c r="X54" s="6" t="n">
        <v>139540426688.202</v>
      </c>
      <c r="Y54" s="6" t="n">
        <v>137915345733.347</v>
      </c>
      <c r="Z54" s="6" t="n">
        <v>125515654737.517</v>
      </c>
      <c r="AA54" s="6" t="n">
        <v>107340152172.946</v>
      </c>
      <c r="AB54" s="6" t="n">
        <v>92551284289.2495</v>
      </c>
      <c r="AC54" s="6" t="n">
        <v>85760582519.274</v>
      </c>
      <c r="AD54" s="6" t="n">
        <v>86961989098.8287</v>
      </c>
      <c r="AE54" s="6" t="n">
        <v>96062894365.0346</v>
      </c>
      <c r="AF54" s="6" t="n">
        <v>97337171457.0471</v>
      </c>
      <c r="AG54" s="6" t="n">
        <v>108742959024.886</v>
      </c>
      <c r="AH54" s="6" t="n">
        <v>116645802682.717</v>
      </c>
      <c r="AI54" s="6" t="n">
        <v>120130575737.033</v>
      </c>
      <c r="AJ54" s="6" t="n">
        <v>129545492579.144</v>
      </c>
      <c r="AK54" s="6" t="n">
        <v>121025148850.787</v>
      </c>
      <c r="AL54" s="6" t="n">
        <v>109771628121.668</v>
      </c>
      <c r="AM54" s="6" t="n">
        <v>97462929052.6549</v>
      </c>
      <c r="AN54" s="6"/>
    </row>
    <row r="55">
      <c r="A55" t="str">
        <f>M55</f>
      </c>
      <c r="B55" t="str">
        <f>N55</f>
      </c>
      <c r="C55" s="6" t="str">
        <f>AI55</f>
      </c>
      <c r="D55" s="6" t="str">
        <f>AL55</f>
      </c>
      <c r="E55" s="6" t="str">
        <f>AM55</f>
      </c>
      <c r="F55" s="6"/>
      <c r="G55" s="2" t="str">
        <f>AM55/AL55-1</f>
      </c>
      <c r="H55" s="2" t="str">
        <f>AM55/AI55-1</f>
      </c>
      <c r="I55" s="2"/>
      <c r="J55" s="2" t="str">
        <f>AM55/Sum(AM$46:AM$87)</f>
      </c>
      <c r="K55" s="2"/>
      <c r="M55" t="s">
        <v>55</v>
      </c>
      <c r="N55" t="s">
        <v>18</v>
      </c>
      <c r="O55" s="6" t="n">
        <v>44927255251.208</v>
      </c>
      <c r="P55" s="6" t="n">
        <v>50111206433.0749</v>
      </c>
      <c r="Q55" s="6" t="n">
        <v>58972302367.5835</v>
      </c>
      <c r="R55" s="6" t="n">
        <v>79355573423.8173</v>
      </c>
      <c r="S55" s="6" t="n">
        <v>74848099214.1893</v>
      </c>
      <c r="T55" s="6" t="n">
        <v>79181163386.8239</v>
      </c>
      <c r="U55" s="6" t="n">
        <v>87100830872.4704</v>
      </c>
      <c r="V55" s="6" t="n">
        <v>84772997807.0037</v>
      </c>
      <c r="W55" s="6" t="n">
        <v>98621901060.6087</v>
      </c>
      <c r="X55" s="6" t="n">
        <v>95295009666.356</v>
      </c>
      <c r="Y55" s="6" t="n">
        <v>114947163154.908</v>
      </c>
      <c r="Z55" s="6" t="n">
        <v>112135062911.024</v>
      </c>
      <c r="AA55" s="6" t="n">
        <v>109978805157.87</v>
      </c>
      <c r="AB55" s="6" t="n">
        <v>92309814543.6085</v>
      </c>
      <c r="AC55" s="6" t="n">
        <v>95102703476.6331</v>
      </c>
      <c r="AD55" s="6" t="n">
        <v>87359345298.6796</v>
      </c>
      <c r="AE55" s="6" t="n">
        <v>89434773393.0697</v>
      </c>
      <c r="AF55" s="6" t="n">
        <v>91574707998.1602</v>
      </c>
      <c r="AG55" s="6" t="n">
        <v>102639582890.91</v>
      </c>
      <c r="AH55" s="6" t="n">
        <v>107413062054.664</v>
      </c>
      <c r="AI55" s="6" t="n">
        <v>120659874592.687</v>
      </c>
      <c r="AJ55" s="6" t="n">
        <v>104645784858.609</v>
      </c>
      <c r="AK55" s="6" t="n">
        <v>105168438536.9</v>
      </c>
      <c r="AL55" s="6" t="n">
        <v>113110089585.992</v>
      </c>
      <c r="AM55" s="6" t="n">
        <v>113970671278.397</v>
      </c>
      <c r="AN55" s="6"/>
    </row>
    <row r="56">
      <c r="A56" t="str">
        <f>M56</f>
      </c>
      <c r="B56" t="str">
        <f>N56</f>
      </c>
      <c r="C56" s="6" t="str">
        <f>AI56</f>
      </c>
      <c r="D56" s="6" t="str">
        <f>AL56</f>
      </c>
      <c r="E56" s="6" t="str">
        <f>AM56</f>
      </c>
      <c r="F56" s="6"/>
      <c r="G56" s="2" t="str">
        <f>AM56/AL56-1</f>
      </c>
      <c r="H56" s="2" t="str">
        <f>AM56/AI56-1</f>
      </c>
      <c r="I56" s="2"/>
      <c r="J56" s="2" t="str">
        <f>AM56/Sum(AM$46:AM$87)</f>
      </c>
      <c r="K56" s="2"/>
      <c r="M56" t="s">
        <v>55</v>
      </c>
      <c r="N56" t="s">
        <v>49</v>
      </c>
      <c r="O56" s="6" t="n">
        <v>3540635503.34616</v>
      </c>
      <c r="P56" s="6" t="n">
        <v>4373210882.53147</v>
      </c>
      <c r="Q56" s="6" t="n">
        <v>5129856007.94734</v>
      </c>
      <c r="R56" s="6" t="n">
        <v>3944216968.84398</v>
      </c>
      <c r="S56" s="6" t="n">
        <v>4438090024.23824</v>
      </c>
      <c r="T56" s="6" t="n">
        <v>6908797313.19514</v>
      </c>
      <c r="U56" s="6" t="n">
        <v>3865011454.57818</v>
      </c>
      <c r="V56" s="6" t="n">
        <v>4211919878.59902</v>
      </c>
      <c r="W56" s="6" t="n">
        <v>4591736882.93965</v>
      </c>
      <c r="X56" s="6" t="n">
        <v>5321490707.52114</v>
      </c>
      <c r="Y56" s="6" t="n">
        <v>7121558422.37829</v>
      </c>
      <c r="Z56" s="6" t="n">
        <v>9816689619.53922</v>
      </c>
      <c r="AA56" s="6" t="n">
        <v>8698503115.99612</v>
      </c>
      <c r="AB56" s="6" t="n">
        <v>3964305846.00631</v>
      </c>
      <c r="AC56" s="6" t="n">
        <v>3415478387.91913</v>
      </c>
      <c r="AD56" s="6" t="n">
        <v>2646103781.46647</v>
      </c>
      <c r="AE56" s="6" t="n">
        <v>2029860177.9934</v>
      </c>
      <c r="AF56" s="6" t="n">
        <v>2319942783.30943</v>
      </c>
      <c r="AG56" s="6" t="n">
        <v>2508569948.72835</v>
      </c>
      <c r="AH56" s="6" t="n">
        <v>2774541651.29238</v>
      </c>
      <c r="AI56" s="6" t="n">
        <v>7838898914.76275</v>
      </c>
      <c r="AJ56" s="6" t="n">
        <v>3645261033.36084</v>
      </c>
      <c r="AK56" s="6" t="n">
        <v>5211440450.40921</v>
      </c>
      <c r="AL56" s="6" t="n">
        <v>6274058362.33</v>
      </c>
      <c r="AM56" s="6" t="n">
        <v>6094320744.54795</v>
      </c>
      <c r="AN56" s="6"/>
    </row>
    <row r="57">
      <c r="A57" t="str">
        <f>M57</f>
      </c>
      <c r="B57" t="str">
        <f>N57</f>
      </c>
      <c r="C57" s="6" t="str">
        <f>AI57</f>
      </c>
      <c r="D57" s="6" t="str">
        <f>AL57</f>
      </c>
      <c r="E57" s="6" t="str">
        <f>AM57</f>
      </c>
      <c r="F57" s="6"/>
      <c r="G57" s="2" t="str">
        <f>AM57/AL57-1</f>
      </c>
      <c r="H57" s="2" t="str">
        <f>AM57/AI57-1</f>
      </c>
      <c r="I57" s="2"/>
      <c r="J57" s="2" t="str">
        <f>AM57/Sum(AM$46:AM$87)</f>
      </c>
      <c r="K57" s="2"/>
      <c r="M57" t="s">
        <v>55</v>
      </c>
      <c r="N57" t="s">
        <v>19</v>
      </c>
      <c r="O57" s="6" t="n">
        <v>443454.652919122</v>
      </c>
      <c r="P57" s="6" t="n">
        <v>4693739.99270567</v>
      </c>
      <c r="Q57" s="6" t="n">
        <v>60469593.7876253</v>
      </c>
      <c r="R57" s="6" t="n">
        <v>10948930.0071407</v>
      </c>
      <c r="S57" s="6" t="n">
        <v>4587584.07596401</v>
      </c>
      <c r="T57" s="6" t="n">
        <v>3730987.25682926</v>
      </c>
      <c r="U57" s="6" t="n">
        <v>30336859.6322148</v>
      </c>
      <c r="V57" s="6" t="n">
        <v>25544680.94147</v>
      </c>
      <c r="W57" s="6" t="n">
        <v>1037602.02155243</v>
      </c>
      <c r="X57" s="6" t="n">
        <v>924864.089004366</v>
      </c>
      <c r="Y57" s="6" t="n">
        <v>-64392.5776588806</v>
      </c>
      <c r="Z57" s="6" t="n">
        <v>-187671.151100539</v>
      </c>
      <c r="AA57" s="6" t="n">
        <v>-4782.01427067501</v>
      </c>
      <c r="AB57" s="6" t="n">
        <v>-67131.228425603</v>
      </c>
      <c r="AC57" s="6" t="n">
        <v>567671.010781381</v>
      </c>
      <c r="AD57" s="6"/>
      <c r="AE57" s="6" t="n">
        <v>4443616.46019587</v>
      </c>
      <c r="AF57" s="6" t="n">
        <v>-299.071500057452</v>
      </c>
      <c r="AG57" s="6" t="n">
        <v>-278246.133397523</v>
      </c>
      <c r="AH57" s="6" t="n">
        <v>546254.749528136</v>
      </c>
      <c r="AI57" s="6" t="n">
        <v>0</v>
      </c>
      <c r="AJ57" s="6" t="n">
        <v>421053.108340354</v>
      </c>
      <c r="AK57" s="6"/>
      <c r="AL57" s="6"/>
      <c r="AM57" s="6"/>
      <c r="AN57" s="6"/>
    </row>
    <row r="58">
      <c r="A58" t="str">
        <f>M58</f>
      </c>
      <c r="B58" t="str">
        <f>N58</f>
      </c>
      <c r="C58" s="6" t="str">
        <f>AI58</f>
      </c>
      <c r="D58" s="6" t="str">
        <f>AL58</f>
      </c>
      <c r="E58" s="6" t="str">
        <f>AM58</f>
      </c>
      <c r="F58" s="6"/>
      <c r="G58" s="2" t="str">
        <f>AM58/AL58-1</f>
      </c>
      <c r="H58" s="2" t="str">
        <f>AM58/AI58-1</f>
      </c>
      <c r="I58" s="2"/>
      <c r="J58" s="2" t="str">
        <f>AM58/Sum(AM$46:AM$87)</f>
      </c>
      <c r="K58" s="2"/>
      <c r="M58" t="s">
        <v>55</v>
      </c>
      <c r="N58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 t="n">
        <v>-1289.31750225655</v>
      </c>
      <c r="AN58" s="6"/>
    </row>
    <row r="59">
      <c r="A59" t="str">
        <f>M59</f>
      </c>
      <c r="B59" t="str">
        <f>N59</f>
      </c>
      <c r="C59" s="6" t="str">
        <f>AI59</f>
      </c>
      <c r="D59" s="6" t="str">
        <f>AL59</f>
      </c>
      <c r="E59" s="6" t="str">
        <f>AM59</f>
      </c>
      <c r="F59" s="6"/>
      <c r="G59" s="2" t="str">
        <f>AM59/AL59-1</f>
      </c>
      <c r="H59" s="2" t="str">
        <f>AM59/AI59-1</f>
      </c>
      <c r="I59" s="2"/>
      <c r="J59" s="2" t="str">
        <f>AM59/Sum(AM$46:AM$87)</f>
      </c>
      <c r="K59" s="2"/>
      <c r="M59" t="s">
        <v>56</v>
      </c>
      <c r="N59" t="s">
        <v>67</v>
      </c>
      <c r="O59" s="6" t="n">
        <v>7830440214.09252</v>
      </c>
      <c r="P59" s="6" t="n">
        <v>10405528127.9678</v>
      </c>
      <c r="Q59" s="6" t="n">
        <v>11824576110.0665</v>
      </c>
      <c r="R59" s="6" t="n">
        <v>12752804920.7633</v>
      </c>
      <c r="S59" s="6" t="n">
        <v>14651630959.2883</v>
      </c>
      <c r="T59" s="6" t="n">
        <v>28841204752.7754</v>
      </c>
      <c r="U59" s="6" t="n">
        <v>25678995117.4822</v>
      </c>
      <c r="V59" s="6" t="n">
        <v>22241510449.9132</v>
      </c>
      <c r="W59" s="6" t="n">
        <v>29646976673.0748</v>
      </c>
      <c r="X59" s="6" t="n">
        <v>32168036517.5679</v>
      </c>
      <c r="Y59" s="6" t="n">
        <v>21086995193.7309</v>
      </c>
      <c r="Z59" s="6" t="n">
        <v>21815320238.4904</v>
      </c>
      <c r="AA59" s="6" t="n">
        <v>30639184302.4412</v>
      </c>
      <c r="AB59" s="6" t="n">
        <v>20214127189.1655</v>
      </c>
      <c r="AC59" s="6" t="n">
        <v>12124378462.6641</v>
      </c>
      <c r="AD59" s="6" t="n">
        <v>9123213920.75732</v>
      </c>
      <c r="AE59" s="6" t="n">
        <v>7473599325.09217</v>
      </c>
      <c r="AF59" s="6" t="n">
        <v>9171206743.05903</v>
      </c>
      <c r="AG59" s="6" t="n">
        <v>10194237056.0867</v>
      </c>
      <c r="AH59" s="6" t="n">
        <v>8374663900.14719</v>
      </c>
      <c r="AI59" s="6" t="n">
        <v>7391912243.68419</v>
      </c>
      <c r="AJ59" s="6" t="n">
        <v>8488867648.66219</v>
      </c>
      <c r="AK59" s="6" t="n">
        <v>13934586167.5067</v>
      </c>
      <c r="AL59" s="6" t="n">
        <v>13005116422.3806</v>
      </c>
      <c r="AM59" s="6" t="n">
        <v>13282512938.1538</v>
      </c>
      <c r="AN59" s="6"/>
    </row>
    <row r="60">
      <c r="A60" t="str">
        <f>M60</f>
      </c>
      <c r="B60" t="str">
        <f>N60</f>
      </c>
      <c r="C60" s="6" t="str">
        <f>AI60</f>
      </c>
      <c r="D60" s="6" t="str">
        <f>AL60</f>
      </c>
      <c r="E60" s="6" t="str">
        <f>AM60</f>
      </c>
      <c r="F60" s="6"/>
      <c r="G60" s="2" t="str">
        <f>AM60/AL60-1</f>
      </c>
      <c r="H60" s="2" t="str">
        <f>AM60/AI60-1</f>
      </c>
      <c r="I60" s="2"/>
      <c r="J60" s="2" t="str">
        <f>AM60/Sum(AM$46:AM$87)</f>
      </c>
      <c r="K60" s="2"/>
      <c r="M60" t="s">
        <v>56</v>
      </c>
      <c r="N60" t="s">
        <v>18</v>
      </c>
      <c r="O60" s="6" t="n">
        <v>1974103043.68659</v>
      </c>
      <c r="P60" s="6" t="n">
        <v>3265631930.96455</v>
      </c>
      <c r="Q60" s="6" t="n">
        <v>2001136139.78113</v>
      </c>
      <c r="R60" s="6" t="n">
        <v>2223311265.04658</v>
      </c>
      <c r="S60" s="6" t="n">
        <v>2980239852.12418</v>
      </c>
      <c r="T60" s="6" t="n">
        <v>4204827522.29049</v>
      </c>
      <c r="U60" s="6" t="n">
        <v>2681979350.57756</v>
      </c>
      <c r="V60" s="6" t="n">
        <v>2297255304.20611</v>
      </c>
      <c r="W60" s="6" t="n">
        <v>1831403900.38019</v>
      </c>
      <c r="X60" s="6" t="n">
        <v>1202171919.44503</v>
      </c>
      <c r="Y60" s="6" t="n">
        <v>2279991646.04264</v>
      </c>
      <c r="Z60" s="6" t="n">
        <v>4360090195.80076</v>
      </c>
      <c r="AA60" s="6" t="n">
        <v>4899526623.6733</v>
      </c>
      <c r="AB60" s="6" t="n">
        <v>3350234048.53622</v>
      </c>
      <c r="AC60" s="6" t="n">
        <v>2865873655.5943</v>
      </c>
      <c r="AD60" s="6" t="n">
        <v>2111916598.27393</v>
      </c>
      <c r="AE60" s="6" t="n">
        <v>1684933748.57747</v>
      </c>
      <c r="AF60" s="6" t="n">
        <v>2066624038.15392</v>
      </c>
      <c r="AG60" s="6" t="n">
        <v>2326262830.20914</v>
      </c>
      <c r="AH60" s="6" t="n">
        <v>3056402334.24562</v>
      </c>
      <c r="AI60" s="6" t="n">
        <v>2884193617.91409</v>
      </c>
      <c r="AJ60" s="6" t="n">
        <v>3103503320.29248</v>
      </c>
      <c r="AK60" s="6" t="n">
        <v>4382469290.40085</v>
      </c>
      <c r="AL60" s="6" t="n">
        <v>3771713884.1004</v>
      </c>
      <c r="AM60" s="6" t="n">
        <v>3683882565.17113</v>
      </c>
      <c r="AN60" s="6"/>
    </row>
    <row r="61">
      <c r="A61" t="str">
        <f>M61</f>
      </c>
      <c r="B61" t="str">
        <f>N61</f>
      </c>
      <c r="C61" s="6" t="str">
        <f>AI61</f>
      </c>
      <c r="D61" s="6" t="str">
        <f>AL61</f>
      </c>
      <c r="E61" s="6" t="str">
        <f>AM61</f>
      </c>
      <c r="F61" s="6"/>
      <c r="G61" s="2" t="str">
        <f>AM61/AL61-1</f>
      </c>
      <c r="H61" s="2" t="str">
        <f>AM61/AI61-1</f>
      </c>
      <c r="I61" s="2"/>
      <c r="J61" s="2" t="str">
        <f>AM61/Sum(AM$46:AM$87)</f>
      </c>
      <c r="K61" s="2"/>
      <c r="M61" t="s">
        <v>56</v>
      </c>
      <c r="N61" t="s">
        <v>49</v>
      </c>
      <c r="O61" s="6" t="n">
        <v>58870403.4926929</v>
      </c>
      <c r="P61" s="6" t="n">
        <v>42704392.9770931</v>
      </c>
      <c r="Q61" s="6" t="n">
        <v>20697921.9258249</v>
      </c>
      <c r="R61" s="6" t="n">
        <v>1139249.70742402</v>
      </c>
      <c r="S61" s="6"/>
      <c r="T61" s="6" t="n">
        <v>109981448.664457</v>
      </c>
      <c r="U61" s="6" t="n">
        <v>2307553.61187542</v>
      </c>
      <c r="V61" s="6" t="n">
        <v>386016.997308831</v>
      </c>
      <c r="W61" s="6" t="n">
        <v>66922.2808674495</v>
      </c>
      <c r="X61" s="6" t="n">
        <v>0</v>
      </c>
      <c r="Y61" s="6" t="n">
        <v>246261.876920633</v>
      </c>
      <c r="Z61" s="6" t="n">
        <v>168531.855568964</v>
      </c>
      <c r="AA61" s="6" t="n">
        <v>203589.081459986</v>
      </c>
      <c r="AB61" s="6" t="n">
        <v>2571.99159987968</v>
      </c>
      <c r="AC61" s="6" t="n">
        <v>0</v>
      </c>
      <c r="AD61" s="6" t="n">
        <v>0</v>
      </c>
      <c r="AE61" s="6"/>
      <c r="AF61" s="6"/>
      <c r="AG61" s="6"/>
      <c r="AH61" s="6"/>
      <c r="AI61" s="6"/>
      <c r="AJ61" s="6"/>
      <c r="AK61" s="6"/>
      <c r="AL61" s="6"/>
      <c r="AM61" s="6"/>
      <c r="AN61" s="6"/>
    </row>
    <row r="62">
      <c r="A62" t="str">
        <f>M62</f>
      </c>
      <c r="B62" t="str">
        <f>N62</f>
      </c>
      <c r="C62" s="6" t="str">
        <f>AI62</f>
      </c>
      <c r="D62" s="6" t="str">
        <f>AL62</f>
      </c>
      <c r="E62" s="6" t="str">
        <f>AM62</f>
      </c>
      <c r="F62" s="6"/>
      <c r="G62" s="2" t="str">
        <f>AM62/AL62-1</f>
      </c>
      <c r="H62" s="2" t="str">
        <f>AM62/AI62-1</f>
      </c>
      <c r="I62" s="2"/>
      <c r="J62" s="2" t="str">
        <f>AM62/Sum(AM$46:AM$87)</f>
      </c>
      <c r="K62" s="2"/>
      <c r="M62" t="s">
        <v>56</v>
      </c>
      <c r="N62" t="s">
        <v>19</v>
      </c>
      <c r="O62" s="6"/>
      <c r="P62" s="6"/>
      <c r="Q62" s="6"/>
      <c r="R62" s="6"/>
      <c r="S62" s="6"/>
      <c r="T62" s="6"/>
      <c r="U62" s="6" t="n">
        <v>50960.6971551391</v>
      </c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</row>
    <row r="63">
      <c r="A63" t="str">
        <f>M63</f>
      </c>
      <c r="B63" t="str">
        <f>N63</f>
      </c>
      <c r="C63" s="6" t="str">
        <f>AI63</f>
      </c>
      <c r="D63" s="6" t="str">
        <f>AL63</f>
      </c>
      <c r="E63" s="6" t="str">
        <f>AM63</f>
      </c>
      <c r="F63" s="6"/>
      <c r="G63" s="2" t="str">
        <f>AM63/AL63-1</f>
      </c>
      <c r="H63" s="2" t="str">
        <f>AM63/AI63-1</f>
      </c>
      <c r="I63" s="2"/>
      <c r="J63" s="2" t="str">
        <f>AM63/Sum(AM$46:AM$87)</f>
      </c>
      <c r="K63" s="2"/>
      <c r="M63" t="s">
        <v>60</v>
      </c>
      <c r="N63" t="s">
        <v>67</v>
      </c>
      <c r="O63" s="6" t="n">
        <v>2864416385.37288</v>
      </c>
      <c r="P63" s="6" t="n">
        <v>2359187611.59384</v>
      </c>
      <c r="Q63" s="6" t="n">
        <v>6012998100.54297</v>
      </c>
      <c r="R63" s="6" t="n">
        <v>6322822438.8316</v>
      </c>
      <c r="S63" s="6" t="n">
        <v>7763577806.09159</v>
      </c>
      <c r="T63" s="6" t="n">
        <v>7494049532.53303</v>
      </c>
      <c r="U63" s="6" t="n">
        <v>7477206889.77264</v>
      </c>
      <c r="V63" s="6" t="n">
        <v>5096729045.44553</v>
      </c>
      <c r="W63" s="6" t="n">
        <v>5334464630.43777</v>
      </c>
      <c r="X63" s="6" t="n">
        <v>10391808010.9203</v>
      </c>
      <c r="Y63" s="6" t="n">
        <v>12760310079.5865</v>
      </c>
      <c r="Z63" s="6" t="n">
        <v>29209404538.1496</v>
      </c>
      <c r="AA63" s="6" t="n">
        <v>29355532442.2122</v>
      </c>
      <c r="AB63" s="6" t="n">
        <v>33788876405.0439</v>
      </c>
      <c r="AC63" s="6" t="n">
        <v>25965650093.0983</v>
      </c>
      <c r="AD63" s="6" t="n">
        <v>28633247098.3607</v>
      </c>
      <c r="AE63" s="6" t="n">
        <v>26947871910.3418</v>
      </c>
      <c r="AF63" s="6" t="n">
        <v>22212190437.6928</v>
      </c>
      <c r="AG63" s="6" t="n">
        <v>39452525422.0203</v>
      </c>
      <c r="AH63" s="6" t="n">
        <v>47582947311.9353</v>
      </c>
      <c r="AI63" s="6" t="n">
        <v>43035741894.3533</v>
      </c>
      <c r="AJ63" s="6" t="n">
        <v>30129938607.6343</v>
      </c>
      <c r="AK63" s="6" t="n">
        <v>30782650168.4576</v>
      </c>
      <c r="AL63" s="6" t="n">
        <v>51340809729.7416</v>
      </c>
      <c r="AM63" s="6" t="n">
        <v>25160753568.489</v>
      </c>
      <c r="AN63" s="6"/>
    </row>
    <row r="64">
      <c r="A64" t="str">
        <f>M64</f>
      </c>
      <c r="B64" t="str">
        <f>N64</f>
      </c>
      <c r="C64" s="6" t="str">
        <f>AI64</f>
      </c>
      <c r="D64" s="6" t="str">
        <f>AL64</f>
      </c>
      <c r="E64" s="6" t="str">
        <f>AM64</f>
      </c>
      <c r="F64" s="6"/>
      <c r="G64" s="2" t="str">
        <f>AM64/AL64-1</f>
      </c>
      <c r="H64" s="2" t="str">
        <f>AM64/AI64-1</f>
      </c>
      <c r="I64" s="2"/>
      <c r="J64" s="2" t="str">
        <f>AM64/Sum(AM$46:AM$87)</f>
      </c>
      <c r="K64" s="2"/>
      <c r="M64" t="s">
        <v>60</v>
      </c>
      <c r="N64" t="s">
        <v>18</v>
      </c>
      <c r="O64" s="6" t="n">
        <v>860856937.821716</v>
      </c>
      <c r="P64" s="6" t="n">
        <v>3794441033.6409</v>
      </c>
      <c r="Q64" s="6" t="n">
        <v>4245936615.47729</v>
      </c>
      <c r="R64" s="6" t="n">
        <v>2568644583.57105</v>
      </c>
      <c r="S64" s="6" t="n">
        <v>2007067759.73369</v>
      </c>
      <c r="T64" s="6" t="n">
        <v>2196292054.05139</v>
      </c>
      <c r="U64" s="6" t="n">
        <v>2051160723.57032</v>
      </c>
      <c r="V64" s="6" t="n">
        <v>1440480633.99885</v>
      </c>
      <c r="W64" s="6" t="n">
        <v>1006633429.54523</v>
      </c>
      <c r="X64" s="6" t="n">
        <v>710260532.570225</v>
      </c>
      <c r="Y64" s="6" t="n">
        <v>3339441620.92239</v>
      </c>
      <c r="Z64" s="6" t="n">
        <v>1586189309.32863</v>
      </c>
      <c r="AA64" s="6" t="n">
        <v>1851552073.00804</v>
      </c>
      <c r="AB64" s="6" t="n">
        <v>2033462678.50692</v>
      </c>
      <c r="AC64" s="6" t="n">
        <v>2354714169.35249</v>
      </c>
      <c r="AD64" s="6" t="n">
        <v>1778692247.49846</v>
      </c>
      <c r="AE64" s="6" t="n">
        <v>2299805705.42531</v>
      </c>
      <c r="AF64" s="6" t="n">
        <v>1318414612.54902</v>
      </c>
      <c r="AG64" s="6" t="n">
        <v>1683510989.54186</v>
      </c>
      <c r="AH64" s="6" t="n">
        <v>2967445084.565</v>
      </c>
      <c r="AI64" s="6" t="n">
        <v>2684690414.9915</v>
      </c>
      <c r="AJ64" s="6" t="n">
        <v>2572994352.4037</v>
      </c>
      <c r="AK64" s="6" t="n">
        <v>2194618162.56179</v>
      </c>
      <c r="AL64" s="6" t="n">
        <v>2180156305.7018</v>
      </c>
      <c r="AM64" s="6" t="n">
        <v>1982019545.35596</v>
      </c>
      <c r="AN64" s="6"/>
    </row>
    <row r="65">
      <c r="A65" t="str">
        <f>M65</f>
      </c>
      <c r="B65" t="str">
        <f>N65</f>
      </c>
      <c r="C65" s="6" t="str">
        <f>AI65</f>
      </c>
      <c r="D65" s="6" t="str">
        <f>AL65</f>
      </c>
      <c r="E65" s="6" t="str">
        <f>AM65</f>
      </c>
      <c r="F65" s="6"/>
      <c r="G65" s="2" t="str">
        <f>AM65/AL65-1</f>
      </c>
      <c r="H65" s="2" t="str">
        <f>AM65/AI65-1</f>
      </c>
      <c r="I65" s="2"/>
      <c r="J65" s="2" t="str">
        <f>AM65/Sum(AM$46:AM$87)</f>
      </c>
      <c r="K65" s="2"/>
      <c r="M65" t="s">
        <v>60</v>
      </c>
      <c r="N65" t="s">
        <v>49</v>
      </c>
      <c r="O65" s="6" t="n">
        <v>174222869.992527</v>
      </c>
      <c r="P65" s="6" t="n">
        <v>186843445.758539</v>
      </c>
      <c r="Q65" s="6" t="n">
        <v>595010747.654284</v>
      </c>
      <c r="R65" s="6" t="n">
        <v>346918432.117319</v>
      </c>
      <c r="S65" s="6" t="n">
        <v>166738940.299356</v>
      </c>
      <c r="T65" s="6" t="n">
        <v>318913818.706124</v>
      </c>
      <c r="U65" s="6" t="n">
        <v>191184861.376429</v>
      </c>
      <c r="V65" s="6" t="n">
        <v>163645568.860132</v>
      </c>
      <c r="W65" s="6" t="n">
        <v>207943739.672162</v>
      </c>
      <c r="X65" s="6" t="n">
        <v>632291776.156187</v>
      </c>
      <c r="Y65" s="6" t="n">
        <v>1518991217.20098</v>
      </c>
      <c r="Z65" s="6" t="n">
        <v>585697102.997475</v>
      </c>
      <c r="AA65" s="6" t="n">
        <v>435101021.891561</v>
      </c>
      <c r="AB65" s="6" t="n">
        <v>429026497.491472</v>
      </c>
      <c r="AC65" s="6" t="n">
        <v>1371492639.31553</v>
      </c>
      <c r="AD65" s="6" t="n">
        <v>836584673.538937</v>
      </c>
      <c r="AE65" s="6" t="n">
        <v>1245273344.38665</v>
      </c>
      <c r="AF65" s="6" t="n">
        <v>793883060.919337</v>
      </c>
      <c r="AG65" s="6" t="n">
        <v>1101653697.47606</v>
      </c>
      <c r="AH65" s="6" t="n">
        <v>1710139922.22775</v>
      </c>
      <c r="AI65" s="6" t="n">
        <v>1555970712.85658</v>
      </c>
      <c r="AJ65" s="6" t="n">
        <v>1171474387.64049</v>
      </c>
      <c r="AK65" s="6" t="n">
        <v>69066850.8770208</v>
      </c>
      <c r="AL65" s="6" t="n">
        <v>826551205.1926</v>
      </c>
      <c r="AM65" s="6" t="n">
        <v>1197366040.5787</v>
      </c>
      <c r="AN65" s="6"/>
    </row>
    <row r="66">
      <c r="A66" t="str">
        <f>M66</f>
      </c>
      <c r="B66" t="str">
        <f>N66</f>
      </c>
      <c r="C66" s="6" t="str">
        <f>AI66</f>
      </c>
      <c r="D66" s="6" t="str">
        <f>AL66</f>
      </c>
      <c r="E66" s="6" t="str">
        <f>AM66</f>
      </c>
      <c r="F66" s="6"/>
      <c r="G66" s="2" t="str">
        <f>AM66/AL66-1</f>
      </c>
      <c r="H66" s="2" t="str">
        <f>AM66/AI66-1</f>
      </c>
      <c r="I66" s="2"/>
      <c r="J66" s="2" t="str">
        <f>AM66/Sum(AM$46:AM$87)</f>
      </c>
      <c r="K66" s="2"/>
      <c r="M66" t="s">
        <v>60</v>
      </c>
      <c r="N66" t="s">
        <v>19</v>
      </c>
      <c r="O66" s="6" t="n">
        <v>0</v>
      </c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</row>
    <row r="67">
      <c r="A67" t="str">
        <f>M67</f>
      </c>
      <c r="B67" t="str">
        <f>N67</f>
      </c>
      <c r="C67" s="6" t="str">
        <f>AI67</f>
      </c>
      <c r="D67" s="6" t="str">
        <f>AL67</f>
      </c>
      <c r="E67" s="6" t="str">
        <f>AM67</f>
      </c>
      <c r="F67" s="6"/>
      <c r="G67" s="2" t="str">
        <f>AM67/AL67-1</f>
      </c>
      <c r="H67" s="2" t="str">
        <f>AM67/AI67-1</f>
      </c>
      <c r="I67" s="2"/>
      <c r="J67" s="2" t="str">
        <f>AM67/Sum(AM$46:AM$87)</f>
      </c>
      <c r="K67" s="2"/>
      <c r="M67" t="s">
        <v>62</v>
      </c>
      <c r="N67" t="s">
        <v>67</v>
      </c>
      <c r="O67" s="6" t="n">
        <v>10950775786.855</v>
      </c>
      <c r="P67" s="6" t="n">
        <v>17247605654.0204</v>
      </c>
      <c r="Q67" s="6" t="n">
        <v>15452871403.4692</v>
      </c>
      <c r="R67" s="6" t="n">
        <v>16599752855.0885</v>
      </c>
      <c r="S67" s="6" t="n">
        <v>19462569882.9695</v>
      </c>
      <c r="T67" s="6" t="n">
        <v>18163597301.176</v>
      </c>
      <c r="U67" s="6" t="n">
        <v>19147490919.4314</v>
      </c>
      <c r="V67" s="6" t="n">
        <v>18441217653.8226</v>
      </c>
      <c r="W67" s="6" t="n">
        <v>17773466961.1911</v>
      </c>
      <c r="X67" s="6" t="n">
        <v>17890251514.6341</v>
      </c>
      <c r="Y67" s="6" t="n">
        <v>17915995718.2544</v>
      </c>
      <c r="Z67" s="6" t="n">
        <v>20213227902.1592</v>
      </c>
      <c r="AA67" s="6" t="n">
        <v>18664708217.4289</v>
      </c>
      <c r="AB67" s="6" t="n">
        <v>15928511506.148</v>
      </c>
      <c r="AC67" s="6" t="n">
        <v>22416892563.9448</v>
      </c>
      <c r="AD67" s="6" t="n">
        <v>22047452515.8597</v>
      </c>
      <c r="AE67" s="6" t="n">
        <v>21992750281.7251</v>
      </c>
      <c r="AF67" s="6" t="n">
        <v>21645143577.9827</v>
      </c>
      <c r="AG67" s="6" t="n">
        <v>16266139649.9834</v>
      </c>
      <c r="AH67" s="6" t="n">
        <v>17924783087.5065</v>
      </c>
      <c r="AI67" s="6" t="n">
        <v>19984434220.6243</v>
      </c>
      <c r="AJ67" s="6" t="n">
        <v>15275790560.7684</v>
      </c>
      <c r="AK67" s="6" t="n">
        <v>16329743811.6858</v>
      </c>
      <c r="AL67" s="6" t="n">
        <v>14592254986.3846</v>
      </c>
      <c r="AM67" s="6" t="n">
        <v>18900451596.8986</v>
      </c>
      <c r="AN67" s="6"/>
    </row>
    <row r="68">
      <c r="A68" t="str">
        <f>M68</f>
      </c>
      <c r="B68" t="str">
        <f>N68</f>
      </c>
      <c r="C68" s="6" t="str">
        <f>AI68</f>
      </c>
      <c r="D68" s="6" t="str">
        <f>AL68</f>
      </c>
      <c r="E68" s="6" t="str">
        <f>AM68</f>
      </c>
      <c r="F68" s="6"/>
      <c r="G68" s="2" t="str">
        <f>AM68/AL68-1</f>
      </c>
      <c r="H68" s="2" t="str">
        <f>AM68/AI68-1</f>
      </c>
      <c r="I68" s="2"/>
      <c r="J68" s="2" t="str">
        <f>AM68/Sum(AM$46:AM$87)</f>
      </c>
      <c r="K68" s="2"/>
      <c r="M68" t="s">
        <v>62</v>
      </c>
      <c r="N68" t="s">
        <v>18</v>
      </c>
      <c r="O68" s="6" t="n">
        <v>22604368561.2377</v>
      </c>
      <c r="P68" s="6" t="n">
        <v>20419522699.9964</v>
      </c>
      <c r="Q68" s="6" t="n">
        <v>24690920153.562</v>
      </c>
      <c r="R68" s="6" t="n">
        <v>31742958857.3276</v>
      </c>
      <c r="S68" s="6" t="n">
        <v>41283160318.4047</v>
      </c>
      <c r="T68" s="6" t="n">
        <v>40138038670.1375</v>
      </c>
      <c r="U68" s="6" t="n">
        <v>42022374071.3166</v>
      </c>
      <c r="V68" s="6" t="n">
        <v>39581275143.4787</v>
      </c>
      <c r="W68" s="6" t="n">
        <v>42522969243.8432</v>
      </c>
      <c r="X68" s="6" t="n">
        <v>45068792412.4649</v>
      </c>
      <c r="Y68" s="6" t="n">
        <v>50581697753.7725</v>
      </c>
      <c r="Z68" s="6" t="n">
        <v>55993877803.6831</v>
      </c>
      <c r="AA68" s="6" t="n">
        <v>54071545664.3731</v>
      </c>
      <c r="AB68" s="6" t="n">
        <v>54071331435.328</v>
      </c>
      <c r="AC68" s="6" t="n">
        <v>48547691991.427</v>
      </c>
      <c r="AD68" s="6" t="n">
        <v>48011477746.673</v>
      </c>
      <c r="AE68" s="6" t="n">
        <v>45172965916.1909</v>
      </c>
      <c r="AF68" s="6" t="n">
        <v>48955445851.61</v>
      </c>
      <c r="AG68" s="6" t="n">
        <v>48220768130.1654</v>
      </c>
      <c r="AH68" s="6" t="n">
        <v>52764014502.1697</v>
      </c>
      <c r="AI68" s="6" t="n">
        <v>53844541782.1643</v>
      </c>
      <c r="AJ68" s="6" t="n">
        <v>54052994768.475</v>
      </c>
      <c r="AK68" s="6" t="n">
        <v>52153403952.6039</v>
      </c>
      <c r="AL68" s="6" t="n">
        <v>53828484657.8607</v>
      </c>
      <c r="AM68" s="6" t="n">
        <v>54857994969.3251</v>
      </c>
      <c r="AN68" s="6"/>
    </row>
    <row r="69">
      <c r="A69" t="str">
        <f>M69</f>
      </c>
      <c r="B69" t="str">
        <f>N69</f>
      </c>
      <c r="C69" s="6" t="str">
        <f>AI69</f>
      </c>
      <c r="D69" s="6" t="str">
        <f>AL69</f>
      </c>
      <c r="E69" s="6" t="str">
        <f>AM69</f>
      </c>
      <c r="F69" s="6"/>
      <c r="G69" s="2" t="str">
        <f>AM69/AL69-1</f>
      </c>
      <c r="H69" s="2" t="str">
        <f>AM69/AI69-1</f>
      </c>
      <c r="I69" s="2"/>
      <c r="J69" s="2" t="str">
        <f>AM69/Sum(AM$46:AM$87)</f>
      </c>
      <c r="K69" s="2"/>
      <c r="M69" t="s">
        <v>62</v>
      </c>
      <c r="N69" t="s">
        <v>49</v>
      </c>
      <c r="O69" s="6" t="n">
        <v>23472956895.1914</v>
      </c>
      <c r="P69" s="6" t="n">
        <v>23197348374.1727</v>
      </c>
      <c r="Q69" s="6" t="n">
        <v>26248372653.6406</v>
      </c>
      <c r="R69" s="6" t="n">
        <v>33920175894.0816</v>
      </c>
      <c r="S69" s="6" t="n">
        <v>34188195344.0719</v>
      </c>
      <c r="T69" s="6" t="n">
        <v>36699259531.7261</v>
      </c>
      <c r="U69" s="6" t="n">
        <v>38347748334.1885</v>
      </c>
      <c r="V69" s="6" t="n">
        <v>38090947030.6048</v>
      </c>
      <c r="W69" s="6" t="n">
        <v>34291028782.2982</v>
      </c>
      <c r="X69" s="6" t="n">
        <v>37427588937.122</v>
      </c>
      <c r="Y69" s="6" t="n">
        <v>38677306569.2149</v>
      </c>
      <c r="Z69" s="6" t="n">
        <v>34512393470.2522</v>
      </c>
      <c r="AA69" s="6" t="n">
        <v>31264906771.0462</v>
      </c>
      <c r="AB69" s="6" t="n">
        <v>26338017406.3705</v>
      </c>
      <c r="AC69" s="6" t="n">
        <v>24317433206.9557</v>
      </c>
      <c r="AD69" s="6" t="n">
        <v>22471933483.6674</v>
      </c>
      <c r="AE69" s="6" t="n">
        <v>22751169617.955</v>
      </c>
      <c r="AF69" s="6" t="n">
        <v>23580005794.6905</v>
      </c>
      <c r="AG69" s="6" t="n">
        <v>24430093721.7831</v>
      </c>
      <c r="AH69" s="6" t="n">
        <v>24848494690.76</v>
      </c>
      <c r="AI69" s="6" t="n">
        <v>20156076845.9739</v>
      </c>
      <c r="AJ69" s="6" t="n">
        <v>23083714620.1743</v>
      </c>
      <c r="AK69" s="6" t="n">
        <v>23206713502.0479</v>
      </c>
      <c r="AL69" s="6" t="n">
        <v>24827940456.605</v>
      </c>
      <c r="AM69" s="6" t="n">
        <v>24023282937.8901</v>
      </c>
      <c r="AN69" s="6"/>
    </row>
    <row r="70">
      <c r="A70" t="str">
        <f>M70</f>
      </c>
      <c r="B70" t="str">
        <f>N70</f>
      </c>
      <c r="C70" s="6" t="str">
        <f>AI70</f>
      </c>
      <c r="D70" s="6" t="str">
        <f>AL70</f>
      </c>
      <c r="E70" s="6" t="str">
        <f>AM70</f>
      </c>
      <c r="F70" s="6"/>
      <c r="G70" s="2" t="str">
        <f>AM70/AL70-1</f>
      </c>
      <c r="H70" s="2" t="str">
        <f>AM70/AI70-1</f>
      </c>
      <c r="I70" s="2"/>
      <c r="J70" s="2" t="str">
        <f>AM70/Sum(AM$46:AM$87)</f>
      </c>
      <c r="K70" s="2"/>
      <c r="M70" t="s">
        <v>62</v>
      </c>
      <c r="N70" t="s">
        <v>19</v>
      </c>
      <c r="O70" s="6" t="n">
        <v>3308964.48405714</v>
      </c>
      <c r="P70" s="6" t="n">
        <v>2472606.06072543</v>
      </c>
      <c r="Q70" s="6" t="n">
        <v>14925932.3064742</v>
      </c>
      <c r="R70" s="6" t="n">
        <v>25579927.8296602</v>
      </c>
      <c r="S70" s="6" t="n">
        <v>2224020.36905802</v>
      </c>
      <c r="T70" s="6" t="n">
        <v>647534.757521185</v>
      </c>
      <c r="U70" s="6" t="n">
        <v>13703846.2799302</v>
      </c>
      <c r="V70" s="6" t="n">
        <v>0</v>
      </c>
      <c r="W70" s="6" t="n">
        <v>-209636.32785223</v>
      </c>
      <c r="X70" s="6" t="n">
        <v>19942.785677077</v>
      </c>
      <c r="Y70" s="6" t="n">
        <v>-3957.37940652231</v>
      </c>
      <c r="Z70" s="6"/>
      <c r="AA70" s="6"/>
      <c r="AB70" s="6"/>
      <c r="AC70" s="6"/>
      <c r="AD70" s="6"/>
      <c r="AE70" s="6" t="n">
        <v>0</v>
      </c>
      <c r="AF70" s="6"/>
      <c r="AG70" s="6"/>
      <c r="AH70" s="6"/>
      <c r="AI70" s="6" t="n">
        <v>0</v>
      </c>
      <c r="AJ70" s="6" t="n">
        <v>0</v>
      </c>
      <c r="AK70" s="6" t="n">
        <v>0</v>
      </c>
      <c r="AL70" s="6"/>
      <c r="AM70" s="6"/>
      <c r="AN70" s="6"/>
    </row>
    <row r="71">
      <c r="A71" t="str">
        <f>M71</f>
      </c>
      <c r="B71" t="str">
        <f>N71</f>
      </c>
      <c r="C71" s="6" t="str">
        <f>AI71</f>
      </c>
      <c r="D71" s="6" t="str">
        <f>AL71</f>
      </c>
      <c r="E71" s="6" t="str">
        <f>AM71</f>
      </c>
      <c r="F71" s="6"/>
      <c r="G71" s="2" t="str">
        <f>AM71/AL71-1</f>
      </c>
      <c r="H71" s="2" t="str">
        <f>AM71/AI71-1</f>
      </c>
      <c r="I71" s="2"/>
      <c r="J71" s="2" t="str">
        <f>AM71/Sum(AM$46:AM$87)</f>
      </c>
      <c r="K71" s="2"/>
      <c r="M71" t="s">
        <v>57</v>
      </c>
      <c r="N71" t="s">
        <v>67</v>
      </c>
      <c r="O71" s="6" t="n">
        <v>593397845.818052</v>
      </c>
      <c r="P71" s="6" t="n">
        <v>844014191.665493</v>
      </c>
      <c r="Q71" s="6" t="n">
        <v>1385578115.31108</v>
      </c>
      <c r="R71" s="6" t="n">
        <v>1640458482.6477</v>
      </c>
      <c r="S71" s="6" t="n">
        <v>2234238544.00956</v>
      </c>
      <c r="T71" s="6" t="n">
        <v>2240052384.14306</v>
      </c>
      <c r="U71" s="6" t="n">
        <v>1333188333.35229</v>
      </c>
      <c r="V71" s="6" t="n">
        <v>421581102.403042</v>
      </c>
      <c r="W71" s="6" t="n">
        <v>2189313460.76708</v>
      </c>
      <c r="X71" s="6" t="n">
        <v>681420284.505752</v>
      </c>
      <c r="Y71" s="6" t="n">
        <v>352476434.888237</v>
      </c>
      <c r="Z71" s="6" t="n">
        <v>125371450.416632</v>
      </c>
      <c r="AA71" s="6" t="n">
        <v>150863160.15537</v>
      </c>
      <c r="AB71" s="6" t="n">
        <v>105273530.131001</v>
      </c>
      <c r="AC71" s="6" t="n">
        <v>-5423636.19147693</v>
      </c>
      <c r="AD71" s="6" t="n">
        <v>20116003.329453</v>
      </c>
      <c r="AE71" s="6" t="n">
        <v>43588285.3093973</v>
      </c>
      <c r="AF71" s="6" t="n">
        <v>102985603.87169</v>
      </c>
      <c r="AG71" s="6" t="n">
        <v>120958652.588021</v>
      </c>
      <c r="AH71" s="6" t="n">
        <v>541656150.134061</v>
      </c>
      <c r="AI71" s="6" t="n">
        <v>658270322.490676</v>
      </c>
      <c r="AJ71" s="6" t="n">
        <v>487999398.380858</v>
      </c>
      <c r="AK71" s="6" t="n">
        <v>625206214.935803</v>
      </c>
      <c r="AL71" s="6" t="n">
        <v>257400182.7926</v>
      </c>
      <c r="AM71" s="6" t="n">
        <v>188597777.935625</v>
      </c>
      <c r="AN71" s="6"/>
    </row>
    <row r="72">
      <c r="A72" t="str">
        <f>M72</f>
      </c>
      <c r="B72" t="str">
        <f>N72</f>
      </c>
      <c r="C72" s="6" t="str">
        <f>AI72</f>
      </c>
      <c r="D72" s="6" t="str">
        <f>AL72</f>
      </c>
      <c r="E72" s="6" t="str">
        <f>AM72</f>
      </c>
      <c r="F72" s="6"/>
      <c r="G72" s="2" t="str">
        <f>AM72/AL72-1</f>
      </c>
      <c r="H72" s="2" t="str">
        <f>AM72/AI72-1</f>
      </c>
      <c r="I72" s="2"/>
      <c r="J72" s="2" t="str">
        <f>AM72/Sum(AM$46:AM$87)</f>
      </c>
      <c r="K72" s="2"/>
      <c r="M72" t="s">
        <v>57</v>
      </c>
      <c r="N72" t="s">
        <v>18</v>
      </c>
      <c r="O72" s="6" t="n">
        <v>849473026.869961</v>
      </c>
      <c r="P72" s="6" t="n">
        <v>1620657103.28563</v>
      </c>
      <c r="Q72" s="6" t="n">
        <v>1382205876.84345</v>
      </c>
      <c r="R72" s="6" t="n">
        <v>1625224142.82035</v>
      </c>
      <c r="S72" s="6" t="n">
        <v>1401209053.09256</v>
      </c>
      <c r="T72" s="6" t="n">
        <v>1402162620.32885</v>
      </c>
      <c r="U72" s="6" t="n">
        <v>2066146926.78992</v>
      </c>
      <c r="V72" s="6" t="n">
        <v>1966043777.86231</v>
      </c>
      <c r="W72" s="6" t="n">
        <v>1528499402.87548</v>
      </c>
      <c r="X72" s="6" t="n">
        <v>1766181439.32804</v>
      </c>
      <c r="Y72" s="6" t="n">
        <v>2131966872.68357</v>
      </c>
      <c r="Z72" s="6" t="n">
        <v>2462175494.30537</v>
      </c>
      <c r="AA72" s="6" t="n">
        <v>1439148430.70031</v>
      </c>
      <c r="AB72" s="6" t="n">
        <v>727222451.56094</v>
      </c>
      <c r="AC72" s="6" t="n">
        <v>597242927.988643</v>
      </c>
      <c r="AD72" s="6" t="n">
        <v>656463830.133359</v>
      </c>
      <c r="AE72" s="6" t="n">
        <v>647800017.465916</v>
      </c>
      <c r="AF72" s="6" t="n">
        <v>495331932.29033</v>
      </c>
      <c r="AG72" s="6" t="n">
        <v>405007250.095912</v>
      </c>
      <c r="AH72" s="6" t="n">
        <v>374353090.382735</v>
      </c>
      <c r="AI72" s="6" t="n">
        <v>635200818.994562</v>
      </c>
      <c r="AJ72" s="6" t="n">
        <v>873472030.603726</v>
      </c>
      <c r="AK72" s="6" t="n">
        <v>466121480.039864</v>
      </c>
      <c r="AL72" s="6" t="n">
        <v>974125590.9298</v>
      </c>
      <c r="AM72" s="6" t="n">
        <v>1442725839.67826</v>
      </c>
      <c r="AN72" s="6"/>
    </row>
    <row r="73">
      <c r="A73" t="str">
        <f>M73</f>
      </c>
      <c r="B73" t="str">
        <f>N73</f>
      </c>
      <c r="C73" s="6" t="str">
        <f>AI73</f>
      </c>
      <c r="D73" s="6" t="str">
        <f>AL73</f>
      </c>
      <c r="E73" s="6" t="str">
        <f>AM73</f>
      </c>
      <c r="F73" s="6"/>
      <c r="G73" s="2" t="str">
        <f>AM73/AL73-1</f>
      </c>
      <c r="H73" s="2" t="str">
        <f>AM73/AI73-1</f>
      </c>
      <c r="I73" s="2"/>
      <c r="J73" s="2" t="str">
        <f>AM73/Sum(AM$46:AM$87)</f>
      </c>
      <c r="K73" s="2"/>
      <c r="M73" t="s">
        <v>57</v>
      </c>
      <c r="N73" t="s">
        <v>49</v>
      </c>
      <c r="O73" s="6" t="n">
        <v>192607013.785116</v>
      </c>
      <c r="P73" s="6" t="n">
        <v>113474397.471213</v>
      </c>
      <c r="Q73" s="6" t="n">
        <v>66254625.3121301</v>
      </c>
      <c r="R73" s="6" t="n">
        <v>105431283.385774</v>
      </c>
      <c r="S73" s="6" t="n">
        <v>113351091.053983</v>
      </c>
      <c r="T73" s="6" t="n">
        <v>104352919.171197</v>
      </c>
      <c r="U73" s="6" t="n">
        <v>33271516.8341673</v>
      </c>
      <c r="V73" s="6" t="n">
        <v>2857608.29817646</v>
      </c>
      <c r="W73" s="6" t="n">
        <v>33117168.6169068</v>
      </c>
      <c r="X73" s="6" t="n">
        <v>36999802.0740189</v>
      </c>
      <c r="Y73" s="6" t="n">
        <v>6136658.39685521</v>
      </c>
      <c r="Z73" s="6" t="n">
        <v>-723319.56787252</v>
      </c>
      <c r="AA73" s="6" t="n">
        <v>9980851.78118393</v>
      </c>
      <c r="AB73" s="6" t="n">
        <v>10316485.9678604</v>
      </c>
      <c r="AC73" s="6" t="n">
        <v>5273009.29483533</v>
      </c>
      <c r="AD73" s="6" t="n">
        <v>1242292.15098183</v>
      </c>
      <c r="AE73" s="6" t="n">
        <v>-1697542.0240995</v>
      </c>
      <c r="AF73" s="6" t="n">
        <v>287570.093219622</v>
      </c>
      <c r="AG73" s="6" t="n">
        <v>-208040.207421841</v>
      </c>
      <c r="AH73" s="6" t="n">
        <v>3831510.34312618</v>
      </c>
      <c r="AI73" s="6" t="n">
        <v>3190605.31178548</v>
      </c>
      <c r="AJ73" s="6" t="n">
        <v>962907.583785939</v>
      </c>
      <c r="AK73" s="6" t="n">
        <v>1494642.79768469</v>
      </c>
      <c r="AL73" s="6" t="n">
        <v>146533.875</v>
      </c>
      <c r="AM73" s="6" t="n">
        <v>0</v>
      </c>
      <c r="AN73" s="6"/>
    </row>
    <row r="74">
      <c r="A74" t="str">
        <f>M74</f>
      </c>
      <c r="B74" t="str">
        <f>N74</f>
      </c>
      <c r="C74" s="6" t="str">
        <f>AI74</f>
      </c>
      <c r="D74" s="6" t="str">
        <f>AL74</f>
      </c>
      <c r="E74" s="6" t="str">
        <f>AM74</f>
      </c>
      <c r="F74" s="6"/>
      <c r="G74" s="2" t="str">
        <f>AM74/AL74-1</f>
      </c>
      <c r="H74" s="2" t="str">
        <f>AM74/AI74-1</f>
      </c>
      <c r="I74" s="2"/>
      <c r="J74" s="2" t="str">
        <f>AM74/Sum(AM$46:AM$87)</f>
      </c>
      <c r="K74" s="2"/>
      <c r="M74" t="s">
        <v>57</v>
      </c>
      <c r="N74" t="s">
        <v>19</v>
      </c>
      <c r="O74" s="6"/>
      <c r="P74" s="6" t="n">
        <v>21899.3940981609</v>
      </c>
      <c r="Q74" s="6"/>
      <c r="R74" s="6"/>
      <c r="S74" s="6" t="n">
        <v>4465.53016375393</v>
      </c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</row>
    <row r="75">
      <c r="A75" t="str">
        <f>M75</f>
      </c>
      <c r="B75" t="str">
        <f>N75</f>
      </c>
      <c r="C75" s="6" t="str">
        <f>AI75</f>
      </c>
      <c r="D75" s="6" t="str">
        <f>AL75</f>
      </c>
      <c r="E75" s="6" t="str">
        <f>AM75</f>
      </c>
      <c r="F75" s="6"/>
      <c r="G75" s="2" t="str">
        <f>AM75/AL75-1</f>
      </c>
      <c r="H75" s="2" t="str">
        <f>AM75/AI75-1</f>
      </c>
      <c r="I75" s="2"/>
      <c r="J75" s="2" t="str">
        <f>AM75/Sum(AM$46:AM$87)</f>
      </c>
      <c r="K75" s="2"/>
      <c r="M75" t="s">
        <v>63</v>
      </c>
      <c r="N75" t="s">
        <v>67</v>
      </c>
      <c r="O75" s="6" t="n">
        <v>459066945.928788</v>
      </c>
      <c r="P75" s="6" t="n">
        <v>556215615.710772</v>
      </c>
      <c r="Q75" s="6" t="n">
        <v>648440034.477002</v>
      </c>
      <c r="R75" s="6" t="n">
        <v>837414455.747877</v>
      </c>
      <c r="S75" s="6" t="n">
        <v>775608423.294012</v>
      </c>
      <c r="T75" s="6" t="n">
        <v>1102546174.436</v>
      </c>
      <c r="U75" s="6" t="n">
        <v>1674753826.60456</v>
      </c>
      <c r="V75" s="6" t="n">
        <v>844866191.389439</v>
      </c>
      <c r="W75" s="6" t="n">
        <v>2008468101.80343</v>
      </c>
      <c r="X75" s="6" t="n">
        <v>2515183150.37284</v>
      </c>
      <c r="Y75" s="6" t="n">
        <v>1878824648.05601</v>
      </c>
      <c r="Z75" s="6" t="n">
        <v>2204976690.59618</v>
      </c>
      <c r="AA75" s="6" t="n">
        <v>1580803727.11584</v>
      </c>
      <c r="AB75" s="6" t="n">
        <v>261243188.300335</v>
      </c>
      <c r="AC75" s="6" t="n">
        <v>165757655.05717</v>
      </c>
      <c r="AD75" s="6" t="n">
        <v>165444247.540963</v>
      </c>
      <c r="AE75" s="6" t="n">
        <v>65343891.6908068</v>
      </c>
      <c r="AF75" s="6" t="n">
        <v>55159562.2452368</v>
      </c>
      <c r="AG75" s="6" t="n">
        <v>52115434.2194697</v>
      </c>
      <c r="AH75" s="6" t="n">
        <v>85257098.2032444</v>
      </c>
      <c r="AI75" s="6" t="n">
        <v>166606701.354114</v>
      </c>
      <c r="AJ75" s="6" t="n">
        <v>100694675.997286</v>
      </c>
      <c r="AK75" s="6" t="n">
        <v>50147640.0124181</v>
      </c>
      <c r="AL75" s="6" t="n">
        <v>58001035.387</v>
      </c>
      <c r="AM75" s="6" t="n">
        <v>91988602.2228985</v>
      </c>
      <c r="AN75" s="6"/>
    </row>
    <row r="76">
      <c r="A76" t="str">
        <f>M76</f>
      </c>
      <c r="B76" t="str">
        <f>N76</f>
      </c>
      <c r="C76" s="6" t="str">
        <f>AI76</f>
      </c>
      <c r="D76" s="6" t="str">
        <f>AL76</f>
      </c>
      <c r="E76" s="6" t="str">
        <f>AM76</f>
      </c>
      <c r="F76" s="6"/>
      <c r="G76" s="2" t="str">
        <f>AM76/AL76-1</f>
      </c>
      <c r="H76" s="2" t="str">
        <f>AM76/AI76-1</f>
      </c>
      <c r="I76" s="2"/>
      <c r="J76" s="2" t="str">
        <f>AM76/Sum(AM$46:AM$87)</f>
      </c>
      <c r="K76" s="2"/>
      <c r="M76" t="s">
        <v>63</v>
      </c>
      <c r="N76" t="s">
        <v>18</v>
      </c>
      <c r="O76" s="6" t="n">
        <v>7453114389.65547</v>
      </c>
      <c r="P76" s="6" t="n">
        <v>6563497021.4554</v>
      </c>
      <c r="Q76" s="6" t="n">
        <v>8126265387.9254</v>
      </c>
      <c r="R76" s="6" t="n">
        <v>10736304889.2401</v>
      </c>
      <c r="S76" s="6" t="n">
        <v>13180744291.0364</v>
      </c>
      <c r="T76" s="6" t="n">
        <v>14541920064.531</v>
      </c>
      <c r="U76" s="6" t="n">
        <v>17281020986.8997</v>
      </c>
      <c r="V76" s="6" t="n">
        <v>19627960773.4347</v>
      </c>
      <c r="W76" s="6" t="n">
        <v>20848566343.8463</v>
      </c>
      <c r="X76" s="6" t="n">
        <v>19121749360.9299</v>
      </c>
      <c r="Y76" s="6" t="n">
        <v>18773869859.4855</v>
      </c>
      <c r="Z76" s="6" t="n">
        <v>12243532586.747</v>
      </c>
      <c r="AA76" s="6" t="n">
        <v>8746384345.74726</v>
      </c>
      <c r="AB76" s="6" t="n">
        <v>5726797839.6832</v>
      </c>
      <c r="AC76" s="6" t="n">
        <v>3458671874.78541</v>
      </c>
      <c r="AD76" s="6" t="n">
        <v>2869729055.13568</v>
      </c>
      <c r="AE76" s="6" t="n">
        <v>3287944143.14868</v>
      </c>
      <c r="AF76" s="6" t="n">
        <v>3624962957.74057</v>
      </c>
      <c r="AG76" s="6" t="n">
        <v>5325105618.70858</v>
      </c>
      <c r="AH76" s="6" t="n">
        <v>4794033918.71564</v>
      </c>
      <c r="AI76" s="6" t="n">
        <v>4713827976.04947</v>
      </c>
      <c r="AJ76" s="6" t="n">
        <v>3976690353.34933</v>
      </c>
      <c r="AK76" s="6" t="n">
        <v>3702316915.32398</v>
      </c>
      <c r="AL76" s="6" t="n">
        <v>4560092598.0283</v>
      </c>
      <c r="AM76" s="6" t="n">
        <v>4934813043.51758</v>
      </c>
      <c r="AN76" s="6"/>
    </row>
    <row r="77">
      <c r="A77" t="str">
        <f>M77</f>
      </c>
      <c r="B77" t="str">
        <f>N77</f>
      </c>
      <c r="C77" s="6" t="str">
        <f>AI77</f>
      </c>
      <c r="D77" s="6" t="str">
        <f>AL77</f>
      </c>
      <c r="E77" s="6" t="str">
        <f>AM77</f>
      </c>
      <c r="F77" s="6"/>
      <c r="G77" s="2" t="str">
        <f>AM77/AL77-1</f>
      </c>
      <c r="H77" s="2" t="str">
        <f>AM77/AI77-1</f>
      </c>
      <c r="I77" s="2"/>
      <c r="J77" s="2" t="str">
        <f>AM77/Sum(AM$46:AM$87)</f>
      </c>
      <c r="K77" s="2"/>
      <c r="M77" t="s">
        <v>63</v>
      </c>
      <c r="N77" t="s">
        <v>49</v>
      </c>
      <c r="O77" s="6" t="n">
        <v>746065482.244932</v>
      </c>
      <c r="P77" s="6" t="n">
        <v>860183405.735271</v>
      </c>
      <c r="Q77" s="6" t="n">
        <v>1090726549.58703</v>
      </c>
      <c r="R77" s="6" t="n">
        <v>1294183927.36703</v>
      </c>
      <c r="S77" s="6" t="n">
        <v>1312637995.86093</v>
      </c>
      <c r="T77" s="6" t="n">
        <v>1625577310.61402</v>
      </c>
      <c r="U77" s="6" t="n">
        <v>1567646232.5484</v>
      </c>
      <c r="V77" s="6" t="n">
        <v>1483301858.52835</v>
      </c>
      <c r="W77" s="6" t="n">
        <v>1209866122.58922</v>
      </c>
      <c r="X77" s="6" t="n">
        <v>840136776.274639</v>
      </c>
      <c r="Y77" s="6" t="n">
        <v>1221752221.36195</v>
      </c>
      <c r="Z77" s="6" t="n">
        <v>754177277.867234</v>
      </c>
      <c r="AA77" s="6" t="n">
        <v>608161715.357444</v>
      </c>
      <c r="AB77" s="6" t="n">
        <v>372744082.769901</v>
      </c>
      <c r="AC77" s="6" t="n">
        <v>155174723.737771</v>
      </c>
      <c r="AD77" s="6" t="n">
        <v>210723701.718547</v>
      </c>
      <c r="AE77" s="6" t="n">
        <v>219773372.379704</v>
      </c>
      <c r="AF77" s="6" t="n">
        <v>174681011.258813</v>
      </c>
      <c r="AG77" s="6" t="n">
        <v>120279406.881646</v>
      </c>
      <c r="AH77" s="6" t="n">
        <v>133026937.330895</v>
      </c>
      <c r="AI77" s="6" t="n">
        <v>160586581.746278</v>
      </c>
      <c r="AJ77" s="6" t="n">
        <v>160721518.416915</v>
      </c>
      <c r="AK77" s="6" t="n">
        <v>188730825.865678</v>
      </c>
      <c r="AL77" s="6" t="n">
        <v>289593704.7404</v>
      </c>
      <c r="AM77" s="6" t="n">
        <v>356456999.576786</v>
      </c>
      <c r="AN77" s="6"/>
    </row>
    <row r="78">
      <c r="A78" t="str">
        <f>M78</f>
      </c>
      <c r="B78" t="str">
        <f>N78</f>
      </c>
      <c r="C78" s="6" t="str">
        <f>AI78</f>
      </c>
      <c r="D78" s="6" t="str">
        <f>AL78</f>
      </c>
      <c r="E78" s="6" t="str">
        <f>AM78</f>
      </c>
      <c r="F78" s="6"/>
      <c r="G78" s="2" t="str">
        <f>AM78/AL78-1</f>
      </c>
      <c r="H78" s="2" t="str">
        <f>AM78/AI78-1</f>
      </c>
      <c r="I78" s="2"/>
      <c r="J78" s="2" t="str">
        <f>AM78/Sum(AM$46:AM$87)</f>
      </c>
      <c r="K78" s="2"/>
      <c r="M78" t="s">
        <v>63</v>
      </c>
      <c r="N78" t="s">
        <v>19</v>
      </c>
      <c r="O78" s="6" t="n">
        <v>36569978.2918318</v>
      </c>
      <c r="P78" s="6" t="n">
        <v>5261059.20271893</v>
      </c>
      <c r="Q78" s="6" t="n">
        <v>58896895.716268</v>
      </c>
      <c r="R78" s="6" t="n">
        <v>83228577.8503327</v>
      </c>
      <c r="S78" s="6" t="n">
        <v>4142983.33576261</v>
      </c>
      <c r="T78" s="6" t="n">
        <v>1296791.352122</v>
      </c>
      <c r="U78" s="6" t="n">
        <v>98359225.5766313</v>
      </c>
      <c r="V78" s="6" t="n">
        <v>-52431.8682902133</v>
      </c>
      <c r="W78" s="6" t="n">
        <v>-267276.102308813</v>
      </c>
      <c r="X78" s="6" t="n">
        <v>0</v>
      </c>
      <c r="Y78" s="6" t="n">
        <v>-33332.0123602517</v>
      </c>
      <c r="Z78" s="6" t="n">
        <v>-5.15074552144211</v>
      </c>
      <c r="AA78" s="6" t="n">
        <v>-3707.84034077016</v>
      </c>
      <c r="AB78" s="6" t="n">
        <v>-61237.445279754</v>
      </c>
      <c r="AC78" s="6"/>
      <c r="AD78" s="6"/>
      <c r="AE78" s="6" t="n">
        <v>-1.32819707195306</v>
      </c>
      <c r="AF78" s="6"/>
      <c r="AG78" s="6"/>
      <c r="AH78" s="6"/>
      <c r="AI78" s="6"/>
      <c r="AJ78" s="6"/>
      <c r="AK78" s="6"/>
      <c r="AL78" s="6"/>
      <c r="AM78" s="6"/>
      <c r="AN78" s="6"/>
    </row>
    <row r="79">
      <c r="A79" t="str">
        <f>M79</f>
      </c>
      <c r="B79" t="str">
        <f>N79</f>
      </c>
      <c r="C79" s="6" t="str">
        <f>AI79</f>
      </c>
      <c r="D79" s="6" t="str">
        <f>AL79</f>
      </c>
      <c r="E79" s="6" t="str">
        <f>AM79</f>
      </c>
      <c r="F79" s="6"/>
      <c r="G79" s="2" t="str">
        <f>AM79/AL79-1</f>
      </c>
      <c r="H79" s="2" t="str">
        <f>AM79/AI79-1</f>
      </c>
      <c r="I79" s="2"/>
      <c r="J79" s="2" t="str">
        <f>AM79/Sum(AM$46:AM$87)</f>
      </c>
      <c r="K79" s="2"/>
      <c r="M79" t="s">
        <v>66</v>
      </c>
      <c r="N79" t="s">
        <v>67</v>
      </c>
      <c r="O79" s="6" t="n">
        <v>12139080682.2396</v>
      </c>
      <c r="P79" s="6" t="n">
        <v>11481604676.1739</v>
      </c>
      <c r="Q79" s="6" t="n">
        <v>7960680175.13907</v>
      </c>
      <c r="R79" s="6" t="n">
        <v>11216990924.8114</v>
      </c>
      <c r="S79" s="6" t="n">
        <v>12753528335.2687</v>
      </c>
      <c r="T79" s="6" t="n">
        <v>12216387923.033</v>
      </c>
      <c r="U79" s="6" t="n">
        <v>11584691182.4043</v>
      </c>
      <c r="V79" s="6" t="n">
        <v>16678666580.8788</v>
      </c>
      <c r="W79" s="6" t="n">
        <v>12881582726.0661</v>
      </c>
      <c r="X79" s="6" t="n">
        <v>13872925364.7255</v>
      </c>
      <c r="Y79" s="6" t="n">
        <v>21719267877.7939</v>
      </c>
      <c r="Z79" s="6" t="n">
        <v>14557899822.5968</v>
      </c>
      <c r="AA79" s="6" t="n">
        <v>24070389007.0409</v>
      </c>
      <c r="AB79" s="6" t="n">
        <v>16233640038.2498</v>
      </c>
      <c r="AC79" s="6" t="n">
        <v>7348149769.10762</v>
      </c>
      <c r="AD79" s="6" t="n">
        <v>8524518391.25726</v>
      </c>
      <c r="AE79" s="6" t="n">
        <v>24114292759.0174</v>
      </c>
      <c r="AF79" s="6" t="n">
        <v>39705175728.7042</v>
      </c>
      <c r="AG79" s="6" t="n">
        <v>33916792452.7755</v>
      </c>
      <c r="AH79" s="6" t="n">
        <v>24316662978.4611</v>
      </c>
      <c r="AI79" s="6" t="n">
        <v>50194906139.5179</v>
      </c>
      <c r="AJ79" s="6" t="n">
        <v>20570042879.4445</v>
      </c>
      <c r="AK79" s="6" t="n">
        <v>22814045271.9498</v>
      </c>
      <c r="AL79" s="6" t="n">
        <v>26293291314.9084</v>
      </c>
      <c r="AM79" s="6" t="n">
        <v>31330005506.5521</v>
      </c>
      <c r="AN79" s="6"/>
    </row>
    <row r="80">
      <c r="A80" t="str">
        <f>M80</f>
      </c>
      <c r="B80" t="str">
        <f>N80</f>
      </c>
      <c r="C80" s="6" t="str">
        <f>AI80</f>
      </c>
      <c r="D80" s="6" t="str">
        <f>AL80</f>
      </c>
      <c r="E80" s="6" t="str">
        <f>AM80</f>
      </c>
      <c r="F80" s="6"/>
      <c r="G80" s="2" t="str">
        <f>AM80/AL80-1</f>
      </c>
      <c r="H80" s="2" t="str">
        <f>AM80/AI80-1</f>
      </c>
      <c r="I80" s="2"/>
      <c r="J80" s="2" t="str">
        <f>AM80/Sum(AM$46:AM$87)</f>
      </c>
      <c r="K80" s="2"/>
      <c r="M80" t="s">
        <v>66</v>
      </c>
      <c r="N80" t="s">
        <v>18</v>
      </c>
      <c r="O80" s="6" t="n">
        <v>536895462.468129</v>
      </c>
      <c r="P80" s="6" t="n">
        <v>610019397.919311</v>
      </c>
      <c r="Q80" s="6" t="n">
        <v>620124689.996496</v>
      </c>
      <c r="R80" s="6" t="n">
        <v>602716838.372098</v>
      </c>
      <c r="S80" s="6" t="n">
        <v>569171695.972851</v>
      </c>
      <c r="T80" s="6" t="n">
        <v>1253614302.42476</v>
      </c>
      <c r="U80" s="6" t="n">
        <v>1259706798.42119</v>
      </c>
      <c r="V80" s="6" t="n">
        <v>2312808369.82144</v>
      </c>
      <c r="W80" s="6" t="n">
        <v>3202706676.7545</v>
      </c>
      <c r="X80" s="6" t="n">
        <v>3928050439.06201</v>
      </c>
      <c r="Y80" s="6" t="n">
        <v>6600800482.07087</v>
      </c>
      <c r="Z80" s="6" t="n">
        <v>3857562266.4731</v>
      </c>
      <c r="AA80" s="6" t="n">
        <v>5486351594.38184</v>
      </c>
      <c r="AB80" s="6" t="n">
        <v>3752455859.48982</v>
      </c>
      <c r="AC80" s="6" t="n">
        <v>2459039678.19094</v>
      </c>
      <c r="AD80" s="6" t="n">
        <v>1701194679.9852</v>
      </c>
      <c r="AE80" s="6" t="n">
        <v>7140225641.71488</v>
      </c>
      <c r="AF80" s="6" t="n">
        <v>4867614362.02513</v>
      </c>
      <c r="AG80" s="6" t="n">
        <v>11332645321.5509</v>
      </c>
      <c r="AH80" s="6" t="n">
        <v>10372252600.3382</v>
      </c>
      <c r="AI80" s="6" t="n">
        <v>8944657447.22589</v>
      </c>
      <c r="AJ80" s="6" t="n">
        <v>4497088977.45069</v>
      </c>
      <c r="AK80" s="6" t="n">
        <v>4736768075.36722</v>
      </c>
      <c r="AL80" s="6" t="n">
        <v>4578415237.0464</v>
      </c>
      <c r="AM80" s="6" t="n">
        <v>4961343649.99924</v>
      </c>
      <c r="AN80" s="6"/>
    </row>
    <row r="81">
      <c r="A81" t="str">
        <f>M81</f>
      </c>
      <c r="B81" t="str">
        <f>N81</f>
      </c>
      <c r="C81" s="6" t="str">
        <f>AI81</f>
      </c>
      <c r="D81" s="6" t="str">
        <f>AL81</f>
      </c>
      <c r="E81" s="6" t="str">
        <f>AM81</f>
      </c>
      <c r="F81" s="6"/>
      <c r="G81" s="2" t="str">
        <f>AM81/AL81-1</f>
      </c>
      <c r="H81" s="2" t="str">
        <f>AM81/AI81-1</f>
      </c>
      <c r="I81" s="2"/>
      <c r="J81" s="2" t="str">
        <f>AM81/Sum(AM$46:AM$87)</f>
      </c>
      <c r="K81" s="2"/>
      <c r="M81" t="s">
        <v>66</v>
      </c>
      <c r="N81" t="s">
        <v>49</v>
      </c>
      <c r="O81" s="6" t="n">
        <v>2752220219.36377</v>
      </c>
      <c r="P81" s="6" t="n">
        <v>5077599995.79805</v>
      </c>
      <c r="Q81" s="6" t="n">
        <v>6676156229.13547</v>
      </c>
      <c r="R81" s="6" t="n">
        <v>4408886420.11206</v>
      </c>
      <c r="S81" s="6" t="n">
        <v>5198281915.36092</v>
      </c>
      <c r="T81" s="6" t="n">
        <v>5700589294.84041</v>
      </c>
      <c r="U81" s="6" t="n">
        <v>10636283042.745</v>
      </c>
      <c r="V81" s="6" t="n">
        <v>9890836158.88549</v>
      </c>
      <c r="W81" s="6" t="n">
        <v>8019096403.90768</v>
      </c>
      <c r="X81" s="6" t="n">
        <v>5021423093.04566</v>
      </c>
      <c r="Y81" s="6" t="n">
        <v>3521239073.17803</v>
      </c>
      <c r="Z81" s="6" t="n">
        <v>1401650339.66538</v>
      </c>
      <c r="AA81" s="6" t="n">
        <v>1030131355.31436</v>
      </c>
      <c r="AB81" s="6" t="n">
        <v>1083433851.25203</v>
      </c>
      <c r="AC81" s="6" t="n">
        <v>620878687.358383</v>
      </c>
      <c r="AD81" s="6" t="n">
        <v>331245608.845809</v>
      </c>
      <c r="AE81" s="6" t="n">
        <v>643491516.695942</v>
      </c>
      <c r="AF81" s="6" t="n">
        <v>1223417786.01929</v>
      </c>
      <c r="AG81" s="6" t="n">
        <v>888872808.2107</v>
      </c>
      <c r="AH81" s="6" t="n">
        <v>2501613177.05926</v>
      </c>
      <c r="AI81" s="6" t="n">
        <v>1802955510.37163</v>
      </c>
      <c r="AJ81" s="6" t="n">
        <v>1288184121.93675</v>
      </c>
      <c r="AK81" s="6" t="n">
        <v>1104501700.00227</v>
      </c>
      <c r="AL81" s="6" t="n">
        <v>1970746290.2814</v>
      </c>
      <c r="AM81" s="6" t="n">
        <v>1754948122.98689</v>
      </c>
      <c r="AN81" s="6"/>
    </row>
    <row r="82">
      <c r="A82" t="str">
        <f>M82</f>
      </c>
      <c r="B82" t="str">
        <f>N82</f>
      </c>
      <c r="C82" s="6" t="str">
        <f>AI82</f>
      </c>
      <c r="D82" s="6" t="str">
        <f>AL82</f>
      </c>
      <c r="E82" s="6" t="str">
        <f>AM82</f>
      </c>
      <c r="F82" s="6"/>
      <c r="G82" s="2" t="str">
        <f>AM82/AL82-1</f>
      </c>
      <c r="H82" s="2" t="str">
        <f>AM82/AI82-1</f>
      </c>
      <c r="I82" s="2"/>
      <c r="J82" s="2" t="str">
        <f>AM82/Sum(AM$46:AM$87)</f>
      </c>
      <c r="K82" s="2"/>
      <c r="M82" t="s">
        <v>66</v>
      </c>
      <c r="N82" t="s">
        <v>19</v>
      </c>
      <c r="O82" s="6" t="n">
        <v>0</v>
      </c>
      <c r="P82" s="6" t="n">
        <v>12802.8237120113</v>
      </c>
      <c r="Q82" s="6" t="n">
        <v>845900.693543759</v>
      </c>
      <c r="R82" s="6" t="n">
        <v>33725.9202199537</v>
      </c>
      <c r="S82" s="6"/>
      <c r="T82" s="6"/>
      <c r="U82" s="6" t="n">
        <v>0</v>
      </c>
      <c r="V82" s="6"/>
      <c r="W82" s="6" t="n">
        <v>0</v>
      </c>
      <c r="X82" s="6"/>
      <c r="Y82" s="6" t="n">
        <v>-242011.720759033</v>
      </c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</row>
    <row r="83">
      <c r="A83" t="str">
        <f>M83</f>
      </c>
      <c r="B83" t="str">
        <f>N83</f>
      </c>
      <c r="C83" s="6" t="str">
        <f>AI83</f>
      </c>
      <c r="D83" s="6" t="str">
        <f>AL83</f>
      </c>
      <c r="E83" s="6" t="str">
        <f>AM83</f>
      </c>
      <c r="F83" s="6"/>
      <c r="G83" s="2" t="str">
        <f>AM83/AL83-1</f>
      </c>
      <c r="H83" s="2" t="str">
        <f>AM83/AI83-1</f>
      </c>
      <c r="I83" s="2"/>
      <c r="J83" s="2" t="str">
        <f>AM83/Sum(AM$46:AM$87)</f>
      </c>
      <c r="K83" s="2"/>
      <c r="M83"/>
      <c r="N83" t="s">
        <v>67</v>
      </c>
      <c r="O83" s="6" t="n">
        <v>11418609949.8141</v>
      </c>
      <c r="P83" s="6" t="n">
        <v>4399133748.06456</v>
      </c>
      <c r="Q83" s="6" t="n">
        <v>6999578801.27402</v>
      </c>
      <c r="R83" s="6" t="n">
        <v>8406402069.55518</v>
      </c>
      <c r="S83" s="6" t="n">
        <v>8848287285.06049</v>
      </c>
      <c r="T83" s="6" t="n">
        <v>6491806774.06009</v>
      </c>
      <c r="U83" s="6" t="n">
        <v>4354802359.93111</v>
      </c>
      <c r="V83" s="6" t="n">
        <v>879295241.331824</v>
      </c>
      <c r="W83" s="6" t="n">
        <v>4677808212.11451</v>
      </c>
      <c r="X83" s="6" t="n">
        <v>1901936810.28935</v>
      </c>
      <c r="Y83" s="6" t="n">
        <v>1203246509.60184</v>
      </c>
      <c r="Z83" s="6" t="n">
        <v>1885752217.03046</v>
      </c>
      <c r="AA83" s="6" t="n">
        <v>4327685183.80224</v>
      </c>
      <c r="AB83" s="6" t="n">
        <v>346549600.323087</v>
      </c>
      <c r="AC83" s="6" t="n">
        <v>469876147.966614</v>
      </c>
      <c r="AD83" s="6" t="n">
        <v>142785701.530997</v>
      </c>
      <c r="AE83" s="6" t="n">
        <v>491049943.962248</v>
      </c>
      <c r="AF83" s="6" t="n">
        <v>279927077.508934</v>
      </c>
      <c r="AG83" s="6" t="n">
        <v>0</v>
      </c>
      <c r="AH83" s="6" t="n">
        <v>0</v>
      </c>
      <c r="AI83" s="6" t="n">
        <v>0</v>
      </c>
      <c r="AJ83" s="6" t="n">
        <v>0</v>
      </c>
      <c r="AK83" s="6" t="n">
        <v>0</v>
      </c>
      <c r="AL83" s="6" t="n">
        <v>0</v>
      </c>
      <c r="AM83" s="6" t="n">
        <v>0</v>
      </c>
      <c r="AN83" s="6"/>
    </row>
    <row r="84">
      <c r="A84" t="str">
        <f>M84</f>
      </c>
      <c r="B84" t="str">
        <f>N84</f>
      </c>
      <c r="C84" s="6" t="str">
        <f>AI84</f>
      </c>
      <c r="D84" s="6" t="str">
        <f>AL84</f>
      </c>
      <c r="E84" s="6" t="str">
        <f>AM84</f>
      </c>
      <c r="F84" s="6"/>
      <c r="G84" s="2" t="str">
        <f>AM84/AL84-1</f>
      </c>
      <c r="H84" s="2" t="str">
        <f>AM84/AI84-1</f>
      </c>
      <c r="I84" s="2"/>
      <c r="J84" s="2" t="str">
        <f>AM84/Sum(AM$46:AM$87)</f>
      </c>
      <c r="K84" s="2"/>
      <c r="M84"/>
      <c r="N84" t="s">
        <v>18</v>
      </c>
      <c r="O84" s="6" t="n">
        <v>8363416998.03449</v>
      </c>
      <c r="P84" s="6" t="n">
        <v>6114144640.44238</v>
      </c>
      <c r="Q84" s="6" t="n">
        <v>6750686074.62364</v>
      </c>
      <c r="R84" s="6" t="n">
        <v>5996193906.06456</v>
      </c>
      <c r="S84" s="6" t="n">
        <v>5499285485.39256</v>
      </c>
      <c r="T84" s="6" t="n">
        <v>4637960863.17588</v>
      </c>
      <c r="U84" s="6" t="n">
        <v>2495892240.26018</v>
      </c>
      <c r="V84" s="6" t="n">
        <v>268185966.861113</v>
      </c>
      <c r="W84" s="6" t="n">
        <v>2157202167.06914</v>
      </c>
      <c r="X84" s="6" t="n">
        <v>662882332.59665</v>
      </c>
      <c r="Y84" s="6" t="n">
        <v>350889599.300339</v>
      </c>
      <c r="Z84" s="6" t="n">
        <v>268125515.773039</v>
      </c>
      <c r="AA84" s="6" t="n">
        <v>587300176.796783</v>
      </c>
      <c r="AB84" s="6" t="n">
        <v>523664253.585157</v>
      </c>
      <c r="AC84" s="6" t="n">
        <v>548094746.896306</v>
      </c>
      <c r="AD84" s="6" t="n">
        <v>630241464.112735</v>
      </c>
      <c r="AE84" s="6" t="n">
        <v>397898195.867837</v>
      </c>
      <c r="AF84" s="6" t="n">
        <v>1097109185.1303</v>
      </c>
      <c r="AG84" s="6" t="n">
        <v>0</v>
      </c>
      <c r="AH84" s="6" t="n">
        <v>59684.9236466806</v>
      </c>
      <c r="AI84" s="6" t="n">
        <v>0</v>
      </c>
      <c r="AJ84" s="6" t="n">
        <v>0</v>
      </c>
      <c r="AK84" s="6" t="n">
        <v>0</v>
      </c>
      <c r="AL84" s="6" t="n">
        <v>-39324.9492</v>
      </c>
      <c r="AM84" s="6" t="n">
        <v>0</v>
      </c>
      <c r="AN84" s="6"/>
    </row>
    <row r="85">
      <c r="A85" t="str">
        <f>M85</f>
      </c>
      <c r="B85" t="str">
        <f>N85</f>
      </c>
      <c r="C85" s="6" t="str">
        <f>AI85</f>
      </c>
      <c r="D85" s="6" t="str">
        <f>AL85</f>
      </c>
      <c r="E85" s="6" t="str">
        <f>AM85</f>
      </c>
      <c r="F85" s="6"/>
      <c r="G85" s="2" t="str">
        <f>AM85/AL85-1</f>
      </c>
      <c r="H85" s="2" t="str">
        <f>AM85/AI85-1</f>
      </c>
      <c r="I85" s="2"/>
      <c r="J85" s="2" t="str">
        <f>AM85/Sum(AM$46:AM$87)</f>
      </c>
      <c r="K85" s="2"/>
      <c r="M85"/>
      <c r="N85" t="s">
        <v>49</v>
      </c>
      <c r="O85" s="6" t="n">
        <v>835624928.925579</v>
      </c>
      <c r="P85" s="6" t="n">
        <v>18145179.8837766</v>
      </c>
      <c r="Q85" s="6" t="n">
        <v>1202412.5446824</v>
      </c>
      <c r="R85" s="6" t="n">
        <v>1437059.91765277</v>
      </c>
      <c r="S85" s="6" t="n">
        <v>254639.846340445</v>
      </c>
      <c r="T85" s="6" t="n">
        <v>1166311.91835906</v>
      </c>
      <c r="U85" s="6" t="n">
        <v>3881364.23881157</v>
      </c>
      <c r="V85" s="6" t="n">
        <v>13166283.7427134</v>
      </c>
      <c r="W85" s="6" t="n">
        <v>1671293053.80243</v>
      </c>
      <c r="X85" s="6" t="n">
        <v>1980940735.05622</v>
      </c>
      <c r="Y85" s="6" t="n">
        <v>23964704.0453618</v>
      </c>
      <c r="Z85" s="6" t="n">
        <v>754470.795738595</v>
      </c>
      <c r="AA85" s="6" t="n">
        <v>1775121.11735208</v>
      </c>
      <c r="AB85" s="6" t="n">
        <v>6859834.48883601</v>
      </c>
      <c r="AC85" s="6" t="n">
        <v>21112319.9730293</v>
      </c>
      <c r="AD85" s="6" t="n">
        <v>117018552.401049</v>
      </c>
      <c r="AE85" s="6" t="n">
        <v>13928205.6157359</v>
      </c>
      <c r="AF85" s="6" t="n">
        <v>19192466.1097395</v>
      </c>
      <c r="AG85" s="6" t="n">
        <v>0</v>
      </c>
      <c r="AH85" s="6" t="n">
        <v>0</v>
      </c>
      <c r="AI85" s="6" t="n">
        <v>0</v>
      </c>
      <c r="AJ85" s="6" t="n">
        <v>0</v>
      </c>
      <c r="AK85" s="6" t="n">
        <v>0</v>
      </c>
      <c r="AL85" s="6" t="n">
        <v>0</v>
      </c>
      <c r="AM85" s="6" t="n">
        <v>0</v>
      </c>
      <c r="AN85" s="6"/>
    </row>
    <row r="86">
      <c r="A86" t="str">
        <f>M86</f>
      </c>
      <c r="B86" t="str">
        <f>N86</f>
      </c>
      <c r="C86" s="6" t="str">
        <f>AI86</f>
      </c>
      <c r="D86" s="6" t="str">
        <f>AL86</f>
      </c>
      <c r="E86" s="6" t="str">
        <f>AM86</f>
      </c>
      <c r="F86" s="6"/>
      <c r="G86" s="2" t="str">
        <f>AM86/AL86-1</f>
      </c>
      <c r="H86" s="2" t="str">
        <f>AM86/AI86-1</f>
      </c>
      <c r="I86" s="2"/>
      <c r="J86" s="2" t="str">
        <f>AM86/Sum(AM$46:AM$87)</f>
      </c>
      <c r="K86" s="2"/>
      <c r="M86"/>
      <c r="N86" t="s">
        <v>19</v>
      </c>
      <c r="O86" s="6" t="n">
        <v>9202811.27882349</v>
      </c>
      <c r="P86" s="6" t="n">
        <v>3666333.31462151</v>
      </c>
      <c r="Q86" s="6" t="n">
        <v>-6987.11728744158</v>
      </c>
      <c r="R86" s="6" t="n">
        <v>238866.397952528</v>
      </c>
      <c r="S86" s="6" t="n">
        <v>-3869.3419552838</v>
      </c>
      <c r="T86" s="6" t="n">
        <v>27370.0409464266</v>
      </c>
      <c r="U86" s="6" t="n">
        <v>913205.727825245</v>
      </c>
      <c r="V86" s="6" t="n">
        <v>0</v>
      </c>
      <c r="W86" s="6" t="n">
        <v>-11241.8550176067</v>
      </c>
      <c r="X86" s="6" t="n">
        <v>409163.948803724</v>
      </c>
      <c r="Y86" s="6" t="n">
        <v>-1934.90750375111</v>
      </c>
      <c r="Z86" s="6" t="n">
        <v>-239.309508242339</v>
      </c>
      <c r="AA86" s="6"/>
      <c r="AB86" s="6"/>
      <c r="AC86" s="6"/>
      <c r="AD86" s="6" t="n">
        <v>37536.9003683804</v>
      </c>
      <c r="AE86" s="6" t="n">
        <v>2157.67476297287</v>
      </c>
      <c r="AF86" s="6" t="n">
        <v>1657529.93671841</v>
      </c>
      <c r="AG86" s="6" t="n">
        <v>24128.2435797438</v>
      </c>
      <c r="AH86" s="6" t="n">
        <v>0</v>
      </c>
      <c r="AI86" s="6" t="n">
        <v>11573.9072704938</v>
      </c>
      <c r="AJ86" s="6" t="n">
        <v>11188.817598517</v>
      </c>
      <c r="AK86" s="6"/>
      <c r="AL86" s="6" t="n">
        <v>10000</v>
      </c>
      <c r="AM86" s="6"/>
      <c r="AN86" s="6"/>
    </row>
    <row r="87">
      <c r="A87" t="str">
        <f>M87</f>
      </c>
      <c r="B87" t="str">
        <f>N87</f>
      </c>
      <c r="C87" s="6" t="str">
        <f>AI87</f>
      </c>
      <c r="D87" s="6" t="str">
        <f>AL87</f>
      </c>
      <c r="E87" s="6" t="str">
        <f>AM87</f>
      </c>
      <c r="F87" s="6"/>
      <c r="G87" s="2" t="str">
        <f>AM87/AL87-1</f>
      </c>
      <c r="H87" s="2" t="str">
        <f>AM87/AI87-1</f>
      </c>
      <c r="I87" s="2"/>
      <c r="J87" s="2" t="str">
        <f>AM87/Sum(AM$46:AM$87)</f>
      </c>
      <c r="K87" s="2"/>
      <c r="M87"/>
      <c r="N87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 t="n">
        <v>9739.88670259903</v>
      </c>
      <c r="AN87" s="6"/>
    </row>
    <row r="88">
      <c r="A88" t="str">
        <f>M88</f>
      </c>
      <c r="B88" t="str">
        <f>N88</f>
      </c>
      <c r="C88" s="6" t="str">
        <f>AI88</f>
      </c>
      <c r="D88" s="6" t="str">
        <f>AL88</f>
      </c>
      <c r="E88" s="6" t="str">
        <f>AM88</f>
      </c>
      <c r="F88" s="6"/>
      <c r="G88" s="2" t="str">
        <f>AM88/AL88-1</f>
      </c>
      <c r="H88" s="2" t="str">
        <f>AM88/AI88-1</f>
      </c>
      <c r="I88" s="2"/>
      <c r="J88" s="2" t="str">
        <f>Sum(J$46:J$87)</f>
      </c>
      <c r="K88" s="2"/>
      <c r="M88" t="s">
        <v>20</v>
      </c>
      <c r="N88" t="s">
        <v>21</v>
      </c>
      <c r="O88" s="6" t="str">
        <f>Sum(O47:O87)</f>
      </c>
      <c r="P88" s="6" t="str">
        <f>Sum(P47:P87)</f>
      </c>
      <c r="Q88" s="6" t="str">
        <f>Sum(Q47:Q87)</f>
      </c>
      <c r="R88" s="6" t="str">
        <f>Sum(R47:R87)</f>
      </c>
      <c r="S88" s="6" t="str">
        <f>Sum(S47:S87)</f>
      </c>
      <c r="T88" s="6" t="str">
        <f>Sum(T47:T87)</f>
      </c>
      <c r="U88" s="6" t="str">
        <f>Sum(U47:U87)</f>
      </c>
      <c r="V88" s="6" t="str">
        <f>Sum(V47:V87)</f>
      </c>
      <c r="W88" s="6" t="str">
        <f>Sum(W47:W87)</f>
      </c>
      <c r="X88" s="6" t="str">
        <f>Sum(X47:X87)</f>
      </c>
      <c r="Y88" s="6" t="str">
        <f>Sum(Y47:Y87)</f>
      </c>
      <c r="Z88" s="6" t="str">
        <f>Sum(Z47:Z87)</f>
      </c>
      <c r="AA88" s="6" t="str">
        <f>Sum(AA47:AA87)</f>
      </c>
      <c r="AB88" s="6" t="str">
        <f>Sum(AB47:AB87)</f>
      </c>
      <c r="AC88" s="6" t="str">
        <f>Sum(AC47:AC87)</f>
      </c>
      <c r="AD88" s="6" t="str">
        <f>Sum(AD47:AD87)</f>
      </c>
      <c r="AE88" s="6" t="str">
        <f>Sum(AE47:AE87)</f>
      </c>
      <c r="AF88" s="6" t="str">
        <f>Sum(AF47:AF87)</f>
      </c>
      <c r="AG88" s="6" t="str">
        <f>Sum(AG47:AG87)</f>
      </c>
      <c r="AH88" s="6" t="str">
        <f>Sum(AH47:AH87)</f>
      </c>
      <c r="AI88" s="6" t="str">
        <f>Sum(AI47:AI87)</f>
      </c>
      <c r="AJ88" s="6" t="str">
        <f>Sum(AJ47:AJ87)</f>
      </c>
      <c r="AK88" s="6" t="str">
        <f>Sum(AK47:AK87)</f>
      </c>
      <c r="AL88" s="6" t="str">
        <f>Sum(AL47:AL87)</f>
      </c>
      <c r="AM88" s="6" t="str">
        <f>Sum(AM47:AM87)</f>
      </c>
      <c r="AN88" s="6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M1</f>
      </c>
      <c r="B1" t="str">
        <f>N1</f>
      </c>
      <c r="M1" t="s">
        <v>53</v>
      </c>
      <c r="N1" t="s">
        <v>22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  <c r="Y1" t="s">
        <v>43</v>
      </c>
      <c r="Z1" t="s">
        <v>44</v>
      </c>
      <c r="AA1" t="s">
        <v>45</v>
      </c>
      <c r="AB1" t="s">
        <v>46</v>
      </c>
      <c r="AC1" t="s">
        <v>47</v>
      </c>
      <c r="AD1" t="s">
        <v>2</v>
      </c>
      <c r="AE1" t="s">
        <v>3</v>
      </c>
      <c r="AF1" t="s">
        <v>4</v>
      </c>
      <c r="AG1" t="s">
        <v>5</v>
      </c>
      <c r="AH1" t="s">
        <v>6</v>
      </c>
      <c r="AI1" t="s">
        <v>7</v>
      </c>
      <c r="AJ1" t="s">
        <v>8</v>
      </c>
      <c r="AK1" t="s">
        <v>9</v>
      </c>
      <c r="AL1" t="s">
        <v>10</v>
      </c>
      <c r="AM1" t="s">
        <v>51</v>
      </c>
    </row>
    <row r="2">
      <c r="A2" t="str">
        <f>M2</f>
      </c>
      <c r="B2" t="str">
        <f>N2</f>
      </c>
      <c r="M2" t="s">
        <v>59</v>
      </c>
      <c r="N2" t="s">
        <v>67</v>
      </c>
      <c r="O2" s="8" t="n">
        <v>1729381260</v>
      </c>
      <c r="P2" s="8" t="n">
        <v>1386772904</v>
      </c>
      <c r="Q2" s="8" t="n">
        <v>1258599767</v>
      </c>
      <c r="R2" s="8" t="n">
        <v>1758528322</v>
      </c>
      <c r="S2" s="8" t="n">
        <v>2169244910</v>
      </c>
      <c r="T2" s="8" t="n">
        <v>1517436128.45</v>
      </c>
      <c r="U2" s="8" t="n">
        <v>3708009919.9589</v>
      </c>
      <c r="V2" s="8" t="n">
        <v>2620161096.9725</v>
      </c>
      <c r="W2" s="8" t="n">
        <v>7754833650.6538</v>
      </c>
      <c r="X2" s="8" t="n">
        <v>4416871294.2938</v>
      </c>
      <c r="Y2" s="8" t="n">
        <v>4673502941.9811</v>
      </c>
      <c r="Z2" s="8" t="n">
        <v>11541208579.7806</v>
      </c>
      <c r="AA2" s="8" t="n">
        <v>6782882850.9765</v>
      </c>
      <c r="AB2" s="8" t="n">
        <v>9025604028.2604</v>
      </c>
      <c r="AC2" s="8" t="n">
        <v>7432214598.2237</v>
      </c>
      <c r="AD2" s="8" t="n">
        <v>5651050671.1785</v>
      </c>
      <c r="AE2" s="8" t="n">
        <v>5771026302.8476</v>
      </c>
      <c r="AF2" s="8" t="n">
        <v>8096085928.7353</v>
      </c>
      <c r="AG2" s="8" t="n">
        <v>8343957503.9594</v>
      </c>
      <c r="AH2" s="8" t="n">
        <v>9086503345.5673</v>
      </c>
      <c r="AI2" s="8" t="n">
        <v>9790679518.7737</v>
      </c>
      <c r="AJ2" s="8" t="n">
        <v>11633031251.2536</v>
      </c>
      <c r="AK2" s="8" t="n">
        <v>13201544657.1974</v>
      </c>
      <c r="AL2" s="8" t="n">
        <v>10324291240.99</v>
      </c>
      <c r="AM2" s="8" t="n">
        <v>13262037598.87</v>
      </c>
      <c r="AN2" s="8"/>
    </row>
    <row r="3">
      <c r="A3" t="str">
        <f>M3</f>
      </c>
      <c r="B3" t="str">
        <f>N3</f>
      </c>
      <c r="M3" t="s">
        <v>59</v>
      </c>
      <c r="N3" t="s">
        <v>18</v>
      </c>
      <c r="O3" s="8" t="n">
        <v>383455473</v>
      </c>
      <c r="P3" s="8" t="n">
        <v>591810702</v>
      </c>
      <c r="Q3" s="8" t="n">
        <v>809250414</v>
      </c>
      <c r="R3" s="8" t="n">
        <v>1755028036.05</v>
      </c>
      <c r="S3" s="8" t="n">
        <v>2598774635.61</v>
      </c>
      <c r="T3" s="8" t="n">
        <v>7390536956.8769</v>
      </c>
      <c r="U3" s="8" t="n">
        <v>8472359819.9172</v>
      </c>
      <c r="V3" s="8" t="n">
        <v>9097654898.0984</v>
      </c>
      <c r="W3" s="8" t="n">
        <v>9148520616.7702</v>
      </c>
      <c r="X3" s="8" t="n">
        <v>8589824497.2419</v>
      </c>
      <c r="Y3" s="8" t="n">
        <v>12021514858.0766</v>
      </c>
      <c r="Z3" s="8" t="n">
        <v>11692914751.2662</v>
      </c>
      <c r="AA3" s="8" t="n">
        <v>8414224282.5169</v>
      </c>
      <c r="AB3" s="8" t="n">
        <v>5585236348.1864</v>
      </c>
      <c r="AC3" s="8" t="n">
        <v>4864812115.5021</v>
      </c>
      <c r="AD3" s="8" t="n">
        <v>4392978307.1542</v>
      </c>
      <c r="AE3" s="8" t="n">
        <v>4502335709.0692</v>
      </c>
      <c r="AF3" s="8" t="n">
        <v>5827746476.4326</v>
      </c>
      <c r="AG3" s="8" t="n">
        <v>4462678313.627</v>
      </c>
      <c r="AH3" s="8" t="n">
        <v>5064402266.6725</v>
      </c>
      <c r="AI3" s="8" t="n">
        <v>4560101831.3203</v>
      </c>
      <c r="AJ3" s="8" t="n">
        <v>5021201997.4471</v>
      </c>
      <c r="AK3" s="8" t="n">
        <v>4111599215.2291</v>
      </c>
      <c r="AL3" s="8" t="n">
        <v>4353744193.3247</v>
      </c>
      <c r="AM3" s="8" t="n">
        <v>4945925112.25</v>
      </c>
      <c r="AN3" s="8"/>
    </row>
    <row r="4">
      <c r="A4" t="str">
        <f>M4</f>
      </c>
      <c r="B4" t="str">
        <f>N4</f>
      </c>
      <c r="M4" t="s">
        <v>59</v>
      </c>
      <c r="N4" t="s">
        <v>49</v>
      </c>
      <c r="O4" s="8" t="n">
        <v>1178708917</v>
      </c>
      <c r="P4" s="8" t="n">
        <v>1164903103</v>
      </c>
      <c r="Q4" s="8" t="n">
        <v>1277318975</v>
      </c>
      <c r="R4" s="8" t="n">
        <v>1838380783</v>
      </c>
      <c r="S4" s="8" t="n">
        <v>1916873056</v>
      </c>
      <c r="T4" s="8" t="n">
        <v>1506140216.03</v>
      </c>
      <c r="U4" s="8" t="n">
        <v>1542219642.135</v>
      </c>
      <c r="V4" s="8" t="n">
        <v>2250208146.2574</v>
      </c>
      <c r="W4" s="8" t="n">
        <v>1153525223.3156</v>
      </c>
      <c r="X4" s="8" t="n">
        <v>1814183557.7476</v>
      </c>
      <c r="Y4" s="8" t="n">
        <v>3133381552.6185</v>
      </c>
      <c r="Z4" s="8" t="n">
        <v>3735157547.0356</v>
      </c>
      <c r="AA4" s="8" t="n">
        <v>2879921333.6185</v>
      </c>
      <c r="AB4" s="8" t="n">
        <v>3004491700.89</v>
      </c>
      <c r="AC4" s="8" t="n">
        <v>2164455304.76</v>
      </c>
      <c r="AD4" s="8" t="n">
        <v>2557292142.8237</v>
      </c>
      <c r="AE4" s="8" t="n">
        <v>2935724085.5542</v>
      </c>
      <c r="AF4" s="8" t="n">
        <v>2678324933.3549</v>
      </c>
      <c r="AG4" s="8" t="n">
        <v>2922325275.4594</v>
      </c>
      <c r="AH4" s="8" t="n">
        <v>3784645827.723</v>
      </c>
      <c r="AI4" s="8" t="n">
        <v>4516664147.7961</v>
      </c>
      <c r="AJ4" s="8" t="n">
        <v>6692103750.7271</v>
      </c>
      <c r="AK4" s="8" t="n">
        <v>6889293880.3175</v>
      </c>
      <c r="AL4" s="8" t="n">
        <v>9058109555.6468</v>
      </c>
      <c r="AM4" s="8" t="n">
        <v>10324834771.43</v>
      </c>
      <c r="AN4" s="8"/>
    </row>
    <row r="5">
      <c r="A5" t="str">
        <f>M5</f>
      </c>
      <c r="B5" t="str">
        <f>N5</f>
      </c>
      <c r="M5" t="s">
        <v>65</v>
      </c>
      <c r="N5" t="s">
        <v>67</v>
      </c>
      <c r="O5" s="8"/>
      <c r="P5" s="8" t="n">
        <v>120105</v>
      </c>
      <c r="Q5" s="8" t="n">
        <v>25491254</v>
      </c>
      <c r="R5" s="8" t="n">
        <v>25189000.5801</v>
      </c>
      <c r="S5" s="8" t="n">
        <v>41228253</v>
      </c>
      <c r="T5" s="8" t="n">
        <v>125039132.99</v>
      </c>
      <c r="U5" s="8" t="n">
        <v>465274109.1933</v>
      </c>
      <c r="V5" s="8" t="n">
        <v>6267699437.4557</v>
      </c>
      <c r="W5" s="8" t="n">
        <v>9262848078.2704</v>
      </c>
      <c r="X5" s="8" t="n">
        <v>9762466323.1838</v>
      </c>
      <c r="Y5" s="8" t="n">
        <v>-202427323.0026</v>
      </c>
      <c r="Z5" s="8" t="n">
        <v>-644561.9467</v>
      </c>
      <c r="AA5" s="8" t="n">
        <v>-5072267.007</v>
      </c>
      <c r="AB5" s="8" t="n">
        <v>5355558.83</v>
      </c>
      <c r="AC5" s="8" t="n">
        <v>-2637993</v>
      </c>
      <c r="AD5" s="8" t="n">
        <v>-252</v>
      </c>
      <c r="AE5" s="8" t="n">
        <v>0</v>
      </c>
      <c r="AF5" s="8" t="n">
        <v>0</v>
      </c>
      <c r="AG5" s="8" t="n">
        <v>0</v>
      </c>
      <c r="AH5" s="8" t="n">
        <v>0</v>
      </c>
      <c r="AI5" s="8" t="n">
        <v>62886.3819</v>
      </c>
      <c r="AJ5" s="8" t="n">
        <v>0</v>
      </c>
      <c r="AK5" s="8"/>
      <c r="AL5" s="8"/>
      <c r="AM5" s="8" t="n">
        <v>0</v>
      </c>
      <c r="AN5" s="8"/>
    </row>
    <row r="6">
      <c r="A6" t="str">
        <f>M6</f>
      </c>
      <c r="B6" t="str">
        <f>N6</f>
      </c>
      <c r="M6" t="s">
        <v>65</v>
      </c>
      <c r="N6" t="s">
        <v>18</v>
      </c>
      <c r="O6" s="8" t="n">
        <v>5006200.8135</v>
      </c>
      <c r="P6" s="8" t="n">
        <v>206146491.1</v>
      </c>
      <c r="Q6" s="8" t="n">
        <v>40015696.7305</v>
      </c>
      <c r="R6" s="8" t="n">
        <v>177288608.7774</v>
      </c>
      <c r="S6" s="8" t="n">
        <v>434742668.4577</v>
      </c>
      <c r="T6" s="8" t="n">
        <v>908608587.5254</v>
      </c>
      <c r="U6" s="8" t="n">
        <v>3085994450.7469</v>
      </c>
      <c r="V6" s="8" t="n">
        <v>10723282354.5033</v>
      </c>
      <c r="W6" s="8" t="n">
        <v>13871701417.1162</v>
      </c>
      <c r="X6" s="8" t="n">
        <v>19447591178.575</v>
      </c>
      <c r="Y6" s="8" t="n">
        <v>708424067.9331</v>
      </c>
      <c r="Z6" s="8" t="n">
        <v>216918307.9704</v>
      </c>
      <c r="AA6" s="8" t="n">
        <v>-3087003.7341</v>
      </c>
      <c r="AB6" s="8" t="n">
        <v>-32451589.4489</v>
      </c>
      <c r="AC6" s="8" t="n">
        <v>-21371034.3213</v>
      </c>
      <c r="AD6" s="8" t="n">
        <v>-1964.47</v>
      </c>
      <c r="AE6" s="8"/>
      <c r="AF6" s="8"/>
      <c r="AG6" s="8"/>
      <c r="AH6" s="8" t="n">
        <v>0</v>
      </c>
      <c r="AI6" s="8"/>
      <c r="AJ6" s="8"/>
      <c r="AK6" s="8" t="n">
        <v>467462</v>
      </c>
      <c r="AL6" s="8"/>
      <c r="AM6" s="8"/>
      <c r="AN6" s="8"/>
    </row>
    <row r="7">
      <c r="A7" t="str">
        <f>M7</f>
      </c>
      <c r="B7" t="str">
        <f>N7</f>
      </c>
      <c r="M7" t="s">
        <v>65</v>
      </c>
      <c r="N7" t="s">
        <v>49</v>
      </c>
      <c r="O7" s="8" t="n">
        <v>170000</v>
      </c>
      <c r="P7" s="8"/>
      <c r="Q7" s="8"/>
      <c r="R7" s="8" t="n">
        <v>59292</v>
      </c>
      <c r="S7" s="8" t="n">
        <v>19169576.75</v>
      </c>
      <c r="T7" s="8" t="n">
        <v>7399274.48</v>
      </c>
      <c r="U7" s="8" t="n">
        <v>251178199.78</v>
      </c>
      <c r="V7" s="8" t="n">
        <v>1979898158.3212</v>
      </c>
      <c r="W7" s="8" t="n">
        <v>3933714994.5962</v>
      </c>
      <c r="X7" s="8" t="n">
        <v>4615764379.3695</v>
      </c>
      <c r="Y7" s="8" t="n">
        <v>62247047.0501</v>
      </c>
      <c r="Z7" s="8" t="n">
        <v>20006149.4897</v>
      </c>
      <c r="AA7" s="8" t="n">
        <v>5165579.8033</v>
      </c>
      <c r="AB7" s="8" t="n">
        <v>-1744975.68</v>
      </c>
      <c r="AC7" s="8" t="n">
        <v>-4321977.05</v>
      </c>
      <c r="AD7" s="8" t="n">
        <v>188650</v>
      </c>
      <c r="AE7" s="8"/>
      <c r="AF7" s="8"/>
      <c r="AG7" s="8"/>
      <c r="AH7" s="8"/>
      <c r="AI7" s="8"/>
      <c r="AJ7" s="8"/>
      <c r="AK7" s="8"/>
      <c r="AL7" s="8"/>
      <c r="AM7" s="8"/>
      <c r="AN7" s="8"/>
    </row>
    <row r="8">
      <c r="A8" t="str">
        <f>M8</f>
      </c>
      <c r="B8" t="str">
        <f>N8</f>
      </c>
      <c r="M8" t="s">
        <v>65</v>
      </c>
      <c r="N8" t="s">
        <v>19</v>
      </c>
      <c r="O8" s="8" t="n">
        <v>48443</v>
      </c>
      <c r="P8" s="8" t="n">
        <v>12475</v>
      </c>
      <c r="Q8" s="8" t="n">
        <v>461178</v>
      </c>
      <c r="R8" s="8" t="n">
        <v>37618</v>
      </c>
      <c r="S8" s="8"/>
      <c r="T8" s="8" t="n">
        <v>5986</v>
      </c>
      <c r="U8" s="8" t="n">
        <v>11200894</v>
      </c>
      <c r="V8" s="8" t="n">
        <v>42000</v>
      </c>
      <c r="W8" s="8" t="n">
        <v>-28097.4801</v>
      </c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</row>
    <row r="9">
      <c r="A9" t="str">
        <f>M9</f>
      </c>
      <c r="B9" t="str">
        <f>N9</f>
      </c>
      <c r="M9" t="s">
        <v>55</v>
      </c>
      <c r="N9" t="s">
        <v>67</v>
      </c>
      <c r="O9" s="8" t="n">
        <v>30350535041.2501</v>
      </c>
      <c r="P9" s="8" t="n">
        <v>34832154427.5165</v>
      </c>
      <c r="Q9" s="8" t="n">
        <v>44467471853.2131</v>
      </c>
      <c r="R9" s="8" t="n">
        <v>56646865993.1425</v>
      </c>
      <c r="S9" s="8" t="n">
        <v>58686686293.0256</v>
      </c>
      <c r="T9" s="8" t="n">
        <v>70737707134.2315</v>
      </c>
      <c r="U9" s="8" t="n">
        <v>83096231966.4469</v>
      </c>
      <c r="V9" s="8" t="n">
        <v>103977986435.902</v>
      </c>
      <c r="W9" s="8" t="n">
        <v>119267911707.122</v>
      </c>
      <c r="X9" s="8" t="n">
        <v>101634630490.355</v>
      </c>
      <c r="Y9" s="8" t="n">
        <v>101320948717.128</v>
      </c>
      <c r="Z9" s="8" t="n">
        <v>94062194544.4447</v>
      </c>
      <c r="AA9" s="8" t="n">
        <v>81901054882.9135</v>
      </c>
      <c r="AB9" s="8" t="n">
        <v>71898404949.2174</v>
      </c>
      <c r="AC9" s="8" t="n">
        <v>67838468484.4961</v>
      </c>
      <c r="AD9" s="8" t="n">
        <v>69501201414.128</v>
      </c>
      <c r="AE9" s="8" t="n">
        <v>77388588742.6648</v>
      </c>
      <c r="AF9" s="8" t="n">
        <v>79738814973.6615</v>
      </c>
      <c r="AG9" s="8" t="n">
        <v>91060090729.2274</v>
      </c>
      <c r="AH9" s="8" t="n">
        <v>99483857723.4897</v>
      </c>
      <c r="AI9" s="8" t="n">
        <v>103794313302.725</v>
      </c>
      <c r="AJ9" s="8" t="n">
        <v>115781217665.318</v>
      </c>
      <c r="AK9" s="8" t="n">
        <v>115730856272.451</v>
      </c>
      <c r="AL9" s="8" t="n">
        <v>109771628121.668</v>
      </c>
      <c r="AM9" s="8" t="n">
        <v>100065772866.38</v>
      </c>
      <c r="AN9" s="8"/>
    </row>
    <row r="10">
      <c r="A10" t="str">
        <f>M10</f>
      </c>
      <c r="B10" t="str">
        <f>N10</f>
      </c>
      <c r="M10" t="s">
        <v>55</v>
      </c>
      <c r="N10" t="s">
        <v>18</v>
      </c>
      <c r="O10" s="8" t="n">
        <v>26723748711.2592</v>
      </c>
      <c r="P10" s="8" t="n">
        <v>30529781474.0104</v>
      </c>
      <c r="Q10" s="8" t="n">
        <v>36493550581.3077</v>
      </c>
      <c r="R10" s="8" t="n">
        <v>50049853377.2454</v>
      </c>
      <c r="S10" s="8" t="n">
        <v>48359708239.2654</v>
      </c>
      <c r="T10" s="8" t="n">
        <v>52716090316.7817</v>
      </c>
      <c r="U10" s="8" t="n">
        <v>59872456143.488</v>
      </c>
      <c r="V10" s="8" t="n">
        <v>59876528788.1555</v>
      </c>
      <c r="W10" s="8" t="n">
        <v>71104395149.1528</v>
      </c>
      <c r="X10" s="8" t="n">
        <v>69408366628.0904</v>
      </c>
      <c r="Y10" s="8" t="n">
        <v>84447133575.0836</v>
      </c>
      <c r="Z10" s="8" t="n">
        <v>84034697702.4335</v>
      </c>
      <c r="AA10" s="8" t="n">
        <v>83914359863.02</v>
      </c>
      <c r="AB10" s="8" t="n">
        <v>71710819334.513</v>
      </c>
      <c r="AC10" s="8" t="n">
        <v>75228287437.7632</v>
      </c>
      <c r="AD10" s="8" t="n">
        <v>69818773879.5831</v>
      </c>
      <c r="AE10" s="8" t="n">
        <v>72048952336.4696</v>
      </c>
      <c r="AF10" s="8" t="n">
        <v>75018192824.2555</v>
      </c>
      <c r="AG10" s="8" t="n">
        <v>85949194451.4529</v>
      </c>
      <c r="AH10" s="8" t="n">
        <v>91609518193.7815</v>
      </c>
      <c r="AI10" s="8" t="n">
        <v>104251634104.84</v>
      </c>
      <c r="AJ10" s="8" t="n">
        <v>93527116638.7399</v>
      </c>
      <c r="AK10" s="8" t="n">
        <v>100567803967.076</v>
      </c>
      <c r="AL10" s="8" t="n">
        <v>113110089585.992</v>
      </c>
      <c r="AM10" s="8" t="n">
        <v>117014370657.91</v>
      </c>
      <c r="AN10" s="8"/>
    </row>
    <row r="11">
      <c r="A11" t="str">
        <f>M11</f>
      </c>
      <c r="B11" t="str">
        <f>N11</f>
      </c>
      <c r="M11" t="s">
        <v>55</v>
      </c>
      <c r="N11" t="s">
        <v>49</v>
      </c>
      <c r="O11" s="8" t="n">
        <v>2106050168</v>
      </c>
      <c r="P11" s="8" t="n">
        <v>2664337622</v>
      </c>
      <c r="Q11" s="8" t="n">
        <v>3174484498.4</v>
      </c>
      <c r="R11" s="8" t="n">
        <v>2487632216.1316</v>
      </c>
      <c r="S11" s="8" t="n">
        <v>2867470797.0549</v>
      </c>
      <c r="T11" s="8" t="n">
        <v>4599639201.6051</v>
      </c>
      <c r="U11" s="8" t="n">
        <v>2656779808.9909</v>
      </c>
      <c r="V11" s="8" t="n">
        <v>2974946603.1447</v>
      </c>
      <c r="W11" s="8" t="n">
        <v>3310549383.3954</v>
      </c>
      <c r="X11" s="8" t="n">
        <v>3875921512.8765</v>
      </c>
      <c r="Y11" s="8" t="n">
        <v>5231927251.1917</v>
      </c>
      <c r="Z11" s="8" t="n">
        <v>7356686866.7222</v>
      </c>
      <c r="AA11" s="8" t="n">
        <v>6636999917.3706</v>
      </c>
      <c r="AB11" s="8" t="n">
        <v>3079668415.7069</v>
      </c>
      <c r="AC11" s="8" t="n">
        <v>2701716991.3259</v>
      </c>
      <c r="AD11" s="8" t="n">
        <v>2114802039.1919</v>
      </c>
      <c r="AE11" s="8" t="n">
        <v>1635262143.1842</v>
      </c>
      <c r="AF11" s="8" t="n">
        <v>1900501993.0071</v>
      </c>
      <c r="AG11" s="8" t="n">
        <v>2100647335.5166</v>
      </c>
      <c r="AH11" s="8" t="n">
        <v>2366326953.3655</v>
      </c>
      <c r="AI11" s="8" t="n">
        <v>6772906272.3243</v>
      </c>
      <c r="AJ11" s="8" t="n">
        <v>3257950182.1926</v>
      </c>
      <c r="AK11" s="8" t="n">
        <v>4983463945.0214</v>
      </c>
      <c r="AL11" s="8" t="n">
        <v>6274058362.33</v>
      </c>
      <c r="AM11" s="8" t="n">
        <v>6257075601.22</v>
      </c>
      <c r="AN11" s="8"/>
    </row>
    <row r="12">
      <c r="A12" t="str">
        <f>M12</f>
      </c>
      <c r="B12" t="str">
        <f>N12</f>
      </c>
      <c r="M12" t="s">
        <v>55</v>
      </c>
      <c r="N12" t="s">
        <v>19</v>
      </c>
      <c r="O12" s="8" t="n">
        <v>263776.8687</v>
      </c>
      <c r="P12" s="8" t="n">
        <v>2859616.9694</v>
      </c>
      <c r="Q12" s="8" t="n">
        <v>37420112.3396</v>
      </c>
      <c r="R12" s="8" t="n">
        <v>6905530.6118</v>
      </c>
      <c r="S12" s="8" t="n">
        <v>2964059.6056</v>
      </c>
      <c r="T12" s="8" t="n">
        <v>2483962.7607</v>
      </c>
      <c r="U12" s="8" t="n">
        <v>20853329.178</v>
      </c>
      <c r="V12" s="8" t="n">
        <v>18042618.09</v>
      </c>
      <c r="W12" s="8" t="n">
        <v>748090.0627</v>
      </c>
      <c r="X12" s="8" t="n">
        <v>673627.15</v>
      </c>
      <c r="Y12" s="8" t="n">
        <v>-47306.6795</v>
      </c>
      <c r="Z12" s="8" t="n">
        <v>-140641.9013</v>
      </c>
      <c r="AA12" s="8" t="n">
        <v>-3648.7</v>
      </c>
      <c r="AB12" s="8" t="n">
        <v>-52150.8511</v>
      </c>
      <c r="AC12" s="8" t="n">
        <v>449040</v>
      </c>
      <c r="AD12" s="8"/>
      <c r="AE12" s="8" t="n">
        <v>3579792.2709</v>
      </c>
      <c r="AF12" s="8" t="n">
        <v>-245</v>
      </c>
      <c r="AG12" s="8" t="n">
        <v>-233000.08</v>
      </c>
      <c r="AH12" s="8" t="n">
        <v>465885</v>
      </c>
      <c r="AI12" s="8" t="n">
        <v>0</v>
      </c>
      <c r="AJ12" s="8" t="n">
        <v>376316</v>
      </c>
      <c r="AK12" s="8"/>
      <c r="AL12" s="8"/>
      <c r="AM12" s="8"/>
      <c r="AN12" s="8"/>
    </row>
    <row r="13">
      <c r="A13" t="str">
        <f>M13</f>
      </c>
      <c r="B13" t="str">
        <f>N13</f>
      </c>
      <c r="M13" t="s">
        <v>55</v>
      </c>
      <c r="N13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 t="n">
        <v>-1323.75</v>
      </c>
      <c r="AN13" s="8"/>
    </row>
    <row r="14">
      <c r="A14" t="str">
        <f>M14</f>
      </c>
      <c r="B14" t="str">
        <f>N14</f>
      </c>
      <c r="M14" t="s">
        <v>56</v>
      </c>
      <c r="N14" t="s">
        <v>67</v>
      </c>
      <c r="O14" s="8" t="n">
        <v>4657723144</v>
      </c>
      <c r="P14" s="8" t="n">
        <v>6339470200</v>
      </c>
      <c r="Q14" s="8" t="n">
        <v>7317346433</v>
      </c>
      <c r="R14" s="8" t="n">
        <v>8043241185.1396</v>
      </c>
      <c r="S14" s="8" t="n">
        <v>9466487537.5519</v>
      </c>
      <c r="T14" s="8" t="n">
        <v>19201480371.8469</v>
      </c>
      <c r="U14" s="8" t="n">
        <v>17651548137.714</v>
      </c>
      <c r="V14" s="8" t="n">
        <v>15709535762.5334</v>
      </c>
      <c r="W14" s="8" t="n">
        <v>21374870304.3609</v>
      </c>
      <c r="X14" s="8" t="n">
        <v>23429672551.945</v>
      </c>
      <c r="Y14" s="8" t="n">
        <v>15491781188.3912</v>
      </c>
      <c r="Z14" s="8" t="n">
        <v>16348533580.2411</v>
      </c>
      <c r="AA14" s="8" t="n">
        <v>23377845701.9404</v>
      </c>
      <c r="AB14" s="8" t="n">
        <v>15703331547.5064</v>
      </c>
      <c r="AC14" s="8" t="n">
        <v>9590644583.7013</v>
      </c>
      <c r="AD14" s="8" t="n">
        <v>7291396330.9893</v>
      </c>
      <c r="AE14" s="8" t="n">
        <v>6020756593.0632</v>
      </c>
      <c r="AF14" s="8" t="n">
        <v>7513071795.9345</v>
      </c>
      <c r="AG14" s="8" t="n">
        <v>8536535694.5094</v>
      </c>
      <c r="AH14" s="8" t="n">
        <v>7142510512.7056</v>
      </c>
      <c r="AI14" s="8" t="n">
        <v>6386704222.6344</v>
      </c>
      <c r="AJ14" s="8" t="n">
        <v>7586921114.6916</v>
      </c>
      <c r="AK14" s="8" t="n">
        <v>13325012233.2513</v>
      </c>
      <c r="AL14" s="8" t="n">
        <v>13005116422.3806</v>
      </c>
      <c r="AM14" s="8" t="n">
        <v>13637235569.29</v>
      </c>
      <c r="AN14" s="8"/>
    </row>
    <row r="15">
      <c r="A15" t="str">
        <f>M15</f>
      </c>
      <c r="B15" t="str">
        <f>N15</f>
      </c>
      <c r="M15" t="s">
        <v>56</v>
      </c>
      <c r="N15" t="s">
        <v>18</v>
      </c>
      <c r="O15" s="8" t="n">
        <v>1174241190</v>
      </c>
      <c r="P15" s="8" t="n">
        <v>1989555557</v>
      </c>
      <c r="Q15" s="8" t="n">
        <v>1238353600</v>
      </c>
      <c r="R15" s="8" t="n">
        <v>1402250630</v>
      </c>
      <c r="S15" s="8" t="n">
        <v>1925546957.7033</v>
      </c>
      <c r="T15" s="8" t="n">
        <v>2799429282.8039</v>
      </c>
      <c r="U15" s="8" t="n">
        <v>1843572437.1023</v>
      </c>
      <c r="V15" s="8" t="n">
        <v>1622588287.7139</v>
      </c>
      <c r="W15" s="8" t="n">
        <v>1320405155.5476</v>
      </c>
      <c r="X15" s="8" t="n">
        <v>875605025.1422</v>
      </c>
      <c r="Y15" s="8" t="n">
        <v>1675019668.158</v>
      </c>
      <c r="Z15" s="8" t="n">
        <v>3267478093.3613</v>
      </c>
      <c r="AA15" s="8" t="n">
        <v>3738362493.2749</v>
      </c>
      <c r="AB15" s="8" t="n">
        <v>2602627139.603</v>
      </c>
      <c r="AC15" s="8" t="n">
        <v>2266967806.823</v>
      </c>
      <c r="AD15" s="8" t="n">
        <v>1687872395.6011</v>
      </c>
      <c r="AE15" s="8" t="n">
        <v>1357388258.9026</v>
      </c>
      <c r="AF15" s="8" t="n">
        <v>1692982745.7663</v>
      </c>
      <c r="AG15" s="8" t="n">
        <v>1947985472.1481</v>
      </c>
      <c r="AH15" s="8" t="n">
        <v>2606717841.3003</v>
      </c>
      <c r="AI15" s="8" t="n">
        <v>2491979199.8567</v>
      </c>
      <c r="AJ15" s="8" t="n">
        <v>2773754503.5177</v>
      </c>
      <c r="AK15" s="8" t="n">
        <v>4190756453.3643</v>
      </c>
      <c r="AL15" s="8" t="n">
        <v>3771713884.1004</v>
      </c>
      <c r="AM15" s="8" t="n">
        <v>3782264288.75</v>
      </c>
      <c r="AN15" s="8"/>
    </row>
    <row r="16">
      <c r="A16" t="str">
        <f>M16</f>
      </c>
      <c r="B16" t="str">
        <f>N16</f>
      </c>
      <c r="M16" t="s">
        <v>56</v>
      </c>
      <c r="N16" t="s">
        <v>49</v>
      </c>
      <c r="O16" s="8" t="n">
        <v>35017449</v>
      </c>
      <c r="P16" s="8" t="n">
        <v>26017250</v>
      </c>
      <c r="Q16" s="8" t="n">
        <v>12808397</v>
      </c>
      <c r="R16" s="8" t="n">
        <v>718529</v>
      </c>
      <c r="S16" s="8"/>
      <c r="T16" s="8" t="n">
        <v>73221859</v>
      </c>
      <c r="U16" s="8" t="n">
        <v>1586195</v>
      </c>
      <c r="V16" s="8" t="n">
        <v>272650</v>
      </c>
      <c r="W16" s="8" t="n">
        <v>48249.6104</v>
      </c>
      <c r="X16" s="8" t="n">
        <v>0</v>
      </c>
      <c r="Y16" s="8" t="n">
        <v>180918.8591</v>
      </c>
      <c r="Z16" s="8" t="n">
        <v>126298.7969</v>
      </c>
      <c r="AA16" s="8" t="n">
        <v>155339.4531</v>
      </c>
      <c r="AB16" s="8" t="n">
        <v>1998.05</v>
      </c>
      <c r="AC16" s="8" t="n">
        <v>0</v>
      </c>
      <c r="AD16" s="8" t="n">
        <v>0</v>
      </c>
      <c r="AE16" s="8"/>
      <c r="AF16" s="8"/>
      <c r="AG16" s="8"/>
      <c r="AH16" s="8"/>
      <c r="AI16" s="8"/>
      <c r="AJ16" s="8"/>
      <c r="AK16" s="8"/>
      <c r="AL16" s="8"/>
      <c r="AM16" s="8"/>
      <c r="AN16" s="8"/>
    </row>
    <row r="17">
      <c r="A17" t="str">
        <f>M17</f>
      </c>
      <c r="B17" t="str">
        <f>N17</f>
      </c>
      <c r="M17" t="s">
        <v>56</v>
      </c>
      <c r="N17" t="s">
        <v>19</v>
      </c>
      <c r="O17" s="8"/>
      <c r="P17" s="8"/>
      <c r="Q17" s="8"/>
      <c r="R17" s="8"/>
      <c r="S17" s="8"/>
      <c r="T17" s="8"/>
      <c r="U17" s="8" t="n">
        <v>35030</v>
      </c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</row>
    <row r="18">
      <c r="A18" t="str">
        <f>M18</f>
      </c>
      <c r="B18" t="str">
        <f>N18</f>
      </c>
      <c r="M18" t="s">
        <v>60</v>
      </c>
      <c r="N18" t="s">
        <v>67</v>
      </c>
      <c r="O18" s="8" t="n">
        <v>1703819725</v>
      </c>
      <c r="P18" s="8" t="n">
        <v>1437312876</v>
      </c>
      <c r="Q18" s="8" t="n">
        <v>3720995137</v>
      </c>
      <c r="R18" s="8" t="n">
        <v>3987827475</v>
      </c>
      <c r="S18" s="8" t="n">
        <v>5016084062.75</v>
      </c>
      <c r="T18" s="8" t="n">
        <v>4989279963.7898</v>
      </c>
      <c r="U18" s="8" t="n">
        <v>5139775787.4339</v>
      </c>
      <c r="V18" s="8" t="n">
        <v>3599901517.1059</v>
      </c>
      <c r="W18" s="8" t="n">
        <v>3846041060.9883</v>
      </c>
      <c r="X18" s="8" t="n">
        <v>7568900227.5775</v>
      </c>
      <c r="Y18" s="8" t="n">
        <v>9374495030.3658</v>
      </c>
      <c r="Z18" s="8" t="n">
        <v>21889705295.6501</v>
      </c>
      <c r="AA18" s="8" t="n">
        <v>22398413128.6962</v>
      </c>
      <c r="AB18" s="8" t="n">
        <v>26248866638.6998</v>
      </c>
      <c r="AC18" s="8" t="n">
        <v>20539388653.572</v>
      </c>
      <c r="AD18" s="8" t="n">
        <v>22884079519.64</v>
      </c>
      <c r="AE18" s="8" t="n">
        <v>21709295670.7593</v>
      </c>
      <c r="AF18" s="8" t="n">
        <v>18196272985.5213</v>
      </c>
      <c r="AG18" s="8" t="n">
        <v>33037086507.8645</v>
      </c>
      <c r="AH18" s="8" t="n">
        <v>40582130274.5106</v>
      </c>
      <c r="AI18" s="8" t="n">
        <v>37183416877.7793</v>
      </c>
      <c r="AJ18" s="8" t="n">
        <v>26928617204.0446</v>
      </c>
      <c r="AK18" s="8" t="n">
        <v>29436051070.0396</v>
      </c>
      <c r="AL18" s="8" t="n">
        <v>51340809729.7416</v>
      </c>
      <c r="AM18" s="8" t="n">
        <v>25832696351.36</v>
      </c>
      <c r="AN18" s="8"/>
    </row>
    <row r="19">
      <c r="A19" t="str">
        <f>M19</f>
      </c>
      <c r="B19" t="str">
        <f>N19</f>
      </c>
      <c r="M19" t="s">
        <v>60</v>
      </c>
      <c r="N19" t="s">
        <v>18</v>
      </c>
      <c r="O19" s="8" t="n">
        <v>512057199</v>
      </c>
      <c r="P19" s="8" t="n">
        <v>2311727532</v>
      </c>
      <c r="Q19" s="8" t="n">
        <v>2627492847</v>
      </c>
      <c r="R19" s="8" t="n">
        <v>1620053630</v>
      </c>
      <c r="S19" s="8" t="n">
        <v>1296775900.74</v>
      </c>
      <c r="T19" s="8" t="n">
        <v>1462215574.1484</v>
      </c>
      <c r="U19" s="8" t="n">
        <v>1409952456.6536</v>
      </c>
      <c r="V19" s="8" t="n">
        <v>1017434588.6266</v>
      </c>
      <c r="W19" s="8" t="n">
        <v>725762334.4813</v>
      </c>
      <c r="X19" s="8" t="n">
        <v>517320094.921</v>
      </c>
      <c r="Y19" s="8" t="n">
        <v>2453355653.9206</v>
      </c>
      <c r="Z19" s="8" t="n">
        <v>1188699909.2695</v>
      </c>
      <c r="AA19" s="8" t="n">
        <v>1412743180.2563</v>
      </c>
      <c r="AB19" s="8" t="n">
        <v>1579694158.0139</v>
      </c>
      <c r="AC19" s="8" t="n">
        <v>1862629640.2746</v>
      </c>
      <c r="AD19" s="8" t="n">
        <v>1421554973.9398</v>
      </c>
      <c r="AE19" s="8" t="n">
        <v>1852731162.2413</v>
      </c>
      <c r="AF19" s="8" t="n">
        <v>1080048015.3156</v>
      </c>
      <c r="AG19" s="8" t="n">
        <v>1409752546.9787</v>
      </c>
      <c r="AH19" s="8" t="n">
        <v>2530848755.8539</v>
      </c>
      <c r="AI19" s="8" t="n">
        <v>2319605948.3177</v>
      </c>
      <c r="AJ19" s="8" t="n">
        <v>2299612385.0877</v>
      </c>
      <c r="AK19" s="8" t="n">
        <v>2098613730.7502</v>
      </c>
      <c r="AL19" s="8" t="n">
        <v>2180156305.7018</v>
      </c>
      <c r="AM19" s="8" t="n">
        <v>2034951335.55</v>
      </c>
      <c r="AN19" s="8"/>
    </row>
    <row r="20">
      <c r="A20" t="str">
        <f>M20</f>
      </c>
      <c r="B20" t="str">
        <f>N20</f>
      </c>
      <c r="M20" t="s">
        <v>60</v>
      </c>
      <c r="N20" t="s">
        <v>49</v>
      </c>
      <c r="O20" s="8" t="n">
        <v>103631708</v>
      </c>
      <c r="P20" s="8" t="n">
        <v>113832613</v>
      </c>
      <c r="Q20" s="8" t="n">
        <v>368207683</v>
      </c>
      <c r="R20" s="8" t="n">
        <v>218802737</v>
      </c>
      <c r="S20" s="8" t="n">
        <v>107730812</v>
      </c>
      <c r="T20" s="8" t="n">
        <v>212321832</v>
      </c>
      <c r="U20" s="8" t="n">
        <v>131419036</v>
      </c>
      <c r="V20" s="8" t="n">
        <v>115585491.47</v>
      </c>
      <c r="W20" s="8" t="n">
        <v>149923228.77</v>
      </c>
      <c r="X20" s="8" t="n">
        <v>460531349.6376</v>
      </c>
      <c r="Y20" s="8" t="n">
        <v>1115942757.504</v>
      </c>
      <c r="Z20" s="8" t="n">
        <v>438924968.8533</v>
      </c>
      <c r="AA20" s="8" t="n">
        <v>331984182.5465</v>
      </c>
      <c r="AB20" s="8" t="n">
        <v>333288955.28</v>
      </c>
      <c r="AC20" s="8" t="n">
        <v>1084880226.5075</v>
      </c>
      <c r="AD20" s="8" t="n">
        <v>668609820.2</v>
      </c>
      <c r="AE20" s="8" t="n">
        <v>1003196367.9414</v>
      </c>
      <c r="AF20" s="8" t="n">
        <v>650350668.2779</v>
      </c>
      <c r="AG20" s="8" t="n">
        <v>922512009.4571</v>
      </c>
      <c r="AH20" s="8" t="n">
        <v>1458529263.7827</v>
      </c>
      <c r="AI20" s="8" t="n">
        <v>1344378070.8554</v>
      </c>
      <c r="AJ20" s="8" t="n">
        <v>1047004634.1588</v>
      </c>
      <c r="AK20" s="8" t="n">
        <v>66045494.4112</v>
      </c>
      <c r="AL20" s="8" t="n">
        <v>826551205.1926</v>
      </c>
      <c r="AM20" s="8" t="n">
        <v>1229342883.69</v>
      </c>
      <c r="AN20" s="8"/>
    </row>
    <row r="21">
      <c r="A21" t="str">
        <f>M21</f>
      </c>
      <c r="B21" t="str">
        <f>N21</f>
      </c>
      <c r="M21" t="s">
        <v>60</v>
      </c>
      <c r="N21" t="s">
        <v>19</v>
      </c>
      <c r="O21" s="8" t="n">
        <v>0</v>
      </c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</row>
    <row r="22">
      <c r="A22" t="str">
        <f>M22</f>
      </c>
      <c r="B22" t="str">
        <f>N22</f>
      </c>
      <c r="M22" t="s">
        <v>62</v>
      </c>
      <c r="N22" t="s">
        <v>67</v>
      </c>
      <c r="O22" s="8" t="n">
        <v>6513769396.4375</v>
      </c>
      <c r="P22" s="8" t="n">
        <v>10507941617.2188</v>
      </c>
      <c r="Q22" s="8" t="n">
        <v>9562627225.8099</v>
      </c>
      <c r="R22" s="8" t="n">
        <v>10469525461.7911</v>
      </c>
      <c r="S22" s="8" t="n">
        <v>12574857758.6896</v>
      </c>
      <c r="T22" s="8" t="n">
        <v>12092697238.2144</v>
      </c>
      <c r="U22" s="8" t="n">
        <v>13161841268.8854</v>
      </c>
      <c r="V22" s="8" t="n">
        <v>13025327973.5558</v>
      </c>
      <c r="W22" s="8" t="n">
        <v>12814310050.6883</v>
      </c>
      <c r="X22" s="8" t="n">
        <v>13030410936.9839</v>
      </c>
      <c r="Y22" s="8" t="n">
        <v>13162173315.3269</v>
      </c>
      <c r="Z22" s="8" t="n">
        <v>15147915845.8773</v>
      </c>
      <c r="AA22" s="8" t="n">
        <v>14241262576.4331</v>
      </c>
      <c r="AB22" s="8" t="n">
        <v>12374053794.0901</v>
      </c>
      <c r="AC22" s="8" t="n">
        <v>17732244990.0306</v>
      </c>
      <c r="AD22" s="8" t="n">
        <v>17620623146.4159</v>
      </c>
      <c r="AE22" s="8" t="n">
        <v>17717433126.7292</v>
      </c>
      <c r="AF22" s="8" t="n">
        <v>17731747008.9495</v>
      </c>
      <c r="AG22" s="8" t="n">
        <v>13621076395.4179</v>
      </c>
      <c r="AH22" s="8" t="n">
        <v>15287533107.834</v>
      </c>
      <c r="AI22" s="8" t="n">
        <v>17266800012.7943</v>
      </c>
      <c r="AJ22" s="8" t="n">
        <v>13652729992.482</v>
      </c>
      <c r="AK22" s="8" t="n">
        <v>15615392767.384</v>
      </c>
      <c r="AL22" s="8" t="n">
        <v>14592254986.3846</v>
      </c>
      <c r="AM22" s="8" t="n">
        <v>19405206830.44</v>
      </c>
      <c r="AN22" s="8"/>
    </row>
    <row r="23">
      <c r="A23" t="str">
        <f>M23</f>
      </c>
      <c r="B23" t="str">
        <f>N23</f>
      </c>
      <c r="M23" t="s">
        <v>62</v>
      </c>
      <c r="N23" t="s">
        <v>18</v>
      </c>
      <c r="O23" s="8" t="n">
        <v>13445590250.9415</v>
      </c>
      <c r="P23" s="8" t="n">
        <v>12440402261.4594</v>
      </c>
      <c r="Q23" s="8" t="n">
        <v>15279365182.4309</v>
      </c>
      <c r="R23" s="8" t="n">
        <v>20020401441.5495</v>
      </c>
      <c r="S23" s="8" t="n">
        <v>26673243664.8758</v>
      </c>
      <c r="T23" s="8" t="n">
        <v>26722523150.3171</v>
      </c>
      <c r="U23" s="8" t="n">
        <v>28885863928.37</v>
      </c>
      <c r="V23" s="8" t="n">
        <v>27956889834.1425</v>
      </c>
      <c r="W23" s="8" t="n">
        <v>30658200415.0513</v>
      </c>
      <c r="X23" s="8" t="n">
        <v>32825971456.4472</v>
      </c>
      <c r="Y23" s="8" t="n">
        <v>37160372378.3152</v>
      </c>
      <c r="Z23" s="8" t="n">
        <v>41962152356.8694</v>
      </c>
      <c r="AA23" s="8" t="n">
        <v>41256850669.6969</v>
      </c>
      <c r="AB23" s="8" t="n">
        <v>42005278625.0978</v>
      </c>
      <c r="AC23" s="8" t="n">
        <v>38402270325.2427</v>
      </c>
      <c r="AD23" s="8" t="n">
        <v>38371424338.8482</v>
      </c>
      <c r="AE23" s="8" t="n">
        <v>36391492310.1355</v>
      </c>
      <c r="AF23" s="8" t="n">
        <v>40104403901.2089</v>
      </c>
      <c r="AG23" s="8" t="n">
        <v>40379511099.7579</v>
      </c>
      <c r="AH23" s="8" t="n">
        <v>45000913799.9764</v>
      </c>
      <c r="AI23" s="8" t="n">
        <v>46522354572.0242</v>
      </c>
      <c r="AJ23" s="8" t="n">
        <v>48309836399.1912</v>
      </c>
      <c r="AK23" s="8" t="n">
        <v>49871932852.5629</v>
      </c>
      <c r="AL23" s="8" t="n">
        <v>53828484657.8607</v>
      </c>
      <c r="AM23" s="8" t="n">
        <v>56323031924.68</v>
      </c>
      <c r="AN23" s="8"/>
    </row>
    <row r="24">
      <c r="A24" t="str">
        <f>M24</f>
      </c>
      <c r="B24" t="str">
        <f>N24</f>
      </c>
      <c r="M24" t="s">
        <v>62</v>
      </c>
      <c r="N24" t="s">
        <v>49</v>
      </c>
      <c r="O24" s="8" t="n">
        <v>13962246259.4228</v>
      </c>
      <c r="P24" s="8" t="n">
        <v>14132766441.89</v>
      </c>
      <c r="Q24" s="8" t="n">
        <v>16243156136.9595</v>
      </c>
      <c r="R24" s="8" t="n">
        <v>21393580271.4472</v>
      </c>
      <c r="S24" s="8" t="n">
        <v>22089153491.1938</v>
      </c>
      <c r="T24" s="8" t="n">
        <v>24433102486.5368</v>
      </c>
      <c r="U24" s="8" t="n">
        <v>26359953829.8537</v>
      </c>
      <c r="V24" s="8" t="n">
        <v>26904247171.2341</v>
      </c>
      <c r="W24" s="8" t="n">
        <v>24723137907.3606</v>
      </c>
      <c r="X24" s="8" t="n">
        <v>27260481152.6702</v>
      </c>
      <c r="Y24" s="8" t="n">
        <v>28414687100.8316</v>
      </c>
      <c r="Z24" s="8" t="n">
        <v>25863797432.9345</v>
      </c>
      <c r="AA24" s="8" t="n">
        <v>23855274969.6027</v>
      </c>
      <c r="AB24" s="8" t="n">
        <v>20460671676.0896</v>
      </c>
      <c r="AC24" s="8" t="n">
        <v>19235613585.8004</v>
      </c>
      <c r="AD24" s="8" t="n">
        <v>17959874094.3966</v>
      </c>
      <c r="AE24" s="8" t="n">
        <v>18328418278.6334</v>
      </c>
      <c r="AF24" s="8" t="n">
        <v>19316790194.2826</v>
      </c>
      <c r="AG24" s="8" t="n">
        <v>20457476702.6525</v>
      </c>
      <c r="AH24" s="8" t="n">
        <v>21192568044.4971</v>
      </c>
      <c r="AI24" s="8" t="n">
        <v>17415101378.3903</v>
      </c>
      <c r="AJ24" s="8" t="n">
        <v>20631058122.9189</v>
      </c>
      <c r="AK24" s="8" t="n">
        <v>22191526722.8691</v>
      </c>
      <c r="AL24" s="8" t="n">
        <v>24827940456.605</v>
      </c>
      <c r="AM24" s="8" t="n">
        <v>24664848443.75</v>
      </c>
      <c r="AN24" s="8"/>
    </row>
    <row r="25">
      <c r="A25" t="str">
        <f>M25</f>
      </c>
      <c r="B25" t="str">
        <f>N25</f>
      </c>
      <c r="M25" t="s">
        <v>62</v>
      </c>
      <c r="N25" t="s">
        <v>19</v>
      </c>
      <c r="O25" s="8" t="n">
        <v>1968247</v>
      </c>
      <c r="P25" s="8" t="n">
        <v>1506412</v>
      </c>
      <c r="Q25" s="8" t="n">
        <v>9236544</v>
      </c>
      <c r="R25" s="8" t="n">
        <v>16133355</v>
      </c>
      <c r="S25" s="8" t="n">
        <v>1436950</v>
      </c>
      <c r="T25" s="8" t="n">
        <v>431106.3301</v>
      </c>
      <c r="U25" s="8" t="n">
        <v>9419920.8799</v>
      </c>
      <c r="V25" s="8" t="n">
        <v>0</v>
      </c>
      <c r="W25" s="8" t="n">
        <v>-151143.5506</v>
      </c>
      <c r="X25" s="8" t="n">
        <v>14525.3795</v>
      </c>
      <c r="Y25" s="8" t="n">
        <v>-2907.3301</v>
      </c>
      <c r="Z25" s="8"/>
      <c r="AA25" s="8"/>
      <c r="AB25" s="8"/>
      <c r="AC25" s="8"/>
      <c r="AD25" s="8"/>
      <c r="AE25" s="8" t="n">
        <v>0</v>
      </c>
      <c r="AF25" s="8"/>
      <c r="AG25" s="8"/>
      <c r="AH25" s="8"/>
      <c r="AI25" s="8" t="n">
        <v>0</v>
      </c>
      <c r="AJ25" s="8" t="n">
        <v>0</v>
      </c>
      <c r="AK25" s="8" t="n">
        <v>0</v>
      </c>
      <c r="AL25" s="8"/>
      <c r="AM25" s="8"/>
      <c r="AN25" s="8"/>
    </row>
    <row r="26">
      <c r="A26" t="str">
        <f>M26</f>
      </c>
      <c r="B26" t="str">
        <f>N26</f>
      </c>
      <c r="M26" t="s">
        <v>57</v>
      </c>
      <c r="N26" t="s">
        <v>67</v>
      </c>
      <c r="O26" s="8" t="n">
        <v>352966475</v>
      </c>
      <c r="P26" s="8" t="n">
        <v>514207712.5388</v>
      </c>
      <c r="Q26" s="8" t="n">
        <v>857430743</v>
      </c>
      <c r="R26" s="8" t="n">
        <v>1034643226.5</v>
      </c>
      <c r="S26" s="8" t="n">
        <v>1443552010.8003</v>
      </c>
      <c r="T26" s="8" t="n">
        <v>1491349694.1175</v>
      </c>
      <c r="U26" s="8" t="n">
        <v>916423634.7701</v>
      </c>
      <c r="V26" s="8" t="n">
        <v>297769498.1608</v>
      </c>
      <c r="W26" s="8" t="n">
        <v>1578450706.6445</v>
      </c>
      <c r="X26" s="8" t="n">
        <v>496314225.6912</v>
      </c>
      <c r="Y26" s="8" t="n">
        <v>258950493.0971</v>
      </c>
      <c r="Z26" s="8" t="n">
        <v>93954126.9499</v>
      </c>
      <c r="AA26" s="8" t="n">
        <v>115109320.3202</v>
      </c>
      <c r="AB26" s="8" t="n">
        <v>81781673.3492</v>
      </c>
      <c r="AC26" s="8" t="n">
        <v>-4290213.0797</v>
      </c>
      <c r="AD26" s="8" t="n">
        <v>16076982.7546</v>
      </c>
      <c r="AE26" s="8" t="n">
        <v>35114868.3173</v>
      </c>
      <c r="AF26" s="8" t="n">
        <v>84366022.6525</v>
      </c>
      <c r="AG26" s="8" t="n">
        <v>101289370.6215</v>
      </c>
      <c r="AH26" s="8" t="n">
        <v>461962986.5428</v>
      </c>
      <c r="AI26" s="8" t="n">
        <v>568753755.414</v>
      </c>
      <c r="AJ26" s="8" t="n">
        <v>436149212.4472</v>
      </c>
      <c r="AK26" s="8" t="n">
        <v>597856323.9826</v>
      </c>
      <c r="AL26" s="8" t="n">
        <v>257400182.7926</v>
      </c>
      <c r="AM26" s="8" t="n">
        <v>193634467.93</v>
      </c>
      <c r="AN26" s="8"/>
    </row>
    <row r="27">
      <c r="A27" t="str">
        <f>M27</f>
      </c>
      <c r="B27" t="str">
        <f>N27</f>
      </c>
      <c r="M27" t="s">
        <v>57</v>
      </c>
      <c r="N27" t="s">
        <v>18</v>
      </c>
      <c r="O27" s="8" t="n">
        <v>505285791</v>
      </c>
      <c r="P27" s="8" t="n">
        <v>987370106</v>
      </c>
      <c r="Q27" s="8" t="n">
        <v>855343916.64</v>
      </c>
      <c r="R27" s="8" t="n">
        <v>1025034872.08</v>
      </c>
      <c r="S27" s="8" t="n">
        <v>905327746.4784</v>
      </c>
      <c r="T27" s="8" t="n">
        <v>933511559.6997</v>
      </c>
      <c r="U27" s="8" t="n">
        <v>1420253860.0505</v>
      </c>
      <c r="V27" s="8" t="n">
        <v>1388648271.3747</v>
      </c>
      <c r="W27" s="8" t="n">
        <v>1102017141.8163</v>
      </c>
      <c r="X27" s="8" t="n">
        <v>1286402816.9136</v>
      </c>
      <c r="Y27" s="8" t="n">
        <v>1566271722.8831</v>
      </c>
      <c r="Z27" s="8" t="n">
        <v>1845169280.5351</v>
      </c>
      <c r="AA27" s="8" t="n">
        <v>1098077208.0287</v>
      </c>
      <c r="AB27" s="8" t="n">
        <v>564942288.0733</v>
      </c>
      <c r="AC27" s="8" t="n">
        <v>472432023.6379</v>
      </c>
      <c r="AD27" s="8" t="n">
        <v>524654798.6309</v>
      </c>
      <c r="AE27" s="8" t="n">
        <v>521869859.0182</v>
      </c>
      <c r="AF27" s="8" t="n">
        <v>405776957.6433</v>
      </c>
      <c r="AG27" s="8" t="n">
        <v>339148366.6661</v>
      </c>
      <c r="AH27" s="8" t="n">
        <v>319275007.9768</v>
      </c>
      <c r="AI27" s="8" t="n">
        <v>548821417.1319</v>
      </c>
      <c r="AJ27" s="8" t="n">
        <v>780665180.1344</v>
      </c>
      <c r="AK27" s="8" t="n">
        <v>445730813.1759</v>
      </c>
      <c r="AL27" s="8" t="n">
        <v>974125590.9298</v>
      </c>
      <c r="AM27" s="8" t="n">
        <v>1481255258.64</v>
      </c>
      <c r="AN27" s="8"/>
    </row>
    <row r="28">
      <c r="A28" t="str">
        <f>M28</f>
      </c>
      <c r="B28" t="str">
        <f>N28</f>
      </c>
      <c r="M28" t="s">
        <v>57</v>
      </c>
      <c r="N28" t="s">
        <v>49</v>
      </c>
      <c r="O28" s="8" t="n">
        <v>114567013</v>
      </c>
      <c r="P28" s="8" t="n">
        <v>69133210</v>
      </c>
      <c r="Q28" s="8" t="n">
        <v>41000036</v>
      </c>
      <c r="R28" s="8" t="n">
        <v>66495900</v>
      </c>
      <c r="S28" s="8" t="n">
        <v>73236672</v>
      </c>
      <c r="T28" s="8" t="n">
        <v>69474578</v>
      </c>
      <c r="U28" s="8" t="n">
        <v>22870590.47</v>
      </c>
      <c r="V28" s="8" t="n">
        <v>2018374.5999</v>
      </c>
      <c r="W28" s="8" t="n">
        <v>23876808.48</v>
      </c>
      <c r="X28" s="8" t="n">
        <v>26948901.4851</v>
      </c>
      <c r="Y28" s="8" t="n">
        <v>4508360.1641</v>
      </c>
      <c r="Z28" s="8" t="n">
        <v>-542060.0805</v>
      </c>
      <c r="AA28" s="8" t="n">
        <v>7615438.1465</v>
      </c>
      <c r="AB28" s="8" t="n">
        <v>8014355.4081</v>
      </c>
      <c r="AC28" s="8" t="n">
        <v>4171063.9592</v>
      </c>
      <c r="AD28" s="8" t="n">
        <v>992856.74</v>
      </c>
      <c r="AE28" s="8" t="n">
        <v>-1367545.5278</v>
      </c>
      <c r="AF28" s="8" t="n">
        <v>235578.0234</v>
      </c>
      <c r="AG28" s="8" t="n">
        <v>-174210.4531</v>
      </c>
      <c r="AH28" s="8" t="n">
        <v>3267785.2188</v>
      </c>
      <c r="AI28" s="8" t="n">
        <v>2756722.7188</v>
      </c>
      <c r="AJ28" s="8" t="n">
        <v>860598.16</v>
      </c>
      <c r="AK28" s="8" t="n">
        <v>1429259.0626</v>
      </c>
      <c r="AL28" s="8" t="n">
        <v>146533.875</v>
      </c>
      <c r="AM28" s="8" t="n">
        <v>0</v>
      </c>
      <c r="AN28" s="8"/>
    </row>
    <row r="29">
      <c r="A29" t="str">
        <f>M29</f>
      </c>
      <c r="B29" t="str">
        <f>N29</f>
      </c>
      <c r="M29" t="s">
        <v>57</v>
      </c>
      <c r="N29" t="s">
        <v>19</v>
      </c>
      <c r="O29" s="8"/>
      <c r="P29" s="8" t="n">
        <v>13342</v>
      </c>
      <c r="Q29" s="8"/>
      <c r="R29" s="8"/>
      <c r="S29" s="8" t="n">
        <v>2885.2</v>
      </c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</row>
    <row r="30">
      <c r="A30" t="str">
        <f>M30</f>
      </c>
      <c r="B30" t="str">
        <f>N30</f>
      </c>
      <c r="M30" t="s">
        <v>63</v>
      </c>
      <c r="N30" t="s">
        <v>67</v>
      </c>
      <c r="O30" s="8" t="n">
        <v>273063414.0913</v>
      </c>
      <c r="P30" s="8" t="n">
        <v>338869135.445</v>
      </c>
      <c r="Q30" s="8" t="n">
        <v>401271075.5234</v>
      </c>
      <c r="R30" s="8" t="n">
        <v>528160391.4866</v>
      </c>
      <c r="S30" s="8" t="n">
        <v>501124242.9962</v>
      </c>
      <c r="T30" s="8" t="n">
        <v>734037253.6085</v>
      </c>
      <c r="U30" s="8" t="n">
        <v>1151213186.2592</v>
      </c>
      <c r="V30" s="8" t="n">
        <v>596742549.391</v>
      </c>
      <c r="W30" s="8" t="n">
        <v>1448064862.0567</v>
      </c>
      <c r="X30" s="8" t="n">
        <v>1831940149.3225</v>
      </c>
      <c r="Y30" s="8" t="n">
        <v>1380298144.5025</v>
      </c>
      <c r="Z30" s="8" t="n">
        <v>1652422933.7811</v>
      </c>
      <c r="AA30" s="8" t="n">
        <v>1206160883.8138</v>
      </c>
      <c r="AB30" s="8" t="n">
        <v>202946600.7618</v>
      </c>
      <c r="AC30" s="8" t="n">
        <v>131117876.3989</v>
      </c>
      <c r="AD30" s="8" t="n">
        <v>132225287.0514</v>
      </c>
      <c r="AE30" s="8" t="n">
        <v>52641257.5254</v>
      </c>
      <c r="AF30" s="8" t="n">
        <v>45186829.0609</v>
      </c>
      <c r="AG30" s="8" t="n">
        <v>43640859.2425</v>
      </c>
      <c r="AH30" s="8" t="n">
        <v>72713332.4346</v>
      </c>
      <c r="AI30" s="8" t="n">
        <v>143950264.5566</v>
      </c>
      <c r="AJ30" s="8" t="n">
        <v>89995815.1169</v>
      </c>
      <c r="AK30" s="8" t="n">
        <v>47953911.8422</v>
      </c>
      <c r="AL30" s="8" t="n">
        <v>58001035.387</v>
      </c>
      <c r="AM30" s="8" t="n">
        <v>94445248.73</v>
      </c>
      <c r="AN30" s="8"/>
    </row>
    <row r="31">
      <c r="A31" t="str">
        <f>M31</f>
      </c>
      <c r="B31" t="str">
        <f>N31</f>
      </c>
      <c r="M31" t="s">
        <v>63</v>
      </c>
      <c r="N31" t="s">
        <v>18</v>
      </c>
      <c r="O31" s="8" t="n">
        <v>4433281199.8362</v>
      </c>
      <c r="P31" s="8" t="n">
        <v>3998748863.4497</v>
      </c>
      <c r="Q31" s="8" t="n">
        <v>5028738324.017</v>
      </c>
      <c r="R31" s="8" t="n">
        <v>6771427164.2903</v>
      </c>
      <c r="S31" s="8" t="n">
        <v>8516140756.8523</v>
      </c>
      <c r="T31" s="8" t="n">
        <v>9681509322.567</v>
      </c>
      <c r="U31" s="8" t="n">
        <v>11878843873.117</v>
      </c>
      <c r="V31" s="8" t="n">
        <v>13863543683.7914</v>
      </c>
      <c r="W31" s="8" t="n">
        <v>15031394484.0218</v>
      </c>
      <c r="X31" s="8" t="n">
        <v>13927375576.7554</v>
      </c>
      <c r="Y31" s="8" t="n">
        <v>13792419510.2462</v>
      </c>
      <c r="Z31" s="8" t="n">
        <v>9175377736.6993</v>
      </c>
      <c r="AA31" s="8" t="n">
        <v>6673533527.0807</v>
      </c>
      <c r="AB31" s="8" t="n">
        <v>4448859173.6125</v>
      </c>
      <c r="AC31" s="8" t="n">
        <v>2735883970.0408</v>
      </c>
      <c r="AD31" s="8" t="n">
        <v>2293526391.6088</v>
      </c>
      <c r="AE31" s="8" t="n">
        <v>2648778790.0299</v>
      </c>
      <c r="AF31" s="8" t="n">
        <v>2969577256.5284</v>
      </c>
      <c r="AG31" s="8" t="n">
        <v>4459181588.6797</v>
      </c>
      <c r="AH31" s="8" t="n">
        <v>4088693954.8812</v>
      </c>
      <c r="AI31" s="8" t="n">
        <v>4072806067.8927</v>
      </c>
      <c r="AJ31" s="8" t="n">
        <v>3554164967.2405</v>
      </c>
      <c r="AK31" s="8" t="n">
        <v>3540357610.5549</v>
      </c>
      <c r="AL31" s="8" t="n">
        <v>4560092598.0283</v>
      </c>
      <c r="AM31" s="8" t="n">
        <v>5066602101.44</v>
      </c>
      <c r="AN31" s="8"/>
    </row>
    <row r="32">
      <c r="A32" t="str">
        <f>M32</f>
      </c>
      <c r="B32" t="str">
        <f>N32</f>
      </c>
      <c r="M32" t="s">
        <v>63</v>
      </c>
      <c r="N32" t="s">
        <v>49</v>
      </c>
      <c r="O32" s="8" t="n">
        <v>443776642</v>
      </c>
      <c r="P32" s="8" t="n">
        <v>524058654.2202</v>
      </c>
      <c r="Q32" s="8" t="n">
        <v>674969145</v>
      </c>
      <c r="R32" s="8" t="n">
        <v>816246585</v>
      </c>
      <c r="S32" s="8" t="n">
        <v>848101570.6485</v>
      </c>
      <c r="T32" s="8" t="n">
        <v>1082253362.515</v>
      </c>
      <c r="U32" s="8" t="n">
        <v>1077588231.5541</v>
      </c>
      <c r="V32" s="8" t="n">
        <v>1047679906.7068</v>
      </c>
      <c r="W32" s="8" t="n">
        <v>872288993.9557</v>
      </c>
      <c r="X32" s="8" t="n">
        <v>611915792.7532</v>
      </c>
      <c r="Y32" s="8" t="n">
        <v>897573025.7385</v>
      </c>
      <c r="Z32" s="8" t="n">
        <v>565185035.9232</v>
      </c>
      <c r="AA32" s="8" t="n">
        <v>464030328.0633</v>
      </c>
      <c r="AB32" s="8" t="n">
        <v>289565998.0434</v>
      </c>
      <c r="AC32" s="8" t="n">
        <v>122746549.716</v>
      </c>
      <c r="AD32" s="8" t="n">
        <v>168413241.0912</v>
      </c>
      <c r="AE32" s="8" t="n">
        <v>177050163.2717</v>
      </c>
      <c r="AF32" s="8" t="n">
        <v>143099050.7293</v>
      </c>
      <c r="AG32" s="8" t="n">
        <v>100720578.1571</v>
      </c>
      <c r="AH32" s="8" t="n">
        <v>113454857.3755</v>
      </c>
      <c r="AI32" s="8" t="n">
        <v>138748806.2529</v>
      </c>
      <c r="AJ32" s="8" t="n">
        <v>143644774.7957</v>
      </c>
      <c r="AK32" s="8" t="n">
        <v>180474721.9057</v>
      </c>
      <c r="AL32" s="8" t="n">
        <v>289593704.7404</v>
      </c>
      <c r="AM32" s="8" t="n">
        <v>365976535.93</v>
      </c>
      <c r="AN32" s="8"/>
    </row>
    <row r="33">
      <c r="A33" t="str">
        <f>M33</f>
      </c>
      <c r="B33" t="str">
        <f>N33</f>
      </c>
      <c r="M33" t="s">
        <v>63</v>
      </c>
      <c r="N33" t="s">
        <v>19</v>
      </c>
      <c r="O33" s="8" t="n">
        <v>21752651.142</v>
      </c>
      <c r="P33" s="8" t="n">
        <v>3205250.8653</v>
      </c>
      <c r="Q33" s="8" t="n">
        <v>36446887.0404</v>
      </c>
      <c r="R33" s="8" t="n">
        <v>52492571.5798</v>
      </c>
      <c r="S33" s="8" t="n">
        <v>2676800.9804</v>
      </c>
      <c r="T33" s="8" t="n">
        <v>863359</v>
      </c>
      <c r="U33" s="8" t="n">
        <v>67611392</v>
      </c>
      <c r="V33" s="8" t="n">
        <v>-37033.47</v>
      </c>
      <c r="W33" s="8" t="n">
        <v>-192700.6617</v>
      </c>
      <c r="X33" s="8" t="n">
        <v>0</v>
      </c>
      <c r="Y33" s="8" t="n">
        <v>-24487.7109</v>
      </c>
      <c r="Z33" s="8" t="n">
        <v>-3.86</v>
      </c>
      <c r="AA33" s="8" t="n">
        <v>-2829.1001</v>
      </c>
      <c r="AB33" s="8" t="n">
        <v>-47572.2695</v>
      </c>
      <c r="AC33" s="8"/>
      <c r="AD33" s="8"/>
      <c r="AE33" s="8" t="n">
        <v>-1.07</v>
      </c>
      <c r="AF33" s="8"/>
      <c r="AG33" s="8"/>
      <c r="AH33" s="8"/>
      <c r="AI33" s="8"/>
      <c r="AJ33" s="8"/>
      <c r="AK33" s="8"/>
      <c r="AL33" s="8"/>
      <c r="AM33" s="8"/>
      <c r="AN33" s="8"/>
    </row>
    <row r="34">
      <c r="A34" t="str">
        <f>M34</f>
      </c>
      <c r="B34" t="str">
        <f>N34</f>
      </c>
      <c r="M34" t="s">
        <v>66</v>
      </c>
      <c r="N34" t="s">
        <v>67</v>
      </c>
      <c r="O34" s="8" t="n">
        <v>7220600055</v>
      </c>
      <c r="P34" s="8" t="n">
        <v>6995059721.875</v>
      </c>
      <c r="Q34" s="8" t="n">
        <v>4926270011</v>
      </c>
      <c r="R34" s="8" t="n">
        <v>7074597623.06</v>
      </c>
      <c r="S34" s="8" t="n">
        <v>8240114522.4791</v>
      </c>
      <c r="T34" s="8" t="n">
        <v>8133250151.2931</v>
      </c>
      <c r="U34" s="8" t="n">
        <v>7963229601.907</v>
      </c>
      <c r="V34" s="8" t="n">
        <v>11780409865.316</v>
      </c>
      <c r="W34" s="8" t="n">
        <v>9287360499.5488</v>
      </c>
      <c r="X34" s="8" t="n">
        <v>10104381050.9099</v>
      </c>
      <c r="Y34" s="8" t="n">
        <v>15956286917.2972</v>
      </c>
      <c r="Z34" s="8" t="n">
        <v>10909778609.9692</v>
      </c>
      <c r="AA34" s="8" t="n">
        <v>18365823144.5623</v>
      </c>
      <c r="AB34" s="8" t="n">
        <v>12611092695.6147</v>
      </c>
      <c r="AC34" s="8" t="n">
        <v>5812544783.2509</v>
      </c>
      <c r="AD34" s="8" t="n">
        <v>6812910741.9093</v>
      </c>
      <c r="AE34" s="8" t="n">
        <v>19426554836.6308</v>
      </c>
      <c r="AF34" s="8" t="n">
        <v>32526563218.708</v>
      </c>
      <c r="AG34" s="8" t="n">
        <v>28401528022.4931</v>
      </c>
      <c r="AH34" s="8" t="n">
        <v>20738984039.052</v>
      </c>
      <c r="AI34" s="8" t="n">
        <v>43369023931.5147</v>
      </c>
      <c r="AJ34" s="8" t="n">
        <v>18384465291.6416</v>
      </c>
      <c r="AK34" s="8" t="n">
        <v>21816035918.4226</v>
      </c>
      <c r="AL34" s="8" t="n">
        <v>26293291314.9084</v>
      </c>
      <c r="AM34" s="8" t="n">
        <v>32166704257.65</v>
      </c>
      <c r="AN34" s="8"/>
    </row>
    <row r="35">
      <c r="A35" t="str">
        <f>M35</f>
      </c>
      <c r="B35" t="str">
        <f>N35</f>
      </c>
      <c r="M35" t="s">
        <v>66</v>
      </c>
      <c r="N35" t="s">
        <v>18</v>
      </c>
      <c r="O35" s="8" t="n">
        <v>319357578</v>
      </c>
      <c r="P35" s="8" t="n">
        <v>371648584</v>
      </c>
      <c r="Q35" s="8" t="n">
        <v>383748825</v>
      </c>
      <c r="R35" s="8" t="n">
        <v>380135737</v>
      </c>
      <c r="S35" s="8" t="n">
        <v>367744504.46</v>
      </c>
      <c r="T35" s="8" t="n">
        <v>834613208.02</v>
      </c>
      <c r="U35" s="8" t="n">
        <v>865912980.2396</v>
      </c>
      <c r="V35" s="8" t="n">
        <v>1633573667.5536</v>
      </c>
      <c r="W35" s="8" t="n">
        <v>2309086710.3731</v>
      </c>
      <c r="X35" s="8" t="n">
        <v>2861005691.3012</v>
      </c>
      <c r="Y35" s="8" t="n">
        <v>4849346993.1112</v>
      </c>
      <c r="Z35" s="8" t="n">
        <v>2890880608.7584</v>
      </c>
      <c r="AA35" s="8" t="n">
        <v>4186112782.0506</v>
      </c>
      <c r="AB35" s="8" t="n">
        <v>2915092891.5959</v>
      </c>
      <c r="AC35" s="8" t="n">
        <v>1945153365.4589</v>
      </c>
      <c r="AD35" s="8" t="n">
        <v>1359617866.6512</v>
      </c>
      <c r="AE35" s="8" t="n">
        <v>5752189639.5996</v>
      </c>
      <c r="AF35" s="8" t="n">
        <v>3987559892.7583</v>
      </c>
      <c r="AG35" s="8" t="n">
        <v>9489825552.2587</v>
      </c>
      <c r="AH35" s="8" t="n">
        <v>8846196590.2956</v>
      </c>
      <c r="AI35" s="8" t="n">
        <v>7728295413.2777</v>
      </c>
      <c r="AJ35" s="8" t="n">
        <v>4019270971.087</v>
      </c>
      <c r="AK35" s="8" t="n">
        <v>4529556299.0972</v>
      </c>
      <c r="AL35" s="8" t="n">
        <v>4578415237.0464</v>
      </c>
      <c r="AM35" s="8" t="n">
        <v>5093841233.98</v>
      </c>
      <c r="AN35" s="8"/>
    </row>
    <row r="36">
      <c r="A36" t="str">
        <f>M36</f>
      </c>
      <c r="B36" t="str">
        <f>N36</f>
      </c>
      <c r="M36" t="s">
        <v>66</v>
      </c>
      <c r="N36" t="s">
        <v>49</v>
      </c>
      <c r="O36" s="8" t="n">
        <v>1637082905</v>
      </c>
      <c r="P36" s="8" t="n">
        <v>3093480068</v>
      </c>
      <c r="Q36" s="8" t="n">
        <v>4131374141</v>
      </c>
      <c r="R36" s="8" t="n">
        <v>2780700956</v>
      </c>
      <c r="S36" s="8" t="n">
        <v>3358634346.25</v>
      </c>
      <c r="T36" s="8" t="n">
        <v>3795255933</v>
      </c>
      <c r="U36" s="8" t="n">
        <v>7311300978.7344</v>
      </c>
      <c r="V36" s="8" t="n">
        <v>6986056307.1595</v>
      </c>
      <c r="W36" s="8" t="n">
        <v>5781606248.8208</v>
      </c>
      <c r="X36" s="8" t="n">
        <v>3657366490.1985</v>
      </c>
      <c r="Y36" s="8" t="n">
        <v>2586915050.3674</v>
      </c>
      <c r="Z36" s="8" t="n">
        <v>1050405283.776</v>
      </c>
      <c r="AA36" s="8" t="n">
        <v>785995202.7297</v>
      </c>
      <c r="AB36" s="8" t="n">
        <v>841664882.0297</v>
      </c>
      <c r="AC36" s="8" t="n">
        <v>491128418.5318</v>
      </c>
      <c r="AD36" s="8" t="n">
        <v>264735984.2675</v>
      </c>
      <c r="AE36" s="8" t="n">
        <v>518398916.3989</v>
      </c>
      <c r="AF36" s="8" t="n">
        <v>1002226415.8141</v>
      </c>
      <c r="AG36" s="8" t="n">
        <v>744331764.4491</v>
      </c>
      <c r="AH36" s="8" t="n">
        <v>2133554089.9205</v>
      </c>
      <c r="AI36" s="8" t="n">
        <v>1557776011.3631</v>
      </c>
      <c r="AJ36" s="8" t="n">
        <v>1151313899.4307</v>
      </c>
      <c r="AK36" s="8" t="n">
        <v>1056184840.171</v>
      </c>
      <c r="AL36" s="8" t="n">
        <v>1970746290.2814</v>
      </c>
      <c r="AM36" s="8" t="n">
        <v>1801815746.5</v>
      </c>
      <c r="AN36" s="8"/>
    </row>
    <row r="37">
      <c r="A37" t="str">
        <f>M37</f>
      </c>
      <c r="B37" t="str">
        <f>N37</f>
      </c>
      <c r="M37" t="s">
        <v>66</v>
      </c>
      <c r="N37" t="s">
        <v>19</v>
      </c>
      <c r="O37" s="8" t="n">
        <v>0</v>
      </c>
      <c r="P37" s="8" t="n">
        <v>7800</v>
      </c>
      <c r="Q37" s="8" t="n">
        <v>523464.72</v>
      </c>
      <c r="R37" s="8" t="n">
        <v>21271.0625</v>
      </c>
      <c r="S37" s="8"/>
      <c r="T37" s="8"/>
      <c r="U37" s="8" t="n">
        <v>0</v>
      </c>
      <c r="V37" s="8"/>
      <c r="W37" s="8" t="n">
        <v>0</v>
      </c>
      <c r="X37" s="8"/>
      <c r="Y37" s="8" t="n">
        <v>-177796.4375</v>
      </c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</row>
    <row r="38">
      <c r="A38" t="str">
        <f>M38</f>
      </c>
      <c r="B38" t="str">
        <f>N38</f>
      </c>
      <c r="M38"/>
      <c r="N38" t="s">
        <v>67</v>
      </c>
      <c r="O38" s="8" t="n">
        <v>6792047749.7345</v>
      </c>
      <c r="P38" s="8" t="n">
        <v>2680130884.1511</v>
      </c>
      <c r="Q38" s="8" t="n">
        <v>4331516199.5872</v>
      </c>
      <c r="R38" s="8" t="n">
        <v>5301948846.9241</v>
      </c>
      <c r="S38" s="8" t="n">
        <v>5716919948.7381</v>
      </c>
      <c r="T38" s="8" t="n">
        <v>4322021268.475</v>
      </c>
      <c r="U38" s="8" t="n">
        <v>2993458394.1029</v>
      </c>
      <c r="V38" s="8" t="n">
        <v>621060339.8827</v>
      </c>
      <c r="W38" s="8" t="n">
        <v>3372605070.1632</v>
      </c>
      <c r="X38" s="8" t="n">
        <v>1385280592.2809</v>
      </c>
      <c r="Y38" s="8" t="n">
        <v>883977611.3758</v>
      </c>
      <c r="Z38" s="8" t="n">
        <v>1413194173.0446</v>
      </c>
      <c r="AA38" s="8" t="n">
        <v>3302044710.9436</v>
      </c>
      <c r="AB38" s="8" t="n">
        <v>269216831.4072</v>
      </c>
      <c r="AC38" s="8" t="n">
        <v>371682156.5232</v>
      </c>
      <c r="AD38" s="8" t="n">
        <v>114116269.6944</v>
      </c>
      <c r="AE38" s="8" t="n">
        <v>395591475.9449</v>
      </c>
      <c r="AF38" s="8" t="n">
        <v>229316848.9024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/>
    </row>
    <row r="39">
      <c r="A39" t="str">
        <f>M39</f>
      </c>
      <c r="B39" t="str">
        <f>N39</f>
      </c>
      <c r="M39"/>
      <c r="N39" t="s">
        <v>18</v>
      </c>
      <c r="O39" s="8" t="n">
        <v>4974749803.282</v>
      </c>
      <c r="P39" s="8" t="n">
        <v>3724985149.2299</v>
      </c>
      <c r="Q39" s="8" t="n">
        <v>4177495092.3101</v>
      </c>
      <c r="R39" s="8" t="n">
        <v>3781821652.4914</v>
      </c>
      <c r="S39" s="8" t="n">
        <v>3553114165.7582</v>
      </c>
      <c r="T39" s="8" t="n">
        <v>3087794537.123</v>
      </c>
      <c r="U39" s="8" t="n">
        <v>1715657556.8452</v>
      </c>
      <c r="V39" s="8" t="n">
        <v>189424052.2424</v>
      </c>
      <c r="W39" s="8" t="n">
        <v>1555299113.6282</v>
      </c>
      <c r="X39" s="8" t="n">
        <v>482812060.4976</v>
      </c>
      <c r="Y39" s="8" t="n">
        <v>257784707.7643</v>
      </c>
      <c r="Z39" s="8" t="n">
        <v>200934891.1872</v>
      </c>
      <c r="AA39" s="8" t="n">
        <v>448112873.3177</v>
      </c>
      <c r="AB39" s="8" t="n">
        <v>406808234.4922</v>
      </c>
      <c r="AC39" s="8" t="n">
        <v>433554753.4963</v>
      </c>
      <c r="AD39" s="8" t="n">
        <v>503697527.9746</v>
      </c>
      <c r="AE39" s="8" t="n">
        <v>320548116.3669</v>
      </c>
      <c r="AF39" s="8" t="n">
        <v>898754145.0967</v>
      </c>
      <c r="AG39" s="8" t="n">
        <v>0</v>
      </c>
      <c r="AH39" s="8" t="n">
        <v>50903.5586</v>
      </c>
      <c r="AI39" s="8" t="n">
        <v>0</v>
      </c>
      <c r="AJ39" s="8" t="n">
        <v>0</v>
      </c>
      <c r="AK39" s="8" t="n">
        <v>0</v>
      </c>
      <c r="AL39" s="8" t="n">
        <v>-39324.9492</v>
      </c>
      <c r="AM39" s="8" t="n">
        <v>0</v>
      </c>
      <c r="AN39" s="8"/>
    </row>
    <row r="40">
      <c r="A40" t="str">
        <f>M40</f>
      </c>
      <c r="B40" t="str">
        <f>N40</f>
      </c>
      <c r="M40"/>
      <c r="N40" t="s">
        <v>49</v>
      </c>
      <c r="O40" s="8" t="n">
        <v>497048628.7802</v>
      </c>
      <c r="P40" s="8" t="n">
        <v>11054780.2795</v>
      </c>
      <c r="Q40" s="8" t="n">
        <v>744083.2604</v>
      </c>
      <c r="R40" s="8" t="n">
        <v>906359</v>
      </c>
      <c r="S40" s="8" t="n">
        <v>164524</v>
      </c>
      <c r="T40" s="8" t="n">
        <v>776490.2888</v>
      </c>
      <c r="U40" s="8" t="n">
        <v>2668020.5899</v>
      </c>
      <c r="V40" s="8" t="n">
        <v>9299557.5</v>
      </c>
      <c r="W40" s="8" t="n">
        <v>1204968474.8479</v>
      </c>
      <c r="X40" s="8" t="n">
        <v>1442823305.11</v>
      </c>
      <c r="Y40" s="8" t="n">
        <v>17605920.0424</v>
      </c>
      <c r="Z40" s="8" t="n">
        <v>565405</v>
      </c>
      <c r="AA40" s="8" t="n">
        <v>1354425.9917</v>
      </c>
      <c r="AB40" s="8" t="n">
        <v>5329057.9569</v>
      </c>
      <c r="AC40" s="8" t="n">
        <v>16700299.9636</v>
      </c>
      <c r="AD40" s="8" t="n">
        <v>93522814.5526</v>
      </c>
      <c r="AE40" s="8" t="n">
        <v>11220608.9921</v>
      </c>
      <c r="AF40" s="8" t="n">
        <v>15722508.4837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/>
    </row>
    <row r="41">
      <c r="A41" t="str">
        <f>M41</f>
      </c>
      <c r="B41" t="str">
        <f>N41</f>
      </c>
      <c r="M41"/>
      <c r="N41" t="s">
        <v>19</v>
      </c>
      <c r="O41" s="8" t="n">
        <v>5474040.5279</v>
      </c>
      <c r="P41" s="8" t="n">
        <v>2233679.1084</v>
      </c>
      <c r="Q41" s="8" t="n">
        <v>-4323.80469999999</v>
      </c>
      <c r="R41" s="8" t="n">
        <v>150653.9198</v>
      </c>
      <c r="S41" s="8" t="n">
        <v>-2500</v>
      </c>
      <c r="T41" s="8" t="n">
        <v>18222.0302</v>
      </c>
      <c r="U41" s="8" t="n">
        <v>627730.75</v>
      </c>
      <c r="V41" s="8" t="n">
        <v>0</v>
      </c>
      <c r="W41" s="8" t="n">
        <v>-8105.15</v>
      </c>
      <c r="X41" s="8" t="n">
        <v>298015.6198</v>
      </c>
      <c r="Y41" s="8" t="n">
        <v>-1421.5</v>
      </c>
      <c r="Z41" s="8" t="n">
        <v>-179.34</v>
      </c>
      <c r="AA41" s="8"/>
      <c r="AB41" s="8"/>
      <c r="AC41" s="8"/>
      <c r="AD41" s="8" t="n">
        <v>30000</v>
      </c>
      <c r="AE41" s="8" t="n">
        <v>1738.23</v>
      </c>
      <c r="AF41" s="8" t="n">
        <v>1357852</v>
      </c>
      <c r="AG41" s="8" t="n">
        <v>20204.7109</v>
      </c>
      <c r="AH41" s="8" t="n">
        <v>0</v>
      </c>
      <c r="AI41" s="8" t="n">
        <v>10000</v>
      </c>
      <c r="AJ41" s="8" t="n">
        <v>10000</v>
      </c>
      <c r="AK41" s="8"/>
      <c r="AL41" s="8" t="n">
        <v>10000</v>
      </c>
      <c r="AM41" s="8"/>
      <c r="AN41" s="8"/>
    </row>
    <row r="42">
      <c r="A42" t="str">
        <f>M42</f>
      </c>
      <c r="B42" t="str">
        <f>N42</f>
      </c>
      <c r="M42"/>
      <c r="N42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 t="n">
        <v>10000</v>
      </c>
      <c r="AN42" s="8"/>
    </row>
    <row r="43">
      <c r="A43" t="str">
        <f>M43</f>
      </c>
      <c r="B43" t="str">
        <f>N43</f>
      </c>
      <c r="M43" t="s">
        <v>20</v>
      </c>
      <c r="N43" t="s">
        <v>21</v>
      </c>
      <c r="O43" s="8" t="str">
        <f>Sum(O2:O42)</f>
      </c>
      <c r="P43" s="8" t="str">
        <f>Sum(P2:P42)</f>
      </c>
      <c r="Q43" s="8" t="str">
        <f>Sum(Q2:Q42)</f>
      </c>
      <c r="R43" s="8" t="str">
        <f>Sum(R2:R42)</f>
      </c>
      <c r="S43" s="8" t="str">
        <f>Sum(S2:S42)</f>
      </c>
      <c r="T43" s="8" t="str">
        <f>Sum(T2:T42)</f>
      </c>
      <c r="U43" s="8" t="str">
        <f>Sum(U2:U42)</f>
      </c>
      <c r="V43" s="8" t="str">
        <f>Sum(V2:V42)</f>
      </c>
      <c r="W43" s="8" t="str">
        <f>Sum(W2:W42)</f>
      </c>
      <c r="X43" s="8" t="str">
        <f>Sum(X2:X42)</f>
      </c>
      <c r="Y43" s="8" t="str">
        <f>Sum(Y2:Y42)</f>
      </c>
      <c r="Z43" s="8" t="str">
        <f>Sum(Z2:Z42)</f>
      </c>
      <c r="AA43" s="8" t="str">
        <f>Sum(AA2:AA42)</f>
      </c>
      <c r="AB43" s="8" t="str">
        <f>Sum(AB2:AB42)</f>
      </c>
      <c r="AC43" s="8" t="str">
        <f>Sum(AC2:AC42)</f>
      </c>
      <c r="AD43" s="8" t="str">
        <f>Sum(AD2:AD42)</f>
      </c>
      <c r="AE43" s="8" t="str">
        <f>Sum(AE2:AE42)</f>
      </c>
      <c r="AF43" s="8" t="str">
        <f>Sum(AF2:AF42)</f>
      </c>
      <c r="AG43" s="8" t="str">
        <f>Sum(AG2:AG42)</f>
      </c>
      <c r="AH43" s="8" t="str">
        <f>Sum(AH2:AH42)</f>
      </c>
      <c r="AI43" s="8" t="str">
        <f>Sum(AI2:AI42)</f>
      </c>
      <c r="AJ43" s="8" t="str">
        <f>Sum(AJ2:AJ42)</f>
      </c>
      <c r="AK43" s="8" t="str">
        <f>Sum(AK2:AK42)</f>
      </c>
      <c r="AL43" s="8" t="str">
        <f>Sum(AL2:AL42)</f>
      </c>
      <c r="AM43" s="8" t="str">
        <f>Sum(AM2:AM42)</f>
      </c>
      <c r="AN43" s="8"/>
    </row>
    <row r="46">
      <c r="A46" t="str">
        <f>M46</f>
      </c>
      <c r="B46" t="str">
        <f>N46</f>
      </c>
      <c r="C46" t="str">
        <f>AI46</f>
      </c>
      <c r="D46" t="str">
        <f>AL46</f>
      </c>
      <c r="E46" t="str">
        <f>AM46</f>
      </c>
      <c r="G46" t="str">
        <f>AL46&amp;"-"&amp;AM46</f>
      </c>
      <c r="H46" t="str">
        <f>AI46&amp;"-"&amp;AM46</f>
      </c>
      <c r="J46" t="str">
        <f>"Share "&amp;AM46</f>
      </c>
      <c r="M46" t="s">
        <v>53</v>
      </c>
      <c r="N46" t="s">
        <v>22</v>
      </c>
      <c r="O46" t="s">
        <v>33</v>
      </c>
      <c r="P46" t="s">
        <v>34</v>
      </c>
      <c r="Q46" t="s">
        <v>35</v>
      </c>
      <c r="R46" t="s">
        <v>36</v>
      </c>
      <c r="S46" t="s">
        <v>37</v>
      </c>
      <c r="T46" t="s">
        <v>38</v>
      </c>
      <c r="U46" t="s">
        <v>39</v>
      </c>
      <c r="V46" t="s">
        <v>40</v>
      </c>
      <c r="W46" t="s">
        <v>41</v>
      </c>
      <c r="X46" t="s">
        <v>42</v>
      </c>
      <c r="Y46" t="s">
        <v>43</v>
      </c>
      <c r="Z46" t="s">
        <v>44</v>
      </c>
      <c r="AA46" t="s">
        <v>45</v>
      </c>
      <c r="AB46" t="s">
        <v>46</v>
      </c>
      <c r="AC46" t="s">
        <v>47</v>
      </c>
      <c r="AD46" t="s">
        <v>2</v>
      </c>
      <c r="AE46" t="s">
        <v>3</v>
      </c>
      <c r="AF46" t="s">
        <v>4</v>
      </c>
      <c r="AG46" t="s">
        <v>5</v>
      </c>
      <c r="AH46" t="s">
        <v>6</v>
      </c>
      <c r="AI46" t="s">
        <v>7</v>
      </c>
      <c r="AJ46" t="s">
        <v>8</v>
      </c>
      <c r="AK46" t="s">
        <v>9</v>
      </c>
      <c r="AL46" t="s">
        <v>10</v>
      </c>
      <c r="AM46" t="s">
        <v>51</v>
      </c>
    </row>
    <row r="47">
      <c r="A47" t="str">
        <f>M47</f>
      </c>
      <c r="B47" t="str">
        <f>N47</f>
      </c>
      <c r="C47" s="8" t="str">
        <f>AI47</f>
      </c>
      <c r="D47" s="8" t="str">
        <f>AL47</f>
      </c>
      <c r="E47" s="8" t="str">
        <f>AM47</f>
      </c>
      <c r="F47" s="8"/>
      <c r="G47" s="2" t="str">
        <f>AM47/AL47-1</f>
      </c>
      <c r="H47" s="2" t="str">
        <f>AM47/AI47-1</f>
      </c>
      <c r="I47" s="2"/>
      <c r="J47" s="2" t="str">
        <f>AM47/Sum(AM$46:AM$87)</f>
      </c>
      <c r="K47" s="2"/>
      <c r="M47" t="s">
        <v>59</v>
      </c>
      <c r="N47" t="s">
        <v>67</v>
      </c>
      <c r="O47" s="8" t="n">
        <v>2907389757.85762</v>
      </c>
      <c r="P47" s="8" t="n">
        <v>2276231925.44949</v>
      </c>
      <c r="Q47" s="8" t="n">
        <v>2033853238.09275</v>
      </c>
      <c r="R47" s="8" t="n">
        <v>2788200443.31594</v>
      </c>
      <c r="S47" s="8" t="n">
        <v>3357420136.61953</v>
      </c>
      <c r="T47" s="8" t="n">
        <v>2279234998.15425</v>
      </c>
      <c r="U47" s="8" t="n">
        <v>5394312605.74585</v>
      </c>
      <c r="V47" s="8" t="n">
        <v>3709615694.54882</v>
      </c>
      <c r="W47" s="8" t="n">
        <v>10755965723.8062</v>
      </c>
      <c r="X47" s="8" t="n">
        <v>6064193888.03817</v>
      </c>
      <c r="Y47" s="8" t="n">
        <v>6361446297.03983</v>
      </c>
      <c r="Z47" s="8" t="n">
        <v>15400473679.8793</v>
      </c>
      <c r="AA47" s="8" t="n">
        <v>8889698410.30679</v>
      </c>
      <c r="AB47" s="8" t="n">
        <v>11618216633.4806</v>
      </c>
      <c r="AC47" s="8" t="n">
        <v>9395717025.91704</v>
      </c>
      <c r="AD47" s="8" t="n">
        <v>7070764200.68988</v>
      </c>
      <c r="AE47" s="8" t="n">
        <v>7163607698.69746</v>
      </c>
      <c r="AF47" s="8" t="n">
        <v>9882892095.10568</v>
      </c>
      <c r="AG47" s="8" t="n">
        <v>9964262298.57924</v>
      </c>
      <c r="AH47" s="8" t="n">
        <v>10654014636.9156</v>
      </c>
      <c r="AI47" s="8" t="n">
        <v>11331641686.541</v>
      </c>
      <c r="AJ47" s="8" t="n">
        <v>13015986478.8125</v>
      </c>
      <c r="AK47" s="8" t="n">
        <v>13805470370.2901</v>
      </c>
      <c r="AL47" s="8" t="n">
        <v>10324291240.99</v>
      </c>
      <c r="AM47" s="8" t="n">
        <v>12917074365.8602</v>
      </c>
      <c r="AN47" s="8"/>
    </row>
    <row r="48">
      <c r="A48" t="str">
        <f>M48</f>
      </c>
      <c r="B48" t="str">
        <f>N48</f>
      </c>
      <c r="C48" s="8" t="str">
        <f>AI48</f>
      </c>
      <c r="D48" s="8" t="str">
        <f>AL48</f>
      </c>
      <c r="E48" s="8" t="str">
        <f>AM48</f>
      </c>
      <c r="F48" s="8"/>
      <c r="G48" s="2" t="str">
        <f>AM48/AL48-1</f>
      </c>
      <c r="H48" s="2" t="str">
        <f>AM48/AI48-1</f>
      </c>
      <c r="I48" s="2"/>
      <c r="J48" s="2" t="str">
        <f>AM48/Sum(AM$46:AM$87)</f>
      </c>
      <c r="K48" s="2"/>
      <c r="M48" t="s">
        <v>59</v>
      </c>
      <c r="N48" t="s">
        <v>18</v>
      </c>
      <c r="O48" s="8" t="n">
        <v>644655137.985391</v>
      </c>
      <c r="P48" s="8" t="n">
        <v>971390780.588162</v>
      </c>
      <c r="Q48" s="8" t="n">
        <v>1307720387.44688</v>
      </c>
      <c r="R48" s="8" t="n">
        <v>2782650632.87761</v>
      </c>
      <c r="S48" s="8" t="n">
        <v>4022219091.95725</v>
      </c>
      <c r="T48" s="8" t="n">
        <v>11100810222.8807</v>
      </c>
      <c r="U48" s="8" t="n">
        <v>12325360062.0088</v>
      </c>
      <c r="V48" s="8" t="n">
        <v>12880430685.1858</v>
      </c>
      <c r="W48" s="8" t="n">
        <v>12689011603.6491</v>
      </c>
      <c r="X48" s="8" t="n">
        <v>11793497646.8051</v>
      </c>
      <c r="Y48" s="8" t="n">
        <v>16363362156.4178</v>
      </c>
      <c r="Z48" s="8" t="n">
        <v>15602908882.8209</v>
      </c>
      <c r="AA48" s="8" t="n">
        <v>11027747031.9993</v>
      </c>
      <c r="AB48" s="8" t="n">
        <v>7189600345.77618</v>
      </c>
      <c r="AC48" s="8" t="n">
        <v>6150037437.3521</v>
      </c>
      <c r="AD48" s="8" t="n">
        <v>5496626301.20345</v>
      </c>
      <c r="AE48" s="8" t="n">
        <v>5588774865.17329</v>
      </c>
      <c r="AF48" s="8" t="n">
        <v>7113930125.14786</v>
      </c>
      <c r="AG48" s="8" t="n">
        <v>5329281369.18962</v>
      </c>
      <c r="AH48" s="8" t="n">
        <v>5938061520.9567</v>
      </c>
      <c r="AI48" s="8" t="n">
        <v>5277819573.97102</v>
      </c>
      <c r="AJ48" s="8" t="n">
        <v>5618131327.47451</v>
      </c>
      <c r="AK48" s="8" t="n">
        <v>4299690878.17363</v>
      </c>
      <c r="AL48" s="8" t="n">
        <v>4353744193.3247</v>
      </c>
      <c r="AM48" s="8" t="n">
        <v>4817275023.28544</v>
      </c>
      <c r="AN48" s="8"/>
    </row>
    <row r="49">
      <c r="A49" t="str">
        <f>M49</f>
      </c>
      <c r="B49" t="str">
        <f>N49</f>
      </c>
      <c r="C49" s="8" t="str">
        <f>AI49</f>
      </c>
      <c r="D49" s="8" t="str">
        <f>AL49</f>
      </c>
      <c r="E49" s="8" t="str">
        <f>AM49</f>
      </c>
      <c r="F49" s="8"/>
      <c r="G49" s="2" t="str">
        <f>AM49/AL49-1</f>
      </c>
      <c r="H49" s="2" t="str">
        <f>AM49/AI49-1</f>
      </c>
      <c r="I49" s="2"/>
      <c r="J49" s="2" t="str">
        <f>AM49/Sum(AM$46:AM$87)</f>
      </c>
      <c r="K49" s="2"/>
      <c r="M49" t="s">
        <v>59</v>
      </c>
      <c r="N49" t="s">
        <v>49</v>
      </c>
      <c r="O49" s="8" t="n">
        <v>1981614067.43892</v>
      </c>
      <c r="P49" s="8" t="n">
        <v>1912057572.98512</v>
      </c>
      <c r="Q49" s="8" t="n">
        <v>2064102824.02433</v>
      </c>
      <c r="R49" s="8" t="n">
        <v>2914808962.7095</v>
      </c>
      <c r="S49" s="8" t="n">
        <v>2966814935.41355</v>
      </c>
      <c r="T49" s="8" t="n">
        <v>2262268195.76893</v>
      </c>
      <c r="U49" s="8" t="n">
        <v>2243579449.8872</v>
      </c>
      <c r="V49" s="8" t="n">
        <v>3185837491.06236</v>
      </c>
      <c r="W49" s="8" t="n">
        <v>1599941187.96893</v>
      </c>
      <c r="X49" s="8" t="n">
        <v>2490804035.17426</v>
      </c>
      <c r="Y49" s="8" t="n">
        <v>4265074553.83527</v>
      </c>
      <c r="Z49" s="8" t="n">
        <v>4984156996.70319</v>
      </c>
      <c r="AA49" s="8" t="n">
        <v>3774447040.25682</v>
      </c>
      <c r="AB49" s="8" t="n">
        <v>3867534554.48928</v>
      </c>
      <c r="AC49" s="8" t="n">
        <v>2736278573.49954</v>
      </c>
      <c r="AD49" s="8" t="n">
        <v>3199760679.26717</v>
      </c>
      <c r="AE49" s="8" t="n">
        <v>3644130966.81791</v>
      </c>
      <c r="AF49" s="8" t="n">
        <v>3269431246.77438</v>
      </c>
      <c r="AG49" s="8" t="n">
        <v>3489808709.19198</v>
      </c>
      <c r="AH49" s="8" t="n">
        <v>4437534496.01411</v>
      </c>
      <c r="AI49" s="8" t="n">
        <v>5227545201.85561</v>
      </c>
      <c r="AJ49" s="8" t="n">
        <v>7487672821.72373</v>
      </c>
      <c r="AK49" s="8" t="n">
        <v>7204455615.35793</v>
      </c>
      <c r="AL49" s="8" t="n">
        <v>9058109555.6468</v>
      </c>
      <c r="AM49" s="8" t="n">
        <v>10056272089.6783</v>
      </c>
      <c r="AN49" s="8"/>
    </row>
    <row r="50">
      <c r="A50" t="str">
        <f>M50</f>
      </c>
      <c r="B50" t="str">
        <f>N50</f>
      </c>
      <c r="C50" s="8" t="str">
        <f>AI50</f>
      </c>
      <c r="D50" s="8" t="str">
        <f>AL50</f>
      </c>
      <c r="E50" s="8" t="str">
        <f>AM50</f>
      </c>
      <c r="F50" s="8"/>
      <c r="G50" s="2" t="str">
        <f>AM50/AL50-1</f>
      </c>
      <c r="H50" s="2" t="str">
        <f>AM50/AI50-1</f>
      </c>
      <c r="I50" s="2"/>
      <c r="J50" s="2" t="str">
        <f>AM50/Sum(AM$46:AM$87)</f>
      </c>
      <c r="K50" s="2"/>
      <c r="M50" t="s">
        <v>65</v>
      </c>
      <c r="N50" t="s">
        <v>67</v>
      </c>
      <c r="O50" s="8"/>
      <c r="P50" s="8" t="n">
        <v>197138.864350143</v>
      </c>
      <c r="Q50" s="8" t="n">
        <v>41192975.5990053</v>
      </c>
      <c r="R50" s="8" t="n">
        <v>39937930.8854374</v>
      </c>
      <c r="S50" s="8" t="n">
        <v>63810483.630382</v>
      </c>
      <c r="T50" s="8" t="n">
        <v>187812562.721029</v>
      </c>
      <c r="U50" s="8" t="n">
        <v>676868197.908275</v>
      </c>
      <c r="V50" s="8" t="n">
        <v>8873788802.05721</v>
      </c>
      <c r="W50" s="8" t="n">
        <v>12847583961.5593</v>
      </c>
      <c r="X50" s="8" t="n">
        <v>13403489634.3284</v>
      </c>
      <c r="Y50" s="8" t="n">
        <v>-275538618.531115</v>
      </c>
      <c r="Z50" s="8" t="n">
        <v>-860097.03633602</v>
      </c>
      <c r="AA50" s="8" t="n">
        <v>-6647752.13422534</v>
      </c>
      <c r="AB50" s="8" t="n">
        <v>6893947.76077749</v>
      </c>
      <c r="AC50" s="8" t="n">
        <v>-3334919.27833647</v>
      </c>
      <c r="AD50" s="8" t="n">
        <v>-315.309963094395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72784.1152687462</v>
      </c>
      <c r="AJ50" s="8" t="n">
        <v>0</v>
      </c>
      <c r="AK50" s="8"/>
      <c r="AL50" s="8"/>
      <c r="AM50" s="8" t="n">
        <v>0</v>
      </c>
      <c r="AN50" s="8"/>
    </row>
    <row r="51">
      <c r="A51" t="str">
        <f>M51</f>
      </c>
      <c r="B51" t="str">
        <f>N51</f>
      </c>
      <c r="C51" s="8" t="str">
        <f>AI51</f>
      </c>
      <c r="D51" s="8" t="str">
        <f>AL51</f>
      </c>
      <c r="E51" s="8" t="str">
        <f>AM51</f>
      </c>
      <c r="F51" s="8"/>
      <c r="G51" s="2" t="str">
        <f>AM51/AL51-1</f>
      </c>
      <c r="H51" s="2" t="str">
        <f>AM51/AI51-1</f>
      </c>
      <c r="I51" s="2"/>
      <c r="J51" s="2" t="str">
        <f>AM51/Sum(AM$46:AM$87)</f>
      </c>
      <c r="K51" s="2"/>
      <c r="M51" t="s">
        <v>65</v>
      </c>
      <c r="N51" t="s">
        <v>18</v>
      </c>
      <c r="O51" s="8" t="n">
        <v>8416291.59954491</v>
      </c>
      <c r="P51" s="8" t="n">
        <v>338366305.692693</v>
      </c>
      <c r="Q51" s="8" t="n">
        <v>64663967.4531775</v>
      </c>
      <c r="R51" s="8" t="n">
        <v>281096512.011714</v>
      </c>
      <c r="S51" s="8" t="n">
        <v>672867218.726165</v>
      </c>
      <c r="T51" s="8" t="n">
        <v>1364757602.30301</v>
      </c>
      <c r="U51" s="8" t="n">
        <v>4489421313.92956</v>
      </c>
      <c r="V51" s="8" t="n">
        <v>15181988834.697</v>
      </c>
      <c r="W51" s="8" t="n">
        <v>19240070347.711</v>
      </c>
      <c r="X51" s="8" t="n">
        <v>26700792417.1437</v>
      </c>
      <c r="Y51" s="8" t="n">
        <v>964287755.808401</v>
      </c>
      <c r="Z51" s="8" t="n">
        <v>289453627.797238</v>
      </c>
      <c r="AA51" s="8" t="n">
        <v>-4045850.82634726</v>
      </c>
      <c r="AB51" s="8" t="n">
        <v>-41773336.735975</v>
      </c>
      <c r="AC51" s="8" t="n">
        <v>-27017006.6243897</v>
      </c>
      <c r="AD51" s="8" t="n">
        <v>-2458.00382222241</v>
      </c>
      <c r="AE51" s="8"/>
      <c r="AF51" s="8"/>
      <c r="AG51" s="8"/>
      <c r="AH51" s="8" t="n">
        <v>0</v>
      </c>
      <c r="AI51" s="8"/>
      <c r="AJ51" s="8"/>
      <c r="AK51" s="8" t="n">
        <v>488846.794660361</v>
      </c>
      <c r="AL51" s="8"/>
      <c r="AM51" s="8"/>
      <c r="AN51" s="8"/>
    </row>
    <row r="52">
      <c r="A52" t="str">
        <f>M52</f>
      </c>
      <c r="B52" t="str">
        <f>N52</f>
      </c>
      <c r="C52" s="8" t="str">
        <f>AI52</f>
      </c>
      <c r="D52" s="8" t="str">
        <f>AL52</f>
      </c>
      <c r="E52" s="8" t="str">
        <f>AM52</f>
      </c>
      <c r="F52" s="8"/>
      <c r="G52" s="2" t="str">
        <f>AM52/AL52-1</f>
      </c>
      <c r="H52" s="2" t="str">
        <f>AM52/AI52-1</f>
      </c>
      <c r="I52" s="2"/>
      <c r="J52" s="2" t="str">
        <f>AM52/Sum(AM$46:AM$87)</f>
      </c>
      <c r="K52" s="2"/>
      <c r="M52" t="s">
        <v>65</v>
      </c>
      <c r="N52" t="s">
        <v>49</v>
      </c>
      <c r="O52" s="8" t="n">
        <v>285799.47653405</v>
      </c>
      <c r="P52" s="8"/>
      <c r="Q52" s="8"/>
      <c r="R52" s="8" t="n">
        <v>94009.2795873029</v>
      </c>
      <c r="S52" s="8" t="n">
        <v>29669459.0335231</v>
      </c>
      <c r="T52" s="8" t="n">
        <v>11113934.2470989</v>
      </c>
      <c r="U52" s="8" t="n">
        <v>365407255.80821</v>
      </c>
      <c r="V52" s="8" t="n">
        <v>2803133475.3436</v>
      </c>
      <c r="W52" s="8" t="n">
        <v>5456068505.80631</v>
      </c>
      <c r="X52" s="8" t="n">
        <v>6337266420.72603</v>
      </c>
      <c r="Y52" s="8" t="n">
        <v>84729003.4636559</v>
      </c>
      <c r="Z52" s="8" t="n">
        <v>26696006.446988</v>
      </c>
      <c r="AA52" s="8" t="n">
        <v>6770048.60243133</v>
      </c>
      <c r="AB52" s="8" t="n">
        <v>-2246221.46140204</v>
      </c>
      <c r="AC52" s="8" t="n">
        <v>-5463791.8237739</v>
      </c>
      <c r="AD52" s="8" t="n">
        <v>236044.541816499</v>
      </c>
      <c r="AE52" s="8"/>
      <c r="AF52" s="8"/>
      <c r="AG52" s="8"/>
      <c r="AH52" s="8"/>
      <c r="AI52" s="8"/>
      <c r="AJ52" s="8"/>
      <c r="AK52" s="8"/>
      <c r="AL52" s="8"/>
      <c r="AM52" s="8"/>
      <c r="AN52" s="8"/>
    </row>
    <row r="53">
      <c r="A53" t="str">
        <f>M53</f>
      </c>
      <c r="B53" t="str">
        <f>N53</f>
      </c>
      <c r="C53" s="8" t="str">
        <f>AI53</f>
      </c>
      <c r="D53" s="8" t="str">
        <f>AL53</f>
      </c>
      <c r="E53" s="8" t="str">
        <f>AM53</f>
      </c>
      <c r="F53" s="8"/>
      <c r="G53" s="2" t="str">
        <f>AM53/AL53-1</f>
      </c>
      <c r="H53" s="2" t="str">
        <f>AM53/AI53-1</f>
      </c>
      <c r="I53" s="2"/>
      <c r="J53" s="2" t="str">
        <f>AM53/Sum(AM$46:AM$87)</f>
      </c>
      <c r="K53" s="2"/>
      <c r="M53" t="s">
        <v>65</v>
      </c>
      <c r="N53" t="s">
        <v>19</v>
      </c>
      <c r="O53" s="8" t="n">
        <v>81441.0825984646</v>
      </c>
      <c r="P53" s="8" t="n">
        <v>20476.3110009412</v>
      </c>
      <c r="Q53" s="8" t="n">
        <v>745247.530811864</v>
      </c>
      <c r="R53" s="8" t="n">
        <v>59644.4896362943</v>
      </c>
      <c r="S53" s="8"/>
      <c r="T53" s="8" t="n">
        <v>8991.15319791918</v>
      </c>
      <c r="U53" s="8" t="n">
        <v>16294757.8361637</v>
      </c>
      <c r="V53" s="8" t="n">
        <v>59463.4655674707</v>
      </c>
      <c r="W53" s="8" t="n">
        <v>-38971.2463858521</v>
      </c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</row>
    <row r="54">
      <c r="A54" t="str">
        <f>M54</f>
      </c>
      <c r="B54" t="str">
        <f>N54</f>
      </c>
      <c r="C54" s="8" t="str">
        <f>AI54</f>
      </c>
      <c r="D54" s="8" t="str">
        <f>AL54</f>
      </c>
      <c r="E54" s="8" t="str">
        <f>AM54</f>
      </c>
      <c r="F54" s="8"/>
      <c r="G54" s="2" t="str">
        <f>AM54/AL54-1</f>
      </c>
      <c r="H54" s="2" t="str">
        <f>AM54/AI54-1</f>
      </c>
      <c r="I54" s="2"/>
      <c r="J54" s="2" t="str">
        <f>AM54/Sum(AM$46:AM$87)</f>
      </c>
      <c r="K54" s="2"/>
      <c r="M54" t="s">
        <v>55</v>
      </c>
      <c r="N54" t="s">
        <v>67</v>
      </c>
      <c r="O54" s="8" t="n">
        <v>51024511925.3977</v>
      </c>
      <c r="P54" s="8" t="n">
        <v>57173068287.8267</v>
      </c>
      <c r="Q54" s="8" t="n">
        <v>71857880471.43</v>
      </c>
      <c r="R54" s="8" t="n">
        <v>89815338711.6949</v>
      </c>
      <c r="S54" s="8" t="n">
        <v>90831542996.073</v>
      </c>
      <c r="T54" s="8" t="n">
        <v>106250177366.09</v>
      </c>
      <c r="U54" s="8" t="n">
        <v>120886152211.684</v>
      </c>
      <c r="V54" s="8" t="n">
        <v>147211700385.862</v>
      </c>
      <c r="W54" s="8" t="n">
        <v>165424769642.041</v>
      </c>
      <c r="X54" s="8" t="n">
        <v>139540426688.202</v>
      </c>
      <c r="Y54" s="8" t="n">
        <v>137915345733.347</v>
      </c>
      <c r="Z54" s="8" t="n">
        <v>125515654737.517</v>
      </c>
      <c r="AA54" s="8" t="n">
        <v>107340152172.946</v>
      </c>
      <c r="AB54" s="8" t="n">
        <v>92551284289.2495</v>
      </c>
      <c r="AC54" s="8" t="n">
        <v>85760582519.274</v>
      </c>
      <c r="AD54" s="8" t="n">
        <v>86961989098.8287</v>
      </c>
      <c r="AE54" s="8" t="n">
        <v>96062894365.0346</v>
      </c>
      <c r="AF54" s="8" t="n">
        <v>97337171457.0471</v>
      </c>
      <c r="AG54" s="8" t="n">
        <v>108742959024.886</v>
      </c>
      <c r="AH54" s="8" t="n">
        <v>116645802682.717</v>
      </c>
      <c r="AI54" s="8" t="n">
        <v>120130575737.033</v>
      </c>
      <c r="AJ54" s="8" t="n">
        <v>129545492579.144</v>
      </c>
      <c r="AK54" s="8" t="n">
        <v>121025148850.787</v>
      </c>
      <c r="AL54" s="8" t="n">
        <v>109771628121.668</v>
      </c>
      <c r="AM54" s="8" t="n">
        <v>97462929052.6549</v>
      </c>
      <c r="AN54" s="8"/>
    </row>
    <row r="55">
      <c r="A55" t="str">
        <f>M55</f>
      </c>
      <c r="B55" t="str">
        <f>N55</f>
      </c>
      <c r="C55" s="8" t="str">
        <f>AI55</f>
      </c>
      <c r="D55" s="8" t="str">
        <f>AL55</f>
      </c>
      <c r="E55" s="8" t="str">
        <f>AM55</f>
      </c>
      <c r="F55" s="8"/>
      <c r="G55" s="2" t="str">
        <f>AM55/AL55-1</f>
      </c>
      <c r="H55" s="2" t="str">
        <f>AM55/AI55-1</f>
      </c>
      <c r="I55" s="2"/>
      <c r="J55" s="2" t="str">
        <f>AM55/Sum(AM$46:AM$87)</f>
      </c>
      <c r="K55" s="2"/>
      <c r="M55" t="s">
        <v>55</v>
      </c>
      <c r="N55" t="s">
        <v>18</v>
      </c>
      <c r="O55" s="8" t="n">
        <v>44927255251.208</v>
      </c>
      <c r="P55" s="8" t="n">
        <v>50111206433.0749</v>
      </c>
      <c r="Q55" s="8" t="n">
        <v>58972302367.5835</v>
      </c>
      <c r="R55" s="8" t="n">
        <v>79355573423.8173</v>
      </c>
      <c r="S55" s="8" t="n">
        <v>74848099214.1893</v>
      </c>
      <c r="T55" s="8" t="n">
        <v>79181163386.8239</v>
      </c>
      <c r="U55" s="8" t="n">
        <v>87100830872.4704</v>
      </c>
      <c r="V55" s="8" t="n">
        <v>84772997807.0037</v>
      </c>
      <c r="W55" s="8" t="n">
        <v>98621901060.6087</v>
      </c>
      <c r="X55" s="8" t="n">
        <v>95295009666.356</v>
      </c>
      <c r="Y55" s="8" t="n">
        <v>114947163154.908</v>
      </c>
      <c r="Z55" s="8" t="n">
        <v>112135062911.024</v>
      </c>
      <c r="AA55" s="8" t="n">
        <v>109978805157.87</v>
      </c>
      <c r="AB55" s="8" t="n">
        <v>92309814543.6085</v>
      </c>
      <c r="AC55" s="8" t="n">
        <v>95102703476.6331</v>
      </c>
      <c r="AD55" s="8" t="n">
        <v>87359345298.6796</v>
      </c>
      <c r="AE55" s="8" t="n">
        <v>89434773393.0697</v>
      </c>
      <c r="AF55" s="8" t="n">
        <v>91574707998.1602</v>
      </c>
      <c r="AG55" s="8" t="n">
        <v>102639582890.91</v>
      </c>
      <c r="AH55" s="8" t="n">
        <v>107413062054.664</v>
      </c>
      <c r="AI55" s="8" t="n">
        <v>120659874592.687</v>
      </c>
      <c r="AJ55" s="8" t="n">
        <v>104645784858.609</v>
      </c>
      <c r="AK55" s="8" t="n">
        <v>105168438536.9</v>
      </c>
      <c r="AL55" s="8" t="n">
        <v>113110089585.992</v>
      </c>
      <c r="AM55" s="8" t="n">
        <v>113970671278.397</v>
      </c>
      <c r="AN55" s="8"/>
    </row>
    <row r="56">
      <c r="A56" t="str">
        <f>M56</f>
      </c>
      <c r="B56" t="str">
        <f>N56</f>
      </c>
      <c r="C56" s="8" t="str">
        <f>AI56</f>
      </c>
      <c r="D56" s="8" t="str">
        <f>AL56</f>
      </c>
      <c r="E56" s="8" t="str">
        <f>AM56</f>
      </c>
      <c r="F56" s="8"/>
      <c r="G56" s="2" t="str">
        <f>AM56/AL56-1</f>
      </c>
      <c r="H56" s="2" t="str">
        <f>AM56/AI56-1</f>
      </c>
      <c r="I56" s="2"/>
      <c r="J56" s="2" t="str">
        <f>AM56/Sum(AM$46:AM$87)</f>
      </c>
      <c r="K56" s="2"/>
      <c r="M56" t="s">
        <v>55</v>
      </c>
      <c r="N56" t="s">
        <v>49</v>
      </c>
      <c r="O56" s="8" t="n">
        <v>3540635503.34616</v>
      </c>
      <c r="P56" s="8" t="n">
        <v>4373210882.53147</v>
      </c>
      <c r="Q56" s="8" t="n">
        <v>5129856007.94734</v>
      </c>
      <c r="R56" s="8" t="n">
        <v>3944216968.84398</v>
      </c>
      <c r="S56" s="8" t="n">
        <v>4438090024.23824</v>
      </c>
      <c r="T56" s="8" t="n">
        <v>6908797313.19514</v>
      </c>
      <c r="U56" s="8" t="n">
        <v>3865011454.57818</v>
      </c>
      <c r="V56" s="8" t="n">
        <v>4211919878.59902</v>
      </c>
      <c r="W56" s="8" t="n">
        <v>4591736882.93965</v>
      </c>
      <c r="X56" s="8" t="n">
        <v>5321490707.52114</v>
      </c>
      <c r="Y56" s="8" t="n">
        <v>7121558422.37829</v>
      </c>
      <c r="Z56" s="8" t="n">
        <v>9816689619.53922</v>
      </c>
      <c r="AA56" s="8" t="n">
        <v>8698503115.99612</v>
      </c>
      <c r="AB56" s="8" t="n">
        <v>3964305846.00631</v>
      </c>
      <c r="AC56" s="8" t="n">
        <v>3415478387.91913</v>
      </c>
      <c r="AD56" s="8" t="n">
        <v>2646103781.46647</v>
      </c>
      <c r="AE56" s="8" t="n">
        <v>2029860177.9934</v>
      </c>
      <c r="AF56" s="8" t="n">
        <v>2319942783.30943</v>
      </c>
      <c r="AG56" s="8" t="n">
        <v>2508569948.72835</v>
      </c>
      <c r="AH56" s="8" t="n">
        <v>2774541651.29238</v>
      </c>
      <c r="AI56" s="8" t="n">
        <v>7838898914.76275</v>
      </c>
      <c r="AJ56" s="8" t="n">
        <v>3645261033.36084</v>
      </c>
      <c r="AK56" s="8" t="n">
        <v>5211440450.40921</v>
      </c>
      <c r="AL56" s="8" t="n">
        <v>6274058362.33</v>
      </c>
      <c r="AM56" s="8" t="n">
        <v>6094320744.54795</v>
      </c>
      <c r="AN56" s="8"/>
    </row>
    <row r="57">
      <c r="A57" t="str">
        <f>M57</f>
      </c>
      <c r="B57" t="str">
        <f>N57</f>
      </c>
      <c r="C57" s="8" t="str">
        <f>AI57</f>
      </c>
      <c r="D57" s="8" t="str">
        <f>AL57</f>
      </c>
      <c r="E57" s="8" t="str">
        <f>AM57</f>
      </c>
      <c r="F57" s="8"/>
      <c r="G57" s="2" t="str">
        <f>AM57/AL57-1</f>
      </c>
      <c r="H57" s="2" t="str">
        <f>AM57/AI57-1</f>
      </c>
      <c r="I57" s="2"/>
      <c r="J57" s="2" t="str">
        <f>AM57/Sum(AM$46:AM$87)</f>
      </c>
      <c r="K57" s="2"/>
      <c r="M57" t="s">
        <v>55</v>
      </c>
      <c r="N57" t="s">
        <v>19</v>
      </c>
      <c r="O57" s="8" t="n">
        <v>443454.652919122</v>
      </c>
      <c r="P57" s="8" t="n">
        <v>4693739.99270567</v>
      </c>
      <c r="Q57" s="8" t="n">
        <v>60469593.7876253</v>
      </c>
      <c r="R57" s="8" t="n">
        <v>10948930.0071407</v>
      </c>
      <c r="S57" s="8" t="n">
        <v>4587584.07596401</v>
      </c>
      <c r="T57" s="8" t="n">
        <v>3730987.25682926</v>
      </c>
      <c r="U57" s="8" t="n">
        <v>30336859.6322148</v>
      </c>
      <c r="V57" s="8" t="n">
        <v>25544680.94147</v>
      </c>
      <c r="W57" s="8" t="n">
        <v>1037602.02155243</v>
      </c>
      <c r="X57" s="8" t="n">
        <v>924864.089004366</v>
      </c>
      <c r="Y57" s="8" t="n">
        <v>-64392.5776588806</v>
      </c>
      <c r="Z57" s="8" t="n">
        <v>-187671.151100539</v>
      </c>
      <c r="AA57" s="8" t="n">
        <v>-4782.01427067501</v>
      </c>
      <c r="AB57" s="8" t="n">
        <v>-67131.228425603</v>
      </c>
      <c r="AC57" s="8" t="n">
        <v>567671.010781381</v>
      </c>
      <c r="AD57" s="8"/>
      <c r="AE57" s="8" t="n">
        <v>4443616.46019587</v>
      </c>
      <c r="AF57" s="8" t="n">
        <v>-299.071500057452</v>
      </c>
      <c r="AG57" s="8" t="n">
        <v>-278246.133397523</v>
      </c>
      <c r="AH57" s="8" t="n">
        <v>546254.749528136</v>
      </c>
      <c r="AI57" s="8" t="n">
        <v>0</v>
      </c>
      <c r="AJ57" s="8" t="n">
        <v>421053.108340354</v>
      </c>
      <c r="AK57" s="8"/>
      <c r="AL57" s="8"/>
      <c r="AM57" s="8"/>
      <c r="AN57" s="8"/>
    </row>
    <row r="58">
      <c r="A58" t="str">
        <f>M58</f>
      </c>
      <c r="B58" t="str">
        <f>N58</f>
      </c>
      <c r="C58" s="8" t="str">
        <f>AI58</f>
      </c>
      <c r="D58" s="8" t="str">
        <f>AL58</f>
      </c>
      <c r="E58" s="8" t="str">
        <f>AM58</f>
      </c>
      <c r="F58" s="8"/>
      <c r="G58" s="2" t="str">
        <f>AM58/AL58-1</f>
      </c>
      <c r="H58" s="2" t="str">
        <f>AM58/AI58-1</f>
      </c>
      <c r="I58" s="2"/>
      <c r="J58" s="2" t="str">
        <f>AM58/Sum(AM$46:AM$87)</f>
      </c>
      <c r="K58" s="2"/>
      <c r="M58" t="s">
        <v>55</v>
      </c>
      <c r="N5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 t="n">
        <v>-1289.31750225655</v>
      </c>
      <c r="AN58" s="8"/>
    </row>
    <row r="59">
      <c r="A59" t="str">
        <f>M59</f>
      </c>
      <c r="B59" t="str">
        <f>N59</f>
      </c>
      <c r="C59" s="8" t="str">
        <f>AI59</f>
      </c>
      <c r="D59" s="8" t="str">
        <f>AL59</f>
      </c>
      <c r="E59" s="8" t="str">
        <f>AM59</f>
      </c>
      <c r="F59" s="8"/>
      <c r="G59" s="2" t="str">
        <f>AM59/AL59-1</f>
      </c>
      <c r="H59" s="2" t="str">
        <f>AM59/AI59-1</f>
      </c>
      <c r="I59" s="2"/>
      <c r="J59" s="2" t="str">
        <f>AM59/Sum(AM$46:AM$87)</f>
      </c>
      <c r="K59" s="2"/>
      <c r="M59" t="s">
        <v>56</v>
      </c>
      <c r="N59" t="s">
        <v>67</v>
      </c>
      <c r="O59" s="8" t="n">
        <v>7830440214.09252</v>
      </c>
      <c r="P59" s="8" t="n">
        <v>10405528127.9678</v>
      </c>
      <c r="Q59" s="8" t="n">
        <v>11824576110.0665</v>
      </c>
      <c r="R59" s="8" t="n">
        <v>12752804920.7633</v>
      </c>
      <c r="S59" s="8" t="n">
        <v>14651630959.2883</v>
      </c>
      <c r="T59" s="8" t="n">
        <v>28841204752.7754</v>
      </c>
      <c r="U59" s="8" t="n">
        <v>25678995117.4822</v>
      </c>
      <c r="V59" s="8" t="n">
        <v>22241510449.9132</v>
      </c>
      <c r="W59" s="8" t="n">
        <v>29646976673.0748</v>
      </c>
      <c r="X59" s="8" t="n">
        <v>32168036517.5679</v>
      </c>
      <c r="Y59" s="8" t="n">
        <v>21086995193.7309</v>
      </c>
      <c r="Z59" s="8" t="n">
        <v>21815320238.4904</v>
      </c>
      <c r="AA59" s="8" t="n">
        <v>30639184302.4412</v>
      </c>
      <c r="AB59" s="8" t="n">
        <v>20214127189.1655</v>
      </c>
      <c r="AC59" s="8" t="n">
        <v>12124378462.6641</v>
      </c>
      <c r="AD59" s="8" t="n">
        <v>9123213920.75732</v>
      </c>
      <c r="AE59" s="8" t="n">
        <v>7473599325.09217</v>
      </c>
      <c r="AF59" s="8" t="n">
        <v>9171206743.05903</v>
      </c>
      <c r="AG59" s="8" t="n">
        <v>10194237056.0867</v>
      </c>
      <c r="AH59" s="8" t="n">
        <v>8374663900.14719</v>
      </c>
      <c r="AI59" s="8" t="n">
        <v>7391912243.68419</v>
      </c>
      <c r="AJ59" s="8" t="n">
        <v>8488867648.66219</v>
      </c>
      <c r="AK59" s="8" t="n">
        <v>13934586167.5067</v>
      </c>
      <c r="AL59" s="8" t="n">
        <v>13005116422.3806</v>
      </c>
      <c r="AM59" s="8" t="n">
        <v>13282512938.1538</v>
      </c>
      <c r="AN59" s="8"/>
    </row>
    <row r="60">
      <c r="A60" t="str">
        <f>M60</f>
      </c>
      <c r="B60" t="str">
        <f>N60</f>
      </c>
      <c r="C60" s="8" t="str">
        <f>AI60</f>
      </c>
      <c r="D60" s="8" t="str">
        <f>AL60</f>
      </c>
      <c r="E60" s="8" t="str">
        <f>AM60</f>
      </c>
      <c r="F60" s="8"/>
      <c r="G60" s="2" t="str">
        <f>AM60/AL60-1</f>
      </c>
      <c r="H60" s="2" t="str">
        <f>AM60/AI60-1</f>
      </c>
      <c r="I60" s="2"/>
      <c r="J60" s="2" t="str">
        <f>AM60/Sum(AM$46:AM$87)</f>
      </c>
      <c r="K60" s="2"/>
      <c r="M60" t="s">
        <v>56</v>
      </c>
      <c r="N60" t="s">
        <v>18</v>
      </c>
      <c r="O60" s="8" t="n">
        <v>1974103043.68659</v>
      </c>
      <c r="P60" s="8" t="n">
        <v>3265631930.96455</v>
      </c>
      <c r="Q60" s="8" t="n">
        <v>2001136139.78113</v>
      </c>
      <c r="R60" s="8" t="n">
        <v>2223311265.04658</v>
      </c>
      <c r="S60" s="8" t="n">
        <v>2980239852.12418</v>
      </c>
      <c r="T60" s="8" t="n">
        <v>4204827522.29049</v>
      </c>
      <c r="U60" s="8" t="n">
        <v>2681979350.57756</v>
      </c>
      <c r="V60" s="8" t="n">
        <v>2297255304.20611</v>
      </c>
      <c r="W60" s="8" t="n">
        <v>1831403900.38019</v>
      </c>
      <c r="X60" s="8" t="n">
        <v>1202171919.44503</v>
      </c>
      <c r="Y60" s="8" t="n">
        <v>2279991646.04264</v>
      </c>
      <c r="Z60" s="8" t="n">
        <v>4360090195.80076</v>
      </c>
      <c r="AA60" s="8" t="n">
        <v>4899526623.6733</v>
      </c>
      <c r="AB60" s="8" t="n">
        <v>3350234048.53622</v>
      </c>
      <c r="AC60" s="8" t="n">
        <v>2865873655.5943</v>
      </c>
      <c r="AD60" s="8" t="n">
        <v>2111916598.27393</v>
      </c>
      <c r="AE60" s="8" t="n">
        <v>1684933748.57747</v>
      </c>
      <c r="AF60" s="8" t="n">
        <v>2066624038.15392</v>
      </c>
      <c r="AG60" s="8" t="n">
        <v>2326262830.20914</v>
      </c>
      <c r="AH60" s="8" t="n">
        <v>3056402334.24562</v>
      </c>
      <c r="AI60" s="8" t="n">
        <v>2884193617.91409</v>
      </c>
      <c r="AJ60" s="8" t="n">
        <v>3103503320.29248</v>
      </c>
      <c r="AK60" s="8" t="n">
        <v>4382469290.40085</v>
      </c>
      <c r="AL60" s="8" t="n">
        <v>3771713884.1004</v>
      </c>
      <c r="AM60" s="8" t="n">
        <v>3683882565.17113</v>
      </c>
      <c r="AN60" s="8"/>
    </row>
    <row r="61">
      <c r="A61" t="str">
        <f>M61</f>
      </c>
      <c r="B61" t="str">
        <f>N61</f>
      </c>
      <c r="C61" s="8" t="str">
        <f>AI61</f>
      </c>
      <c r="D61" s="8" t="str">
        <f>AL61</f>
      </c>
      <c r="E61" s="8" t="str">
        <f>AM61</f>
      </c>
      <c r="F61" s="8"/>
      <c r="G61" s="2" t="str">
        <f>AM61/AL61-1</f>
      </c>
      <c r="H61" s="2" t="str">
        <f>AM61/AI61-1</f>
      </c>
      <c r="I61" s="2"/>
      <c r="J61" s="2" t="str">
        <f>AM61/Sum(AM$46:AM$87)</f>
      </c>
      <c r="K61" s="2"/>
      <c r="M61" t="s">
        <v>56</v>
      </c>
      <c r="N61" t="s">
        <v>49</v>
      </c>
      <c r="O61" s="8" t="n">
        <v>58870403.4926929</v>
      </c>
      <c r="P61" s="8" t="n">
        <v>42704392.9770931</v>
      </c>
      <c r="Q61" s="8" t="n">
        <v>20697921.9258249</v>
      </c>
      <c r="R61" s="8" t="n">
        <v>1139249.70742402</v>
      </c>
      <c r="S61" s="8"/>
      <c r="T61" s="8" t="n">
        <v>109981448.664457</v>
      </c>
      <c r="U61" s="8" t="n">
        <v>2307553.61187542</v>
      </c>
      <c r="V61" s="8" t="n">
        <v>386016.997308831</v>
      </c>
      <c r="W61" s="8" t="n">
        <v>66922.2808674495</v>
      </c>
      <c r="X61" s="8" t="n">
        <v>0</v>
      </c>
      <c r="Y61" s="8" t="n">
        <v>246261.876920633</v>
      </c>
      <c r="Z61" s="8" t="n">
        <v>168531.855568964</v>
      </c>
      <c r="AA61" s="8" t="n">
        <v>203589.081459986</v>
      </c>
      <c r="AB61" s="8" t="n">
        <v>2571.99159987968</v>
      </c>
      <c r="AC61" s="8" t="n">
        <v>0</v>
      </c>
      <c r="AD61" s="8" t="n">
        <v>0</v>
      </c>
      <c r="AE61" s="8"/>
      <c r="AF61" s="8"/>
      <c r="AG61" s="8"/>
      <c r="AH61" s="8"/>
      <c r="AI61" s="8"/>
      <c r="AJ61" s="8"/>
      <c r="AK61" s="8"/>
      <c r="AL61" s="8"/>
      <c r="AM61" s="8"/>
      <c r="AN61" s="8"/>
    </row>
    <row r="62">
      <c r="A62" t="str">
        <f>M62</f>
      </c>
      <c r="B62" t="str">
        <f>N62</f>
      </c>
      <c r="C62" s="8" t="str">
        <f>AI62</f>
      </c>
      <c r="D62" s="8" t="str">
        <f>AL62</f>
      </c>
      <c r="E62" s="8" t="str">
        <f>AM62</f>
      </c>
      <c r="F62" s="8"/>
      <c r="G62" s="2" t="str">
        <f>AM62/AL62-1</f>
      </c>
      <c r="H62" s="2" t="str">
        <f>AM62/AI62-1</f>
      </c>
      <c r="I62" s="2"/>
      <c r="J62" s="2" t="str">
        <f>AM62/Sum(AM$46:AM$87)</f>
      </c>
      <c r="K62" s="2"/>
      <c r="M62" t="s">
        <v>56</v>
      </c>
      <c r="N62" t="s">
        <v>19</v>
      </c>
      <c r="O62" s="8"/>
      <c r="P62" s="8"/>
      <c r="Q62" s="8"/>
      <c r="R62" s="8"/>
      <c r="S62" s="8"/>
      <c r="T62" s="8"/>
      <c r="U62" s="8" t="n">
        <v>50960.6971551391</v>
      </c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</row>
    <row r="63">
      <c r="A63" t="str">
        <f>M63</f>
      </c>
      <c r="B63" t="str">
        <f>N63</f>
      </c>
      <c r="C63" s="8" t="str">
        <f>AI63</f>
      </c>
      <c r="D63" s="8" t="str">
        <f>AL63</f>
      </c>
      <c r="E63" s="8" t="str">
        <f>AM63</f>
      </c>
      <c r="F63" s="8"/>
      <c r="G63" s="2" t="str">
        <f>AM63/AL63-1</f>
      </c>
      <c r="H63" s="2" t="str">
        <f>AM63/AI63-1</f>
      </c>
      <c r="I63" s="2"/>
      <c r="J63" s="2" t="str">
        <f>AM63/Sum(AM$46:AM$87)</f>
      </c>
      <c r="K63" s="2"/>
      <c r="M63" t="s">
        <v>60</v>
      </c>
      <c r="N63" t="s">
        <v>67</v>
      </c>
      <c r="O63" s="8" t="n">
        <v>2864416385.37288</v>
      </c>
      <c r="P63" s="8" t="n">
        <v>2359187611.59384</v>
      </c>
      <c r="Q63" s="8" t="n">
        <v>6012998100.54297</v>
      </c>
      <c r="R63" s="8" t="n">
        <v>6322822438.8316</v>
      </c>
      <c r="S63" s="8" t="n">
        <v>7763577806.09159</v>
      </c>
      <c r="T63" s="8" t="n">
        <v>7494049532.53303</v>
      </c>
      <c r="U63" s="8" t="n">
        <v>7477206889.77264</v>
      </c>
      <c r="V63" s="8" t="n">
        <v>5096729045.44553</v>
      </c>
      <c r="W63" s="8" t="n">
        <v>5334464630.43777</v>
      </c>
      <c r="X63" s="8" t="n">
        <v>10391808010.9203</v>
      </c>
      <c r="Y63" s="8" t="n">
        <v>12760310079.5865</v>
      </c>
      <c r="Z63" s="8" t="n">
        <v>29209404538.1496</v>
      </c>
      <c r="AA63" s="8" t="n">
        <v>29355532442.2122</v>
      </c>
      <c r="AB63" s="8" t="n">
        <v>33788876405.0439</v>
      </c>
      <c r="AC63" s="8" t="n">
        <v>25965650093.0983</v>
      </c>
      <c r="AD63" s="8" t="n">
        <v>28633247098.3607</v>
      </c>
      <c r="AE63" s="8" t="n">
        <v>26947871910.3418</v>
      </c>
      <c r="AF63" s="8" t="n">
        <v>22212190437.6928</v>
      </c>
      <c r="AG63" s="8" t="n">
        <v>39452525422.0203</v>
      </c>
      <c r="AH63" s="8" t="n">
        <v>47582947311.9353</v>
      </c>
      <c r="AI63" s="8" t="n">
        <v>43035741894.3533</v>
      </c>
      <c r="AJ63" s="8" t="n">
        <v>30129938607.6343</v>
      </c>
      <c r="AK63" s="8" t="n">
        <v>30782650168.4576</v>
      </c>
      <c r="AL63" s="8" t="n">
        <v>51340809729.7416</v>
      </c>
      <c r="AM63" s="8" t="n">
        <v>25160753568.489</v>
      </c>
      <c r="AN63" s="8"/>
    </row>
    <row r="64">
      <c r="A64" t="str">
        <f>M64</f>
      </c>
      <c r="B64" t="str">
        <f>N64</f>
      </c>
      <c r="C64" s="8" t="str">
        <f>AI64</f>
      </c>
      <c r="D64" s="8" t="str">
        <f>AL64</f>
      </c>
      <c r="E64" s="8" t="str">
        <f>AM64</f>
      </c>
      <c r="F64" s="8"/>
      <c r="G64" s="2" t="str">
        <f>AM64/AL64-1</f>
      </c>
      <c r="H64" s="2" t="str">
        <f>AM64/AI64-1</f>
      </c>
      <c r="I64" s="2"/>
      <c r="J64" s="2" t="str">
        <f>AM64/Sum(AM$46:AM$87)</f>
      </c>
      <c r="K64" s="2"/>
      <c r="M64" t="s">
        <v>60</v>
      </c>
      <c r="N64" t="s">
        <v>18</v>
      </c>
      <c r="O64" s="8" t="n">
        <v>860856937.821716</v>
      </c>
      <c r="P64" s="8" t="n">
        <v>3794441033.6409</v>
      </c>
      <c r="Q64" s="8" t="n">
        <v>4245936615.47729</v>
      </c>
      <c r="R64" s="8" t="n">
        <v>2568644583.57105</v>
      </c>
      <c r="S64" s="8" t="n">
        <v>2007067759.73369</v>
      </c>
      <c r="T64" s="8" t="n">
        <v>2196292054.05139</v>
      </c>
      <c r="U64" s="8" t="n">
        <v>2051160723.57032</v>
      </c>
      <c r="V64" s="8" t="n">
        <v>1440480633.99885</v>
      </c>
      <c r="W64" s="8" t="n">
        <v>1006633429.54523</v>
      </c>
      <c r="X64" s="8" t="n">
        <v>710260532.570225</v>
      </c>
      <c r="Y64" s="8" t="n">
        <v>3339441620.92239</v>
      </c>
      <c r="Z64" s="8" t="n">
        <v>1586189309.32863</v>
      </c>
      <c r="AA64" s="8" t="n">
        <v>1851552073.00804</v>
      </c>
      <c r="AB64" s="8" t="n">
        <v>2033462678.50692</v>
      </c>
      <c r="AC64" s="8" t="n">
        <v>2354714169.35249</v>
      </c>
      <c r="AD64" s="8" t="n">
        <v>1778692247.49846</v>
      </c>
      <c r="AE64" s="8" t="n">
        <v>2299805705.42531</v>
      </c>
      <c r="AF64" s="8" t="n">
        <v>1318414612.54902</v>
      </c>
      <c r="AG64" s="8" t="n">
        <v>1683510989.54186</v>
      </c>
      <c r="AH64" s="8" t="n">
        <v>2967445084.565</v>
      </c>
      <c r="AI64" s="8" t="n">
        <v>2684690414.9915</v>
      </c>
      <c r="AJ64" s="8" t="n">
        <v>2572994352.4037</v>
      </c>
      <c r="AK64" s="8" t="n">
        <v>2194618162.56179</v>
      </c>
      <c r="AL64" s="8" t="n">
        <v>2180156305.7018</v>
      </c>
      <c r="AM64" s="8" t="n">
        <v>1982019545.35596</v>
      </c>
      <c r="AN64" s="8"/>
    </row>
    <row r="65">
      <c r="A65" t="str">
        <f>M65</f>
      </c>
      <c r="B65" t="str">
        <f>N65</f>
      </c>
      <c r="C65" s="8" t="str">
        <f>AI65</f>
      </c>
      <c r="D65" s="8" t="str">
        <f>AL65</f>
      </c>
      <c r="E65" s="8" t="str">
        <f>AM65</f>
      </c>
      <c r="F65" s="8"/>
      <c r="G65" s="2" t="str">
        <f>AM65/AL65-1</f>
      </c>
      <c r="H65" s="2" t="str">
        <f>AM65/AI65-1</f>
      </c>
      <c r="I65" s="2"/>
      <c r="J65" s="2" t="str">
        <f>AM65/Sum(AM$46:AM$87)</f>
      </c>
      <c r="K65" s="2"/>
      <c r="M65" t="s">
        <v>60</v>
      </c>
      <c r="N65" t="s">
        <v>49</v>
      </c>
      <c r="O65" s="8" t="n">
        <v>174222869.992527</v>
      </c>
      <c r="P65" s="8" t="n">
        <v>186843445.758539</v>
      </c>
      <c r="Q65" s="8" t="n">
        <v>595010747.654284</v>
      </c>
      <c r="R65" s="8" t="n">
        <v>346918432.117319</v>
      </c>
      <c r="S65" s="8" t="n">
        <v>166738940.299356</v>
      </c>
      <c r="T65" s="8" t="n">
        <v>318913818.706124</v>
      </c>
      <c r="U65" s="8" t="n">
        <v>191184861.376429</v>
      </c>
      <c r="V65" s="8" t="n">
        <v>163645568.860132</v>
      </c>
      <c r="W65" s="8" t="n">
        <v>207943739.672162</v>
      </c>
      <c r="X65" s="8" t="n">
        <v>632291776.156187</v>
      </c>
      <c r="Y65" s="8" t="n">
        <v>1518991217.20098</v>
      </c>
      <c r="Z65" s="8" t="n">
        <v>585697102.997475</v>
      </c>
      <c r="AA65" s="8" t="n">
        <v>435101021.891561</v>
      </c>
      <c r="AB65" s="8" t="n">
        <v>429026497.491472</v>
      </c>
      <c r="AC65" s="8" t="n">
        <v>1371492639.31553</v>
      </c>
      <c r="AD65" s="8" t="n">
        <v>836584673.538937</v>
      </c>
      <c r="AE65" s="8" t="n">
        <v>1245273344.38665</v>
      </c>
      <c r="AF65" s="8" t="n">
        <v>793883060.919337</v>
      </c>
      <c r="AG65" s="8" t="n">
        <v>1101653697.47606</v>
      </c>
      <c r="AH65" s="8" t="n">
        <v>1710139922.22775</v>
      </c>
      <c r="AI65" s="8" t="n">
        <v>1555970712.85658</v>
      </c>
      <c r="AJ65" s="8" t="n">
        <v>1171474387.64049</v>
      </c>
      <c r="AK65" s="8" t="n">
        <v>69066850.8770208</v>
      </c>
      <c r="AL65" s="8" t="n">
        <v>826551205.1926</v>
      </c>
      <c r="AM65" s="8" t="n">
        <v>1197366040.5787</v>
      </c>
      <c r="AN65" s="8"/>
    </row>
    <row r="66">
      <c r="A66" t="str">
        <f>M66</f>
      </c>
      <c r="B66" t="str">
        <f>N66</f>
      </c>
      <c r="C66" s="8" t="str">
        <f>AI66</f>
      </c>
      <c r="D66" s="8" t="str">
        <f>AL66</f>
      </c>
      <c r="E66" s="8" t="str">
        <f>AM66</f>
      </c>
      <c r="F66" s="8"/>
      <c r="G66" s="2" t="str">
        <f>AM66/AL66-1</f>
      </c>
      <c r="H66" s="2" t="str">
        <f>AM66/AI66-1</f>
      </c>
      <c r="I66" s="2"/>
      <c r="J66" s="2" t="str">
        <f>AM66/Sum(AM$46:AM$87)</f>
      </c>
      <c r="K66" s="2"/>
      <c r="M66" t="s">
        <v>60</v>
      </c>
      <c r="N66" t="s">
        <v>19</v>
      </c>
      <c r="O66" s="8" t="n">
        <v>0</v>
      </c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</row>
    <row r="67">
      <c r="A67" t="str">
        <f>M67</f>
      </c>
      <c r="B67" t="str">
        <f>N67</f>
      </c>
      <c r="C67" s="8" t="str">
        <f>AI67</f>
      </c>
      <c r="D67" s="8" t="str">
        <f>AL67</f>
      </c>
      <c r="E67" s="8" t="str">
        <f>AM67</f>
      </c>
      <c r="F67" s="8"/>
      <c r="G67" s="2" t="str">
        <f>AM67/AL67-1</f>
      </c>
      <c r="H67" s="2" t="str">
        <f>AM67/AI67-1</f>
      </c>
      <c r="I67" s="2"/>
      <c r="J67" s="2" t="str">
        <f>AM67/Sum(AM$46:AM$87)</f>
      </c>
      <c r="K67" s="2"/>
      <c r="M67" t="s">
        <v>62</v>
      </c>
      <c r="N67" t="s">
        <v>67</v>
      </c>
      <c r="O67" s="8" t="n">
        <v>10950775786.855</v>
      </c>
      <c r="P67" s="8" t="n">
        <v>17247605654.0204</v>
      </c>
      <c r="Q67" s="8" t="n">
        <v>15452871403.4692</v>
      </c>
      <c r="R67" s="8" t="n">
        <v>16599752855.0885</v>
      </c>
      <c r="S67" s="8" t="n">
        <v>19462569882.9695</v>
      </c>
      <c r="T67" s="8" t="n">
        <v>18163597301.176</v>
      </c>
      <c r="U67" s="8" t="n">
        <v>19147490919.4314</v>
      </c>
      <c r="V67" s="8" t="n">
        <v>18441217653.8226</v>
      </c>
      <c r="W67" s="8" t="n">
        <v>17773466961.1911</v>
      </c>
      <c r="X67" s="8" t="n">
        <v>17890251514.6341</v>
      </c>
      <c r="Y67" s="8" t="n">
        <v>17915995718.2544</v>
      </c>
      <c r="Z67" s="8" t="n">
        <v>20213227902.1592</v>
      </c>
      <c r="AA67" s="8" t="n">
        <v>18664708217.4289</v>
      </c>
      <c r="AB67" s="8" t="n">
        <v>15928511506.148</v>
      </c>
      <c r="AC67" s="8" t="n">
        <v>22416892563.9448</v>
      </c>
      <c r="AD67" s="8" t="n">
        <v>22047452515.8597</v>
      </c>
      <c r="AE67" s="8" t="n">
        <v>21992750281.7251</v>
      </c>
      <c r="AF67" s="8" t="n">
        <v>21645143577.9827</v>
      </c>
      <c r="AG67" s="8" t="n">
        <v>16266139649.9834</v>
      </c>
      <c r="AH67" s="8" t="n">
        <v>17924783087.5065</v>
      </c>
      <c r="AI67" s="8" t="n">
        <v>19984434220.6243</v>
      </c>
      <c r="AJ67" s="8" t="n">
        <v>15275790560.7684</v>
      </c>
      <c r="AK67" s="8" t="n">
        <v>16329743811.6858</v>
      </c>
      <c r="AL67" s="8" t="n">
        <v>14592254986.3846</v>
      </c>
      <c r="AM67" s="8" t="n">
        <v>18900451596.8986</v>
      </c>
      <c r="AN67" s="8"/>
    </row>
    <row r="68">
      <c r="A68" t="str">
        <f>M68</f>
      </c>
      <c r="B68" t="str">
        <f>N68</f>
      </c>
      <c r="C68" s="8" t="str">
        <f>AI68</f>
      </c>
      <c r="D68" s="8" t="str">
        <f>AL68</f>
      </c>
      <c r="E68" s="8" t="str">
        <f>AM68</f>
      </c>
      <c r="F68" s="8"/>
      <c r="G68" s="2" t="str">
        <f>AM68/AL68-1</f>
      </c>
      <c r="H68" s="2" t="str">
        <f>AM68/AI68-1</f>
      </c>
      <c r="I68" s="2"/>
      <c r="J68" s="2" t="str">
        <f>AM68/Sum(AM$46:AM$87)</f>
      </c>
      <c r="K68" s="2"/>
      <c r="M68" t="s">
        <v>62</v>
      </c>
      <c r="N68" t="s">
        <v>18</v>
      </c>
      <c r="O68" s="8" t="n">
        <v>22604368561.2377</v>
      </c>
      <c r="P68" s="8" t="n">
        <v>20419522699.9964</v>
      </c>
      <c r="Q68" s="8" t="n">
        <v>24690920153.562</v>
      </c>
      <c r="R68" s="8" t="n">
        <v>31742958857.3276</v>
      </c>
      <c r="S68" s="8" t="n">
        <v>41283160318.4047</v>
      </c>
      <c r="T68" s="8" t="n">
        <v>40138038670.1375</v>
      </c>
      <c r="U68" s="8" t="n">
        <v>42022374071.3166</v>
      </c>
      <c r="V68" s="8" t="n">
        <v>39581275143.4787</v>
      </c>
      <c r="W68" s="8" t="n">
        <v>42522969243.8432</v>
      </c>
      <c r="X68" s="8" t="n">
        <v>45068792412.4649</v>
      </c>
      <c r="Y68" s="8" t="n">
        <v>50581697753.7725</v>
      </c>
      <c r="Z68" s="8" t="n">
        <v>55993877803.6831</v>
      </c>
      <c r="AA68" s="8" t="n">
        <v>54071545664.3731</v>
      </c>
      <c r="AB68" s="8" t="n">
        <v>54071331435.328</v>
      </c>
      <c r="AC68" s="8" t="n">
        <v>48547691991.427</v>
      </c>
      <c r="AD68" s="8" t="n">
        <v>48011477746.673</v>
      </c>
      <c r="AE68" s="8" t="n">
        <v>45172965916.1909</v>
      </c>
      <c r="AF68" s="8" t="n">
        <v>48955445851.61</v>
      </c>
      <c r="AG68" s="8" t="n">
        <v>48220768130.1654</v>
      </c>
      <c r="AH68" s="8" t="n">
        <v>52764014502.1697</v>
      </c>
      <c r="AI68" s="8" t="n">
        <v>53844541782.1643</v>
      </c>
      <c r="AJ68" s="8" t="n">
        <v>54052994768.475</v>
      </c>
      <c r="AK68" s="8" t="n">
        <v>52153403952.6039</v>
      </c>
      <c r="AL68" s="8" t="n">
        <v>53828484657.8607</v>
      </c>
      <c r="AM68" s="8" t="n">
        <v>54857994969.3251</v>
      </c>
      <c r="AN68" s="8"/>
    </row>
    <row r="69">
      <c r="A69" t="str">
        <f>M69</f>
      </c>
      <c r="B69" t="str">
        <f>N69</f>
      </c>
      <c r="C69" s="8" t="str">
        <f>AI69</f>
      </c>
      <c r="D69" s="8" t="str">
        <f>AL69</f>
      </c>
      <c r="E69" s="8" t="str">
        <f>AM69</f>
      </c>
      <c r="F69" s="8"/>
      <c r="G69" s="2" t="str">
        <f>AM69/AL69-1</f>
      </c>
      <c r="H69" s="2" t="str">
        <f>AM69/AI69-1</f>
      </c>
      <c r="I69" s="2"/>
      <c r="J69" s="2" t="str">
        <f>AM69/Sum(AM$46:AM$87)</f>
      </c>
      <c r="K69" s="2"/>
      <c r="M69" t="s">
        <v>62</v>
      </c>
      <c r="N69" t="s">
        <v>49</v>
      </c>
      <c r="O69" s="8" t="n">
        <v>23472956895.1914</v>
      </c>
      <c r="P69" s="8" t="n">
        <v>23197348374.1727</v>
      </c>
      <c r="Q69" s="8" t="n">
        <v>26248372653.6406</v>
      </c>
      <c r="R69" s="8" t="n">
        <v>33920175894.0816</v>
      </c>
      <c r="S69" s="8" t="n">
        <v>34188195344.0719</v>
      </c>
      <c r="T69" s="8" t="n">
        <v>36699259531.7261</v>
      </c>
      <c r="U69" s="8" t="n">
        <v>38347748334.1885</v>
      </c>
      <c r="V69" s="8" t="n">
        <v>38090947030.6048</v>
      </c>
      <c r="W69" s="8" t="n">
        <v>34291028782.2982</v>
      </c>
      <c r="X69" s="8" t="n">
        <v>37427588937.122</v>
      </c>
      <c r="Y69" s="8" t="n">
        <v>38677306569.2149</v>
      </c>
      <c r="Z69" s="8" t="n">
        <v>34512393470.2522</v>
      </c>
      <c r="AA69" s="8" t="n">
        <v>31264906771.0462</v>
      </c>
      <c r="AB69" s="8" t="n">
        <v>26338017406.3705</v>
      </c>
      <c r="AC69" s="8" t="n">
        <v>24317433206.9557</v>
      </c>
      <c r="AD69" s="8" t="n">
        <v>22471933483.6674</v>
      </c>
      <c r="AE69" s="8" t="n">
        <v>22751169617.955</v>
      </c>
      <c r="AF69" s="8" t="n">
        <v>23580005794.6905</v>
      </c>
      <c r="AG69" s="8" t="n">
        <v>24430093721.7831</v>
      </c>
      <c r="AH69" s="8" t="n">
        <v>24848494690.76</v>
      </c>
      <c r="AI69" s="8" t="n">
        <v>20156076845.9739</v>
      </c>
      <c r="AJ69" s="8" t="n">
        <v>23083714620.1743</v>
      </c>
      <c r="AK69" s="8" t="n">
        <v>23206713502.0479</v>
      </c>
      <c r="AL69" s="8" t="n">
        <v>24827940456.605</v>
      </c>
      <c r="AM69" s="8" t="n">
        <v>24023282937.8901</v>
      </c>
      <c r="AN69" s="8"/>
    </row>
    <row r="70">
      <c r="A70" t="str">
        <f>M70</f>
      </c>
      <c r="B70" t="str">
        <f>N70</f>
      </c>
      <c r="C70" s="8" t="str">
        <f>AI70</f>
      </c>
      <c r="D70" s="8" t="str">
        <f>AL70</f>
      </c>
      <c r="E70" s="8" t="str">
        <f>AM70</f>
      </c>
      <c r="F70" s="8"/>
      <c r="G70" s="2" t="str">
        <f>AM70/AL70-1</f>
      </c>
      <c r="H70" s="2" t="str">
        <f>AM70/AI70-1</f>
      </c>
      <c r="I70" s="2"/>
      <c r="J70" s="2" t="str">
        <f>AM70/Sum(AM$46:AM$87)</f>
      </c>
      <c r="K70" s="2"/>
      <c r="M70" t="s">
        <v>62</v>
      </c>
      <c r="N70" t="s">
        <v>19</v>
      </c>
      <c r="O70" s="8" t="n">
        <v>3308964.48405714</v>
      </c>
      <c r="P70" s="8" t="n">
        <v>2472606.06072543</v>
      </c>
      <c r="Q70" s="8" t="n">
        <v>14925932.3064742</v>
      </c>
      <c r="R70" s="8" t="n">
        <v>25579927.8296602</v>
      </c>
      <c r="S70" s="8" t="n">
        <v>2224020.36905802</v>
      </c>
      <c r="T70" s="8" t="n">
        <v>647534.757521185</v>
      </c>
      <c r="U70" s="8" t="n">
        <v>13703846.2799302</v>
      </c>
      <c r="V70" s="8" t="n">
        <v>0</v>
      </c>
      <c r="W70" s="8" t="n">
        <v>-209636.32785223</v>
      </c>
      <c r="X70" s="8" t="n">
        <v>19942.785677077</v>
      </c>
      <c r="Y70" s="8" t="n">
        <v>-3957.37940652231</v>
      </c>
      <c r="Z70" s="8"/>
      <c r="AA70" s="8"/>
      <c r="AB70" s="8"/>
      <c r="AC70" s="8"/>
      <c r="AD70" s="8"/>
      <c r="AE70" s="8" t="n">
        <v>0</v>
      </c>
      <c r="AF70" s="8"/>
      <c r="AG70" s="8"/>
      <c r="AH70" s="8"/>
      <c r="AI70" s="8" t="n">
        <v>0</v>
      </c>
      <c r="AJ70" s="8" t="n">
        <v>0</v>
      </c>
      <c r="AK70" s="8" t="n">
        <v>0</v>
      </c>
      <c r="AL70" s="8"/>
      <c r="AM70" s="8"/>
      <c r="AN70" s="8"/>
    </row>
    <row r="71">
      <c r="A71" t="str">
        <f>M71</f>
      </c>
      <c r="B71" t="str">
        <f>N71</f>
      </c>
      <c r="C71" s="8" t="str">
        <f>AI71</f>
      </c>
      <c r="D71" s="8" t="str">
        <f>AL71</f>
      </c>
      <c r="E71" s="8" t="str">
        <f>AM71</f>
      </c>
      <c r="F71" s="8"/>
      <c r="G71" s="2" t="str">
        <f>AM71/AL71-1</f>
      </c>
      <c r="H71" s="2" t="str">
        <f>AM71/AI71-1</f>
      </c>
      <c r="I71" s="2"/>
      <c r="J71" s="2" t="str">
        <f>AM71/Sum(AM$46:AM$87)</f>
      </c>
      <c r="K71" s="2"/>
      <c r="M71" t="s">
        <v>57</v>
      </c>
      <c r="N71" t="s">
        <v>67</v>
      </c>
      <c r="O71" s="8" t="n">
        <v>593397845.818052</v>
      </c>
      <c r="P71" s="8" t="n">
        <v>844014191.665493</v>
      </c>
      <c r="Q71" s="8" t="n">
        <v>1385578115.31108</v>
      </c>
      <c r="R71" s="8" t="n">
        <v>1640458482.6477</v>
      </c>
      <c r="S71" s="8" t="n">
        <v>2234238544.00956</v>
      </c>
      <c r="T71" s="8" t="n">
        <v>2240052384.14306</v>
      </c>
      <c r="U71" s="8" t="n">
        <v>1333188333.35229</v>
      </c>
      <c r="V71" s="8" t="n">
        <v>421581102.403042</v>
      </c>
      <c r="W71" s="8" t="n">
        <v>2189313460.76708</v>
      </c>
      <c r="X71" s="8" t="n">
        <v>681420284.505752</v>
      </c>
      <c r="Y71" s="8" t="n">
        <v>352476434.888237</v>
      </c>
      <c r="Z71" s="8" t="n">
        <v>125371450.416632</v>
      </c>
      <c r="AA71" s="8" t="n">
        <v>150863160.15537</v>
      </c>
      <c r="AB71" s="8" t="n">
        <v>105273530.131001</v>
      </c>
      <c r="AC71" s="8" t="n">
        <v>-5423636.19147693</v>
      </c>
      <c r="AD71" s="8" t="n">
        <v>20116003.329453</v>
      </c>
      <c r="AE71" s="8" t="n">
        <v>43588285.3093973</v>
      </c>
      <c r="AF71" s="8" t="n">
        <v>102985603.87169</v>
      </c>
      <c r="AG71" s="8" t="n">
        <v>120958652.588021</v>
      </c>
      <c r="AH71" s="8" t="n">
        <v>541656150.134061</v>
      </c>
      <c r="AI71" s="8" t="n">
        <v>658270322.490676</v>
      </c>
      <c r="AJ71" s="8" t="n">
        <v>487999398.380858</v>
      </c>
      <c r="AK71" s="8" t="n">
        <v>625206214.935803</v>
      </c>
      <c r="AL71" s="8" t="n">
        <v>257400182.7926</v>
      </c>
      <c r="AM71" s="8" t="n">
        <v>188597777.935625</v>
      </c>
      <c r="AN71" s="8"/>
    </row>
    <row r="72">
      <c r="A72" t="str">
        <f>M72</f>
      </c>
      <c r="B72" t="str">
        <f>N72</f>
      </c>
      <c r="C72" s="8" t="str">
        <f>AI72</f>
      </c>
      <c r="D72" s="8" t="str">
        <f>AL72</f>
      </c>
      <c r="E72" s="8" t="str">
        <f>AM72</f>
      </c>
      <c r="F72" s="8"/>
      <c r="G72" s="2" t="str">
        <f>AM72/AL72-1</f>
      </c>
      <c r="H72" s="2" t="str">
        <f>AM72/AI72-1</f>
      </c>
      <c r="I72" s="2"/>
      <c r="J72" s="2" t="str">
        <f>AM72/Sum(AM$46:AM$87)</f>
      </c>
      <c r="K72" s="2"/>
      <c r="M72" t="s">
        <v>57</v>
      </c>
      <c r="N72" t="s">
        <v>18</v>
      </c>
      <c r="O72" s="8" t="n">
        <v>849473026.869961</v>
      </c>
      <c r="P72" s="8" t="n">
        <v>1620657103.28563</v>
      </c>
      <c r="Q72" s="8" t="n">
        <v>1382205876.84345</v>
      </c>
      <c r="R72" s="8" t="n">
        <v>1625224142.82035</v>
      </c>
      <c r="S72" s="8" t="n">
        <v>1401209053.09256</v>
      </c>
      <c r="T72" s="8" t="n">
        <v>1402162620.32885</v>
      </c>
      <c r="U72" s="8" t="n">
        <v>2066146926.78992</v>
      </c>
      <c r="V72" s="8" t="n">
        <v>1966043777.86231</v>
      </c>
      <c r="W72" s="8" t="n">
        <v>1528499402.87548</v>
      </c>
      <c r="X72" s="8" t="n">
        <v>1766181439.32804</v>
      </c>
      <c r="Y72" s="8" t="n">
        <v>2131966872.68357</v>
      </c>
      <c r="Z72" s="8" t="n">
        <v>2462175494.30537</v>
      </c>
      <c r="AA72" s="8" t="n">
        <v>1439148430.70031</v>
      </c>
      <c r="AB72" s="8" t="n">
        <v>727222451.56094</v>
      </c>
      <c r="AC72" s="8" t="n">
        <v>597242927.988643</v>
      </c>
      <c r="AD72" s="8" t="n">
        <v>656463830.133359</v>
      </c>
      <c r="AE72" s="8" t="n">
        <v>647800017.465916</v>
      </c>
      <c r="AF72" s="8" t="n">
        <v>495331932.29033</v>
      </c>
      <c r="AG72" s="8" t="n">
        <v>405007250.095912</v>
      </c>
      <c r="AH72" s="8" t="n">
        <v>374353090.382735</v>
      </c>
      <c r="AI72" s="8" t="n">
        <v>635200818.994562</v>
      </c>
      <c r="AJ72" s="8" t="n">
        <v>873472030.603726</v>
      </c>
      <c r="AK72" s="8" t="n">
        <v>466121480.039864</v>
      </c>
      <c r="AL72" s="8" t="n">
        <v>974125590.9298</v>
      </c>
      <c r="AM72" s="8" t="n">
        <v>1442725839.67826</v>
      </c>
      <c r="AN72" s="8"/>
    </row>
    <row r="73">
      <c r="A73" t="str">
        <f>M73</f>
      </c>
      <c r="B73" t="str">
        <f>N73</f>
      </c>
      <c r="C73" s="8" t="str">
        <f>AI73</f>
      </c>
      <c r="D73" s="8" t="str">
        <f>AL73</f>
      </c>
      <c r="E73" s="8" t="str">
        <f>AM73</f>
      </c>
      <c r="F73" s="8"/>
      <c r="G73" s="2" t="str">
        <f>AM73/AL73-1</f>
      </c>
      <c r="H73" s="2" t="str">
        <f>AM73/AI73-1</f>
      </c>
      <c r="I73" s="2"/>
      <c r="J73" s="2" t="str">
        <f>AM73/Sum(AM$46:AM$87)</f>
      </c>
      <c r="K73" s="2"/>
      <c r="M73" t="s">
        <v>57</v>
      </c>
      <c r="N73" t="s">
        <v>49</v>
      </c>
      <c r="O73" s="8" t="n">
        <v>192607013.785116</v>
      </c>
      <c r="P73" s="8" t="n">
        <v>113474397.471213</v>
      </c>
      <c r="Q73" s="8" t="n">
        <v>66254625.3121301</v>
      </c>
      <c r="R73" s="8" t="n">
        <v>105431283.385774</v>
      </c>
      <c r="S73" s="8" t="n">
        <v>113351091.053983</v>
      </c>
      <c r="T73" s="8" t="n">
        <v>104352919.171197</v>
      </c>
      <c r="U73" s="8" t="n">
        <v>33271516.8341673</v>
      </c>
      <c r="V73" s="8" t="n">
        <v>2857608.29817646</v>
      </c>
      <c r="W73" s="8" t="n">
        <v>33117168.6169068</v>
      </c>
      <c r="X73" s="8" t="n">
        <v>36999802.0740189</v>
      </c>
      <c r="Y73" s="8" t="n">
        <v>6136658.39685521</v>
      </c>
      <c r="Z73" s="8" t="n">
        <v>-723319.56787252</v>
      </c>
      <c r="AA73" s="8" t="n">
        <v>9980851.78118393</v>
      </c>
      <c r="AB73" s="8" t="n">
        <v>10316485.9678604</v>
      </c>
      <c r="AC73" s="8" t="n">
        <v>5273009.29483533</v>
      </c>
      <c r="AD73" s="8" t="n">
        <v>1242292.15098183</v>
      </c>
      <c r="AE73" s="8" t="n">
        <v>-1697542.0240995</v>
      </c>
      <c r="AF73" s="8" t="n">
        <v>287570.093219622</v>
      </c>
      <c r="AG73" s="8" t="n">
        <v>-208040.207421841</v>
      </c>
      <c r="AH73" s="8" t="n">
        <v>3831510.34312618</v>
      </c>
      <c r="AI73" s="8" t="n">
        <v>3190605.31178548</v>
      </c>
      <c r="AJ73" s="8" t="n">
        <v>962907.583785939</v>
      </c>
      <c r="AK73" s="8" t="n">
        <v>1494642.79768469</v>
      </c>
      <c r="AL73" s="8" t="n">
        <v>146533.875</v>
      </c>
      <c r="AM73" s="8" t="n">
        <v>0</v>
      </c>
      <c r="AN73" s="8"/>
    </row>
    <row r="74">
      <c r="A74" t="str">
        <f>M74</f>
      </c>
      <c r="B74" t="str">
        <f>N74</f>
      </c>
      <c r="C74" s="8" t="str">
        <f>AI74</f>
      </c>
      <c r="D74" s="8" t="str">
        <f>AL74</f>
      </c>
      <c r="E74" s="8" t="str">
        <f>AM74</f>
      </c>
      <c r="F74" s="8"/>
      <c r="G74" s="2" t="str">
        <f>AM74/AL74-1</f>
      </c>
      <c r="H74" s="2" t="str">
        <f>AM74/AI74-1</f>
      </c>
      <c r="I74" s="2"/>
      <c r="J74" s="2" t="str">
        <f>AM74/Sum(AM$46:AM$87)</f>
      </c>
      <c r="K74" s="2"/>
      <c r="M74" t="s">
        <v>57</v>
      </c>
      <c r="N74" t="s">
        <v>19</v>
      </c>
      <c r="O74" s="8"/>
      <c r="P74" s="8" t="n">
        <v>21899.3940981609</v>
      </c>
      <c r="Q74" s="8"/>
      <c r="R74" s="8"/>
      <c r="S74" s="8" t="n">
        <v>4465.53016375393</v>
      </c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</row>
    <row r="75">
      <c r="A75" t="str">
        <f>M75</f>
      </c>
      <c r="B75" t="str">
        <f>N75</f>
      </c>
      <c r="C75" s="8" t="str">
        <f>AI75</f>
      </c>
      <c r="D75" s="8" t="str">
        <f>AL75</f>
      </c>
      <c r="E75" s="8" t="str">
        <f>AM75</f>
      </c>
      <c r="F75" s="8"/>
      <c r="G75" s="2" t="str">
        <f>AM75/AL75-1</f>
      </c>
      <c r="H75" s="2" t="str">
        <f>AM75/AI75-1</f>
      </c>
      <c r="I75" s="2"/>
      <c r="J75" s="2" t="str">
        <f>AM75/Sum(AM$46:AM$87)</f>
      </c>
      <c r="K75" s="2"/>
      <c r="M75" t="s">
        <v>63</v>
      </c>
      <c r="N75" t="s">
        <v>67</v>
      </c>
      <c r="O75" s="8" t="n">
        <v>459066945.928788</v>
      </c>
      <c r="P75" s="8" t="n">
        <v>556215615.710772</v>
      </c>
      <c r="Q75" s="8" t="n">
        <v>648440034.477002</v>
      </c>
      <c r="R75" s="8" t="n">
        <v>837414455.747877</v>
      </c>
      <c r="S75" s="8" t="n">
        <v>775608423.294012</v>
      </c>
      <c r="T75" s="8" t="n">
        <v>1102546174.436</v>
      </c>
      <c r="U75" s="8" t="n">
        <v>1674753826.60456</v>
      </c>
      <c r="V75" s="8" t="n">
        <v>844866191.389439</v>
      </c>
      <c r="W75" s="8" t="n">
        <v>2008468101.80343</v>
      </c>
      <c r="X75" s="8" t="n">
        <v>2515183150.37284</v>
      </c>
      <c r="Y75" s="8" t="n">
        <v>1878824648.05601</v>
      </c>
      <c r="Z75" s="8" t="n">
        <v>2204976690.59618</v>
      </c>
      <c r="AA75" s="8" t="n">
        <v>1580803727.11584</v>
      </c>
      <c r="AB75" s="8" t="n">
        <v>261243188.300335</v>
      </c>
      <c r="AC75" s="8" t="n">
        <v>165757655.05717</v>
      </c>
      <c r="AD75" s="8" t="n">
        <v>165444247.540963</v>
      </c>
      <c r="AE75" s="8" t="n">
        <v>65343891.6908068</v>
      </c>
      <c r="AF75" s="8" t="n">
        <v>55159562.2452368</v>
      </c>
      <c r="AG75" s="8" t="n">
        <v>52115434.2194697</v>
      </c>
      <c r="AH75" s="8" t="n">
        <v>85257098.2032444</v>
      </c>
      <c r="AI75" s="8" t="n">
        <v>166606701.354114</v>
      </c>
      <c r="AJ75" s="8" t="n">
        <v>100694675.997286</v>
      </c>
      <c r="AK75" s="8" t="n">
        <v>50147640.0124181</v>
      </c>
      <c r="AL75" s="8" t="n">
        <v>58001035.387</v>
      </c>
      <c r="AM75" s="8" t="n">
        <v>91988602.2228985</v>
      </c>
      <c r="AN75" s="8"/>
    </row>
    <row r="76">
      <c r="A76" t="str">
        <f>M76</f>
      </c>
      <c r="B76" t="str">
        <f>N76</f>
      </c>
      <c r="C76" s="8" t="str">
        <f>AI76</f>
      </c>
      <c r="D76" s="8" t="str">
        <f>AL76</f>
      </c>
      <c r="E76" s="8" t="str">
        <f>AM76</f>
      </c>
      <c r="F76" s="8"/>
      <c r="G76" s="2" t="str">
        <f>AM76/AL76-1</f>
      </c>
      <c r="H76" s="2" t="str">
        <f>AM76/AI76-1</f>
      </c>
      <c r="I76" s="2"/>
      <c r="J76" s="2" t="str">
        <f>AM76/Sum(AM$46:AM$87)</f>
      </c>
      <c r="K76" s="2"/>
      <c r="M76" t="s">
        <v>63</v>
      </c>
      <c r="N76" t="s">
        <v>18</v>
      </c>
      <c r="O76" s="8" t="n">
        <v>7453114389.65547</v>
      </c>
      <c r="P76" s="8" t="n">
        <v>6563497021.4554</v>
      </c>
      <c r="Q76" s="8" t="n">
        <v>8126265387.9254</v>
      </c>
      <c r="R76" s="8" t="n">
        <v>10736304889.2401</v>
      </c>
      <c r="S76" s="8" t="n">
        <v>13180744291.0364</v>
      </c>
      <c r="T76" s="8" t="n">
        <v>14541920064.531</v>
      </c>
      <c r="U76" s="8" t="n">
        <v>17281020986.8997</v>
      </c>
      <c r="V76" s="8" t="n">
        <v>19627960773.4347</v>
      </c>
      <c r="W76" s="8" t="n">
        <v>20848566343.8463</v>
      </c>
      <c r="X76" s="8" t="n">
        <v>19121749360.9299</v>
      </c>
      <c r="Y76" s="8" t="n">
        <v>18773869859.4855</v>
      </c>
      <c r="Z76" s="8" t="n">
        <v>12243532586.747</v>
      </c>
      <c r="AA76" s="8" t="n">
        <v>8746384345.74726</v>
      </c>
      <c r="AB76" s="8" t="n">
        <v>5726797839.6832</v>
      </c>
      <c r="AC76" s="8" t="n">
        <v>3458671874.78541</v>
      </c>
      <c r="AD76" s="8" t="n">
        <v>2869729055.13568</v>
      </c>
      <c r="AE76" s="8" t="n">
        <v>3287944143.14868</v>
      </c>
      <c r="AF76" s="8" t="n">
        <v>3624962957.74057</v>
      </c>
      <c r="AG76" s="8" t="n">
        <v>5325105618.70858</v>
      </c>
      <c r="AH76" s="8" t="n">
        <v>4794033918.71564</v>
      </c>
      <c r="AI76" s="8" t="n">
        <v>4713827976.04947</v>
      </c>
      <c r="AJ76" s="8" t="n">
        <v>3976690353.34933</v>
      </c>
      <c r="AK76" s="8" t="n">
        <v>3702316915.32398</v>
      </c>
      <c r="AL76" s="8" t="n">
        <v>4560092598.0283</v>
      </c>
      <c r="AM76" s="8" t="n">
        <v>4934813043.51758</v>
      </c>
      <c r="AN76" s="8"/>
    </row>
    <row r="77">
      <c r="A77" t="str">
        <f>M77</f>
      </c>
      <c r="B77" t="str">
        <f>N77</f>
      </c>
      <c r="C77" s="8" t="str">
        <f>AI77</f>
      </c>
      <c r="D77" s="8" t="str">
        <f>AL77</f>
      </c>
      <c r="E77" s="8" t="str">
        <f>AM77</f>
      </c>
      <c r="F77" s="8"/>
      <c r="G77" s="2" t="str">
        <f>AM77/AL77-1</f>
      </c>
      <c r="H77" s="2" t="str">
        <f>AM77/AI77-1</f>
      </c>
      <c r="I77" s="2"/>
      <c r="J77" s="2" t="str">
        <f>AM77/Sum(AM$46:AM$87)</f>
      </c>
      <c r="K77" s="2"/>
      <c r="M77" t="s">
        <v>63</v>
      </c>
      <c r="N77" t="s">
        <v>49</v>
      </c>
      <c r="O77" s="8" t="n">
        <v>746065482.244932</v>
      </c>
      <c r="P77" s="8" t="n">
        <v>860183405.735271</v>
      </c>
      <c r="Q77" s="8" t="n">
        <v>1090726549.58703</v>
      </c>
      <c r="R77" s="8" t="n">
        <v>1294183927.36703</v>
      </c>
      <c r="S77" s="8" t="n">
        <v>1312637995.86093</v>
      </c>
      <c r="T77" s="8" t="n">
        <v>1625577310.61402</v>
      </c>
      <c r="U77" s="8" t="n">
        <v>1567646232.5484</v>
      </c>
      <c r="V77" s="8" t="n">
        <v>1483301858.52835</v>
      </c>
      <c r="W77" s="8" t="n">
        <v>1209866122.58922</v>
      </c>
      <c r="X77" s="8" t="n">
        <v>840136776.274639</v>
      </c>
      <c r="Y77" s="8" t="n">
        <v>1221752221.36195</v>
      </c>
      <c r="Z77" s="8" t="n">
        <v>754177277.867234</v>
      </c>
      <c r="AA77" s="8" t="n">
        <v>608161715.357444</v>
      </c>
      <c r="AB77" s="8" t="n">
        <v>372744082.769901</v>
      </c>
      <c r="AC77" s="8" t="n">
        <v>155174723.737771</v>
      </c>
      <c r="AD77" s="8" t="n">
        <v>210723701.718547</v>
      </c>
      <c r="AE77" s="8" t="n">
        <v>219773372.379704</v>
      </c>
      <c r="AF77" s="8" t="n">
        <v>174681011.258813</v>
      </c>
      <c r="AG77" s="8" t="n">
        <v>120279406.881646</v>
      </c>
      <c r="AH77" s="8" t="n">
        <v>133026937.330895</v>
      </c>
      <c r="AI77" s="8" t="n">
        <v>160586581.746278</v>
      </c>
      <c r="AJ77" s="8" t="n">
        <v>160721518.416915</v>
      </c>
      <c r="AK77" s="8" t="n">
        <v>188730825.865678</v>
      </c>
      <c r="AL77" s="8" t="n">
        <v>289593704.7404</v>
      </c>
      <c r="AM77" s="8" t="n">
        <v>356456999.576786</v>
      </c>
      <c r="AN77" s="8"/>
    </row>
    <row r="78">
      <c r="A78" t="str">
        <f>M78</f>
      </c>
      <c r="B78" t="str">
        <f>N78</f>
      </c>
      <c r="C78" s="8" t="str">
        <f>AI78</f>
      </c>
      <c r="D78" s="8" t="str">
        <f>AL78</f>
      </c>
      <c r="E78" s="8" t="str">
        <f>AM78</f>
      </c>
      <c r="F78" s="8"/>
      <c r="G78" s="2" t="str">
        <f>AM78/AL78-1</f>
      </c>
      <c r="H78" s="2" t="str">
        <f>AM78/AI78-1</f>
      </c>
      <c r="I78" s="2"/>
      <c r="J78" s="2" t="str">
        <f>AM78/Sum(AM$46:AM$87)</f>
      </c>
      <c r="K78" s="2"/>
      <c r="M78" t="s">
        <v>63</v>
      </c>
      <c r="N78" t="s">
        <v>19</v>
      </c>
      <c r="O78" s="8" t="n">
        <v>36569978.2918318</v>
      </c>
      <c r="P78" s="8" t="n">
        <v>5261059.20271893</v>
      </c>
      <c r="Q78" s="8" t="n">
        <v>58896895.716268</v>
      </c>
      <c r="R78" s="8" t="n">
        <v>83228577.8503327</v>
      </c>
      <c r="S78" s="8" t="n">
        <v>4142983.33576261</v>
      </c>
      <c r="T78" s="8" t="n">
        <v>1296791.352122</v>
      </c>
      <c r="U78" s="8" t="n">
        <v>98359225.5766313</v>
      </c>
      <c r="V78" s="8" t="n">
        <v>-52431.8682902133</v>
      </c>
      <c r="W78" s="8" t="n">
        <v>-267276.102308813</v>
      </c>
      <c r="X78" s="8" t="n">
        <v>0</v>
      </c>
      <c r="Y78" s="8" t="n">
        <v>-33332.0123602517</v>
      </c>
      <c r="Z78" s="8" t="n">
        <v>-5.15074552144211</v>
      </c>
      <c r="AA78" s="8" t="n">
        <v>-3707.84034077016</v>
      </c>
      <c r="AB78" s="8" t="n">
        <v>-61237.445279754</v>
      </c>
      <c r="AC78" s="8"/>
      <c r="AD78" s="8"/>
      <c r="AE78" s="8" t="n">
        <v>-1.32819707195306</v>
      </c>
      <c r="AF78" s="8"/>
      <c r="AG78" s="8"/>
      <c r="AH78" s="8"/>
      <c r="AI78" s="8"/>
      <c r="AJ78" s="8"/>
      <c r="AK78" s="8"/>
      <c r="AL78" s="8"/>
      <c r="AM78" s="8"/>
      <c r="AN78" s="8"/>
    </row>
    <row r="79">
      <c r="A79" t="str">
        <f>M79</f>
      </c>
      <c r="B79" t="str">
        <f>N79</f>
      </c>
      <c r="C79" s="8" t="str">
        <f>AI79</f>
      </c>
      <c r="D79" s="8" t="str">
        <f>AL79</f>
      </c>
      <c r="E79" s="8" t="str">
        <f>AM79</f>
      </c>
      <c r="F79" s="8"/>
      <c r="G79" s="2" t="str">
        <f>AM79/AL79-1</f>
      </c>
      <c r="H79" s="2" t="str">
        <f>AM79/AI79-1</f>
      </c>
      <c r="I79" s="2"/>
      <c r="J79" s="2" t="str">
        <f>AM79/Sum(AM$46:AM$87)</f>
      </c>
      <c r="K79" s="2"/>
      <c r="M79" t="s">
        <v>66</v>
      </c>
      <c r="N79" t="s">
        <v>67</v>
      </c>
      <c r="O79" s="8" t="n">
        <v>12139080682.2396</v>
      </c>
      <c r="P79" s="8" t="n">
        <v>11481604676.1739</v>
      </c>
      <c r="Q79" s="8" t="n">
        <v>7960680175.13907</v>
      </c>
      <c r="R79" s="8" t="n">
        <v>11216990924.8114</v>
      </c>
      <c r="S79" s="8" t="n">
        <v>12753528335.2687</v>
      </c>
      <c r="T79" s="8" t="n">
        <v>12216387923.033</v>
      </c>
      <c r="U79" s="8" t="n">
        <v>11584691182.4043</v>
      </c>
      <c r="V79" s="8" t="n">
        <v>16678666580.8788</v>
      </c>
      <c r="W79" s="8" t="n">
        <v>12881582726.0661</v>
      </c>
      <c r="X79" s="8" t="n">
        <v>13872925364.7255</v>
      </c>
      <c r="Y79" s="8" t="n">
        <v>21719267877.7939</v>
      </c>
      <c r="Z79" s="8" t="n">
        <v>14557899822.5968</v>
      </c>
      <c r="AA79" s="8" t="n">
        <v>24070389007.0409</v>
      </c>
      <c r="AB79" s="8" t="n">
        <v>16233640038.2498</v>
      </c>
      <c r="AC79" s="8" t="n">
        <v>7348149769.10762</v>
      </c>
      <c r="AD79" s="8" t="n">
        <v>8524518391.25726</v>
      </c>
      <c r="AE79" s="8" t="n">
        <v>24114292759.0174</v>
      </c>
      <c r="AF79" s="8" t="n">
        <v>39705175728.7042</v>
      </c>
      <c r="AG79" s="8" t="n">
        <v>33916792452.7755</v>
      </c>
      <c r="AH79" s="8" t="n">
        <v>24316662978.4611</v>
      </c>
      <c r="AI79" s="8" t="n">
        <v>50194906139.5179</v>
      </c>
      <c r="AJ79" s="8" t="n">
        <v>20570042879.4445</v>
      </c>
      <c r="AK79" s="8" t="n">
        <v>22814045271.9498</v>
      </c>
      <c r="AL79" s="8" t="n">
        <v>26293291314.9084</v>
      </c>
      <c r="AM79" s="8" t="n">
        <v>31330005506.5521</v>
      </c>
      <c r="AN79" s="8"/>
    </row>
    <row r="80">
      <c r="A80" t="str">
        <f>M80</f>
      </c>
      <c r="B80" t="str">
        <f>N80</f>
      </c>
      <c r="C80" s="8" t="str">
        <f>AI80</f>
      </c>
      <c r="D80" s="8" t="str">
        <f>AL80</f>
      </c>
      <c r="E80" s="8" t="str">
        <f>AM80</f>
      </c>
      <c r="F80" s="8"/>
      <c r="G80" s="2" t="str">
        <f>AM80/AL80-1</f>
      </c>
      <c r="H80" s="2" t="str">
        <f>AM80/AI80-1</f>
      </c>
      <c r="I80" s="2"/>
      <c r="J80" s="2" t="str">
        <f>AM80/Sum(AM$46:AM$87)</f>
      </c>
      <c r="K80" s="2"/>
      <c r="M80" t="s">
        <v>66</v>
      </c>
      <c r="N80" t="s">
        <v>18</v>
      </c>
      <c r="O80" s="8" t="n">
        <v>536895462.468129</v>
      </c>
      <c r="P80" s="8" t="n">
        <v>610019397.919311</v>
      </c>
      <c r="Q80" s="8" t="n">
        <v>620124689.996496</v>
      </c>
      <c r="R80" s="8" t="n">
        <v>602716838.372098</v>
      </c>
      <c r="S80" s="8" t="n">
        <v>569171695.972851</v>
      </c>
      <c r="T80" s="8" t="n">
        <v>1253614302.42476</v>
      </c>
      <c r="U80" s="8" t="n">
        <v>1259706798.42119</v>
      </c>
      <c r="V80" s="8" t="n">
        <v>2312808369.82144</v>
      </c>
      <c r="W80" s="8" t="n">
        <v>3202706676.7545</v>
      </c>
      <c r="X80" s="8" t="n">
        <v>3928050439.06201</v>
      </c>
      <c r="Y80" s="8" t="n">
        <v>6600800482.07087</v>
      </c>
      <c r="Z80" s="8" t="n">
        <v>3857562266.4731</v>
      </c>
      <c r="AA80" s="8" t="n">
        <v>5486351594.38184</v>
      </c>
      <c r="AB80" s="8" t="n">
        <v>3752455859.48982</v>
      </c>
      <c r="AC80" s="8" t="n">
        <v>2459039678.19094</v>
      </c>
      <c r="AD80" s="8" t="n">
        <v>1701194679.9852</v>
      </c>
      <c r="AE80" s="8" t="n">
        <v>7140225641.71488</v>
      </c>
      <c r="AF80" s="8" t="n">
        <v>4867614362.02513</v>
      </c>
      <c r="AG80" s="8" t="n">
        <v>11332645321.5509</v>
      </c>
      <c r="AH80" s="8" t="n">
        <v>10372252600.3382</v>
      </c>
      <c r="AI80" s="8" t="n">
        <v>8944657447.22589</v>
      </c>
      <c r="AJ80" s="8" t="n">
        <v>4497088977.45069</v>
      </c>
      <c r="AK80" s="8" t="n">
        <v>4736768075.36722</v>
      </c>
      <c r="AL80" s="8" t="n">
        <v>4578415237.0464</v>
      </c>
      <c r="AM80" s="8" t="n">
        <v>4961343649.99924</v>
      </c>
      <c r="AN80" s="8"/>
    </row>
    <row r="81">
      <c r="A81" t="str">
        <f>M81</f>
      </c>
      <c r="B81" t="str">
        <f>N81</f>
      </c>
      <c r="C81" s="8" t="str">
        <f>AI81</f>
      </c>
      <c r="D81" s="8" t="str">
        <f>AL81</f>
      </c>
      <c r="E81" s="8" t="str">
        <f>AM81</f>
      </c>
      <c r="F81" s="8"/>
      <c r="G81" s="2" t="str">
        <f>AM81/AL81-1</f>
      </c>
      <c r="H81" s="2" t="str">
        <f>AM81/AI81-1</f>
      </c>
      <c r="I81" s="2"/>
      <c r="J81" s="2" t="str">
        <f>AM81/Sum(AM$46:AM$87)</f>
      </c>
      <c r="K81" s="2"/>
      <c r="M81" t="s">
        <v>66</v>
      </c>
      <c r="N81" t="s">
        <v>49</v>
      </c>
      <c r="O81" s="8" t="n">
        <v>2752220219.36377</v>
      </c>
      <c r="P81" s="8" t="n">
        <v>5077599995.79805</v>
      </c>
      <c r="Q81" s="8" t="n">
        <v>6676156229.13547</v>
      </c>
      <c r="R81" s="8" t="n">
        <v>4408886420.11206</v>
      </c>
      <c r="S81" s="8" t="n">
        <v>5198281915.36092</v>
      </c>
      <c r="T81" s="8" t="n">
        <v>5700589294.84041</v>
      </c>
      <c r="U81" s="8" t="n">
        <v>10636283042.745</v>
      </c>
      <c r="V81" s="8" t="n">
        <v>9890836158.88549</v>
      </c>
      <c r="W81" s="8" t="n">
        <v>8019096403.90768</v>
      </c>
      <c r="X81" s="8" t="n">
        <v>5021423093.04566</v>
      </c>
      <c r="Y81" s="8" t="n">
        <v>3521239073.17803</v>
      </c>
      <c r="Z81" s="8" t="n">
        <v>1401650339.66538</v>
      </c>
      <c r="AA81" s="8" t="n">
        <v>1030131355.31436</v>
      </c>
      <c r="AB81" s="8" t="n">
        <v>1083433851.25203</v>
      </c>
      <c r="AC81" s="8" t="n">
        <v>620878687.358383</v>
      </c>
      <c r="AD81" s="8" t="n">
        <v>331245608.845809</v>
      </c>
      <c r="AE81" s="8" t="n">
        <v>643491516.695942</v>
      </c>
      <c r="AF81" s="8" t="n">
        <v>1223417786.01929</v>
      </c>
      <c r="AG81" s="8" t="n">
        <v>888872808.2107</v>
      </c>
      <c r="AH81" s="8" t="n">
        <v>2501613177.05926</v>
      </c>
      <c r="AI81" s="8" t="n">
        <v>1802955510.37163</v>
      </c>
      <c r="AJ81" s="8" t="n">
        <v>1288184121.93675</v>
      </c>
      <c r="AK81" s="8" t="n">
        <v>1104501700.00227</v>
      </c>
      <c r="AL81" s="8" t="n">
        <v>1970746290.2814</v>
      </c>
      <c r="AM81" s="8" t="n">
        <v>1754948122.98689</v>
      </c>
      <c r="AN81" s="8"/>
    </row>
    <row r="82">
      <c r="A82" t="str">
        <f>M82</f>
      </c>
      <c r="B82" t="str">
        <f>N82</f>
      </c>
      <c r="C82" s="8" t="str">
        <f>AI82</f>
      </c>
      <c r="D82" s="8" t="str">
        <f>AL82</f>
      </c>
      <c r="E82" s="8" t="str">
        <f>AM82</f>
      </c>
      <c r="F82" s="8"/>
      <c r="G82" s="2" t="str">
        <f>AM82/AL82-1</f>
      </c>
      <c r="H82" s="2" t="str">
        <f>AM82/AI82-1</f>
      </c>
      <c r="I82" s="2"/>
      <c r="J82" s="2" t="str">
        <f>AM82/Sum(AM$46:AM$87)</f>
      </c>
      <c r="K82" s="2"/>
      <c r="M82" t="s">
        <v>66</v>
      </c>
      <c r="N82" t="s">
        <v>19</v>
      </c>
      <c r="O82" s="8" t="n">
        <v>0</v>
      </c>
      <c r="P82" s="8" t="n">
        <v>12802.8237120113</v>
      </c>
      <c r="Q82" s="8" t="n">
        <v>845900.693543759</v>
      </c>
      <c r="R82" s="8" t="n">
        <v>33725.9202199537</v>
      </c>
      <c r="S82" s="8"/>
      <c r="T82" s="8"/>
      <c r="U82" s="8" t="n">
        <v>0</v>
      </c>
      <c r="V82" s="8"/>
      <c r="W82" s="8" t="n">
        <v>0</v>
      </c>
      <c r="X82" s="8"/>
      <c r="Y82" s="8" t="n">
        <v>-242011.720759033</v>
      </c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</row>
    <row r="83">
      <c r="A83" t="str">
        <f>M83</f>
      </c>
      <c r="B83" t="str">
        <f>N83</f>
      </c>
      <c r="C83" s="8" t="str">
        <f>AI83</f>
      </c>
      <c r="D83" s="8" t="str">
        <f>AL83</f>
      </c>
      <c r="E83" s="8" t="str">
        <f>AM83</f>
      </c>
      <c r="F83" s="8"/>
      <c r="G83" s="2" t="str">
        <f>AM83/AL83-1</f>
      </c>
      <c r="H83" s="2" t="str">
        <f>AM83/AI83-1</f>
      </c>
      <c r="I83" s="2"/>
      <c r="J83" s="2" t="str">
        <f>AM83/Sum(AM$46:AM$87)</f>
      </c>
      <c r="K83" s="2"/>
      <c r="M83"/>
      <c r="N83" t="s">
        <v>67</v>
      </c>
      <c r="O83" s="8" t="n">
        <v>11418609949.8141</v>
      </c>
      <c r="P83" s="8" t="n">
        <v>4399133748.06456</v>
      </c>
      <c r="Q83" s="8" t="n">
        <v>6999578801.27402</v>
      </c>
      <c r="R83" s="8" t="n">
        <v>8406402069.55518</v>
      </c>
      <c r="S83" s="8" t="n">
        <v>8848287285.06049</v>
      </c>
      <c r="T83" s="8" t="n">
        <v>6491806774.06009</v>
      </c>
      <c r="U83" s="8" t="n">
        <v>4354802359.93111</v>
      </c>
      <c r="V83" s="8" t="n">
        <v>879295241.331824</v>
      </c>
      <c r="W83" s="8" t="n">
        <v>4677808212.11451</v>
      </c>
      <c r="X83" s="8" t="n">
        <v>1901936810.28935</v>
      </c>
      <c r="Y83" s="8" t="n">
        <v>1203246509.60184</v>
      </c>
      <c r="Z83" s="8" t="n">
        <v>1885752217.03046</v>
      </c>
      <c r="AA83" s="8" t="n">
        <v>4327685183.80224</v>
      </c>
      <c r="AB83" s="8" t="n">
        <v>346549600.323087</v>
      </c>
      <c r="AC83" s="8" t="n">
        <v>469876147.966614</v>
      </c>
      <c r="AD83" s="8" t="n">
        <v>142785701.530997</v>
      </c>
      <c r="AE83" s="8" t="n">
        <v>491049943.962248</v>
      </c>
      <c r="AF83" s="8" t="n">
        <v>279927077.508934</v>
      </c>
      <c r="AG83" s="8" t="n">
        <v>0</v>
      </c>
      <c r="AH83" s="8" t="n">
        <v>0</v>
      </c>
      <c r="AI83" s="8" t="n">
        <v>0</v>
      </c>
      <c r="AJ83" s="8" t="n">
        <v>0</v>
      </c>
      <c r="AK83" s="8" t="n">
        <v>0</v>
      </c>
      <c r="AL83" s="8" t="n">
        <v>0</v>
      </c>
      <c r="AM83" s="8" t="n">
        <v>0</v>
      </c>
      <c r="AN83" s="8"/>
    </row>
    <row r="84">
      <c r="A84" t="str">
        <f>M84</f>
      </c>
      <c r="B84" t="str">
        <f>N84</f>
      </c>
      <c r="C84" s="8" t="str">
        <f>AI84</f>
      </c>
      <c r="D84" s="8" t="str">
        <f>AL84</f>
      </c>
      <c r="E84" s="8" t="str">
        <f>AM84</f>
      </c>
      <c r="F84" s="8"/>
      <c r="G84" s="2" t="str">
        <f>AM84/AL84-1</f>
      </c>
      <c r="H84" s="2" t="str">
        <f>AM84/AI84-1</f>
      </c>
      <c r="I84" s="2"/>
      <c r="J84" s="2" t="str">
        <f>AM84/Sum(AM$46:AM$87)</f>
      </c>
      <c r="K84" s="2"/>
      <c r="M84"/>
      <c r="N84" t="s">
        <v>18</v>
      </c>
      <c r="O84" s="8" t="n">
        <v>8363416998.03449</v>
      </c>
      <c r="P84" s="8" t="n">
        <v>6114144640.44238</v>
      </c>
      <c r="Q84" s="8" t="n">
        <v>6750686074.62364</v>
      </c>
      <c r="R84" s="8" t="n">
        <v>5996193906.06456</v>
      </c>
      <c r="S84" s="8" t="n">
        <v>5499285485.39256</v>
      </c>
      <c r="T84" s="8" t="n">
        <v>4637960863.17588</v>
      </c>
      <c r="U84" s="8" t="n">
        <v>2495892240.26018</v>
      </c>
      <c r="V84" s="8" t="n">
        <v>268185966.861113</v>
      </c>
      <c r="W84" s="8" t="n">
        <v>2157202167.06914</v>
      </c>
      <c r="X84" s="8" t="n">
        <v>662882332.59665</v>
      </c>
      <c r="Y84" s="8" t="n">
        <v>350889599.300339</v>
      </c>
      <c r="Z84" s="8" t="n">
        <v>268125515.773039</v>
      </c>
      <c r="AA84" s="8" t="n">
        <v>587300176.796783</v>
      </c>
      <c r="AB84" s="8" t="n">
        <v>523664253.585157</v>
      </c>
      <c r="AC84" s="8" t="n">
        <v>548094746.896306</v>
      </c>
      <c r="AD84" s="8" t="n">
        <v>630241464.112735</v>
      </c>
      <c r="AE84" s="8" t="n">
        <v>397898195.867837</v>
      </c>
      <c r="AF84" s="8" t="n">
        <v>1097109185.1303</v>
      </c>
      <c r="AG84" s="8" t="n">
        <v>0</v>
      </c>
      <c r="AH84" s="8" t="n">
        <v>59684.9236466806</v>
      </c>
      <c r="AI84" s="8" t="n">
        <v>0</v>
      </c>
      <c r="AJ84" s="8" t="n">
        <v>0</v>
      </c>
      <c r="AK84" s="8" t="n">
        <v>0</v>
      </c>
      <c r="AL84" s="8" t="n">
        <v>-39324.9492</v>
      </c>
      <c r="AM84" s="8" t="n">
        <v>0</v>
      </c>
      <c r="AN84" s="8"/>
    </row>
    <row r="85">
      <c r="A85" t="str">
        <f>M85</f>
      </c>
      <c r="B85" t="str">
        <f>N85</f>
      </c>
      <c r="C85" s="8" t="str">
        <f>AI85</f>
      </c>
      <c r="D85" s="8" t="str">
        <f>AL85</f>
      </c>
      <c r="E85" s="8" t="str">
        <f>AM85</f>
      </c>
      <c r="F85" s="8"/>
      <c r="G85" s="2" t="str">
        <f>AM85/AL85-1</f>
      </c>
      <c r="H85" s="2" t="str">
        <f>AM85/AI85-1</f>
      </c>
      <c r="I85" s="2"/>
      <c r="J85" s="2" t="str">
        <f>AM85/Sum(AM$46:AM$87)</f>
      </c>
      <c r="K85" s="2"/>
      <c r="M85"/>
      <c r="N85" t="s">
        <v>49</v>
      </c>
      <c r="O85" s="8" t="n">
        <v>835624928.925579</v>
      </c>
      <c r="P85" s="8" t="n">
        <v>18145179.8837766</v>
      </c>
      <c r="Q85" s="8" t="n">
        <v>1202412.5446824</v>
      </c>
      <c r="R85" s="8" t="n">
        <v>1437059.91765277</v>
      </c>
      <c r="S85" s="8" t="n">
        <v>254639.846340445</v>
      </c>
      <c r="T85" s="8" t="n">
        <v>1166311.91835906</v>
      </c>
      <c r="U85" s="8" t="n">
        <v>3881364.23881157</v>
      </c>
      <c r="V85" s="8" t="n">
        <v>13166283.7427134</v>
      </c>
      <c r="W85" s="8" t="n">
        <v>1671293053.80243</v>
      </c>
      <c r="X85" s="8" t="n">
        <v>1980940735.05622</v>
      </c>
      <c r="Y85" s="8" t="n">
        <v>23964704.0453618</v>
      </c>
      <c r="Z85" s="8" t="n">
        <v>754470.795738595</v>
      </c>
      <c r="AA85" s="8" t="n">
        <v>1775121.11735208</v>
      </c>
      <c r="AB85" s="8" t="n">
        <v>6859834.48883601</v>
      </c>
      <c r="AC85" s="8" t="n">
        <v>21112319.9730293</v>
      </c>
      <c r="AD85" s="8" t="n">
        <v>117018552.401049</v>
      </c>
      <c r="AE85" s="8" t="n">
        <v>13928205.6157359</v>
      </c>
      <c r="AF85" s="8" t="n">
        <v>19192466.1097395</v>
      </c>
      <c r="AG85" s="8" t="n">
        <v>0</v>
      </c>
      <c r="AH85" s="8" t="n">
        <v>0</v>
      </c>
      <c r="AI85" s="8" t="n">
        <v>0</v>
      </c>
      <c r="AJ85" s="8" t="n">
        <v>0</v>
      </c>
      <c r="AK85" s="8" t="n">
        <v>0</v>
      </c>
      <c r="AL85" s="8" t="n">
        <v>0</v>
      </c>
      <c r="AM85" s="8" t="n">
        <v>0</v>
      </c>
      <c r="AN85" s="8"/>
    </row>
    <row r="86">
      <c r="A86" t="str">
        <f>M86</f>
      </c>
      <c r="B86" t="str">
        <f>N86</f>
      </c>
      <c r="C86" s="8" t="str">
        <f>AI86</f>
      </c>
      <c r="D86" s="8" t="str">
        <f>AL86</f>
      </c>
      <c r="E86" s="8" t="str">
        <f>AM86</f>
      </c>
      <c r="F86" s="8"/>
      <c r="G86" s="2" t="str">
        <f>AM86/AL86-1</f>
      </c>
      <c r="H86" s="2" t="str">
        <f>AM86/AI86-1</f>
      </c>
      <c r="I86" s="2"/>
      <c r="J86" s="2" t="str">
        <f>AM86/Sum(AM$46:AM$87)</f>
      </c>
      <c r="K86" s="2"/>
      <c r="M86"/>
      <c r="N86" t="s">
        <v>19</v>
      </c>
      <c r="O86" s="8" t="n">
        <v>9202811.27882349</v>
      </c>
      <c r="P86" s="8" t="n">
        <v>3666333.31462151</v>
      </c>
      <c r="Q86" s="8" t="n">
        <v>-6987.11728744158</v>
      </c>
      <c r="R86" s="8" t="n">
        <v>238866.397952528</v>
      </c>
      <c r="S86" s="8" t="n">
        <v>-3869.3419552838</v>
      </c>
      <c r="T86" s="8" t="n">
        <v>27370.0409464266</v>
      </c>
      <c r="U86" s="8" t="n">
        <v>913205.727825245</v>
      </c>
      <c r="V86" s="8" t="n">
        <v>0</v>
      </c>
      <c r="W86" s="8" t="n">
        <v>-11241.8550176067</v>
      </c>
      <c r="X86" s="8" t="n">
        <v>409163.948803724</v>
      </c>
      <c r="Y86" s="8" t="n">
        <v>-1934.90750375111</v>
      </c>
      <c r="Z86" s="8" t="n">
        <v>-239.309508242339</v>
      </c>
      <c r="AA86" s="8"/>
      <c r="AB86" s="8"/>
      <c r="AC86" s="8"/>
      <c r="AD86" s="8" t="n">
        <v>37536.9003683804</v>
      </c>
      <c r="AE86" s="8" t="n">
        <v>2157.67476297287</v>
      </c>
      <c r="AF86" s="8" t="n">
        <v>1657529.93671841</v>
      </c>
      <c r="AG86" s="8" t="n">
        <v>24128.2435797438</v>
      </c>
      <c r="AH86" s="8" t="n">
        <v>0</v>
      </c>
      <c r="AI86" s="8" t="n">
        <v>11573.9072704938</v>
      </c>
      <c r="AJ86" s="8" t="n">
        <v>11188.817598517</v>
      </c>
      <c r="AK86" s="8"/>
      <c r="AL86" s="8" t="n">
        <v>10000</v>
      </c>
      <c r="AM86" s="8"/>
      <c r="AN86" s="8"/>
    </row>
    <row r="87">
      <c r="A87" t="str">
        <f>M87</f>
      </c>
      <c r="B87" t="str">
        <f>N87</f>
      </c>
      <c r="C87" s="8" t="str">
        <f>AI87</f>
      </c>
      <c r="D87" s="8" t="str">
        <f>AL87</f>
      </c>
      <c r="E87" s="8" t="str">
        <f>AM87</f>
      </c>
      <c r="F87" s="8"/>
      <c r="G87" s="2" t="str">
        <f>AM87/AL87-1</f>
      </c>
      <c r="H87" s="2" t="str">
        <f>AM87/AI87-1</f>
      </c>
      <c r="I87" s="2"/>
      <c r="J87" s="2" t="str">
        <f>AM87/Sum(AM$46:AM$87)</f>
      </c>
      <c r="K87" s="2"/>
      <c r="M87"/>
      <c r="N87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 t="n">
        <v>9739.88670259903</v>
      </c>
      <c r="AN87" s="8"/>
    </row>
    <row r="88">
      <c r="A88" t="str">
        <f>M88</f>
      </c>
      <c r="B88" t="str">
        <f>N88</f>
      </c>
      <c r="C88" s="8" t="str">
        <f>AI88</f>
      </c>
      <c r="D88" s="8" t="str">
        <f>AL88</f>
      </c>
      <c r="E88" s="8" t="str">
        <f>AM88</f>
      </c>
      <c r="F88" s="8"/>
      <c r="G88" s="2" t="str">
        <f>AM88/AL88-1</f>
      </c>
      <c r="H88" s="2" t="str">
        <f>AM88/AI88-1</f>
      </c>
      <c r="I88" s="2"/>
      <c r="J88" s="2" t="str">
        <f>Sum(J$46:J$87)</f>
      </c>
      <c r="K88" s="2"/>
      <c r="M88" t="s">
        <v>20</v>
      </c>
      <c r="N88" t="s">
        <v>21</v>
      </c>
      <c r="O88" s="8" t="str">
        <f>Sum(O47:O87)</f>
      </c>
      <c r="P88" s="8" t="str">
        <f>Sum(P47:P87)</f>
      </c>
      <c r="Q88" s="8" t="str">
        <f>Sum(Q47:Q87)</f>
      </c>
      <c r="R88" s="8" t="str">
        <f>Sum(R47:R87)</f>
      </c>
      <c r="S88" s="8" t="str">
        <f>Sum(S47:S87)</f>
      </c>
      <c r="T88" s="8" t="str">
        <f>Sum(T47:T87)</f>
      </c>
      <c r="U88" s="8" t="str">
        <f>Sum(U47:U87)</f>
      </c>
      <c r="V88" s="8" t="str">
        <f>Sum(V47:V87)</f>
      </c>
      <c r="W88" s="8" t="str">
        <f>Sum(W47:W87)</f>
      </c>
      <c r="X88" s="8" t="str">
        <f>Sum(X47:X87)</f>
      </c>
      <c r="Y88" s="8" t="str">
        <f>Sum(Y47:Y87)</f>
      </c>
      <c r="Z88" s="8" t="str">
        <f>Sum(Z47:Z87)</f>
      </c>
      <c r="AA88" s="8" t="str">
        <f>Sum(AA47:AA87)</f>
      </c>
      <c r="AB88" s="8" t="str">
        <f>Sum(AB47:AB87)</f>
      </c>
      <c r="AC88" s="8" t="str">
        <f>Sum(AC47:AC87)</f>
      </c>
      <c r="AD88" s="8" t="str">
        <f>Sum(AD47:AD87)</f>
      </c>
      <c r="AE88" s="8" t="str">
        <f>Sum(AE47:AE87)</f>
      </c>
      <c r="AF88" s="8" t="str">
        <f>Sum(AF47:AF87)</f>
      </c>
      <c r="AG88" s="8" t="str">
        <f>Sum(AG47:AG87)</f>
      </c>
      <c r="AH88" s="8" t="str">
        <f>Sum(AH47:AH87)</f>
      </c>
      <c r="AI88" s="8" t="str">
        <f>Sum(AI47:AI87)</f>
      </c>
      <c r="AJ88" s="8" t="str">
        <f>Sum(AJ47:AJ87)</f>
      </c>
      <c r="AK88" s="8" t="str">
        <f>Sum(AK47:AK87)</f>
      </c>
      <c r="AL88" s="8" t="str">
        <f>Sum(AL47:AL87)</f>
      </c>
      <c r="AM88" s="8" t="str">
        <f>Sum(AM47:AM87)</f>
      </c>
      <c r="AN88" s="8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tr">
        <f>L1</f>
      </c>
      <c r="L1" t="s">
        <v>68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  <c r="Z1" t="s">
        <v>46</v>
      </c>
      <c r="AA1" t="s">
        <v>47</v>
      </c>
      <c r="AB1" t="s">
        <v>2</v>
      </c>
      <c r="AC1" t="s">
        <v>3</v>
      </c>
      <c r="AD1" t="s">
        <v>4</v>
      </c>
      <c r="AE1" t="s">
        <v>5</v>
      </c>
      <c r="AF1" t="s">
        <v>6</v>
      </c>
      <c r="AG1" t="s">
        <v>7</v>
      </c>
      <c r="AH1" t="s">
        <v>8</v>
      </c>
      <c r="AI1" t="s">
        <v>9</v>
      </c>
      <c r="AJ1" t="s">
        <v>10</v>
      </c>
      <c r="AK1" t="s">
        <v>51</v>
      </c>
    </row>
    <row r="2">
      <c r="A2" t="str">
        <f>L2</f>
      </c>
      <c r="L2" t="s">
        <v>69</v>
      </c>
      <c r="M2" s="9" t="n">
        <v>6381928579.3536</v>
      </c>
      <c r="N2" s="9" t="n">
        <v>6747108088.619</v>
      </c>
      <c r="O2" s="9" t="n">
        <v>8072281192.2013</v>
      </c>
      <c r="P2" s="9" t="n">
        <v>10540757674.2942</v>
      </c>
      <c r="Q2" s="9" t="n">
        <v>12837555957.1638</v>
      </c>
      <c r="R2" s="9" t="n">
        <v>15096204296.5031</v>
      </c>
      <c r="S2" s="9" t="n">
        <v>20557893154.9814</v>
      </c>
      <c r="T2" s="9" t="n">
        <v>37399824102.3718</v>
      </c>
      <c r="U2" s="9" t="n">
        <v>49726656794.9868</v>
      </c>
      <c r="V2" s="9" t="n">
        <v>54631556718.4632</v>
      </c>
      <c r="W2" s="9" t="n">
        <v>18690465759.476</v>
      </c>
      <c r="X2" s="9" t="n">
        <v>13792564390.7305</v>
      </c>
      <c r="Y2" s="9" t="n">
        <v>9960146812.9704</v>
      </c>
      <c r="Z2" s="9" t="n">
        <v>5674820889.0681</v>
      </c>
      <c r="AA2" s="9" t="n">
        <v>3560661708.8258</v>
      </c>
      <c r="AB2" s="9" t="n">
        <v>3309138661.2531</v>
      </c>
      <c r="AC2" s="9" t="n">
        <v>3497892252.0064</v>
      </c>
      <c r="AD2" s="9" t="n">
        <v>3785717114.4289</v>
      </c>
      <c r="AE2" s="9" t="n">
        <v>5065767840.963</v>
      </c>
      <c r="AF2" s="9" t="n">
        <v>5080092983.2125</v>
      </c>
      <c r="AG2" s="9" t="n">
        <v>5492573941.4207</v>
      </c>
      <c r="AH2" s="9" t="n">
        <v>5019427737.2304</v>
      </c>
      <c r="AI2" s="9" t="n">
        <v>4855696567.4635</v>
      </c>
      <c r="AJ2" s="9" t="n">
        <v>6240783323.4101</v>
      </c>
      <c r="AK2" s="9" t="n">
        <v>7219861841.72</v>
      </c>
      <c r="AL2" s="9"/>
      <c r="AM2" s="9"/>
    </row>
    <row r="3">
      <c r="A3" t="str">
        <f>L3</f>
      </c>
      <c r="L3" t="s">
        <v>70</v>
      </c>
      <c r="M3" s="9" t="n">
        <v>41017731029.8018</v>
      </c>
      <c r="N3" s="9" t="n">
        <v>43077261719.4941</v>
      </c>
      <c r="O3" s="9" t="n">
        <v>47986493060.5011</v>
      </c>
      <c r="P3" s="9" t="n">
        <v>60359498534.808</v>
      </c>
      <c r="Q3" s="9" t="n">
        <v>72636344256.3692</v>
      </c>
      <c r="R3" s="9" t="n">
        <v>78922436134.7553</v>
      </c>
      <c r="S3" s="9" t="n">
        <v>91529553402.1407</v>
      </c>
      <c r="T3" s="9" t="n">
        <v>90597609774.4867</v>
      </c>
      <c r="U3" s="9" t="n">
        <v>92243967300.8319</v>
      </c>
      <c r="V3" s="9" t="n">
        <v>93384043495.1289</v>
      </c>
      <c r="W3" s="9" t="n">
        <v>106597055566.163</v>
      </c>
      <c r="X3" s="9" t="n">
        <v>114593342600.983</v>
      </c>
      <c r="Y3" s="9" t="n">
        <v>101983846618.247</v>
      </c>
      <c r="Z3" s="9" t="n">
        <v>95556972800.1595</v>
      </c>
      <c r="AA3" s="9" t="n">
        <v>92928871336.1869</v>
      </c>
      <c r="AB3" s="9" t="n">
        <v>88179253906.2632</v>
      </c>
      <c r="AC3" s="9" t="n">
        <v>91924227580.0939</v>
      </c>
      <c r="AD3" s="9" t="n">
        <v>98723360346.6838</v>
      </c>
      <c r="AE3" s="9" t="n">
        <v>101053858127.361</v>
      </c>
      <c r="AF3" s="9" t="n">
        <v>108597077492.154</v>
      </c>
      <c r="AG3" s="9" t="n">
        <v>108114538828.644</v>
      </c>
      <c r="AH3" s="9" t="n">
        <v>113102366189.102</v>
      </c>
      <c r="AI3" s="9" t="n">
        <v>118414679206.352</v>
      </c>
      <c r="AJ3" s="9" t="n">
        <v>127278745636.945</v>
      </c>
      <c r="AK3" s="9" t="n">
        <v>140190170596.9</v>
      </c>
      <c r="AL3" s="9"/>
      <c r="AM3" s="9"/>
    </row>
    <row r="4">
      <c r="A4" t="str">
        <f>L4</f>
      </c>
      <c r="L4" t="s">
        <v>55</v>
      </c>
      <c r="M4" s="9" t="n">
        <v>65729849056.083</v>
      </c>
      <c r="N4" s="9" t="n">
        <v>73056891006.8772</v>
      </c>
      <c r="O4" s="9" t="n">
        <v>87658370256.8362</v>
      </c>
      <c r="P4" s="9" t="n">
        <v>112233600483.614</v>
      </c>
      <c r="Q4" s="9" t="n">
        <v>113809654964.141</v>
      </c>
      <c r="R4" s="9" t="n">
        <v>135269794700.926</v>
      </c>
      <c r="S4" s="9" t="n">
        <v>151371749273.841</v>
      </c>
      <c r="T4" s="9" t="n">
        <v>176305123926.349</v>
      </c>
      <c r="U4" s="9" t="n">
        <v>201282666535.121</v>
      </c>
      <c r="V4" s="9" t="n">
        <v>182260902974.079</v>
      </c>
      <c r="W4" s="9" t="n">
        <v>205091243389.123</v>
      </c>
      <c r="X4" s="9" t="n">
        <v>196042614484.438</v>
      </c>
      <c r="Y4" s="9" t="n">
        <v>190911668190.224</v>
      </c>
      <c r="Z4" s="9" t="n">
        <v>154549244061.639</v>
      </c>
      <c r="AA4" s="9" t="n">
        <v>150023467175.449</v>
      </c>
      <c r="AB4" s="9" t="n">
        <v>148167793539.232</v>
      </c>
      <c r="AC4" s="9" t="n">
        <v>162671372686.458</v>
      </c>
      <c r="AD4" s="9" t="n">
        <v>164423899394.237</v>
      </c>
      <c r="AE4" s="9" t="n">
        <v>186214236769.723</v>
      </c>
      <c r="AF4" s="9" t="n">
        <v>202877106832.583</v>
      </c>
      <c r="AG4" s="9" t="n">
        <v>223388717765.705</v>
      </c>
      <c r="AH4" s="9" t="n">
        <v>221867314116.506</v>
      </c>
      <c r="AI4" s="9" t="n">
        <v>229190166357.694</v>
      </c>
      <c r="AJ4" s="9" t="n">
        <v>241088412575.15</v>
      </c>
      <c r="AK4" s="9" t="n">
        <v>241348214838.25</v>
      </c>
      <c r="AL4" s="9"/>
      <c r="AM4" s="9"/>
    </row>
    <row r="5">
      <c r="A5" t="str">
        <f>L5</f>
      </c>
      <c r="L5" t="s">
        <v>56</v>
      </c>
      <c r="M5" s="9" t="n">
        <v>6301955255</v>
      </c>
      <c r="N5" s="9" t="n">
        <v>8495776002</v>
      </c>
      <c r="O5" s="9" t="n">
        <v>8579162029</v>
      </c>
      <c r="P5" s="9" t="n">
        <v>10237410913.1396</v>
      </c>
      <c r="Q5" s="9" t="n">
        <v>11393769098.2552</v>
      </c>
      <c r="R5" s="9" t="n">
        <v>22121395381.4164</v>
      </c>
      <c r="S5" s="9" t="n">
        <v>19911512736.7794</v>
      </c>
      <c r="T5" s="9" t="n">
        <v>17480281868.3767</v>
      </c>
      <c r="U5" s="9" t="n">
        <v>23192843019.3978</v>
      </c>
      <c r="V5" s="9" t="n">
        <v>24772255556.7469</v>
      </c>
      <c r="W5" s="9" t="n">
        <v>17167106144.1264</v>
      </c>
      <c r="X5" s="9" t="n">
        <v>19616156026.3993</v>
      </c>
      <c r="Y5" s="9" t="n">
        <v>27118150470.6684</v>
      </c>
      <c r="Z5" s="9" t="n">
        <v>18300928885.4694</v>
      </c>
      <c r="AA5" s="9" t="n">
        <v>11867343341.3143</v>
      </c>
      <c r="AB5" s="9" t="n">
        <v>8985851310.0384</v>
      </c>
      <c r="AC5" s="9" t="n">
        <v>7381526904.9523</v>
      </c>
      <c r="AD5" s="9" t="n">
        <v>9214656305.5226</v>
      </c>
      <c r="AE5" s="9" t="n">
        <v>10630900917.601</v>
      </c>
      <c r="AF5" s="9" t="n">
        <v>9804333730.5025</v>
      </c>
      <c r="AG5" s="9" t="n">
        <v>8945182432.6572</v>
      </c>
      <c r="AH5" s="9" t="n">
        <v>10400372579.0701</v>
      </c>
      <c r="AI5" s="9" t="n">
        <v>17547545516.7689</v>
      </c>
      <c r="AJ5" s="9" t="n">
        <v>16981868245.7354</v>
      </c>
      <c r="AK5" s="9" t="n">
        <v>17457190518.18</v>
      </c>
      <c r="AL5" s="9"/>
      <c r="AM5" s="9"/>
    </row>
    <row r="6">
      <c r="A6" t="str">
        <f>L6</f>
      </c>
      <c r="L6" t="s">
        <v>60</v>
      </c>
      <c r="M6" s="9" t="n">
        <v>6133098636</v>
      </c>
      <c r="N6" s="9" t="n">
        <v>6192593184</v>
      </c>
      <c r="O6" s="9" t="n">
        <v>9031564886</v>
      </c>
      <c r="P6" s="9" t="n">
        <v>9079232479</v>
      </c>
      <c r="Q6" s="9" t="n">
        <v>9827511407.49</v>
      </c>
      <c r="R6" s="9" t="n">
        <v>6844005103.9382</v>
      </c>
      <c r="S6" s="9" t="n">
        <v>7082066073.0875</v>
      </c>
      <c r="T6" s="9" t="n">
        <v>5551385159.2825</v>
      </c>
      <c r="U6" s="9" t="n">
        <v>5349736696.5096</v>
      </c>
      <c r="V6" s="9" t="n">
        <v>9307112508.7261</v>
      </c>
      <c r="W6" s="9" t="n">
        <v>14936091789.0248</v>
      </c>
      <c r="X6" s="9" t="n">
        <v>24522062766.4876</v>
      </c>
      <c r="Y6" s="9" t="n">
        <v>27821465995.2082</v>
      </c>
      <c r="Z6" s="9" t="n">
        <v>34145937904.3437</v>
      </c>
      <c r="AA6" s="9" t="n">
        <v>25072028857.0941</v>
      </c>
      <c r="AB6" s="9" t="n">
        <v>25584172858.1798</v>
      </c>
      <c r="AC6" s="9" t="n">
        <v>33049812670.3039</v>
      </c>
      <c r="AD6" s="9" t="n">
        <v>45706086881.0323</v>
      </c>
      <c r="AE6" s="9" t="n">
        <v>55865325274.4157</v>
      </c>
      <c r="AF6" s="9" t="n">
        <v>57616963401.306</v>
      </c>
      <c r="AG6" s="9" t="n">
        <v>76806621768.5092</v>
      </c>
      <c r="AH6" s="9" t="n">
        <v>37313582245.916</v>
      </c>
      <c r="AI6" s="9" t="n">
        <v>44487852773.861</v>
      </c>
      <c r="AJ6" s="9" t="n">
        <v>64656951414.6669</v>
      </c>
      <c r="AK6" s="9" t="n">
        <v>38828429967.57</v>
      </c>
      <c r="AL6" s="9"/>
      <c r="AM6" s="9"/>
    </row>
    <row r="7">
      <c r="A7" t="str">
        <f>L7</f>
      </c>
      <c r="L7"/>
      <c r="M7" s="9" t="n">
        <v>6613923950.149</v>
      </c>
      <c r="N7" s="9" t="n">
        <v>6424008621.3371</v>
      </c>
      <c r="O7" s="9" t="n">
        <v>8482649711.9464</v>
      </c>
      <c r="P7" s="9" t="n">
        <v>9082587219.0046</v>
      </c>
      <c r="Q7" s="9" t="n">
        <v>9270196138.4963</v>
      </c>
      <c r="R7" s="9" t="n">
        <v>7410683084.917</v>
      </c>
      <c r="S7" s="9" t="n">
        <v>4712411702.288</v>
      </c>
      <c r="T7" s="9" t="n">
        <v>820198022.6251</v>
      </c>
      <c r="U7" s="9" t="n">
        <v>6192215737.982</v>
      </c>
      <c r="V7" s="9" t="n">
        <v>3294194225.2823</v>
      </c>
      <c r="W7" s="9" t="n">
        <v>214382588.7513</v>
      </c>
      <c r="X7" s="9" t="n">
        <v>-3081399.5465</v>
      </c>
      <c r="Y7" s="9" t="n">
        <v>-1973038.6911</v>
      </c>
      <c r="Z7" s="9" t="n">
        <v>508721.45</v>
      </c>
      <c r="AA7" s="9" t="n">
        <v>-2834591.3209</v>
      </c>
      <c r="AB7" s="9" t="n">
        <v>29995.58</v>
      </c>
      <c r="AC7" s="9" t="n">
        <v>-58489.62</v>
      </c>
      <c r="AD7" s="9" t="n">
        <v>1356734.2</v>
      </c>
      <c r="AE7" s="9" t="n">
        <v>20204.7109</v>
      </c>
      <c r="AF7" s="9" t="n">
        <v>50903.5586</v>
      </c>
      <c r="AG7" s="9" t="n">
        <v>10000</v>
      </c>
      <c r="AH7" s="9" t="n">
        <v>10000</v>
      </c>
      <c r="AI7" s="9" t="n">
        <v>0</v>
      </c>
      <c r="AJ7" s="9" t="n">
        <v>-29324.9492</v>
      </c>
      <c r="AK7" s="9" t="n">
        <v>10000</v>
      </c>
      <c r="AL7" s="9"/>
      <c r="AM7" s="9"/>
    </row>
    <row r="8">
      <c r="A8" t="str">
        <f>L8</f>
      </c>
      <c r="L8" t="s">
        <v>20</v>
      </c>
      <c r="M8" s="9" t="str">
        <f>Sum(M2:M7)</f>
      </c>
      <c r="N8" s="9" t="str">
        <f>Sum(N2:N7)</f>
      </c>
      <c r="O8" s="9" t="str">
        <f>Sum(O2:O7)</f>
      </c>
      <c r="P8" s="9" t="str">
        <f>Sum(P2:P7)</f>
      </c>
      <c r="Q8" s="9" t="str">
        <f>Sum(Q2:Q7)</f>
      </c>
      <c r="R8" s="9" t="str">
        <f>Sum(R2:R7)</f>
      </c>
      <c r="S8" s="9" t="str">
        <f>Sum(S2:S7)</f>
      </c>
      <c r="T8" s="9" t="str">
        <f>Sum(T2:T7)</f>
      </c>
      <c r="U8" s="9" t="str">
        <f>Sum(U2:U7)</f>
      </c>
      <c r="V8" s="9" t="str">
        <f>Sum(V2:V7)</f>
      </c>
      <c r="W8" s="9" t="str">
        <f>Sum(W2:W7)</f>
      </c>
      <c r="X8" s="9" t="str">
        <f>Sum(X2:X7)</f>
      </c>
      <c r="Y8" s="9" t="str">
        <f>Sum(Y2:Y7)</f>
      </c>
      <c r="Z8" s="9" t="str">
        <f>Sum(Z2:Z7)</f>
      </c>
      <c r="AA8" s="9" t="str">
        <f>Sum(AA2:AA7)</f>
      </c>
      <c r="AB8" s="9" t="str">
        <f>Sum(AB2:AB7)</f>
      </c>
      <c r="AC8" s="9" t="str">
        <f>Sum(AC2:AC7)</f>
      </c>
      <c r="AD8" s="9" t="str">
        <f>Sum(AD2:AD7)</f>
      </c>
      <c r="AE8" s="9" t="str">
        <f>Sum(AE2:AE7)</f>
      </c>
      <c r="AF8" s="9" t="str">
        <f>Sum(AF2:AF7)</f>
      </c>
      <c r="AG8" s="9" t="str">
        <f>Sum(AG2:AG7)</f>
      </c>
      <c r="AH8" s="9" t="str">
        <f>Sum(AH2:AH7)</f>
      </c>
      <c r="AI8" s="9" t="str">
        <f>Sum(AI2:AI7)</f>
      </c>
      <c r="AJ8" s="9" t="str">
        <f>Sum(AJ2:AJ7)</f>
      </c>
      <c r="AK8" s="9" t="str">
        <f>Sum(AK2:AK7)</f>
      </c>
      <c r="AL8" s="9" t="str">
        <f>Sum(AL2:AL7)</f>
      </c>
      <c r="AM8" s="9"/>
    </row>
    <row r="11">
      <c r="A11" t="str">
        <f>L11</f>
      </c>
      <c r="B11" t="str">
        <f>AG11</f>
      </c>
      <c r="C11" t="str">
        <f>AJ11</f>
      </c>
      <c r="D11" t="str">
        <f>AK11</f>
      </c>
      <c r="F11" t="str">
        <f>AJ11&amp;"-"&amp;AK11</f>
      </c>
      <c r="G11" t="str">
        <f>AG11&amp;"-"&amp;AK11</f>
      </c>
      <c r="I11" t="str">
        <f>"Share "&amp;AK11</f>
      </c>
      <c r="L11" t="s">
        <v>68</v>
      </c>
      <c r="M11" t="s">
        <v>33</v>
      </c>
      <c r="N11" t="s">
        <v>34</v>
      </c>
      <c r="O11" t="s">
        <v>35</v>
      </c>
      <c r="P11" t="s">
        <v>36</v>
      </c>
      <c r="Q11" t="s">
        <v>37</v>
      </c>
      <c r="R11" t="s">
        <v>38</v>
      </c>
      <c r="S11" t="s">
        <v>39</v>
      </c>
      <c r="T11" t="s">
        <v>40</v>
      </c>
      <c r="U11" t="s">
        <v>41</v>
      </c>
      <c r="V11" t="s">
        <v>42</v>
      </c>
      <c r="W11" t="s">
        <v>43</v>
      </c>
      <c r="X11" t="s">
        <v>44</v>
      </c>
      <c r="Y11" t="s">
        <v>45</v>
      </c>
      <c r="Z11" t="s">
        <v>46</v>
      </c>
      <c r="AA11" t="s">
        <v>47</v>
      </c>
      <c r="AB11" t="s">
        <v>2</v>
      </c>
      <c r="AC11" t="s">
        <v>3</v>
      </c>
      <c r="AD11" t="s">
        <v>4</v>
      </c>
      <c r="AE11" t="s">
        <v>5</v>
      </c>
      <c r="AF11" t="s">
        <v>6</v>
      </c>
      <c r="AG11" t="s">
        <v>7</v>
      </c>
      <c r="AH11" t="s">
        <v>8</v>
      </c>
      <c r="AI11" t="s">
        <v>9</v>
      </c>
      <c r="AJ11" t="s">
        <v>10</v>
      </c>
      <c r="AK11" t="s">
        <v>51</v>
      </c>
    </row>
    <row r="12">
      <c r="A12" t="str">
        <f>L12</f>
      </c>
      <c r="B12" s="9" t="str">
        <f>AG12</f>
      </c>
      <c r="C12" s="9" t="str">
        <f>AJ12</f>
      </c>
      <c r="D12" s="9" t="str">
        <f>AK12</f>
      </c>
      <c r="E12" s="9"/>
      <c r="F12" s="2" t="str">
        <f>AK12/AJ12-1</f>
      </c>
      <c r="G12" s="2" t="str">
        <f>AK12/AG12-1</f>
      </c>
      <c r="H12" s="2"/>
      <c r="I12" s="2" t="str">
        <f>AK12/Sum(AK$11:AK$17)</f>
      </c>
      <c r="J12" s="2"/>
      <c r="L12" t="s">
        <v>69</v>
      </c>
      <c r="M12" s="9" t="n">
        <v>10729128513.2762</v>
      </c>
      <c r="N12" s="9" t="n">
        <v>11074619926.2147</v>
      </c>
      <c r="O12" s="9" t="n">
        <v>13044524297.5751</v>
      </c>
      <c r="P12" s="9" t="n">
        <v>16712693706.8193</v>
      </c>
      <c r="Q12" s="9" t="n">
        <v>19869157547.3429</v>
      </c>
      <c r="R12" s="9" t="n">
        <v>22674955819.7369</v>
      </c>
      <c r="S12" s="9" t="n">
        <v>29907067291.4277</v>
      </c>
      <c r="T12" s="9" t="n">
        <v>52950551255.7345</v>
      </c>
      <c r="U12" s="9" t="n">
        <v>68970946398.2195</v>
      </c>
      <c r="V12" s="9" t="n">
        <v>75007019736.8259</v>
      </c>
      <c r="W12" s="9" t="n">
        <v>25440958456.9914</v>
      </c>
      <c r="X12" s="9" t="n">
        <v>18404660431.2842</v>
      </c>
      <c r="Y12" s="9" t="n">
        <v>13053844985.2393</v>
      </c>
      <c r="Z12" s="9" t="n">
        <v>7304918123.92328</v>
      </c>
      <c r="AA12" s="9" t="n">
        <v>4501346052.24413</v>
      </c>
      <c r="AB12" s="9" t="n">
        <v>4140493607.75378</v>
      </c>
      <c r="AC12" s="9" t="n">
        <v>4341953501.98336</v>
      </c>
      <c r="AD12" s="9" t="n">
        <v>4621224882.4711</v>
      </c>
      <c r="AE12" s="9" t="n">
        <v>6049484250.98168</v>
      </c>
      <c r="AF12" s="9" t="n">
        <v>5956459040.5881</v>
      </c>
      <c r="AG12" s="9" t="n">
        <v>6357054147.4334</v>
      </c>
      <c r="AH12" s="9" t="n">
        <v>5616146140.08081</v>
      </c>
      <c r="AI12" s="9" t="n">
        <v>5077828150.4119</v>
      </c>
      <c r="AJ12" s="9" t="n">
        <v>6240783323.4101</v>
      </c>
      <c r="AK12" s="9" t="n">
        <v>7032063634.67708</v>
      </c>
      <c r="AL12" s="9"/>
      <c r="AM12" s="9"/>
    </row>
    <row r="13">
      <c r="A13" t="str">
        <f>L13</f>
      </c>
      <c r="B13" s="9" t="str">
        <f>AG13</f>
      </c>
      <c r="C13" s="9" t="str">
        <f>AJ13</f>
      </c>
      <c r="D13" s="9" t="str">
        <f>AK13</f>
      </c>
      <c r="E13" s="9"/>
      <c r="F13" s="2" t="str">
        <f>AK13/AJ13-1</f>
      </c>
      <c r="G13" s="2" t="str">
        <f>AK13/AG13-1</f>
      </c>
      <c r="H13" s="2"/>
      <c r="I13" s="2" t="str">
        <f>AK13/Sum(AK$11:AK$17)</f>
      </c>
      <c r="J13" s="2"/>
      <c r="L13" t="s">
        <v>70</v>
      </c>
      <c r="M13" s="9" t="n">
        <v>68957917981.9518</v>
      </c>
      <c r="N13" s="9" t="n">
        <v>70706485614.2123</v>
      </c>
      <c r="O13" s="9" t="n">
        <v>77544495760.1167</v>
      </c>
      <c r="P13" s="9" t="n">
        <v>95701831166.2309</v>
      </c>
      <c r="Q13" s="9" t="n">
        <v>112421941723.843</v>
      </c>
      <c r="R13" s="9" t="n">
        <v>118543888078.947</v>
      </c>
      <c r="S13" s="9" t="n">
        <v>133154720287.514</v>
      </c>
      <c r="T13" s="9" t="n">
        <v>128267805936.199</v>
      </c>
      <c r="U13" s="9" t="n">
        <v>127942518848.486</v>
      </c>
      <c r="V13" s="9" t="n">
        <v>128212689044.179</v>
      </c>
      <c r="W13" s="9" t="n">
        <v>145097040234.079</v>
      </c>
      <c r="X13" s="9" t="n">
        <v>152912214038.626</v>
      </c>
      <c r="Y13" s="9" t="n">
        <v>133660813414.857</v>
      </c>
      <c r="Z13" s="9" t="n">
        <v>123005796327.39</v>
      </c>
      <c r="AA13" s="9" t="n">
        <v>117479570466.297</v>
      </c>
      <c r="AB13" s="9" t="n">
        <v>110332528947.917</v>
      </c>
      <c r="AC13" s="9" t="n">
        <v>114106065339.652</v>
      </c>
      <c r="AD13" s="9" t="n">
        <v>120511605998.347</v>
      </c>
      <c r="AE13" s="9" t="n">
        <v>120677406157.285</v>
      </c>
      <c r="AF13" s="9" t="n">
        <v>127331142588.759</v>
      </c>
      <c r="AG13" s="9" t="n">
        <v>125130764699.493</v>
      </c>
      <c r="AH13" s="9" t="n">
        <v>126548174525.055</v>
      </c>
      <c r="AI13" s="9" t="n">
        <v>123831747544.741</v>
      </c>
      <c r="AJ13" s="9" t="n">
        <v>127278745636.945</v>
      </c>
      <c r="AK13" s="9" t="n">
        <v>136543637843.184</v>
      </c>
      <c r="AL13" s="9"/>
      <c r="AM13" s="9"/>
    </row>
    <row r="14">
      <c r="A14" t="str">
        <f>L14</f>
      </c>
      <c r="B14" s="9" t="str">
        <f>AG14</f>
      </c>
      <c r="C14" s="9" t="str">
        <f>AJ14</f>
      </c>
      <c r="D14" s="9" t="str">
        <f>AK14</f>
      </c>
      <c r="E14" s="9"/>
      <c r="F14" s="2" t="str">
        <f>AK14/AJ14-1</f>
      </c>
      <c r="G14" s="2" t="str">
        <f>AK14/AG14-1</f>
      </c>
      <c r="H14" s="2"/>
      <c r="I14" s="2" t="str">
        <f>AK14/Sum(AK$11:AK$17)</f>
      </c>
      <c r="J14" s="2"/>
      <c r="L14" t="s">
        <v>55</v>
      </c>
      <c r="M14" s="9" t="n">
        <v>110503273252.298</v>
      </c>
      <c r="N14" s="9" t="n">
        <v>119914679039.574</v>
      </c>
      <c r="O14" s="9" t="n">
        <v>141652862861.844</v>
      </c>
      <c r="P14" s="9" t="n">
        <v>177949806499.254</v>
      </c>
      <c r="Q14" s="9" t="n">
        <v>176147389147.649</v>
      </c>
      <c r="R14" s="9" t="n">
        <v>203179326295.875</v>
      </c>
      <c r="S14" s="9" t="n">
        <v>220211529334.509</v>
      </c>
      <c r="T14" s="9" t="n">
        <v>249612230141.979</v>
      </c>
      <c r="U14" s="9" t="n">
        <v>279179355686.829</v>
      </c>
      <c r="V14" s="9" t="n">
        <v>250237188317.358</v>
      </c>
      <c r="W14" s="9" t="n">
        <v>279164675193.288</v>
      </c>
      <c r="X14" s="9" t="n">
        <v>261597310509.72</v>
      </c>
      <c r="Y14" s="9" t="n">
        <v>250210300031.25</v>
      </c>
      <c r="Z14" s="9" t="n">
        <v>198943648804.73</v>
      </c>
      <c r="AA14" s="9" t="n">
        <v>189657877365.969</v>
      </c>
      <c r="AB14" s="9" t="n">
        <v>185391990129.497</v>
      </c>
      <c r="AC14" s="9" t="n">
        <v>201924898030.597</v>
      </c>
      <c r="AD14" s="9" t="n">
        <v>200712254029.102</v>
      </c>
      <c r="AE14" s="9" t="n">
        <v>222374993883.033</v>
      </c>
      <c r="AF14" s="9" t="n">
        <v>237875405256.288</v>
      </c>
      <c r="AG14" s="9" t="n">
        <v>258548030469.478</v>
      </c>
      <c r="AH14" s="9" t="n">
        <v>248243290872.247</v>
      </c>
      <c r="AI14" s="9" t="n">
        <v>239674836011.556</v>
      </c>
      <c r="AJ14" s="9" t="n">
        <v>241088412575.15</v>
      </c>
      <c r="AK14" s="9" t="n">
        <v>235070426839.909</v>
      </c>
      <c r="AL14" s="9"/>
      <c r="AM14" s="9"/>
    </row>
    <row r="15">
      <c r="A15" t="str">
        <f>L15</f>
      </c>
      <c r="B15" s="9" t="str">
        <f>AG15</f>
      </c>
      <c r="C15" s="9" t="str">
        <f>AJ15</f>
      </c>
      <c r="D15" s="9" t="str">
        <f>AK15</f>
      </c>
      <c r="E15" s="9"/>
      <c r="F15" s="2" t="str">
        <f>AK15/AJ15-1</f>
      </c>
      <c r="G15" s="2" t="str">
        <f>AK15/AG15-1</f>
      </c>
      <c r="H15" s="2"/>
      <c r="I15" s="2" t="str">
        <f>AK15/Sum(AK$11:AK$17)</f>
      </c>
      <c r="J15" s="2"/>
      <c r="L15" t="s">
        <v>56</v>
      </c>
      <c r="M15" s="9" t="n">
        <v>10594679488.353</v>
      </c>
      <c r="N15" s="9" t="n">
        <v>13944861852.608</v>
      </c>
      <c r="O15" s="9" t="n">
        <v>13863626015.4369</v>
      </c>
      <c r="P15" s="9" t="n">
        <v>16231728138.4242</v>
      </c>
      <c r="Q15" s="9" t="n">
        <v>17634555520.278</v>
      </c>
      <c r="R15" s="9" t="n">
        <v>33227005483.805</v>
      </c>
      <c r="S15" s="9" t="n">
        <v>28966730530.3942</v>
      </c>
      <c r="T15" s="9" t="n">
        <v>24748527118.8072</v>
      </c>
      <c r="U15" s="9" t="n">
        <v>32168507513.1468</v>
      </c>
      <c r="V15" s="9" t="n">
        <v>34011351187.4841</v>
      </c>
      <c r="W15" s="9" t="n">
        <v>23367402388.9989</v>
      </c>
      <c r="X15" s="9" t="n">
        <v>26175603057.2243</v>
      </c>
      <c r="Y15" s="9" t="n">
        <v>35541256487.2553</v>
      </c>
      <c r="Z15" s="9" t="n">
        <v>23557886621.167</v>
      </c>
      <c r="AA15" s="9" t="n">
        <v>15002553870.1532</v>
      </c>
      <c r="AB15" s="9" t="n">
        <v>11243366844.9997</v>
      </c>
      <c r="AC15" s="9" t="n">
        <v>9162731235.234</v>
      </c>
      <c r="AD15" s="9" t="n">
        <v>11248330954.3122</v>
      </c>
      <c r="AE15" s="9" t="n">
        <v>12695304975.2372</v>
      </c>
      <c r="AF15" s="9" t="n">
        <v>11495677830.8937</v>
      </c>
      <c r="AG15" s="9" t="n">
        <v>10353071199.3225</v>
      </c>
      <c r="AH15" s="9" t="n">
        <v>11636787174.3834</v>
      </c>
      <c r="AI15" s="9" t="n">
        <v>18350285969.8313</v>
      </c>
      <c r="AJ15" s="9" t="n">
        <v>16981868245.7354</v>
      </c>
      <c r="AK15" s="9" t="n">
        <v>17003105779.2759</v>
      </c>
      <c r="AL15" s="9"/>
      <c r="AM15" s="9"/>
    </row>
    <row r="16">
      <c r="A16" t="str">
        <f>L16</f>
      </c>
      <c r="B16" s="9" t="str">
        <f>AG16</f>
      </c>
      <c r="C16" s="9" t="str">
        <f>AJ16</f>
      </c>
      <c r="D16" s="9" t="str">
        <f>AK16</f>
      </c>
      <c r="E16" s="9"/>
      <c r="F16" s="2" t="str">
        <f>AK16/AJ16-1</f>
      </c>
      <c r="G16" s="2" t="str">
        <f>AK16/AG16-1</f>
      </c>
      <c r="H16" s="2"/>
      <c r="I16" s="2" t="str">
        <f>AK16/Sum(AK$11:AK$17)</f>
      </c>
      <c r="J16" s="2"/>
      <c r="L16" t="s">
        <v>60</v>
      </c>
      <c r="M16" s="9" t="n">
        <v>10310802233.5323</v>
      </c>
      <c r="N16" s="9" t="n">
        <v>10164446007.0455</v>
      </c>
      <c r="O16" s="9" t="n">
        <v>14594693221.8333</v>
      </c>
      <c r="P16" s="9" t="n">
        <v>14395400805.4448</v>
      </c>
      <c r="Q16" s="9" t="n">
        <v>15210400882.0125</v>
      </c>
      <c r="R16" s="9" t="n">
        <v>10279902836.0924</v>
      </c>
      <c r="S16" s="9" t="n">
        <v>10302798298.1244</v>
      </c>
      <c r="T16" s="9" t="n">
        <v>7859633339.78007</v>
      </c>
      <c r="U16" s="9" t="n">
        <v>7420092697.17786</v>
      </c>
      <c r="V16" s="9" t="n">
        <v>12778306414.2294</v>
      </c>
      <c r="W16" s="9" t="n">
        <v>20330605753.9919</v>
      </c>
      <c r="X16" s="9" t="n">
        <v>32721996106.4789</v>
      </c>
      <c r="Y16" s="9" t="n">
        <v>36463027220.7046</v>
      </c>
      <c r="Z16" s="9" t="n">
        <v>43954388258.5447</v>
      </c>
      <c r="AA16" s="9" t="n">
        <v>31695759762.263</v>
      </c>
      <c r="AB16" s="9" t="n">
        <v>32011684919.4972</v>
      </c>
      <c r="AC16" s="9" t="n">
        <v>41024920016.1634</v>
      </c>
      <c r="AD16" s="9" t="n">
        <v>55793420266.394</v>
      </c>
      <c r="AE16" s="9" t="n">
        <v>66713757130.9034</v>
      </c>
      <c r="AF16" s="9" t="n">
        <v>67556456875.3065</v>
      </c>
      <c r="AG16" s="9" t="n">
        <v>88895271810.8618</v>
      </c>
      <c r="AH16" s="9" t="n">
        <v>41749486569.6818</v>
      </c>
      <c r="AI16" s="9" t="n">
        <v>46523020544.609</v>
      </c>
      <c r="AJ16" s="9" t="n">
        <v>64656951414.6669</v>
      </c>
      <c r="AK16" s="9" t="n">
        <v>37818450872.3933</v>
      </c>
      <c r="AL16" s="9"/>
      <c r="AM16" s="9"/>
    </row>
    <row r="17">
      <c r="A17" t="str">
        <f>L17</f>
      </c>
      <c r="B17" s="9" t="str">
        <f>AG17</f>
      </c>
      <c r="C17" s="9" t="str">
        <f>AJ17</f>
      </c>
      <c r="D17" s="9" t="str">
        <f>AK17</f>
      </c>
      <c r="E17" s="9"/>
      <c r="F17" s="2" t="str">
        <f>AK17/AJ17-1</f>
      </c>
      <c r="G17" s="2" t="str">
        <f>AK17/AG17-1</f>
      </c>
      <c r="H17" s="2"/>
      <c r="I17" s="2" t="str">
        <f>AK17/Sum(AK$11:AK$17)</f>
      </c>
      <c r="J17" s="2"/>
      <c r="L17"/>
      <c r="M17" s="9" t="n">
        <v>11119152957.58</v>
      </c>
      <c r="N17" s="9" t="n">
        <v>10544288449.1564</v>
      </c>
      <c r="O17" s="9" t="n">
        <v>13707665483.978</v>
      </c>
      <c r="P17" s="9" t="n">
        <v>14400719848.3348</v>
      </c>
      <c r="Q17" s="9" t="n">
        <v>14347823540.9574</v>
      </c>
      <c r="R17" s="9" t="n">
        <v>11131070317.0259</v>
      </c>
      <c r="S17" s="9" t="n">
        <v>6855489170.15793</v>
      </c>
      <c r="T17" s="9" t="n">
        <v>1161233735.1637</v>
      </c>
      <c r="U17" s="9" t="n">
        <v>8588612371.65704</v>
      </c>
      <c r="V17" s="9" t="n">
        <v>4522801584.18371</v>
      </c>
      <c r="W17" s="9" t="n">
        <v>291811804.184649</v>
      </c>
      <c r="X17" s="9" t="n">
        <v>-4111788.83780017</v>
      </c>
      <c r="Y17" s="9" t="n">
        <v>-2585879.6769902</v>
      </c>
      <c r="Z17" s="9" t="n">
        <v>654852.128864949</v>
      </c>
      <c r="AA17" s="9" t="n">
        <v>-3583456.53012523</v>
      </c>
      <c r="AB17" s="9" t="n">
        <v>37531.3699317261</v>
      </c>
      <c r="AC17" s="9" t="n">
        <v>-72603.4972183619</v>
      </c>
      <c r="AD17" s="9" t="n">
        <v>1656165.43825815</v>
      </c>
      <c r="AE17" s="9" t="n">
        <v>24128.2435797438</v>
      </c>
      <c r="AF17" s="9" t="n">
        <v>59684.9236466806</v>
      </c>
      <c r="AG17" s="9" t="n">
        <v>11573.9072704938</v>
      </c>
      <c r="AH17" s="9" t="n">
        <v>11188.817598517</v>
      </c>
      <c r="AI17" s="9" t="n">
        <v>0</v>
      </c>
      <c r="AJ17" s="9" t="n">
        <v>-29324.9492</v>
      </c>
      <c r="AK17" s="9" t="n">
        <v>9739.88670259903</v>
      </c>
      <c r="AL17" s="9"/>
      <c r="AM17" s="9"/>
    </row>
    <row r="18">
      <c r="A18" t="str">
        <f>L18</f>
      </c>
      <c r="B18" s="9" t="str">
        <f>AG18</f>
      </c>
      <c r="C18" s="9" t="str">
        <f>AJ18</f>
      </c>
      <c r="D18" s="9" t="str">
        <f>AK18</f>
      </c>
      <c r="E18" s="9"/>
      <c r="F18" s="2" t="str">
        <f>AK18/AJ18-1</f>
      </c>
      <c r="G18" s="2" t="str">
        <f>AK18/AG18-1</f>
      </c>
      <c r="H18" s="2"/>
      <c r="I18" s="2" t="str">
        <f>Sum(I$11:I$17)</f>
      </c>
      <c r="J18" s="2"/>
      <c r="L18" t="s">
        <v>20</v>
      </c>
      <c r="M18" s="9" t="str">
        <f>Sum(M12:M17)</f>
      </c>
      <c r="N18" s="9" t="str">
        <f>Sum(N12:N17)</f>
      </c>
      <c r="O18" s="9" t="str">
        <f>Sum(O12:O17)</f>
      </c>
      <c r="P18" s="9" t="str">
        <f>Sum(P12:P17)</f>
      </c>
      <c r="Q18" s="9" t="str">
        <f>Sum(Q12:Q17)</f>
      </c>
      <c r="R18" s="9" t="str">
        <f>Sum(R12:R17)</f>
      </c>
      <c r="S18" s="9" t="str">
        <f>Sum(S12:S17)</f>
      </c>
      <c r="T18" s="9" t="str">
        <f>Sum(T12:T17)</f>
      </c>
      <c r="U18" s="9" t="str">
        <f>Sum(U12:U17)</f>
      </c>
      <c r="V18" s="9" t="str">
        <f>Sum(V12:V17)</f>
      </c>
      <c r="W18" s="9" t="str">
        <f>Sum(W12:W17)</f>
      </c>
      <c r="X18" s="9" t="str">
        <f>Sum(X12:X17)</f>
      </c>
      <c r="Y18" s="9" t="str">
        <f>Sum(Y12:Y17)</f>
      </c>
      <c r="Z18" s="9" t="str">
        <f>Sum(Z12:Z17)</f>
      </c>
      <c r="AA18" s="9" t="str">
        <f>Sum(AA12:AA17)</f>
      </c>
      <c r="AB18" s="9" t="str">
        <f>Sum(AB12:AB17)</f>
      </c>
      <c r="AC18" s="9" t="str">
        <f>Sum(AC12:AC17)</f>
      </c>
      <c r="AD18" s="9" t="str">
        <f>Sum(AD12:AD17)</f>
      </c>
      <c r="AE18" s="9" t="str">
        <f>Sum(AE12:AE17)</f>
      </c>
      <c r="AF18" s="9" t="str">
        <f>Sum(AF12:AF17)</f>
      </c>
      <c r="AG18" s="9" t="str">
        <f>Sum(AG12:AG17)</f>
      </c>
      <c r="AH18" s="9" t="str">
        <f>Sum(AH12:AH17)</f>
      </c>
      <c r="AI18" s="9" t="str">
        <f>Sum(AI12:AI17)</f>
      </c>
      <c r="AJ18" s="9" t="str">
        <f>Sum(AJ12:AJ17)</f>
      </c>
      <c r="AK18" s="9" t="str">
        <f>Sum(AK12:AK17)</f>
      </c>
      <c r="AL18" s="9" t="str">
        <f>Sum(AL12:AL17)</f>
      </c>
      <c r="AM18" s="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../output/AcqTrends/Prelim2025//DoD_2025_Prelim.xlsx</dc:creator>
  <cp:lastModifiedBy>../output/AcqTrends/Prelim2025//DoD_2025_Prelim.xlsx</cp:lastModifiedBy>
  <dcterms:created xsi:type="dcterms:W3CDTF">2025-06-04T03:02:49Z</dcterms:created>
</coreProperties>
</file>