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5 VendNTDC" sheetId="1" state="visible" r:id="rId1"/>
    <sheet name="11 NTDC" sheetId="2" state="visible" r:id="rId2"/>
    <sheet name="9 DIB count" sheetId="3" state="visible" r:id="rId3"/>
    <sheet name="10 DIB dollars" sheetId="4" state="visible" r:id="rId4"/>
    <sheet name="3 Plat" sheetId="5" state="visible" r:id="rId5"/>
    <sheet name="7b MultCust" sheetId="6" state="visible" r:id="rId6"/>
    <sheet name="7a Mult" sheetId="7" state="visible" r:id="rId7"/>
    <sheet name="4 Cust" sheetId="8" state="visible" r:id="rId8"/>
    <sheet name="8-2 PriceUCA" sheetId="9" state="visible" r:id="rId9"/>
    <sheet name="6-6 PSRcomp" sheetId="10" state="visible" r:id="rId10"/>
    <sheet name="9 Dur" sheetId="11" state="visible" r:id="rId11"/>
    <sheet name="5 Comm" sheetId="12" state="visible" r:id="rId12"/>
  </sheets>
</workbook>
</file>

<file path=xl/sharedStrings.xml><?xml version="1.0" encoding="utf-8"?>
<sst xmlns="http://schemas.openxmlformats.org/spreadsheetml/2006/main" count="121" uniqueCount="121">
  <si>
    <t xml:space="preserve">VendorSize_NTDC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</si>
  <si>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</si>
  <si>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</si>
  <si>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</si>
  <si>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</si>
  <si>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</si>
  <si>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</si>
  <si>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</si>
  <si>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</si>
  <si>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</si>
  <si>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</si>
  <si>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</si>
  <si>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</si>
  <si>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</si>
  <si>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</si>
  <si>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</si>
  <si>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</si>
  <si>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</si>
  <si>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</si>
  <si>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</si>
  <si>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</si>
  <si>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</si>
  <si>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</si>
  <si>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</si>
  <si>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</si>
  <si>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</si>
  <si>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</si>
  <si>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</si>
  <si>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</si>
  <si>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</si>
  <si>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</si>
  <si>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</si>
  <si>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</si>
  <si>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</si>
  <si>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</si>
  <si>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</si>
  <si>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</si>
  <si>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Big Five</t>
  </si>
  <si>
    <t xml:space="preserve">Large Traditional</t>
  </si>
  <si>
    <t xml:space="preserve">Medium or Large Non-Traditional</t>
  </si>
  <si>
    <t xml:space="preserve">Medium Traditional</t>
  </si>
  <si>
    <t xml:space="preserve">Small</t>
  </si>
  <si>
    <t xml:space="preserve">To Be Labeled</t>
  </si>
  <si>
    <t xml:space="preserve">Grand Total</t>
  </si>
  <si>
    <t xml:space="preserve">cas_label</t>
  </si>
  <si>
    <t xml:space="preserve">IsEntityTraditionalLabel</t>
  </si>
  <si>
    <t xml:space="preserve">Commercial</t>
  </si>
  <si>
    <t xml:space="preserve">Non-Traditional
DOD Contractor</t>
  </si>
  <si>
    <t xml:space="preserve">Traditional
DOD Contractor</t>
  </si>
  <si>
    <t xml:space="preserve">Competition</t>
  </si>
  <si>
    <t xml:space="preserve">Contract Size</t>
  </si>
  <si>
    <t xml:space="preserve">Cost Accounting Standards Imputed</t>
  </si>
  <si>
    <t xml:space="preserve">Cost Accounting Standards Labeled</t>
  </si>
  <si>
    <t xml:space="preserve">Other Exemption</t>
  </si>
  <si>
    <t xml:space="preserve">Unidentified Exemption</t>
  </si>
  <si>
    <t xml:space="preserve">Vendor Size or Largest Contract</t>
  </si>
  <si>
    <t xml:space="preserve">Waived</t>
  </si>
  <si>
    <t xml:space="preserve"/>
  </si>
  <si>
    <t xml:space="preserve">LargestContract2018dollars</t>
  </si>
  <si>
    <t xml:space="preserve">AlwaysIsSmallLabel</t>
  </si>
  <si>
    <t xml:space="preserve">[$10 K - $250 K)</t>
  </si>
  <si>
    <t xml:space="preserve">Consistently Small Vendor</t>
  </si>
  <si>
    <t xml:space="preserve">Variably Small or Larger Vendor</t>
  </si>
  <si>
    <t xml:space="preserve">[$2.0 M - $7.5M)</t>
  </si>
  <si>
    <t xml:space="preserve">[$250k K - $2.0 M)</t>
  </si>
  <si>
    <t xml:space="preserve">[$7.5 M+]</t>
  </si>
  <si>
    <t xml:space="preserve">PlatformPortfolio</t>
  </si>
  <si>
    <t xml:space="preserve">Aircraft</t>
  </si>
  <si>
    <t xml:space="preserve">Electronics, Comms, &amp; Sensors</t>
  </si>
  <si>
    <t xml:space="preserve">Facilities and Construction</t>
  </si>
  <si>
    <t xml:space="preserve">Land Vehicles</t>
  </si>
  <si>
    <t xml:space="preserve">Missile Defense</t>
  </si>
  <si>
    <t xml:space="preserve">Ordnance and Missiles</t>
  </si>
  <si>
    <t xml:space="preserve">Other Products</t>
  </si>
  <si>
    <t xml:space="preserve">Other R&amp;D and Knowledge Based</t>
  </si>
  <si>
    <t xml:space="preserve">Other Services</t>
  </si>
  <si>
    <t xml:space="preserve">Ships &amp; Submarines</t>
  </si>
  <si>
    <t xml:space="preserve">Space Systems</t>
  </si>
  <si>
    <t xml:space="preserve">Unlabeled</t>
  </si>
  <si>
    <t xml:space="preserve">SubCustomer.JPO</t>
  </si>
  <si>
    <t xml:space="preserve">Air Force</t>
  </si>
  <si>
    <t xml:space="preserve">Army</t>
  </si>
  <si>
    <t xml:space="preserve">DLA</t>
  </si>
  <si>
    <t xml:space="preserve">F-35 JPO</t>
  </si>
  <si>
    <t xml:space="preserve">MDA</t>
  </si>
  <si>
    <t xml:space="preserve">Navy</t>
  </si>
  <si>
    <t xml:space="preserve">Other DoD</t>
  </si>
  <si>
    <t xml:space="preserve">multiyearcontract</t>
  </si>
  <si>
    <t xml:space="preserve">SubCustomer.sum</t>
  </si>
  <si>
    <t xml:space="preserve">PricingUCA</t>
  </si>
  <si>
    <t xml:space="preserve">PricingUCA.sum</t>
  </si>
  <si>
    <t xml:space="preserve">Combination/Other</t>
  </si>
  <si>
    <t xml:space="preserve">Crosscutting</t>
  </si>
  <si>
    <t xml:space="preserve">FFP</t>
  </si>
  <si>
    <t xml:space="preserve">Fixed-Price</t>
  </si>
  <si>
    <t xml:space="preserve">Incentive</t>
  </si>
  <si>
    <t xml:space="preserve">Other CB</t>
  </si>
  <si>
    <t xml:space="preserve">Cost or Effort-Based</t>
  </si>
  <si>
    <t xml:space="preserve">Other FP</t>
  </si>
  <si>
    <t xml:space="preserve">T&amp;M/LH/FPLOE</t>
  </si>
  <si>
    <t xml:space="preserve">UCA</t>
  </si>
  <si>
    <t xml:space="preserve">SimpleArea</t>
  </si>
  <si>
    <t xml:space="preserve">Competition.multisum</t>
  </si>
  <si>
    <t xml:space="preserve">Products (All)</t>
  </si>
  <si>
    <t xml:space="preserve">1 Offer</t>
  </si>
  <si>
    <t xml:space="preserve">2+ Offers</t>
  </si>
  <si>
    <t xml:space="preserve">No Comp.</t>
  </si>
  <si>
    <t xml:space="preserve">R&amp;D</t>
  </si>
  <si>
    <t xml:space="preserve">Services (Non-R&amp;D)</t>
  </si>
  <si>
    <t xml:space="preserve">UnmodifiedUltimateDurationCategory</t>
  </si>
  <si>
    <t xml:space="preserve">&lt;=2 Months</t>
  </si>
  <si>
    <t xml:space="preserve">&gt;1-2 Years</t>
  </si>
  <si>
    <t xml:space="preserve">&gt;2-4 Years</t>
  </si>
  <si>
    <t xml:space="preserve">&gt;2-7 Months</t>
  </si>
  <si>
    <t xml:space="preserve">&gt;4 years</t>
  </si>
  <si>
    <t xml:space="preserve">&gt;7-12 Months</t>
  </si>
  <si>
    <t xml:space="preserve">AnyCommercialText</t>
  </si>
  <si>
    <t xml:space="preserve">SubCustomer.platform</t>
  </si>
  <si>
    <t xml:space="preserve">Not Classified
as Commercial</t>
  </si>
  <si>
    <t xml:space="preserve">Non-development
or Commercial Similar</t>
  </si>
  <si>
    <t xml:space="preserve">Any Commercial
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</si>
</sst>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6" formatCode="0.00,,,&quot;B&quot;"/>
    <numFmt numFmtId="200" formatCode="0.00,,,&quot;B&quot;"/>
    <numFmt numFmtId="218" formatCode="0.00,&quot;K&quot;"/>
    <numFmt numFmtId="219" formatCode="0.00,,,&quot;B&quot;"/>
    <numFmt numFmtId="199" formatCode="0.00,,,&quot;B&quot;"/>
    <numFmt numFmtId="182" formatCode="0.00,,,&quot;B&quot;"/>
    <numFmt numFmtId="183" formatCode="0.00,,,&quot;B&quot;"/>
    <numFmt numFmtId="216" formatCode="0.00,,,&quot;B&quot;"/>
    <numFmt numFmtId="214" formatCode="0.00,,,&quot;B&quot;"/>
    <numFmt numFmtId="194" formatCode="0.00,,,&quot;B&quot;"/>
    <numFmt numFmtId="215" formatCode="0.00,,,&quot;B&quot;"/>
    <numFmt numFmtId="217" formatCode="0.00,,,&quot;B&quot;"/>
    <numFmt numFmtId="220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6" fontId="1" fillId="0" borderId="0" xfId="0" applyFont="1" applyNumberFormat="1"/>
    <xf numFmtId="10" fontId="1" fillId="0" borderId="0" xfId="0" applyFont="1" applyNumberFormat="1"/>
    <xf numFmtId="200" fontId="1" fillId="0" borderId="0" xfId="0" applyFont="1" applyNumberFormat="1"/>
    <xf numFmtId="218" fontId="1" fillId="0" borderId="0" xfId="0" applyFont="1" applyNumberFormat="1"/>
    <xf numFmtId="219" fontId="1" fillId="0" borderId="0" xfId="0" applyFont="1" applyNumberFormat="1"/>
    <xf numFmtId="199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  <xf numFmtId="216" fontId="1" fillId="0" borderId="0" xfId="0" applyFont="1" applyNumberFormat="1"/>
    <xf numFmtId="214" fontId="1" fillId="0" borderId="0" xfId="0" applyFont="1" applyNumberFormat="1"/>
    <xf numFmtId="194" fontId="1" fillId="0" borderId="0" xfId="0" applyFont="1" applyNumberFormat="1"/>
    <xf numFmtId="215" fontId="1" fillId="0" borderId="0" xfId="0" applyFont="1" applyNumberFormat="1"/>
    <xf numFmtId="217" fontId="1" fillId="0" borderId="0" xfId="0" applyFont="1" applyNumberFormat="1"/>
    <xf numFmtId="22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</row>
    <row r="2">
      <c r="A2" t="str">
        <f>L2</f>
      </c>
      <c r="L2" t="s">
        <v>37</v>
      </c>
      <c r="M2" s="1" t="n">
        <v>30269723707</v>
      </c>
      <c r="N2" s="1" t="n">
        <v>32157600023</v>
      </c>
      <c r="O2" s="1" t="n">
        <v>30131334568</v>
      </c>
      <c r="P2" s="1" t="n">
        <v>30994675157</v>
      </c>
      <c r="Q2" s="1" t="n">
        <v>31747329388</v>
      </c>
      <c r="R2" s="1" t="n">
        <v>28791249139</v>
      </c>
      <c r="S2" s="1" t="n">
        <v>32843210690</v>
      </c>
      <c r="T2" s="1" t="n">
        <v>40588214258</v>
      </c>
      <c r="U2" s="1" t="n">
        <v>43937403839.07</v>
      </c>
      <c r="V2" s="1" t="n">
        <v>46190558382.95</v>
      </c>
      <c r="W2" s="1" t="n">
        <v>42902822545.2254</v>
      </c>
      <c r="X2" s="1" t="n">
        <v>45999287155.107</v>
      </c>
      <c r="Y2" s="1" t="n">
        <v>60247822850.3926</v>
      </c>
      <c r="Z2" s="1" t="n">
        <v>70112736192.1281</v>
      </c>
      <c r="AA2" s="1" t="n">
        <v>72882060922.0618</v>
      </c>
      <c r="AB2" s="1" t="n">
        <v>73955014283.8944</v>
      </c>
      <c r="AC2" s="1" t="n">
        <v>88500085708.344</v>
      </c>
      <c r="AD2" s="1" t="n">
        <v>99084982833.7199</v>
      </c>
      <c r="AE2" s="1" t="n">
        <v>105265957803.767</v>
      </c>
      <c r="AF2" s="1" t="n">
        <v>107245051745.557</v>
      </c>
      <c r="AG2" s="1" t="n">
        <v>96938496245.6285</v>
      </c>
      <c r="AH2" s="1" t="n">
        <v>109499511280.306</v>
      </c>
      <c r="AI2" s="1" t="n">
        <v>105501222762.01</v>
      </c>
      <c r="AJ2" s="1" t="n">
        <v>96955941011.9567</v>
      </c>
      <c r="AK2" s="1" t="n">
        <v>82025622555.2881</v>
      </c>
      <c r="AL2" s="1" t="n">
        <v>82091633939.9404</v>
      </c>
      <c r="AM2" s="1" t="n">
        <v>102993269137.807</v>
      </c>
      <c r="AN2" s="1" t="n">
        <v>112636441499.833</v>
      </c>
      <c r="AO2" s="1" t="n">
        <v>113544435020.011</v>
      </c>
      <c r="AP2" s="1" t="n">
        <v>123140452457.946</v>
      </c>
      <c r="AQ2" s="1" t="n">
        <v>153214115688.45</v>
      </c>
      <c r="AR2" s="1" t="n">
        <v>114337663324.83</v>
      </c>
      <c r="AS2" s="1" t="n">
        <v>122280611781.346</v>
      </c>
      <c r="AT2" s="1" t="n">
        <v>159386053222.367</v>
      </c>
      <c r="AU2" s="1" t="n">
        <v>134228419029.513</v>
      </c>
      <c r="AV2" s="1" t="n">
        <v>67942172091.25</v>
      </c>
      <c r="AW2" s="1"/>
      <c r="AX2" s="1"/>
    </row>
    <row r="3">
      <c r="A3" t="str">
        <f>L3</f>
      </c>
      <c r="L3" t="s">
        <v>38</v>
      </c>
      <c r="M3" s="1" t="n">
        <v>35960694888</v>
      </c>
      <c r="N3" s="1" t="n">
        <v>37863506273</v>
      </c>
      <c r="O3" s="1" t="n">
        <v>35092959873</v>
      </c>
      <c r="P3" s="1" t="n">
        <v>33829226700</v>
      </c>
      <c r="Q3" s="1" t="n">
        <v>31124696371</v>
      </c>
      <c r="R3" s="1" t="n">
        <v>28535738215</v>
      </c>
      <c r="S3" s="1" t="n">
        <v>30834801969</v>
      </c>
      <c r="T3" s="1" t="n">
        <v>31342498892</v>
      </c>
      <c r="U3" s="1" t="n">
        <v>31429955992</v>
      </c>
      <c r="V3" s="1" t="n">
        <v>33687365680.81</v>
      </c>
      <c r="W3" s="1" t="n">
        <v>24339704940.4517</v>
      </c>
      <c r="X3" s="1" t="n">
        <v>25668062866.5926</v>
      </c>
      <c r="Y3" s="1" t="n">
        <v>32789177064.1244</v>
      </c>
      <c r="Z3" s="1" t="n">
        <v>47830203632.2705</v>
      </c>
      <c r="AA3" s="1" t="n">
        <v>58825445287.5523</v>
      </c>
      <c r="AB3" s="1" t="n">
        <v>65109409507.7438</v>
      </c>
      <c r="AC3" s="1" t="n">
        <v>68522364262.8779</v>
      </c>
      <c r="AD3" s="1" t="n">
        <v>82809836001.6772</v>
      </c>
      <c r="AE3" s="1" t="n">
        <v>101871876880.672</v>
      </c>
      <c r="AF3" s="1" t="n">
        <v>104672508705.539</v>
      </c>
      <c r="AG3" s="1" t="n">
        <v>106647005169.947</v>
      </c>
      <c r="AH3" s="1" t="n">
        <v>102991902961.41</v>
      </c>
      <c r="AI3" s="1" t="n">
        <v>97610267593.4833</v>
      </c>
      <c r="AJ3" s="1" t="n">
        <v>85753545713.694</v>
      </c>
      <c r="AK3" s="1" t="n">
        <v>76963202723.9655</v>
      </c>
      <c r="AL3" s="1" t="n">
        <v>71918795084.8077</v>
      </c>
      <c r="AM3" s="1" t="n">
        <v>71570540591.2204</v>
      </c>
      <c r="AN3" s="1" t="n">
        <v>76552096395.54</v>
      </c>
      <c r="AO3" s="1" t="n">
        <v>88815188266.2546</v>
      </c>
      <c r="AP3" s="1" t="n">
        <v>92436039868.7922</v>
      </c>
      <c r="AQ3" s="1" t="n">
        <v>98386956177.0714</v>
      </c>
      <c r="AR3" s="1" t="n">
        <v>90554875988.3078</v>
      </c>
      <c r="AS3" s="1" t="n">
        <v>98711746156.3474</v>
      </c>
      <c r="AT3" s="1" t="n">
        <v>92859718787.3214</v>
      </c>
      <c r="AU3" s="1" t="n">
        <v>90811061542.03</v>
      </c>
      <c r="AV3" s="1" t="n">
        <v>40112405636.49</v>
      </c>
      <c r="AW3" s="1"/>
      <c r="AX3" s="1"/>
    </row>
    <row r="4">
      <c r="A4" t="str">
        <f>L4</f>
      </c>
      <c r="L4" t="s">
        <v>39</v>
      </c>
      <c r="M4" s="1" t="n">
        <v>1553709217.09</v>
      </c>
      <c r="N4" s="1" t="n">
        <v>672404000</v>
      </c>
      <c r="O4" s="1" t="n">
        <v>899969019</v>
      </c>
      <c r="P4" s="1" t="n">
        <v>840886000</v>
      </c>
      <c r="Q4" s="1" t="n">
        <v>1029714413.16</v>
      </c>
      <c r="R4" s="1" t="n">
        <v>885734272</v>
      </c>
      <c r="S4" s="1" t="n">
        <v>731070604.51</v>
      </c>
      <c r="T4" s="1" t="n">
        <v>8464923159.26</v>
      </c>
      <c r="U4" s="1" t="n">
        <v>7863798272.52</v>
      </c>
      <c r="V4" s="1" t="n">
        <v>9029522955.77</v>
      </c>
      <c r="W4" s="1" t="n">
        <v>30775616109.9954</v>
      </c>
      <c r="X4" s="1" t="n">
        <v>28977229558.2136</v>
      </c>
      <c r="Y4" s="1" t="n">
        <v>30110890208.5421</v>
      </c>
      <c r="Z4" s="1" t="n">
        <v>35237169852.5169</v>
      </c>
      <c r="AA4" s="1" t="n">
        <v>35237466116.3536</v>
      </c>
      <c r="AB4" s="1" t="n">
        <v>41861647182.4975</v>
      </c>
      <c r="AC4" s="1" t="n">
        <v>49235079710.0418</v>
      </c>
      <c r="AD4" s="1" t="n">
        <v>46236634581.6623</v>
      </c>
      <c r="AE4" s="1" t="n">
        <v>54163304086.9167</v>
      </c>
      <c r="AF4" s="1" t="n">
        <v>47994129880.9528</v>
      </c>
      <c r="AG4" s="1" t="n">
        <v>39400381498.6745</v>
      </c>
      <c r="AH4" s="1" t="n">
        <v>38074475305.9424</v>
      </c>
      <c r="AI4" s="1" t="n">
        <v>42282806773.0194</v>
      </c>
      <c r="AJ4" s="1" t="n">
        <v>32245693893.8564</v>
      </c>
      <c r="AK4" s="1" t="n">
        <v>31291466198.8318</v>
      </c>
      <c r="AL4" s="1" t="n">
        <v>28501579754.238</v>
      </c>
      <c r="AM4" s="1" t="n">
        <v>26784212593.313</v>
      </c>
      <c r="AN4" s="1" t="n">
        <v>29083293192.0502</v>
      </c>
      <c r="AO4" s="1" t="n">
        <v>33854686623.0384</v>
      </c>
      <c r="AP4" s="1" t="n">
        <v>36183181891.4847</v>
      </c>
      <c r="AQ4" s="1" t="n">
        <v>33875127294.7425</v>
      </c>
      <c r="AR4" s="1" t="n">
        <v>51897252865.0687</v>
      </c>
      <c r="AS4" s="1" t="n">
        <v>50940057798.8003</v>
      </c>
      <c r="AT4" s="1" t="n">
        <v>44780671562.665</v>
      </c>
      <c r="AU4" s="1" t="n">
        <v>53393767385.1872</v>
      </c>
      <c r="AV4" s="1" t="n">
        <v>22314326085.29</v>
      </c>
      <c r="AW4" s="1"/>
      <c r="AX4" s="1"/>
    </row>
    <row r="5">
      <c r="A5" t="str">
        <f>L5</f>
      </c>
      <c r="L5" t="s">
        <v>40</v>
      </c>
      <c r="M5" s="1" t="n">
        <v>28309733806</v>
      </c>
      <c r="N5" s="1" t="n">
        <v>41260013793</v>
      </c>
      <c r="O5" s="1" t="n">
        <v>34992597394</v>
      </c>
      <c r="P5" s="1" t="n">
        <v>34011985784</v>
      </c>
      <c r="Q5" s="1" t="n">
        <v>32178844449</v>
      </c>
      <c r="R5" s="1" t="n">
        <v>35346833524</v>
      </c>
      <c r="S5" s="1" t="n">
        <v>30374859132</v>
      </c>
      <c r="T5" s="1" t="n">
        <v>32019259820.95</v>
      </c>
      <c r="U5" s="1" t="n">
        <v>32800473951</v>
      </c>
      <c r="V5" s="1" t="n">
        <v>35938113909</v>
      </c>
      <c r="W5" s="1" t="n">
        <v>11523921293.8882</v>
      </c>
      <c r="X5" s="1" t="n">
        <v>19294262660.5963</v>
      </c>
      <c r="Y5" s="1" t="n">
        <v>18125847099.2926</v>
      </c>
      <c r="Z5" s="1" t="n">
        <v>20013166372.316</v>
      </c>
      <c r="AA5" s="1" t="n">
        <v>24694186098.1362</v>
      </c>
      <c r="AB5" s="1" t="n">
        <v>30506190389.3488</v>
      </c>
      <c r="AC5" s="1" t="n">
        <v>32694630494.7587</v>
      </c>
      <c r="AD5" s="1" t="n">
        <v>38415252652.604</v>
      </c>
      <c r="AE5" s="1" t="n">
        <v>45614798519.268</v>
      </c>
      <c r="AF5" s="1" t="n">
        <v>51497164730.6166</v>
      </c>
      <c r="AG5" s="1" t="n">
        <v>51267925899.0568</v>
      </c>
      <c r="AH5" s="1" t="n">
        <v>50656683864.224</v>
      </c>
      <c r="AI5" s="1" t="n">
        <v>47710156553.8934</v>
      </c>
      <c r="AJ5" s="1" t="n">
        <v>39252974914.8427</v>
      </c>
      <c r="AK5" s="1" t="n">
        <v>35338321849.3162</v>
      </c>
      <c r="AL5" s="1" t="n">
        <v>34371601595.8445</v>
      </c>
      <c r="AM5" s="1" t="n">
        <v>35846591828.7674</v>
      </c>
      <c r="AN5" s="1" t="n">
        <v>38657390295.0287</v>
      </c>
      <c r="AO5" s="1" t="n">
        <v>46961996021.619</v>
      </c>
      <c r="AP5" s="1" t="n">
        <v>51660498083.566</v>
      </c>
      <c r="AQ5" s="1" t="n">
        <v>54716683725.2221</v>
      </c>
      <c r="AR5" s="1" t="n">
        <v>49525690350.8893</v>
      </c>
      <c r="AS5" s="1" t="n">
        <v>53181614532.2045</v>
      </c>
      <c r="AT5" s="1" t="n">
        <v>59138125006.1322</v>
      </c>
      <c r="AU5" s="1" t="n">
        <v>58066957747.7248</v>
      </c>
      <c r="AV5" s="1" t="n">
        <v>25036023481.6</v>
      </c>
      <c r="AW5" s="1"/>
      <c r="AX5" s="1"/>
    </row>
    <row r="6">
      <c r="A6" t="str">
        <f>L6</f>
      </c>
      <c r="L6" t="s">
        <v>41</v>
      </c>
      <c r="M6" s="1" t="n">
        <v>13485462635</v>
      </c>
      <c r="N6" s="1" t="n">
        <v>19440091588</v>
      </c>
      <c r="O6" s="1" t="n">
        <v>17673966930</v>
      </c>
      <c r="P6" s="1" t="n">
        <v>17748533767</v>
      </c>
      <c r="Q6" s="1" t="n">
        <v>18137814350</v>
      </c>
      <c r="R6" s="1" t="n">
        <v>19136151732</v>
      </c>
      <c r="S6" s="1" t="n">
        <v>19504806938</v>
      </c>
      <c r="T6" s="1" t="n">
        <v>19913563370</v>
      </c>
      <c r="U6" s="1" t="n">
        <v>20878185339.82</v>
      </c>
      <c r="V6" s="1" t="n">
        <v>24839183122.87</v>
      </c>
      <c r="W6" s="1" t="n">
        <v>20598432173.8267</v>
      </c>
      <c r="X6" s="1" t="n">
        <v>21626567641.6172</v>
      </c>
      <c r="Y6" s="1" t="n">
        <v>25988438830.3704</v>
      </c>
      <c r="Z6" s="1" t="n">
        <v>32504323195.2737</v>
      </c>
      <c r="AA6" s="1" t="n">
        <v>34599455883.6881</v>
      </c>
      <c r="AB6" s="1" t="n">
        <v>43337560983.8088</v>
      </c>
      <c r="AC6" s="1" t="n">
        <v>45539243560.9074</v>
      </c>
      <c r="AD6" s="1" t="n">
        <v>49801972865.3861</v>
      </c>
      <c r="AE6" s="1" t="n">
        <v>54964480699.3463</v>
      </c>
      <c r="AF6" s="1" t="n">
        <v>59266736026.4084</v>
      </c>
      <c r="AG6" s="1" t="n">
        <v>58261568368.4893</v>
      </c>
      <c r="AH6" s="1" t="n">
        <v>56279087351.0887</v>
      </c>
      <c r="AI6" s="1" t="n">
        <v>56171070185.7094</v>
      </c>
      <c r="AJ6" s="1" t="n">
        <v>47307538148.0965</v>
      </c>
      <c r="AK6" s="1" t="n">
        <v>53345215577.3017</v>
      </c>
      <c r="AL6" s="1" t="n">
        <v>52300697758.2954</v>
      </c>
      <c r="AM6" s="1" t="n">
        <v>56259170904.7961</v>
      </c>
      <c r="AN6" s="1" t="n">
        <v>59065740272.5902</v>
      </c>
      <c r="AO6" s="1" t="n">
        <v>70043736723.5645</v>
      </c>
      <c r="AP6" s="1" t="n">
        <v>72866637066.2723</v>
      </c>
      <c r="AQ6" s="1" t="n">
        <v>75617363810.4196</v>
      </c>
      <c r="AR6" s="1" t="n">
        <v>73933383322.2853</v>
      </c>
      <c r="AS6" s="1" t="n">
        <v>81563459681.4971</v>
      </c>
      <c r="AT6" s="1" t="n">
        <v>89905784043.2579</v>
      </c>
      <c r="AU6" s="1" t="n">
        <v>93951173109.923</v>
      </c>
      <c r="AV6" s="1" t="n">
        <v>35219787461.12</v>
      </c>
      <c r="AW6" s="1"/>
      <c r="AX6" s="1"/>
    </row>
    <row r="7">
      <c r="A7" t="str">
        <f>L7</f>
      </c>
      <c r="L7" t="s">
        <v>42</v>
      </c>
      <c r="M7" s="1" t="n">
        <v>128761000</v>
      </c>
      <c r="N7" s="1"/>
      <c r="O7" s="1" t="n">
        <v>475450000</v>
      </c>
      <c r="P7" s="1" t="n">
        <v>34680000</v>
      </c>
      <c r="Q7" s="1" t="n">
        <v>691946000</v>
      </c>
      <c r="R7" s="1" t="n">
        <v>657907000</v>
      </c>
      <c r="S7" s="1" t="n">
        <v>488224000</v>
      </c>
      <c r="T7" s="1" t="n">
        <v>3396506240</v>
      </c>
      <c r="U7" s="1" t="n">
        <v>2544724929</v>
      </c>
      <c r="V7" s="1" t="n">
        <v>4406682282</v>
      </c>
      <c r="W7" s="1" t="n">
        <v>1140764146</v>
      </c>
      <c r="X7" s="1" t="n">
        <v>1214362029</v>
      </c>
      <c r="Y7" s="1" t="n">
        <v>974538126.57</v>
      </c>
      <c r="Z7" s="1" t="n">
        <v>5125701761.04</v>
      </c>
      <c r="AA7" s="1" t="n">
        <v>1699640776.0878</v>
      </c>
      <c r="AB7" s="1" t="n">
        <v>3819423997.1599</v>
      </c>
      <c r="AC7" s="1" t="n">
        <v>3551275282.6479</v>
      </c>
      <c r="AD7" s="1" t="n">
        <v>4913046393.5099</v>
      </c>
      <c r="AE7" s="1" t="n">
        <v>6617975511.1973</v>
      </c>
      <c r="AF7" s="1" t="n">
        <v>4945313067.5657</v>
      </c>
      <c r="AG7" s="1" t="n">
        <v>5290266016.2056</v>
      </c>
      <c r="AH7" s="1" t="n">
        <v>6648770078.9394</v>
      </c>
      <c r="AI7" s="1" t="n">
        <v>4960702860.1275</v>
      </c>
      <c r="AJ7" s="1" t="n">
        <v>4537103270.246</v>
      </c>
      <c r="AK7" s="1" t="n">
        <v>3547029648.179</v>
      </c>
      <c r="AL7" s="1" t="n">
        <v>3902648817.2791</v>
      </c>
      <c r="AM7" s="1" t="n">
        <v>3905920891.33</v>
      </c>
      <c r="AN7" s="1" t="n">
        <v>4586082640.5932</v>
      </c>
      <c r="AO7" s="1" t="n">
        <v>4591784259.5543</v>
      </c>
      <c r="AP7" s="1" t="n">
        <v>5599633629.1998</v>
      </c>
      <c r="AQ7" s="1" t="n">
        <v>5964046956.9917</v>
      </c>
      <c r="AR7" s="1" t="n">
        <v>5976193830.4691</v>
      </c>
      <c r="AS7" s="1" t="n">
        <v>7433182385.6492</v>
      </c>
      <c r="AT7" s="1" t="n">
        <v>10553818069.0188</v>
      </c>
      <c r="AU7" s="1" t="n">
        <v>14106685300.57</v>
      </c>
      <c r="AV7" s="1" t="n">
        <v>7823699247.78</v>
      </c>
      <c r="AW7" s="1"/>
      <c r="AX7" s="1"/>
    </row>
    <row r="8">
      <c r="A8" t="str">
        <f>L8</f>
      </c>
      <c r="L8"/>
      <c r="M8" s="1" t="n">
        <v>12657156369</v>
      </c>
      <c r="N8" s="1" t="n">
        <v>5733027167</v>
      </c>
      <c r="O8" s="1" t="n">
        <v>5986408785</v>
      </c>
      <c r="P8" s="1" t="n">
        <v>5597104734</v>
      </c>
      <c r="Q8" s="1" t="n">
        <v>4027272167</v>
      </c>
      <c r="R8" s="1" t="n">
        <v>5034572112</v>
      </c>
      <c r="S8" s="1" t="n">
        <v>5929337977</v>
      </c>
      <c r="T8" s="1" t="n">
        <v>4097788635</v>
      </c>
      <c r="U8" s="1" t="n">
        <v>3857386043</v>
      </c>
      <c r="V8" s="1" t="n">
        <v>2509594078</v>
      </c>
      <c r="W8" s="1" t="n">
        <v>896708530</v>
      </c>
      <c r="X8" s="1" t="n">
        <v>1213766661.1</v>
      </c>
      <c r="Y8" s="1" t="n">
        <v>1573806956.21</v>
      </c>
      <c r="Z8" s="1" t="n">
        <v>709786293.24</v>
      </c>
      <c r="AA8" s="1" t="n">
        <v>1836868748.7889</v>
      </c>
      <c r="AB8" s="1" t="n">
        <v>7075231414.9506</v>
      </c>
      <c r="AC8" s="1" t="n">
        <v>7092868369.6672</v>
      </c>
      <c r="AD8" s="1" t="n">
        <v>6876854938.6181</v>
      </c>
      <c r="AE8" s="1" t="n">
        <v>9487139041.9535</v>
      </c>
      <c r="AF8" s="1" t="n">
        <v>5929525859.9317</v>
      </c>
      <c r="AG8" s="1" t="n">
        <v>4889927778.7871</v>
      </c>
      <c r="AH8" s="1" t="n">
        <v>4460070346.1235</v>
      </c>
      <c r="AI8" s="1" t="n">
        <v>3553770207.0369</v>
      </c>
      <c r="AJ8" s="1" t="n">
        <v>2147929983.898</v>
      </c>
      <c r="AK8" s="1" t="n">
        <v>889402608.3627</v>
      </c>
      <c r="AL8" s="1" t="n">
        <v>1139396915.1726</v>
      </c>
      <c r="AM8" s="1" t="n">
        <v>992457473.8451</v>
      </c>
      <c r="AN8" s="1" t="n">
        <v>1270160251.1622</v>
      </c>
      <c r="AO8" s="1" t="n">
        <v>1549606406.4805</v>
      </c>
      <c r="AP8" s="1" t="n">
        <v>1722067973.7327</v>
      </c>
      <c r="AQ8" s="1" t="n">
        <v>760479661.2613</v>
      </c>
      <c r="AR8" s="1" t="n">
        <v>744937880.4353</v>
      </c>
      <c r="AS8" s="1" t="n">
        <v>215207921.4624</v>
      </c>
      <c r="AT8" s="1" t="n">
        <v>458701202.7606</v>
      </c>
      <c r="AU8" s="1" t="n">
        <v>280518305.58</v>
      </c>
      <c r="AV8" s="1" t="n">
        <v>8912989.32</v>
      </c>
      <c r="AW8" s="1"/>
      <c r="AX8" s="1"/>
    </row>
    <row r="9">
      <c r="A9" t="str">
        <f>L9</f>
      </c>
      <c r="L9" t="s">
        <v>43</v>
      </c>
      <c r="M9" s="1" t="str">
        <f>Sum(M2:M8)</f>
      </c>
      <c r="N9" s="1" t="str">
        <f>Sum(N2:N8)</f>
      </c>
      <c r="O9" s="1" t="str">
        <f>Sum(O2:O8)</f>
      </c>
      <c r="P9" s="1" t="str">
        <f>Sum(P2:P8)</f>
      </c>
      <c r="Q9" s="1" t="str">
        <f>Sum(Q2:Q8)</f>
      </c>
      <c r="R9" s="1" t="str">
        <f>Sum(R2:R8)</f>
      </c>
      <c r="S9" s="1" t="str">
        <f>Sum(S2:S8)</f>
      </c>
      <c r="T9" s="1" t="str">
        <f>Sum(T2:T8)</f>
      </c>
      <c r="U9" s="1" t="str">
        <f>Sum(U2:U8)</f>
      </c>
      <c r="V9" s="1" t="str">
        <f>Sum(V2:V8)</f>
      </c>
      <c r="W9" s="1" t="str">
        <f>Sum(W2:W8)</f>
      </c>
      <c r="X9" s="1" t="str">
        <f>Sum(X2:X8)</f>
      </c>
      <c r="Y9" s="1" t="str">
        <f>Sum(Y2:Y8)</f>
      </c>
      <c r="Z9" s="1" t="str">
        <f>Sum(Z2:Z8)</f>
      </c>
      <c r="AA9" s="1" t="str">
        <f>Sum(AA2:AA8)</f>
      </c>
      <c r="AB9" s="1" t="str">
        <f>Sum(AB2:AB8)</f>
      </c>
      <c r="AC9" s="1" t="str">
        <f>Sum(AC2:AC8)</f>
      </c>
      <c r="AD9" s="1" t="str">
        <f>Sum(AD2:AD8)</f>
      </c>
      <c r="AE9" s="1" t="str">
        <f>Sum(AE2:AE8)</f>
      </c>
      <c r="AF9" s="1" t="str">
        <f>Sum(AF2:AF8)</f>
      </c>
      <c r="AG9" s="1" t="str">
        <f>Sum(AG2:AG8)</f>
      </c>
      <c r="AH9" s="1" t="str">
        <f>Sum(AH2:AH8)</f>
      </c>
      <c r="AI9" s="1" t="str">
        <f>Sum(AI2:AI8)</f>
      </c>
      <c r="AJ9" s="1" t="str">
        <f>Sum(AJ2:AJ8)</f>
      </c>
      <c r="AK9" s="1" t="str">
        <f>Sum(AK2:AK8)</f>
      </c>
      <c r="AL9" s="1" t="str">
        <f>Sum(AL2:AL8)</f>
      </c>
      <c r="AM9" s="1" t="str">
        <f>Sum(AM2:AM8)</f>
      </c>
      <c r="AN9" s="1" t="str">
        <f>Sum(AN2:AN8)</f>
      </c>
      <c r="AO9" s="1" t="str">
        <f>Sum(AO2:AO8)</f>
      </c>
      <c r="AP9" s="1" t="str">
        <f>Sum(AP2:AP8)</f>
      </c>
      <c r="AQ9" s="1" t="str">
        <f>Sum(AQ2:AQ8)</f>
      </c>
      <c r="AR9" s="1" t="str">
        <f>Sum(AR2:AR8)</f>
      </c>
      <c r="AS9" s="1" t="str">
        <f>Sum(AS2:AS8)</f>
      </c>
      <c r="AT9" s="1" t="str">
        <f>Sum(AT2:AT8)</f>
      </c>
      <c r="AU9" s="1" t="str">
        <f>Sum(AU2:AU8)</f>
      </c>
      <c r="AV9" s="1" t="str">
        <f>Sum(AV2:AV8)</f>
      </c>
      <c r="AW9" s="1" t="str">
        <f>Sum(AW2:AW8)</f>
      </c>
      <c r="AX9" s="1"/>
    </row>
    <row r="12">
      <c r="A12" t="str">
        <f>L12</f>
      </c>
      <c r="B12" t="str">
        <f>AQ12</f>
      </c>
      <c r="C12" t="str">
        <f>AT12</f>
      </c>
      <c r="D12" t="str">
        <f>AU12</f>
      </c>
      <c r="E12" t="str">
        <f>AV12</f>
      </c>
      <c r="F12" t="str">
        <f>AT12&amp;"-"&amp;AU12</f>
      </c>
      <c r="G12" t="str">
        <f>AQ12&amp;"-"&amp;AU12</f>
      </c>
      <c r="H12" t="str">
        <f>AV12&amp;"/"&amp;AU12</f>
      </c>
      <c r="I12" t="str">
        <f>"Share "&amp;AU12</f>
      </c>
      <c r="J12" t="str">
        <f>"Share "&amp;AV12</f>
      </c>
      <c r="L12" t="s">
        <v>0</v>
      </c>
      <c r="M12" t="s">
        <v>1</v>
      </c>
      <c r="N12" t="s">
        <v>2</v>
      </c>
      <c r="O12" t="s">
        <v>3</v>
      </c>
      <c r="P12" t="s">
        <v>4</v>
      </c>
      <c r="Q12" t="s">
        <v>5</v>
      </c>
      <c r="R12" t="s">
        <v>6</v>
      </c>
      <c r="S12" t="s">
        <v>7</v>
      </c>
      <c r="T12" t="s">
        <v>8</v>
      </c>
      <c r="U12" t="s">
        <v>9</v>
      </c>
      <c r="V12" t="s">
        <v>10</v>
      </c>
      <c r="W12" t="s">
        <v>11</v>
      </c>
      <c r="X12" t="s">
        <v>12</v>
      </c>
      <c r="Y12" t="s">
        <v>13</v>
      </c>
      <c r="Z12" t="s">
        <v>14</v>
      </c>
      <c r="AA12" t="s">
        <v>15</v>
      </c>
      <c r="AB12" t="s">
        <v>16</v>
      </c>
      <c r="AC12" t="s">
        <v>17</v>
      </c>
      <c r="AD12" t="s">
        <v>18</v>
      </c>
      <c r="AE12" t="s">
        <v>19</v>
      </c>
      <c r="AF12" t="s">
        <v>20</v>
      </c>
      <c r="AG12" t="s">
        <v>21</v>
      </c>
      <c r="AH12" t="s">
        <v>22</v>
      </c>
      <c r="AI12" t="s">
        <v>23</v>
      </c>
      <c r="AJ12" t="s">
        <v>24</v>
      </c>
      <c r="AK12" t="s">
        <v>25</v>
      </c>
      <c r="AL12" t="s">
        <v>26</v>
      </c>
      <c r="AM12" t="s">
        <v>27</v>
      </c>
      <c r="AN12" t="s">
        <v>28</v>
      </c>
      <c r="AO12" t="s">
        <v>29</v>
      </c>
      <c r="AP12" t="s">
        <v>30</v>
      </c>
      <c r="AQ12" t="s">
        <v>31</v>
      </c>
      <c r="AR12" t="s">
        <v>32</v>
      </c>
      <c r="AS12" t="s">
        <v>33</v>
      </c>
      <c r="AT12" t="s">
        <v>34</v>
      </c>
      <c r="AU12" t="s">
        <v>35</v>
      </c>
      <c r="AV12" t="s">
        <v>36</v>
      </c>
    </row>
    <row r="13">
      <c r="A13" t="str">
        <f>L13</f>
      </c>
      <c r="B13" s="1" t="str">
        <f>AQ13</f>
      </c>
      <c r="C13" s="1" t="str">
        <f>AT13</f>
      </c>
      <c r="D13" s="1" t="str">
        <f>AU13</f>
      </c>
      <c r="E13" s="1" t="str">
        <f>AV13</f>
      </c>
      <c r="F13" s="2" t="str">
        <f>AU13/AT13-1</f>
      </c>
      <c r="G13" s="2" t="str">
        <f>AU13/AQ13-1</f>
      </c>
      <c r="H13" s="2" t="str">
        <f>AV13/AU13</f>
      </c>
      <c r="I13" s="2" t="str">
        <f>AU13/Sum(AU$12:AU$19)</f>
      </c>
      <c r="J13" s="2" t="str">
        <f>AV13/Sum(AV12:AV$19)</f>
      </c>
      <c r="L13" t="s">
        <v>37</v>
      </c>
      <c r="M13" s="1" t="n">
        <v>62606322787.9345</v>
      </c>
      <c r="N13" s="1" t="n">
        <v>64215250036.7618</v>
      </c>
      <c r="O13" s="1" t="n">
        <v>58699840588.5805</v>
      </c>
      <c r="P13" s="1" t="n">
        <v>58997660934.7476</v>
      </c>
      <c r="Q13" s="1" t="n">
        <v>59139272094.0376</v>
      </c>
      <c r="R13" s="1" t="n">
        <v>52518645921.6326</v>
      </c>
      <c r="S13" s="1" t="n">
        <v>58802738747.3366</v>
      </c>
      <c r="T13" s="1" t="n">
        <v>71402267133.1574</v>
      </c>
      <c r="U13" s="1" t="n">
        <v>76337018089.2051</v>
      </c>
      <c r="V13" s="1" t="n">
        <v>79270089399.4309</v>
      </c>
      <c r="W13" s="1" t="n">
        <v>72127083677.9921</v>
      </c>
      <c r="X13" s="1" t="n">
        <v>75502662092.9514</v>
      </c>
      <c r="Y13" s="1" t="n">
        <v>97358376193.2393</v>
      </c>
      <c r="Z13" s="1" t="n">
        <v>111165887797.959</v>
      </c>
      <c r="AA13" s="1" t="n">
        <v>112802246445.313</v>
      </c>
      <c r="AB13" s="1" t="n">
        <v>111082670093.685</v>
      </c>
      <c r="AC13" s="1" t="n">
        <v>128747532571.703</v>
      </c>
      <c r="AD13" s="1" t="n">
        <v>140284201547.294</v>
      </c>
      <c r="AE13" s="1" t="n">
        <v>146004038903.592</v>
      </c>
      <c r="AF13" s="1" t="n">
        <v>147243318626.455</v>
      </c>
      <c r="AG13" s="1" t="n">
        <v>131950069495.614</v>
      </c>
      <c r="AH13" s="1" t="n">
        <v>146115056302.367</v>
      </c>
      <c r="AI13" s="1" t="n">
        <v>138270713629.949</v>
      </c>
      <c r="AJ13" s="1" t="n">
        <v>124806619374.481</v>
      </c>
      <c r="AK13" s="1" t="n">
        <v>103695813437.405</v>
      </c>
      <c r="AL13" s="1" t="n">
        <v>102715516142.703</v>
      </c>
      <c r="AM13" s="1" t="n">
        <v>127846129438.98</v>
      </c>
      <c r="AN13" s="1" t="n">
        <v>137495304165.259</v>
      </c>
      <c r="AO13" s="1" t="n">
        <v>135593515732.374</v>
      </c>
      <c r="AP13" s="1" t="n">
        <v>144383392927.861</v>
      </c>
      <c r="AQ13" s="1" t="n">
        <v>177328596750.883</v>
      </c>
      <c r="AR13" s="1" t="n">
        <v>127930325958.218</v>
      </c>
      <c r="AS13" s="1" t="n">
        <v>127874533370.453</v>
      </c>
      <c r="AT13" s="1" t="n">
        <v>159386053222.367</v>
      </c>
      <c r="AU13" s="1" t="n">
        <v>130736959361.645</v>
      </c>
      <c r="AV13" s="1" t="n">
        <v>64754067360.1531</v>
      </c>
      <c r="AW13" s="1"/>
      <c r="AX13" s="1"/>
    </row>
    <row r="14">
      <c r="A14" t="str">
        <f>L14</f>
      </c>
      <c r="B14" s="1" t="str">
        <f>AQ14</f>
      </c>
      <c r="C14" s="1" t="str">
        <f>AT14</f>
      </c>
      <c r="D14" s="1" t="str">
        <f>AU14</f>
      </c>
      <c r="E14" s="1" t="str">
        <f>AV14</f>
      </c>
      <c r="F14" s="2" t="str">
        <f>AU14/AT14-1</f>
      </c>
      <c r="G14" s="2" t="str">
        <f>AU14/AQ14-1</f>
      </c>
      <c r="H14" s="2" t="str">
        <f>AV14/AU14</f>
      </c>
      <c r="I14" s="2" t="str">
        <f>AU14/Sum(AU$12:AU$19)</f>
      </c>
      <c r="J14" s="2" t="str">
        <f>AV14/Sum(AV12:AV$19)</f>
      </c>
      <c r="L14" t="s">
        <v>38</v>
      </c>
      <c r="M14" s="1" t="n">
        <v>74376855686.8564</v>
      </c>
      <c r="N14" s="1" t="n">
        <v>75609327836.971</v>
      </c>
      <c r="O14" s="1" t="n">
        <v>68365745489.2242</v>
      </c>
      <c r="P14" s="1" t="n">
        <v>64393165484.7675</v>
      </c>
      <c r="Q14" s="1" t="n">
        <v>57979424506.3217</v>
      </c>
      <c r="R14" s="1" t="n">
        <v>52052563756.1149</v>
      </c>
      <c r="S14" s="1" t="n">
        <v>55206868220.7442</v>
      </c>
      <c r="T14" s="1" t="n">
        <v>55137322974.641</v>
      </c>
      <c r="U14" s="1" t="n">
        <v>54606529049.6465</v>
      </c>
      <c r="V14" s="1" t="n">
        <v>57812691221.6509</v>
      </c>
      <c r="W14" s="1" t="n">
        <v>40919264299.849</v>
      </c>
      <c r="X14" s="1" t="n">
        <v>42131241526.8986</v>
      </c>
      <c r="Y14" s="1" t="n">
        <v>52986164223.7742</v>
      </c>
      <c r="Z14" s="1" t="n">
        <v>75836250859.8757</v>
      </c>
      <c r="AA14" s="1" t="n">
        <v>91046305395.7511</v>
      </c>
      <c r="AB14" s="1" t="n">
        <v>97796303960.9388</v>
      </c>
      <c r="AC14" s="1" t="n">
        <v>99684483401.5029</v>
      </c>
      <c r="AD14" s="1" t="n">
        <v>117241900755.563</v>
      </c>
      <c r="AE14" s="1" t="n">
        <v>141296443651.752</v>
      </c>
      <c r="AF14" s="1" t="n">
        <v>143711316278.968</v>
      </c>
      <c r="AG14" s="1" t="n">
        <v>145165030289.071</v>
      </c>
      <c r="AH14" s="1" t="n">
        <v>137431368632.975</v>
      </c>
      <c r="AI14" s="1" t="n">
        <v>127928767121.562</v>
      </c>
      <c r="AJ14" s="1" t="n">
        <v>110386326285.888</v>
      </c>
      <c r="AK14" s="1" t="n">
        <v>97295962683.2484</v>
      </c>
      <c r="AL14" s="1" t="n">
        <v>89986954857.0797</v>
      </c>
      <c r="AM14" s="1" t="n">
        <v>88840918178.838</v>
      </c>
      <c r="AN14" s="1" t="n">
        <v>93447144087.9869</v>
      </c>
      <c r="AO14" s="1" t="n">
        <v>106062121189.222</v>
      </c>
      <c r="AP14" s="1" t="n">
        <v>108382166856.413</v>
      </c>
      <c r="AQ14" s="1" t="n">
        <v>113872150741.956</v>
      </c>
      <c r="AR14" s="1" t="n">
        <v>101320199008.951</v>
      </c>
      <c r="AS14" s="1" t="n">
        <v>103227472401.73</v>
      </c>
      <c r="AT14" s="1" t="n">
        <v>92859718787.3214</v>
      </c>
      <c r="AU14" s="1" t="n">
        <v>88448945076.212</v>
      </c>
      <c r="AV14" s="1" t="n">
        <v>38230179233.5187</v>
      </c>
      <c r="AW14" s="1"/>
      <c r="AX14" s="1"/>
    </row>
    <row r="15">
      <c r="A15" t="str">
        <f>L15</f>
      </c>
      <c r="B15" s="1" t="str">
        <f>AQ15</f>
      </c>
      <c r="C15" s="1" t="str">
        <f>AT15</f>
      </c>
      <c r="D15" s="1" t="str">
        <f>AU15</f>
      </c>
      <c r="E15" s="1" t="str">
        <f>AV15</f>
      </c>
      <c r="F15" s="2" t="str">
        <f>AU15/AT15-1</f>
      </c>
      <c r="G15" s="2" t="str">
        <f>AU15/AQ15-1</f>
      </c>
      <c r="H15" s="2" t="str">
        <f>AV15/AU15</f>
      </c>
      <c r="I15" s="2" t="str">
        <f>AU15/Sum(AU$12:AU$19)</f>
      </c>
      <c r="J15" s="2" t="str">
        <f>AV15/Sum(AV12:AV$19)</f>
      </c>
      <c r="L15" t="s">
        <v>39</v>
      </c>
      <c r="M15" s="1" t="n">
        <v>3213508709.40494</v>
      </c>
      <c r="N15" s="1" t="n">
        <v>1342718080.79074</v>
      </c>
      <c r="O15" s="1" t="n">
        <v>1753259147.2422</v>
      </c>
      <c r="P15" s="1" t="n">
        <v>1600607422.45179</v>
      </c>
      <c r="Q15" s="1" t="n">
        <v>1918163260.75098</v>
      </c>
      <c r="R15" s="1" t="n">
        <v>1615684140.24841</v>
      </c>
      <c r="S15" s="1" t="n">
        <v>1308914471.50592</v>
      </c>
      <c r="T15" s="1" t="n">
        <v>14891384499.8737</v>
      </c>
      <c r="U15" s="1" t="n">
        <v>13662594020.756</v>
      </c>
      <c r="V15" s="1" t="n">
        <v>15496047612.2391</v>
      </c>
      <c r="W15" s="1" t="n">
        <v>51739146907.3503</v>
      </c>
      <c r="X15" s="1" t="n">
        <v>47562866884.14</v>
      </c>
      <c r="Y15" s="1" t="n">
        <v>48658146265.5702</v>
      </c>
      <c r="Z15" s="1" t="n">
        <v>55869610614.0886</v>
      </c>
      <c r="AA15" s="1" t="n">
        <v>54538322416.7593</v>
      </c>
      <c r="AB15" s="1" t="n">
        <v>62877461232.0542</v>
      </c>
      <c r="AC15" s="1" t="n">
        <v>71625863160.5074</v>
      </c>
      <c r="AD15" s="1" t="n">
        <v>65461679247.6762</v>
      </c>
      <c r="AE15" s="1" t="n">
        <v>75124582743.029</v>
      </c>
      <c r="AF15" s="1" t="n">
        <v>65894088755.04</v>
      </c>
      <c r="AG15" s="1" t="n">
        <v>53630737820.9228</v>
      </c>
      <c r="AH15" s="1" t="n">
        <v>50806200301.3837</v>
      </c>
      <c r="AI15" s="1" t="n">
        <v>55416171620.7889</v>
      </c>
      <c r="AJ15" s="1" t="n">
        <v>41508297503.7112</v>
      </c>
      <c r="AK15" s="1" t="n">
        <v>39558298249.4261</v>
      </c>
      <c r="AL15" s="1" t="n">
        <v>35662031985.876</v>
      </c>
      <c r="AM15" s="1" t="n">
        <v>33247395085.0529</v>
      </c>
      <c r="AN15" s="1" t="n">
        <v>35501976006.3556</v>
      </c>
      <c r="AO15" s="1" t="n">
        <v>40428894488.9859</v>
      </c>
      <c r="AP15" s="1" t="n">
        <v>42425137021.5052</v>
      </c>
      <c r="AQ15" s="1" t="n">
        <v>39206758208.5524</v>
      </c>
      <c r="AR15" s="1" t="n">
        <v>58066889617.137</v>
      </c>
      <c r="AS15" s="1" t="n">
        <v>53270391977.8657</v>
      </c>
      <c r="AT15" s="1" t="n">
        <v>44780671562.665</v>
      </c>
      <c r="AU15" s="1" t="n">
        <v>52004924495.6651</v>
      </c>
      <c r="AV15" s="1" t="n">
        <v>21267253164.6862</v>
      </c>
      <c r="AW15" s="1"/>
      <c r="AX15" s="1"/>
    </row>
    <row r="16">
      <c r="A16" t="str">
        <f>L16</f>
      </c>
      <c r="B16" s="1" t="str">
        <f>AQ16</f>
      </c>
      <c r="C16" s="1" t="str">
        <f>AT16</f>
      </c>
      <c r="D16" s="1" t="str">
        <f>AU16</f>
      </c>
      <c r="E16" s="1" t="str">
        <f>AV16</f>
      </c>
      <c r="F16" s="2" t="str">
        <f>AU16/AT16-1</f>
      </c>
      <c r="G16" s="2" t="str">
        <f>AU16/AQ16-1</f>
      </c>
      <c r="H16" s="2" t="str">
        <f>AV16/AU16</f>
      </c>
      <c r="I16" s="2" t="str">
        <f>AU16/Sum(AU$12:AU$19)</f>
      </c>
      <c r="J16" s="2" t="str">
        <f>AV16/Sum(AV12:AV$19)</f>
      </c>
      <c r="L16" t="s">
        <v>40</v>
      </c>
      <c r="M16" s="1" t="n">
        <v>58552511078.5557</v>
      </c>
      <c r="N16" s="1" t="n">
        <v>82391786089.2207</v>
      </c>
      <c r="O16" s="1" t="n">
        <v>68170226053.9639</v>
      </c>
      <c r="P16" s="1" t="n">
        <v>64741043254.6089</v>
      </c>
      <c r="Q16" s="1" t="n">
        <v>59943103064.9286</v>
      </c>
      <c r="R16" s="1" t="n">
        <v>64476807704.1595</v>
      </c>
      <c r="S16" s="1" t="n">
        <v>54383383003.7202</v>
      </c>
      <c r="T16" s="1" t="n">
        <v>56327872140.638</v>
      </c>
      <c r="U16" s="1" t="n">
        <v>56987672337.2873</v>
      </c>
      <c r="V16" s="1" t="n">
        <v>61675320718.0307</v>
      </c>
      <c r="W16" s="1" t="n">
        <v>19373709843.6049</v>
      </c>
      <c r="X16" s="1" t="n">
        <v>31669364550.8791</v>
      </c>
      <c r="Y16" s="1" t="n">
        <v>29290735452.7345</v>
      </c>
      <c r="Z16" s="1" t="n">
        <v>31731487433.756</v>
      </c>
      <c r="AA16" s="1" t="n">
        <v>38220100128.4417</v>
      </c>
      <c r="AB16" s="1" t="n">
        <v>45821221395.8444</v>
      </c>
      <c r="AC16" s="1" t="n">
        <v>47563264722.8825</v>
      </c>
      <c r="AD16" s="1" t="n">
        <v>54388191746.9954</v>
      </c>
      <c r="AE16" s="1" t="n">
        <v>63267792898.4598</v>
      </c>
      <c r="AF16" s="1" t="n">
        <v>70703620459.6111</v>
      </c>
      <c r="AG16" s="1" t="n">
        <v>69784519538.4037</v>
      </c>
      <c r="AH16" s="1" t="n">
        <v>67595773975.3266</v>
      </c>
      <c r="AI16" s="1" t="n">
        <v>62529297968.2783</v>
      </c>
      <c r="AJ16" s="1" t="n">
        <v>50528426091.0705</v>
      </c>
      <c r="AK16" s="1" t="n">
        <v>44674284882.2357</v>
      </c>
      <c r="AL16" s="1" t="n">
        <v>43006779486.8293</v>
      </c>
      <c r="AM16" s="1" t="n">
        <v>44496577856.5097</v>
      </c>
      <c r="AN16" s="1" t="n">
        <v>47189076342.2066</v>
      </c>
      <c r="AO16" s="1" t="n">
        <v>56081499240.8815</v>
      </c>
      <c r="AP16" s="1" t="n">
        <v>60572442643.8651</v>
      </c>
      <c r="AQ16" s="1" t="n">
        <v>63328582358.4659</v>
      </c>
      <c r="AR16" s="1" t="n">
        <v>55413391577.6736</v>
      </c>
      <c r="AS16" s="1" t="n">
        <v>55614492298.6918</v>
      </c>
      <c r="AT16" s="1" t="n">
        <v>59138125006.1322</v>
      </c>
      <c r="AU16" s="1" t="n">
        <v>56556558962.7445</v>
      </c>
      <c r="AV16" s="1" t="n">
        <v>23861238183.268</v>
      </c>
      <c r="AW16" s="1"/>
      <c r="AX16" s="1"/>
    </row>
    <row r="17">
      <c r="A17" t="str">
        <f>L17</f>
      </c>
      <c r="B17" s="1" t="str">
        <f>AQ17</f>
      </c>
      <c r="C17" s="1" t="str">
        <f>AT17</f>
      </c>
      <c r="D17" s="1" t="str">
        <f>AU17</f>
      </c>
      <c r="E17" s="1" t="str">
        <f>AV17</f>
      </c>
      <c r="F17" s="2" t="str">
        <f>AU17/AT17-1</f>
      </c>
      <c r="G17" s="2" t="str">
        <f>AU17/AQ17-1</f>
      </c>
      <c r="H17" s="2" t="str">
        <f>AV17/AU17</f>
      </c>
      <c r="I17" s="2" t="str">
        <f>AU17/Sum(AU$12:AU$19)</f>
      </c>
      <c r="J17" s="2" t="str">
        <f>AV17/Sum(AV12:AV$19)</f>
      </c>
      <c r="L17" t="s">
        <v>41</v>
      </c>
      <c r="M17" s="1" t="n">
        <v>27891738783.0731</v>
      </c>
      <c r="N17" s="1" t="n">
        <v>38819760839.3697</v>
      </c>
      <c r="O17" s="1" t="n">
        <v>34431234335.7218</v>
      </c>
      <c r="P17" s="1" t="n">
        <v>33783931335.6345</v>
      </c>
      <c r="Q17" s="1" t="n">
        <v>33787318767.0783</v>
      </c>
      <c r="R17" s="1" t="n">
        <v>34906605554.4699</v>
      </c>
      <c r="S17" s="1" t="n">
        <v>34921557381.1627</v>
      </c>
      <c r="T17" s="1" t="n">
        <v>35031685855.3969</v>
      </c>
      <c r="U17" s="1" t="n">
        <v>36273841253.6427</v>
      </c>
      <c r="V17" s="1" t="n">
        <v>42627851571.6222</v>
      </c>
      <c r="W17" s="1" t="n">
        <v>34629536074.7165</v>
      </c>
      <c r="X17" s="1" t="n">
        <v>35497581155.3222</v>
      </c>
      <c r="Y17" s="1" t="n">
        <v>41996408909.3337</v>
      </c>
      <c r="Z17" s="1" t="n">
        <v>51536598648.3934</v>
      </c>
      <c r="AA17" s="1" t="n">
        <v>53550850512.2981</v>
      </c>
      <c r="AB17" s="1" t="n">
        <v>65094328437.9535</v>
      </c>
      <c r="AC17" s="1" t="n">
        <v>66249260627.5056</v>
      </c>
      <c r="AD17" s="1" t="n">
        <v>70509473777.9285</v>
      </c>
      <c r="AE17" s="1" t="n">
        <v>76235815887.441</v>
      </c>
      <c r="AF17" s="1" t="n">
        <v>81370942105.4755</v>
      </c>
      <c r="AG17" s="1" t="n">
        <v>79304077253.9559</v>
      </c>
      <c r="AH17" s="1" t="n">
        <v>75098253141.0543</v>
      </c>
      <c r="AI17" s="1" t="n">
        <v>73618236420.4099</v>
      </c>
      <c r="AJ17" s="1" t="n">
        <v>60896669616.8223</v>
      </c>
      <c r="AK17" s="1" t="n">
        <v>67438385104.0387</v>
      </c>
      <c r="AL17" s="1" t="n">
        <v>65440202698.3303</v>
      </c>
      <c r="AM17" s="1" t="n">
        <v>69834828099.3056</v>
      </c>
      <c r="AN17" s="1" t="n">
        <v>72101549164.6016</v>
      </c>
      <c r="AO17" s="1" t="n">
        <v>83645460173.4295</v>
      </c>
      <c r="AP17" s="1" t="n">
        <v>85436849393.2927</v>
      </c>
      <c r="AQ17" s="1" t="n">
        <v>87518835678.0992</v>
      </c>
      <c r="AR17" s="1" t="n">
        <v>82722714043.4292</v>
      </c>
      <c r="AS17" s="1" t="n">
        <v>85294710215.396</v>
      </c>
      <c r="AT17" s="1" t="n">
        <v>89905784043.2579</v>
      </c>
      <c r="AU17" s="1" t="n">
        <v>91507378166.6919</v>
      </c>
      <c r="AV17" s="1" t="n">
        <v>33567141283.0994</v>
      </c>
      <c r="AW17" s="1"/>
      <c r="AX17" s="1"/>
    </row>
    <row r="18">
      <c r="A18" t="str">
        <f>L18</f>
      </c>
      <c r="B18" s="1" t="str">
        <f>AQ18</f>
      </c>
      <c r="C18" s="1" t="str">
        <f>AT18</f>
      </c>
      <c r="D18" s="1" t="str">
        <f>AU18</f>
      </c>
      <c r="E18" s="1" t="str">
        <f>AV18</f>
      </c>
      <c r="F18" s="2" t="str">
        <f>AU18/AT18-1</f>
      </c>
      <c r="G18" s="2" t="str">
        <f>AU18/AQ18-1</f>
      </c>
      <c r="H18" s="2" t="str">
        <f>AV18/AU18</f>
      </c>
      <c r="I18" s="2" t="str">
        <f>AU18/Sum(AU$12:AU$19)</f>
      </c>
      <c r="J18" s="2" t="str">
        <f>AV18/Sum(AV12:AV$19)</f>
      </c>
      <c r="L18" t="s">
        <v>42</v>
      </c>
      <c r="M18" s="1" t="n">
        <v>266314050.518837</v>
      </c>
      <c r="N18" s="1"/>
      <c r="O18" s="1" t="n">
        <v>926239730.432659</v>
      </c>
      <c r="P18" s="1" t="n">
        <v>66012593.15844</v>
      </c>
      <c r="Q18" s="1" t="n">
        <v>1288964569.84657</v>
      </c>
      <c r="R18" s="1" t="n">
        <v>1200100232.38483</v>
      </c>
      <c r="S18" s="1" t="n">
        <v>874120030.260039</v>
      </c>
      <c r="T18" s="1" t="n">
        <v>5975090313.81235</v>
      </c>
      <c r="U18" s="1" t="n">
        <v>4421215091.55685</v>
      </c>
      <c r="V18" s="1" t="n">
        <v>7562543313.56967</v>
      </c>
      <c r="W18" s="1" t="n">
        <v>1917822328.09184</v>
      </c>
      <c r="X18" s="1" t="n">
        <v>1993238843.57018</v>
      </c>
      <c r="Y18" s="1" t="n">
        <v>1574819554.50675</v>
      </c>
      <c r="Z18" s="1" t="n">
        <v>8126956923.94826</v>
      </c>
      <c r="AA18" s="1" t="n">
        <v>2630596545.53106</v>
      </c>
      <c r="AB18" s="1" t="n">
        <v>5736890458.78274</v>
      </c>
      <c r="AC18" s="1" t="n">
        <v>5166299291.85129</v>
      </c>
      <c r="AD18" s="1" t="n">
        <v>6955875358.37767</v>
      </c>
      <c r="AE18" s="1" t="n">
        <v>9179141805.7595</v>
      </c>
      <c r="AF18" s="1" t="n">
        <v>6789724055.91957</v>
      </c>
      <c r="AG18" s="1" t="n">
        <v>7200967577.62625</v>
      </c>
      <c r="AH18" s="1" t="n">
        <v>8872052514.81747</v>
      </c>
      <c r="AI18" s="1" t="n">
        <v>6501535305.6453</v>
      </c>
      <c r="AJ18" s="1" t="n">
        <v>5840390129.80624</v>
      </c>
      <c r="AK18" s="1" t="n">
        <v>4484112563.81013</v>
      </c>
      <c r="AL18" s="1" t="n">
        <v>4883111327.5661</v>
      </c>
      <c r="AM18" s="1" t="n">
        <v>4848441767.42504</v>
      </c>
      <c r="AN18" s="1" t="n">
        <v>5598231080.44754</v>
      </c>
      <c r="AO18" s="1" t="n">
        <v>5483458270.12845</v>
      </c>
      <c r="AP18" s="1" t="n">
        <v>6565625563.32113</v>
      </c>
      <c r="AQ18" s="1" t="n">
        <v>6902732643.70928</v>
      </c>
      <c r="AR18" s="1" t="n">
        <v>6686654270.25017</v>
      </c>
      <c r="AS18" s="1" t="n">
        <v>7773225167.71517</v>
      </c>
      <c r="AT18" s="1" t="n">
        <v>10553818069.0188</v>
      </c>
      <c r="AU18" s="1" t="n">
        <v>13739751657.6771</v>
      </c>
      <c r="AV18" s="1" t="n">
        <v>7456581567.86498</v>
      </c>
      <c r="AW18" s="1"/>
      <c r="AX18" s="1"/>
    </row>
    <row r="19">
      <c r="A19" t="str">
        <f>L19</f>
      </c>
      <c r="B19" s="1" t="str">
        <f>AQ19</f>
      </c>
      <c r="C19" s="1" t="str">
        <f>AT19</f>
      </c>
      <c r="D19" s="1" t="str">
        <f>AU19</f>
      </c>
      <c r="E19" s="1" t="str">
        <f>AV19</f>
      </c>
      <c r="F19" s="2" t="str">
        <f>AU19/AT19-1</f>
      </c>
      <c r="G19" s="2" t="str">
        <f>AU19/AQ19-1</f>
      </c>
      <c r="H19" s="2" t="str">
        <f>AV19/AU19</f>
      </c>
      <c r="I19" s="2" t="str">
        <f>AU19/Sum(AU$12:AU$19)</f>
      </c>
      <c r="J19" s="2" t="str">
        <f>AV19/Sum(AV12:AV$19)</f>
      </c>
      <c r="L19"/>
      <c r="M19" s="1" t="n">
        <v>26178567894.6163</v>
      </c>
      <c r="N19" s="1" t="n">
        <v>11448235338.8668</v>
      </c>
      <c r="O19" s="1" t="n">
        <v>11662319190.8258</v>
      </c>
      <c r="P19" s="1" t="n">
        <v>10653961870.5513</v>
      </c>
      <c r="Q19" s="1" t="n">
        <v>7502046599.57892</v>
      </c>
      <c r="R19" s="1" t="n">
        <v>9183655382.24917</v>
      </c>
      <c r="S19" s="1" t="n">
        <v>10615932629.0335</v>
      </c>
      <c r="T19" s="1" t="n">
        <v>7208777329.09415</v>
      </c>
      <c r="U19" s="1" t="n">
        <v>6701837669.3367</v>
      </c>
      <c r="V19" s="1" t="n">
        <v>4306848712.89138</v>
      </c>
      <c r="W19" s="1" t="n">
        <v>1507522520.45657</v>
      </c>
      <c r="X19" s="1" t="n">
        <v>1992261614.0487</v>
      </c>
      <c r="Y19" s="1" t="n">
        <v>2543217040.03668</v>
      </c>
      <c r="Z19" s="1" t="n">
        <v>1125387878.43949</v>
      </c>
      <c r="AA19" s="1" t="n">
        <v>2842989326.41542</v>
      </c>
      <c r="AB19" s="1" t="n">
        <v>10627211754.5191</v>
      </c>
      <c r="AC19" s="1" t="n">
        <v>10318513187.2074</v>
      </c>
      <c r="AD19" s="1" t="n">
        <v>9736229210.83353</v>
      </c>
      <c r="AE19" s="1" t="n">
        <v>13158675859.3632</v>
      </c>
      <c r="AF19" s="1" t="n">
        <v>8141010249.77031</v>
      </c>
      <c r="AG19" s="1" t="n">
        <v>6656037954.25688</v>
      </c>
      <c r="AH19" s="1" t="n">
        <v>5951473409.48508</v>
      </c>
      <c r="AI19" s="1" t="n">
        <v>4657598554.21112</v>
      </c>
      <c r="AJ19" s="1" t="n">
        <v>2764924739.47867</v>
      </c>
      <c r="AK19" s="1" t="n">
        <v>1124372166.57948</v>
      </c>
      <c r="AL19" s="1" t="n">
        <v>1425647616.16246</v>
      </c>
      <c r="AM19" s="1" t="n">
        <v>1231943094.20467</v>
      </c>
      <c r="AN19" s="1" t="n">
        <v>1550484618.89155</v>
      </c>
      <c r="AO19" s="1" t="n">
        <v>1850522930.6841</v>
      </c>
      <c r="AP19" s="1" t="n">
        <v>2019141654.40351</v>
      </c>
      <c r="AQ19" s="1" t="n">
        <v>880172108.053484</v>
      </c>
      <c r="AR19" s="1" t="n">
        <v>833497406.641647</v>
      </c>
      <c r="AS19" s="1" t="n">
        <v>225052951.02578</v>
      </c>
      <c r="AT19" s="1" t="n">
        <v>458701202.7606</v>
      </c>
      <c r="AU19" s="1" t="n">
        <v>273221651.435425</v>
      </c>
      <c r="AV19" s="1" t="n">
        <v>8494758.01321834</v>
      </c>
      <c r="AW19" s="1"/>
      <c r="AX19" s="1"/>
    </row>
    <row r="20">
      <c r="A20" t="str">
        <f>L20</f>
      </c>
      <c r="B20" s="1" t="str">
        <f>AQ20</f>
      </c>
      <c r="C20" s="1" t="str">
        <f>AT20</f>
      </c>
      <c r="D20" s="1" t="str">
        <f>AU20</f>
      </c>
      <c r="E20" s="1" t="str">
        <f>AV20</f>
      </c>
      <c r="F20" s="2" t="str">
        <f>AU20/AT20-1</f>
      </c>
      <c r="G20" s="2" t="str">
        <f>AU20/AQ20-1</f>
      </c>
      <c r="H20" s="2" t="str">
        <f>AV20/AU20</f>
      </c>
      <c r="I20" s="2" t="str">
        <f>Sum(I$12:I$19)</f>
      </c>
      <c r="J20" s="2" t="str">
        <f>Sum(J$12:J$19)</f>
      </c>
      <c r="L20" t="s">
        <v>43</v>
      </c>
      <c r="M20" s="1" t="str">
        <f>Sum(M13:M19)</f>
      </c>
      <c r="N20" s="1" t="str">
        <f>Sum(N13:N19)</f>
      </c>
      <c r="O20" s="1" t="str">
        <f>Sum(O13:O19)</f>
      </c>
      <c r="P20" s="1" t="str">
        <f>Sum(P13:P19)</f>
      </c>
      <c r="Q20" s="1" t="str">
        <f>Sum(Q13:Q19)</f>
      </c>
      <c r="R20" s="1" t="str">
        <f>Sum(R13:R19)</f>
      </c>
      <c r="S20" s="1" t="str">
        <f>Sum(S13:S19)</f>
      </c>
      <c r="T20" s="1" t="str">
        <f>Sum(T13:T19)</f>
      </c>
      <c r="U20" s="1" t="str">
        <f>Sum(U13:U19)</f>
      </c>
      <c r="V20" s="1" t="str">
        <f>Sum(V13:V19)</f>
      </c>
      <c r="W20" s="1" t="str">
        <f>Sum(W13:W19)</f>
      </c>
      <c r="X20" s="1" t="str">
        <f>Sum(X13:X19)</f>
      </c>
      <c r="Y20" s="1" t="str">
        <f>Sum(Y13:Y19)</f>
      </c>
      <c r="Z20" s="1" t="str">
        <f>Sum(Z13:Z19)</f>
      </c>
      <c r="AA20" s="1" t="str">
        <f>Sum(AA13:AA19)</f>
      </c>
      <c r="AB20" s="1" t="str">
        <f>Sum(AB13:AB19)</f>
      </c>
      <c r="AC20" s="1" t="str">
        <f>Sum(AC13:AC19)</f>
      </c>
      <c r="AD20" s="1" t="str">
        <f>Sum(AD13:AD19)</f>
      </c>
      <c r="AE20" s="1" t="str">
        <f>Sum(AE13:AE19)</f>
      </c>
      <c r="AF20" s="1" t="str">
        <f>Sum(AF13:AF19)</f>
      </c>
      <c r="AG20" s="1" t="str">
        <f>Sum(AG13:AG19)</f>
      </c>
      <c r="AH20" s="1" t="str">
        <f>Sum(AH13:AH19)</f>
      </c>
      <c r="AI20" s="1" t="str">
        <f>Sum(AI13:AI19)</f>
      </c>
      <c r="AJ20" s="1" t="str">
        <f>Sum(AJ13:AJ19)</f>
      </c>
      <c r="AK20" s="1" t="str">
        <f>Sum(AK13:AK19)</f>
      </c>
      <c r="AL20" s="1" t="str">
        <f>Sum(AL13:AL19)</f>
      </c>
      <c r="AM20" s="1" t="str">
        <f>Sum(AM13:AM19)</f>
      </c>
      <c r="AN20" s="1" t="str">
        <f>Sum(AN13:AN19)</f>
      </c>
      <c r="AO20" s="1" t="str">
        <f>Sum(AO13:AO19)</f>
      </c>
      <c r="AP20" s="1" t="str">
        <f>Sum(AP13:AP19)</f>
      </c>
      <c r="AQ20" s="1" t="str">
        <f>Sum(AQ13:AQ19)</f>
      </c>
      <c r="AR20" s="1" t="str">
        <f>Sum(AR13:AR19)</f>
      </c>
      <c r="AS20" s="1" t="str">
        <f>Sum(AS13:AS19)</f>
      </c>
      <c r="AT20" s="1" t="str">
        <f>Sum(AT13:AT19)</f>
      </c>
      <c r="AU20" s="1" t="str">
        <f>Sum(AU13:AU19)</f>
      </c>
      <c r="AV20" s="1" t="str">
        <f>Sum(AV13:AV19)</f>
      </c>
      <c r="AW20" s="1" t="str">
        <f>Sum(AW13:AW19)</f>
      </c>
      <c r="AX2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44</v>
      </c>
      <c r="N1" t="s">
        <v>45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</row>
    <row r="2">
      <c r="A2" t="str">
        <f>M2</f>
      </c>
      <c r="B2" t="str">
        <f>N2</f>
      </c>
      <c r="M2" t="s">
        <v>46</v>
      </c>
      <c r="N2" t="s">
        <v>47</v>
      </c>
      <c r="O2" s="14" t="n">
        <v>38458531931.5283</v>
      </c>
      <c r="P2" s="14" t="n">
        <v>45589347086.7127</v>
      </c>
      <c r="Q2" s="14" t="n">
        <v>46171765940.5432</v>
      </c>
      <c r="R2" s="14" t="n">
        <v>41537077393.3721</v>
      </c>
      <c r="S2" s="14" t="n">
        <v>43906671723.3848</v>
      </c>
      <c r="T2" s="14" t="n">
        <v>50019506501.0055</v>
      </c>
      <c r="U2" s="14" t="n">
        <v>35333632585.5214</v>
      </c>
      <c r="V2" s="14" t="n">
        <v>34094016249.2305</v>
      </c>
      <c r="W2" s="14" t="n">
        <v>28967950508.5571</v>
      </c>
      <c r="X2" s="14" t="n">
        <v>27014082625.1669</v>
      </c>
      <c r="Y2" s="14" t="n">
        <v>29427176288.1624</v>
      </c>
      <c r="Z2" s="14" t="n">
        <v>34883868743.9904</v>
      </c>
      <c r="AA2" s="14" t="n">
        <v>35385252514.0587</v>
      </c>
      <c r="AB2" s="14" t="n">
        <v>35823417306.806</v>
      </c>
      <c r="AC2" s="14" t="n">
        <v>55227643036.408</v>
      </c>
      <c r="AD2" s="14" t="n">
        <v>53713894356.6786</v>
      </c>
      <c r="AE2" s="14" t="n">
        <v>46690873758.407</v>
      </c>
      <c r="AF2" s="14" t="n">
        <v>53417487421.7671</v>
      </c>
      <c r="AG2" s="14" t="n">
        <v>13649528149.12</v>
      </c>
      <c r="AH2" s="14"/>
    </row>
    <row r="3">
      <c r="A3" t="str">
        <f>M3</f>
      </c>
      <c r="B3" t="str">
        <f>N3</f>
      </c>
      <c r="M3" t="s">
        <v>46</v>
      </c>
      <c r="N3" t="s">
        <v>48</v>
      </c>
      <c r="O3" s="14" t="n">
        <v>26884898106.8179</v>
      </c>
      <c r="P3" s="14" t="n">
        <v>31507304958.6379</v>
      </c>
      <c r="Q3" s="14" t="n">
        <v>26716409044.9751</v>
      </c>
      <c r="R3" s="14" t="n">
        <v>27078631485.5262</v>
      </c>
      <c r="S3" s="14" t="n">
        <v>26014945939.4882</v>
      </c>
      <c r="T3" s="14" t="n">
        <v>22335786123.8161</v>
      </c>
      <c r="U3" s="14" t="n">
        <v>19789813763.5069</v>
      </c>
      <c r="V3" s="14" t="n">
        <v>18127271196.8167</v>
      </c>
      <c r="W3" s="14" t="n">
        <v>19979382084.6919</v>
      </c>
      <c r="X3" s="14" t="n">
        <v>19987305416.0587</v>
      </c>
      <c r="Y3" s="14" t="n">
        <v>22831052761.688</v>
      </c>
      <c r="Z3" s="14" t="n">
        <v>26667055595.9681</v>
      </c>
      <c r="AA3" s="14" t="n">
        <v>29232331824.0789</v>
      </c>
      <c r="AB3" s="14" t="n">
        <v>35381555250.352</v>
      </c>
      <c r="AC3" s="14" t="n">
        <v>44312104193.1971</v>
      </c>
      <c r="AD3" s="14" t="n">
        <v>52881198148.498</v>
      </c>
      <c r="AE3" s="14" t="n">
        <v>39114223706.041</v>
      </c>
      <c r="AF3" s="14" t="n">
        <v>35475606096.38</v>
      </c>
      <c r="AG3" s="14" t="n">
        <v>30358069766.84</v>
      </c>
      <c r="AH3" s="14"/>
    </row>
    <row r="4">
      <c r="A4" t="str">
        <f>M4</f>
      </c>
      <c r="B4" t="str">
        <f>N4</f>
      </c>
      <c r="M4" t="s">
        <v>49</v>
      </c>
      <c r="N4" t="s">
        <v>47</v>
      </c>
      <c r="O4" s="14" t="n">
        <v>16298883220.0048</v>
      </c>
      <c r="P4" s="14" t="n">
        <v>18594143778.9811</v>
      </c>
      <c r="Q4" s="14" t="n">
        <v>17422399137.8864</v>
      </c>
      <c r="R4" s="14" t="n">
        <v>17732451038.6449</v>
      </c>
      <c r="S4" s="14" t="n">
        <v>15556194604.0244</v>
      </c>
      <c r="T4" s="14" t="n">
        <v>15657694387.4465</v>
      </c>
      <c r="U4" s="14" t="n">
        <v>13061429250.7624</v>
      </c>
      <c r="V4" s="14" t="n">
        <v>14563611572.8224</v>
      </c>
      <c r="W4" s="14" t="n">
        <v>13556842872.2039</v>
      </c>
      <c r="X4" s="14" t="n">
        <v>15333656152.1918</v>
      </c>
      <c r="Y4" s="14" t="n">
        <v>17438305694.2172</v>
      </c>
      <c r="Z4" s="14" t="n">
        <v>13060596540.9059</v>
      </c>
      <c r="AA4" s="14" t="n">
        <v>16342368196.0406</v>
      </c>
      <c r="AB4" s="14" t="n">
        <v>16969731699.0356</v>
      </c>
      <c r="AC4" s="14" t="n">
        <v>15449878605.6075</v>
      </c>
      <c r="AD4" s="14" t="n">
        <v>17381858697.1079</v>
      </c>
      <c r="AE4" s="14" t="n">
        <v>19400021131.4488</v>
      </c>
      <c r="AF4" s="14" t="n">
        <v>22084704807.5847</v>
      </c>
      <c r="AG4" s="14" t="n">
        <v>5733627101.17</v>
      </c>
      <c r="AH4" s="14"/>
    </row>
    <row r="5">
      <c r="A5" t="str">
        <f>M5</f>
      </c>
      <c r="B5" t="str">
        <f>N5</f>
      </c>
      <c r="M5" t="s">
        <v>49</v>
      </c>
      <c r="N5" t="s">
        <v>48</v>
      </c>
      <c r="O5" s="14" t="n">
        <v>15775637594.727</v>
      </c>
      <c r="P5" s="14" t="n">
        <v>21513034969.1407</v>
      </c>
      <c r="Q5" s="14" t="n">
        <v>22416888947.1738</v>
      </c>
      <c r="R5" s="14" t="n">
        <v>23218747476.5474</v>
      </c>
      <c r="S5" s="14" t="n">
        <v>29873066215.6737</v>
      </c>
      <c r="T5" s="14" t="n">
        <v>29165828845.2882</v>
      </c>
      <c r="U5" s="14" t="n">
        <v>23887009777.6058</v>
      </c>
      <c r="V5" s="14" t="n">
        <v>23226064658.9208</v>
      </c>
      <c r="W5" s="14" t="n">
        <v>20097084839.4543</v>
      </c>
      <c r="X5" s="14" t="n">
        <v>20574182531.8884</v>
      </c>
      <c r="Y5" s="14" t="n">
        <v>19699511085.6587</v>
      </c>
      <c r="Z5" s="14" t="n">
        <v>19943650080.2456</v>
      </c>
      <c r="AA5" s="14" t="n">
        <v>21269332421.3369</v>
      </c>
      <c r="AB5" s="14" t="n">
        <v>24397876964.658</v>
      </c>
      <c r="AC5" s="14" t="n">
        <v>18522721754.3268</v>
      </c>
      <c r="AD5" s="14" t="n">
        <v>20185604418.1837</v>
      </c>
      <c r="AE5" s="14" t="n">
        <v>21065777387.7495</v>
      </c>
      <c r="AF5" s="14" t="n">
        <v>18645754489.6387</v>
      </c>
      <c r="AG5" s="14" t="n">
        <v>9904579584.02</v>
      </c>
      <c r="AH5" s="14"/>
    </row>
    <row r="6">
      <c r="A6" t="str">
        <f>M6</f>
      </c>
      <c r="B6" t="str">
        <f>N6</f>
      </c>
      <c r="M6" t="s">
        <v>50</v>
      </c>
      <c r="N6" t="s">
        <v>47</v>
      </c>
      <c r="O6" s="14" t="n">
        <v>9101932929.9299</v>
      </c>
      <c r="P6" s="14" t="n">
        <v>9511931174.7731</v>
      </c>
      <c r="Q6" s="14" t="n">
        <v>8294963553.5881</v>
      </c>
      <c r="R6" s="14" t="n">
        <v>7172101858.9683</v>
      </c>
      <c r="S6" s="14" t="n">
        <v>6353415482.8076</v>
      </c>
      <c r="T6" s="14" t="n">
        <v>6108743175.7487</v>
      </c>
      <c r="U6" s="14" t="n">
        <v>5449553180.0262</v>
      </c>
      <c r="V6" s="14" t="n">
        <v>6950680855.369</v>
      </c>
      <c r="W6" s="14" t="n">
        <v>7430289929.33</v>
      </c>
      <c r="X6" s="14" t="n">
        <v>7509048183.1951</v>
      </c>
      <c r="Y6" s="14" t="n">
        <v>6788253830.8597</v>
      </c>
      <c r="Z6" s="14" t="n">
        <v>12715687952.1946</v>
      </c>
      <c r="AA6" s="14" t="n">
        <v>12962385449.1936</v>
      </c>
      <c r="AB6" s="14" t="n">
        <v>11918185521.5725</v>
      </c>
      <c r="AC6" s="14" t="n">
        <v>11293438093.1043</v>
      </c>
      <c r="AD6" s="14" t="n">
        <v>11918418166.9751</v>
      </c>
      <c r="AE6" s="14" t="n">
        <v>12754740985.2619</v>
      </c>
      <c r="AF6" s="14" t="n">
        <v>15437151021.6843</v>
      </c>
      <c r="AG6" s="14" t="n">
        <v>7690721183.71</v>
      </c>
      <c r="AH6" s="14"/>
    </row>
    <row r="7">
      <c r="A7" t="str">
        <f>M7</f>
      </c>
      <c r="B7" t="str">
        <f>N7</f>
      </c>
      <c r="M7" t="s">
        <v>50</v>
      </c>
      <c r="N7" t="s">
        <v>48</v>
      </c>
      <c r="O7" s="14" t="n">
        <v>11567307994.0441</v>
      </c>
      <c r="P7" s="14" t="n">
        <v>11143281319.2398</v>
      </c>
      <c r="Q7" s="14" t="n">
        <v>11482340492.4412</v>
      </c>
      <c r="R7" s="14" t="n">
        <v>10838747329.2396</v>
      </c>
      <c r="S7" s="14" t="n">
        <v>14381453821.9107</v>
      </c>
      <c r="T7" s="14" t="n">
        <v>13214352446.2868</v>
      </c>
      <c r="U7" s="14" t="n">
        <v>10818218219.3685</v>
      </c>
      <c r="V7" s="14" t="n">
        <v>11069031237.8014</v>
      </c>
      <c r="W7" s="14" t="n">
        <v>10884699709.4386</v>
      </c>
      <c r="X7" s="14" t="n">
        <v>10115719106.3671</v>
      </c>
      <c r="Y7" s="14" t="n">
        <v>11242109063.429</v>
      </c>
      <c r="Z7" s="14" t="n">
        <v>13804147898.7688</v>
      </c>
      <c r="AA7" s="14" t="n">
        <v>13762835077.7648</v>
      </c>
      <c r="AB7" s="14" t="n">
        <v>13027497845.3901</v>
      </c>
      <c r="AC7" s="14" t="n">
        <v>10921318493.2821</v>
      </c>
      <c r="AD7" s="14" t="n">
        <v>11510748545.3875</v>
      </c>
      <c r="AE7" s="14" t="n">
        <v>8170328329.393</v>
      </c>
      <c r="AF7" s="14" t="n">
        <v>6779022595.1381</v>
      </c>
      <c r="AG7" s="14" t="n">
        <v>4707432683.46</v>
      </c>
      <c r="AH7" s="14"/>
    </row>
    <row r="8">
      <c r="A8" t="str">
        <f>M8</f>
      </c>
      <c r="B8" t="str">
        <f>N8</f>
      </c>
      <c r="M8" t="s">
        <v>51</v>
      </c>
      <c r="N8" t="s">
        <v>47</v>
      </c>
      <c r="O8" s="14" t="n">
        <v>374232.125</v>
      </c>
      <c r="P8" s="14" t="n">
        <v>10010929.3706</v>
      </c>
      <c r="Q8" s="14" t="n">
        <v>16756903.16</v>
      </c>
      <c r="R8" s="14" t="n">
        <v>347910181.6678</v>
      </c>
      <c r="S8" s="14" t="n">
        <v>620838561.0883</v>
      </c>
      <c r="T8" s="14" t="n">
        <v>724532632.328</v>
      </c>
      <c r="U8" s="14" t="n">
        <v>570206994.3276</v>
      </c>
      <c r="V8" s="14" t="n">
        <v>436938681.7882</v>
      </c>
      <c r="W8" s="14" t="n">
        <v>483698726.3219</v>
      </c>
      <c r="X8" s="14" t="n">
        <v>753315498.5144</v>
      </c>
      <c r="Y8" s="14" t="n">
        <v>1215869231.913</v>
      </c>
      <c r="Z8" s="14" t="n">
        <v>2160974912.3844</v>
      </c>
      <c r="AA8" s="14" t="n">
        <v>1688998498.1471</v>
      </c>
      <c r="AB8" s="14" t="n">
        <v>1495222717.3211</v>
      </c>
      <c r="AC8" s="14" t="n">
        <v>1700626837.1609</v>
      </c>
      <c r="AD8" s="14" t="n">
        <v>3129470157.8487</v>
      </c>
      <c r="AE8" s="14" t="n">
        <v>1908806663.6234</v>
      </c>
      <c r="AF8" s="14" t="n">
        <v>368208495.37</v>
      </c>
      <c r="AG8" s="14" t="n">
        <v>253411286.23</v>
      </c>
      <c r="AH8" s="14"/>
    </row>
    <row r="9">
      <c r="A9" t="str">
        <f>M9</f>
      </c>
      <c r="B9" t="str">
        <f>N9</f>
      </c>
      <c r="M9" t="s">
        <v>51</v>
      </c>
      <c r="N9" t="s">
        <v>48</v>
      </c>
      <c r="O9" s="14" t="n">
        <v>127174783.5722</v>
      </c>
      <c r="P9" s="14" t="n">
        <v>54479568.8788</v>
      </c>
      <c r="Q9" s="14" t="n">
        <v>391366344.5801</v>
      </c>
      <c r="R9" s="14" t="n">
        <v>10479699918.8507</v>
      </c>
      <c r="S9" s="14" t="n">
        <v>42894671294.1591</v>
      </c>
      <c r="T9" s="14" t="n">
        <v>55928572235.856</v>
      </c>
      <c r="U9" s="14" t="n">
        <v>47323715094.6138</v>
      </c>
      <c r="V9" s="14" t="n">
        <v>44646481123.335</v>
      </c>
      <c r="W9" s="14" t="n">
        <v>44698032284.8284</v>
      </c>
      <c r="X9" s="14" t="n">
        <v>51709969801.6687</v>
      </c>
      <c r="Y9" s="14" t="n">
        <v>59011828591.117</v>
      </c>
      <c r="Z9" s="14" t="n">
        <v>74616950035.2017</v>
      </c>
      <c r="AA9" s="14" t="n">
        <v>76655677484.6571</v>
      </c>
      <c r="AB9" s="14" t="n">
        <v>82925288354.4684</v>
      </c>
      <c r="AC9" s="14" t="n">
        <v>78113565685.7188</v>
      </c>
      <c r="AD9" s="14" t="n">
        <v>78683255802.6288</v>
      </c>
      <c r="AE9" s="14" t="n">
        <v>54125665537.1827</v>
      </c>
      <c r="AF9" s="14" t="n">
        <v>31782689935.12</v>
      </c>
      <c r="AG9" s="14" t="n">
        <v>12088048647.58</v>
      </c>
      <c r="AH9" s="14"/>
    </row>
    <row r="10">
      <c r="A10" t="str">
        <f>M10</f>
      </c>
      <c r="B10" t="str">
        <f>N10</f>
      </c>
      <c r="M10" t="s">
        <v>52</v>
      </c>
      <c r="N10" t="s">
        <v>47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 t="n">
        <v>11320744</v>
      </c>
      <c r="AD10" s="14" t="n">
        <v>2509500</v>
      </c>
      <c r="AE10" s="14"/>
      <c r="AF10" s="14"/>
      <c r="AG10" s="14" t="n">
        <v>416412515.92</v>
      </c>
      <c r="AH10" s="14"/>
    </row>
    <row r="11">
      <c r="A11" t="str">
        <f>M11</f>
      </c>
      <c r="B11" t="str">
        <f>N11</f>
      </c>
      <c r="M11" t="s">
        <v>52</v>
      </c>
      <c r="N11" t="s">
        <v>48</v>
      </c>
      <c r="O11" s="14" t="n">
        <v>78448417799.8878</v>
      </c>
      <c r="P11" s="14" t="n">
        <v>88779673446.9866</v>
      </c>
      <c r="Q11" s="14" t="n">
        <v>105250702910.806</v>
      </c>
      <c r="R11" s="14" t="n">
        <v>130120446455.715</v>
      </c>
      <c r="S11" s="14" t="n">
        <v>117264791846.016</v>
      </c>
      <c r="T11" s="14" t="n">
        <v>114685542326.57</v>
      </c>
      <c r="U11" s="14" t="n">
        <v>115113680997.26</v>
      </c>
      <c r="V11" s="14" t="n">
        <v>96329378653.8111</v>
      </c>
      <c r="W11" s="14" t="n">
        <v>96690973730.5302</v>
      </c>
      <c r="X11" s="14" t="n">
        <v>115298951162.67</v>
      </c>
      <c r="Y11" s="14" t="n">
        <v>121630423673.677</v>
      </c>
      <c r="Z11" s="14" t="n">
        <v>124658471097.781</v>
      </c>
      <c r="AA11" s="14" t="n">
        <v>139159717323.827</v>
      </c>
      <c r="AB11" s="14" t="n">
        <v>161414630542.016</v>
      </c>
      <c r="AC11" s="14" t="n">
        <v>115325814634.204</v>
      </c>
      <c r="AD11" s="14" t="n">
        <v>127879439366.814</v>
      </c>
      <c r="AE11" s="14" t="n">
        <v>200739602072.63</v>
      </c>
      <c r="AF11" s="14" t="n">
        <v>197896158384.79</v>
      </c>
      <c r="AG11" s="14" t="n">
        <v>126108017211.25</v>
      </c>
      <c r="AH11" s="14"/>
    </row>
    <row r="12">
      <c r="A12" t="str">
        <f>M12</f>
      </c>
      <c r="B12" t="str">
        <f>N12</f>
      </c>
      <c r="M12" t="s">
        <v>53</v>
      </c>
      <c r="N12" t="s">
        <v>47</v>
      </c>
      <c r="O12" s="14" t="n">
        <v>3480708</v>
      </c>
      <c r="P12" s="14" t="n">
        <v>7309532</v>
      </c>
      <c r="Q12" s="14" t="n">
        <v>4777682.7812</v>
      </c>
      <c r="R12" s="14" t="n">
        <v>-389371.9688</v>
      </c>
      <c r="S12" s="14" t="n">
        <v>566868.625</v>
      </c>
      <c r="T12" s="14" t="n">
        <v>2744757.5625</v>
      </c>
      <c r="U12" s="14" t="n">
        <v>740760.72</v>
      </c>
      <c r="V12" s="14" t="n">
        <v>1661330.44</v>
      </c>
      <c r="W12" s="14" t="n">
        <v>688122.1</v>
      </c>
      <c r="X12" s="14" t="n">
        <v>7466648.5097</v>
      </c>
      <c r="Y12" s="14" t="n">
        <v>15539948.7242</v>
      </c>
      <c r="Z12" s="14" t="n">
        <v>10103095.36</v>
      </c>
      <c r="AA12" s="14" t="n">
        <v>50250051.2266</v>
      </c>
      <c r="AB12" s="14" t="n">
        <v>4643277.8061</v>
      </c>
      <c r="AC12" s="14" t="n">
        <v>18838219.6248</v>
      </c>
      <c r="AD12" s="14" t="n">
        <v>6404705</v>
      </c>
      <c r="AE12" s="14" t="n">
        <v>3009276.34</v>
      </c>
      <c r="AF12" s="14" t="n">
        <v>12328930.43</v>
      </c>
      <c r="AG12" s="14" t="n">
        <v>3940092.97</v>
      </c>
      <c r="AH12" s="14"/>
    </row>
    <row r="13">
      <c r="A13" t="str">
        <f>M13</f>
      </c>
      <c r="B13" t="str">
        <f>N13</f>
      </c>
      <c r="M13" t="s">
        <v>53</v>
      </c>
      <c r="N13" t="s">
        <v>48</v>
      </c>
      <c r="O13" s="14" t="n">
        <v>91464160.72</v>
      </c>
      <c r="P13" s="14" t="n">
        <v>271822115.94</v>
      </c>
      <c r="Q13" s="14" t="n">
        <v>119963397.1512</v>
      </c>
      <c r="R13" s="14" t="n">
        <v>2242431224.5039</v>
      </c>
      <c r="S13" s="14" t="n">
        <v>465110921.2987</v>
      </c>
      <c r="T13" s="14" t="n">
        <v>326628724.6698</v>
      </c>
      <c r="U13" s="14" t="n">
        <v>205092408.93</v>
      </c>
      <c r="V13" s="14" t="n">
        <v>253019515.28</v>
      </c>
      <c r="W13" s="14" t="n">
        <v>124594106.6619</v>
      </c>
      <c r="X13" s="14" t="n">
        <v>187804273.4166</v>
      </c>
      <c r="Y13" s="14" t="n">
        <v>125983398.2222</v>
      </c>
      <c r="Z13" s="14" t="n">
        <v>139199496.0481</v>
      </c>
      <c r="AA13" s="14" t="n">
        <v>313186484.9009</v>
      </c>
      <c r="AB13" s="14" t="n">
        <v>328108845.2027</v>
      </c>
      <c r="AC13" s="14" t="n">
        <v>292784519.0891</v>
      </c>
      <c r="AD13" s="14" t="n">
        <v>340300303.03</v>
      </c>
      <c r="AE13" s="14" t="n">
        <v>643485539.0043</v>
      </c>
      <c r="AF13" s="14" t="n">
        <v>639157488.48</v>
      </c>
      <c r="AG13" s="14" t="n">
        <v>329245259.18</v>
      </c>
      <c r="AH13" s="14"/>
    </row>
    <row r="14">
      <c r="A14" t="str">
        <f>M14</f>
      </c>
      <c r="B14" t="str">
        <f>N14</f>
      </c>
      <c r="M14" t="s">
        <v>54</v>
      </c>
      <c r="N14" t="s">
        <v>47</v>
      </c>
      <c r="O14" s="14" t="n">
        <v>11600804205.9762</v>
      </c>
      <c r="P14" s="14" t="n">
        <v>10085779990.4832</v>
      </c>
      <c r="Q14" s="14" t="n">
        <v>7158346042.9191</v>
      </c>
      <c r="R14" s="14" t="n">
        <v>4750785969.8317</v>
      </c>
      <c r="S14" s="14" t="n">
        <v>3133290098.891</v>
      </c>
      <c r="T14" s="14" t="n">
        <v>2341947704.7602</v>
      </c>
      <c r="U14" s="14" t="n">
        <v>2173772435.1936</v>
      </c>
      <c r="V14" s="14" t="n">
        <v>1301637890.0825</v>
      </c>
      <c r="W14" s="14" t="n">
        <v>1902920591.0923</v>
      </c>
      <c r="X14" s="14" t="n">
        <v>1090029098.2277</v>
      </c>
      <c r="Y14" s="14" t="n">
        <v>1231057315.4576</v>
      </c>
      <c r="Z14" s="14" t="n">
        <v>1462284082.9148</v>
      </c>
      <c r="AA14" s="14" t="n">
        <v>1770992085.2035</v>
      </c>
      <c r="AB14" s="14" t="n">
        <v>1890189753.3654</v>
      </c>
      <c r="AC14" s="14" t="n">
        <v>1876366487.9784</v>
      </c>
      <c r="AD14" s="14" t="n">
        <v>2310387364.9206</v>
      </c>
      <c r="AE14" s="14" t="n">
        <v>4669036581.7704</v>
      </c>
      <c r="AF14" s="14" t="n">
        <v>7348620583.2753</v>
      </c>
      <c r="AG14" s="14" t="n">
        <v>2166164425</v>
      </c>
      <c r="AH14" s="14"/>
    </row>
    <row r="15">
      <c r="A15" t="str">
        <f>M15</f>
      </c>
      <c r="B15" t="str">
        <f>N15</f>
      </c>
      <c r="M15" t="s">
        <v>54</v>
      </c>
      <c r="N15" t="s">
        <v>48</v>
      </c>
      <c r="O15" s="14" t="n">
        <v>104352953520.921</v>
      </c>
      <c r="P15" s="14" t="n">
        <v>118687397601.378</v>
      </c>
      <c r="Q15" s="14" t="n">
        <v>111478827143.061</v>
      </c>
      <c r="R15" s="14" t="n">
        <v>72896532448.6496</v>
      </c>
      <c r="S15" s="14" t="n">
        <v>51893809851.7193</v>
      </c>
      <c r="T15" s="14" t="n">
        <v>32603750213.4551</v>
      </c>
      <c r="U15" s="14" t="n">
        <v>18580017223.5482</v>
      </c>
      <c r="V15" s="14" t="n">
        <v>16092477129.0482</v>
      </c>
      <c r="W15" s="14" t="n">
        <v>12793405781.8393</v>
      </c>
      <c r="X15" s="14" t="n">
        <v>10993583643.4669</v>
      </c>
      <c r="Y15" s="14" t="n">
        <v>12326503699.0296</v>
      </c>
      <c r="Z15" s="14" t="n">
        <v>11910304049.1261</v>
      </c>
      <c r="AA15" s="14" t="n">
        <v>11187065924.6792</v>
      </c>
      <c r="AB15" s="14" t="n">
        <v>14121902159.664</v>
      </c>
      <c r="AC15" s="14" t="n">
        <v>12798217241.3856</v>
      </c>
      <c r="AD15" s="14" t="n">
        <v>12870164731.8382</v>
      </c>
      <c r="AE15" s="14" t="n">
        <v>25914486931.4536</v>
      </c>
      <c r="AF15" s="14" t="n">
        <v>32595963059.24</v>
      </c>
      <c r="AG15" s="14" t="n">
        <v>16400570387.48</v>
      </c>
      <c r="AH15" s="14"/>
    </row>
    <row r="16">
      <c r="A16" t="str">
        <f>M16</f>
      </c>
      <c r="B16" t="str">
        <f>N16</f>
      </c>
      <c r="M16" t="s">
        <v>55</v>
      </c>
      <c r="N16" t="s">
        <v>47</v>
      </c>
      <c r="O16" s="14" t="n">
        <v>7118956755.1289</v>
      </c>
      <c r="P16" s="14" t="n">
        <v>6846788859.4591</v>
      </c>
      <c r="Q16" s="14" t="n">
        <v>6002155611.728</v>
      </c>
      <c r="R16" s="14" t="n">
        <v>4909662083.3086</v>
      </c>
      <c r="S16" s="14" t="n">
        <v>3895941989.5063</v>
      </c>
      <c r="T16" s="14" t="n">
        <v>3932965101.6487</v>
      </c>
      <c r="U16" s="14" t="n">
        <v>3214744940.9492</v>
      </c>
      <c r="V16" s="14" t="n">
        <v>3590484857.094</v>
      </c>
      <c r="W16" s="14" t="n">
        <v>3259602843.8125</v>
      </c>
      <c r="X16" s="14" t="n">
        <v>4207391459.2054</v>
      </c>
      <c r="Y16" s="14" t="n">
        <v>4995373043.5724</v>
      </c>
      <c r="Z16" s="14" t="n">
        <v>6190179188.1101</v>
      </c>
      <c r="AA16" s="14" t="n">
        <v>6476674590.8357</v>
      </c>
      <c r="AB16" s="14" t="n">
        <v>6349513936.8082</v>
      </c>
      <c r="AC16" s="14" t="n">
        <v>6622991438.7629</v>
      </c>
      <c r="AD16" s="14" t="n">
        <v>6613193156.8725</v>
      </c>
      <c r="AE16" s="14" t="n">
        <v>9074057410.0124</v>
      </c>
      <c r="AF16" s="14" t="n">
        <v>11353750061.6675</v>
      </c>
      <c r="AG16" s="14" t="n">
        <v>3842609585.28</v>
      </c>
      <c r="AH16" s="14"/>
    </row>
    <row r="17">
      <c r="A17" t="str">
        <f>M17</f>
      </c>
      <c r="B17" t="str">
        <f>N17</f>
      </c>
      <c r="M17" t="s">
        <v>55</v>
      </c>
      <c r="N17" t="s">
        <v>48</v>
      </c>
      <c r="O17" s="14" t="n">
        <v>12993033492.4219</v>
      </c>
      <c r="P17" s="14" t="n">
        <v>12977180476.727</v>
      </c>
      <c r="Q17" s="14" t="n">
        <v>13854154984.7788</v>
      </c>
      <c r="R17" s="14" t="n">
        <v>11002651225.4685</v>
      </c>
      <c r="S17" s="14" t="n">
        <v>14927490390.81</v>
      </c>
      <c r="T17" s="14" t="n">
        <v>14120703236.609</v>
      </c>
      <c r="U17" s="14" t="n">
        <v>12293029843.2027</v>
      </c>
      <c r="V17" s="14" t="n">
        <v>12517422479.6808</v>
      </c>
      <c r="W17" s="14" t="n">
        <v>12357533748.6751</v>
      </c>
      <c r="X17" s="14" t="n">
        <v>12558445842.4871</v>
      </c>
      <c r="Y17" s="14" t="n">
        <v>13054756634.1725</v>
      </c>
      <c r="Z17" s="14" t="n">
        <v>16188290679.5383</v>
      </c>
      <c r="AA17" s="14" t="n">
        <v>16111098249.4672</v>
      </c>
      <c r="AB17" s="14" t="n">
        <v>15545660356.7443</v>
      </c>
      <c r="AC17" s="14" t="n">
        <v>13999435721.7689</v>
      </c>
      <c r="AD17" s="14" t="n">
        <v>14514910520.9079</v>
      </c>
      <c r="AE17" s="14" t="n">
        <v>10526983209.9236</v>
      </c>
      <c r="AF17" s="14" t="n">
        <v>8252227878.8504</v>
      </c>
      <c r="AG17" s="14" t="n">
        <v>4577357253.84</v>
      </c>
      <c r="AH17" s="14"/>
    </row>
    <row r="18">
      <c r="A18" t="str">
        <f>M18</f>
      </c>
      <c r="B18" t="str">
        <f>N18</f>
      </c>
      <c r="M18" t="s">
        <v>56</v>
      </c>
      <c r="N18" t="s">
        <v>47</v>
      </c>
      <c r="O18" s="14" t="n">
        <v>80590302.4486</v>
      </c>
      <c r="P18" s="14" t="n">
        <v>1618676564.2469</v>
      </c>
      <c r="Q18" s="14" t="n">
        <v>1501908613.8103</v>
      </c>
      <c r="R18" s="14" t="n">
        <v>1302140199.4716</v>
      </c>
      <c r="S18" s="14" t="n">
        <v>922234502.2338</v>
      </c>
      <c r="T18" s="14" t="n">
        <v>549689994.2138</v>
      </c>
      <c r="U18" s="14" t="n">
        <v>364638239.2408</v>
      </c>
      <c r="V18" s="14" t="n">
        <v>352379458.2254</v>
      </c>
      <c r="W18" s="14" t="n">
        <v>349516713.7907</v>
      </c>
      <c r="X18" s="14" t="n">
        <v>437236685.6504</v>
      </c>
      <c r="Y18" s="14" t="n">
        <v>233177590.0969</v>
      </c>
      <c r="Z18" s="14" t="n">
        <v>283591865.6209</v>
      </c>
      <c r="AA18" s="14" t="n">
        <v>398783743.58</v>
      </c>
      <c r="AB18" s="14" t="n">
        <v>220522795.3146</v>
      </c>
      <c r="AC18" s="14" t="n">
        <v>170354665.22</v>
      </c>
      <c r="AD18" s="14" t="n">
        <v>178814051.58</v>
      </c>
      <c r="AE18" s="14" t="n">
        <v>926419474.4362</v>
      </c>
      <c r="AF18" s="14" t="n">
        <v>1016834699.6411</v>
      </c>
      <c r="AG18" s="14" t="n">
        <v>469528621.27</v>
      </c>
      <c r="AH18" s="14"/>
    </row>
    <row r="19">
      <c r="A19" t="str">
        <f>M19</f>
      </c>
      <c r="B19" t="str">
        <f>N19</f>
      </c>
      <c r="M19" t="s">
        <v>56</v>
      </c>
      <c r="N19" t="s">
        <v>48</v>
      </c>
      <c r="O19" s="14" t="n">
        <v>803607590.7026</v>
      </c>
      <c r="P19" s="14" t="n">
        <v>6592919949.3779</v>
      </c>
      <c r="Q19" s="14" t="n">
        <v>9089548900.1059</v>
      </c>
      <c r="R19" s="14" t="n">
        <v>3035471365.2616</v>
      </c>
      <c r="S19" s="14" t="n">
        <v>2324804303.2736</v>
      </c>
      <c r="T19" s="14" t="n">
        <v>1853514292.1212</v>
      </c>
      <c r="U19" s="14" t="n">
        <v>1088343303.9874</v>
      </c>
      <c r="V19" s="14" t="n">
        <v>904507828.6181</v>
      </c>
      <c r="W19" s="14" t="n">
        <v>642652964.7289</v>
      </c>
      <c r="X19" s="14" t="n">
        <v>631746553.3797</v>
      </c>
      <c r="Y19" s="14" t="n">
        <v>704749220.9899</v>
      </c>
      <c r="Z19" s="14" t="n">
        <v>646257334.6142</v>
      </c>
      <c r="AA19" s="14" t="n">
        <v>783990472.2517</v>
      </c>
      <c r="AB19" s="14" t="n">
        <v>638347491.2011</v>
      </c>
      <c r="AC19" s="14" t="n">
        <v>336607334.5752</v>
      </c>
      <c r="AD19" s="14" t="n">
        <v>339110433.4569</v>
      </c>
      <c r="AE19" s="14" t="n">
        <v>1453744617.7426</v>
      </c>
      <c r="AF19" s="14" t="n">
        <v>2394705121.96</v>
      </c>
      <c r="AG19" s="14" t="n">
        <v>1500969930.47</v>
      </c>
      <c r="AH19" s="14"/>
    </row>
    <row r="20">
      <c r="A20" t="str">
        <f>M20</f>
      </c>
      <c r="B20" t="str">
        <f>N20</f>
      </c>
      <c r="M20" t="s">
        <v>43</v>
      </c>
      <c r="N20" t="s">
        <v>57</v>
      </c>
      <c r="O20" s="14" t="str">
        <f>Sum(O2:O19)</f>
      </c>
      <c r="P20" s="14" t="str">
        <f>Sum(P2:P19)</f>
      </c>
      <c r="Q20" s="14" t="str">
        <f>Sum(Q2:Q19)</f>
      </c>
      <c r="R20" s="14" t="str">
        <f>Sum(R2:R19)</f>
      </c>
      <c r="S20" s="14" t="str">
        <f>Sum(S2:S19)</f>
      </c>
      <c r="T20" s="14" t="str">
        <f>Sum(T2:T19)</f>
      </c>
      <c r="U20" s="14" t="str">
        <f>Sum(U2:U19)</f>
      </c>
      <c r="V20" s="14" t="str">
        <f>Sum(V2:V19)</f>
      </c>
      <c r="W20" s="14" t="str">
        <f>Sum(W2:W19)</f>
      </c>
      <c r="X20" s="14" t="str">
        <f>Sum(X2:X19)</f>
      </c>
      <c r="Y20" s="14" t="str">
        <f>Sum(Y2:Y19)</f>
      </c>
      <c r="Z20" s="14" t="str">
        <f>Sum(Z2:Z19)</f>
      </c>
      <c r="AA20" s="14" t="str">
        <f>Sum(AA2:AA19)</f>
      </c>
      <c r="AB20" s="14" t="str">
        <f>Sum(AB2:AB19)</f>
      </c>
      <c r="AC20" s="14" t="str">
        <f>Sum(AC2:AC19)</f>
      </c>
      <c r="AD20" s="14" t="str">
        <f>Sum(AD2:AD19)</f>
      </c>
      <c r="AE20" s="14" t="str">
        <f>Sum(AE2:AE19)</f>
      </c>
      <c r="AF20" s="14" t="str">
        <f>Sum(AF2:AF19)</f>
      </c>
      <c r="AG20" s="14" t="str">
        <f>Sum(AG2:AG19)</f>
      </c>
      <c r="AH20" s="14"/>
    </row>
    <row r="22">
      <c r="A22" t="str">
        <f>M22</f>
      </c>
      <c r="B22" t="str">
        <f>N22</f>
      </c>
      <c r="C22" t="str">
        <f>AB22</f>
      </c>
      <c r="D22" t="str">
        <f>AE22</f>
      </c>
      <c r="E22" t="str">
        <f>AF22</f>
      </c>
      <c r="F22" t="str">
        <f>AG22</f>
      </c>
      <c r="G22" t="str">
        <f>AE22&amp;"-"&amp;AF22</f>
      </c>
      <c r="H22" t="str">
        <f>AB22&amp;"-"&amp;AF22</f>
      </c>
      <c r="I22" t="str">
        <f>AG22&amp;"/"&amp;AF22</f>
      </c>
      <c r="J22" t="str">
        <f>"Share "&amp;AF22</f>
      </c>
      <c r="K22" t="str">
        <f>"Share "&amp;AG22</f>
      </c>
      <c r="M22" t="s">
        <v>44</v>
      </c>
      <c r="N22" t="s">
        <v>45</v>
      </c>
      <c r="O22" t="s">
        <v>18</v>
      </c>
      <c r="P22" t="s">
        <v>19</v>
      </c>
      <c r="Q22" t="s">
        <v>20</v>
      </c>
      <c r="R22" t="s">
        <v>21</v>
      </c>
      <c r="S22" t="s">
        <v>22</v>
      </c>
      <c r="T22" t="s">
        <v>23</v>
      </c>
      <c r="U22" t="s">
        <v>24</v>
      </c>
      <c r="V22" t="s">
        <v>25</v>
      </c>
      <c r="W22" t="s">
        <v>26</v>
      </c>
      <c r="X22" t="s">
        <v>27</v>
      </c>
      <c r="Y22" t="s">
        <v>28</v>
      </c>
      <c r="Z22" t="s">
        <v>29</v>
      </c>
      <c r="AA22" t="s">
        <v>30</v>
      </c>
      <c r="AB22" t="s">
        <v>31</v>
      </c>
      <c r="AC22" t="s">
        <v>32</v>
      </c>
      <c r="AD22" t="s">
        <v>33</v>
      </c>
      <c r="AE22" t="s">
        <v>34</v>
      </c>
      <c r="AF22" t="s">
        <v>35</v>
      </c>
      <c r="AG22" t="s">
        <v>36</v>
      </c>
    </row>
    <row r="23">
      <c r="A23" t="str">
        <f>M23</f>
      </c>
      <c r="B23" t="str">
        <f>N23</f>
      </c>
      <c r="C23" s="3" t="str">
        <f>AB23</f>
      </c>
      <c r="D23" s="3" t="str">
        <f>AE23</f>
      </c>
      <c r="E23" s="3" t="str">
        <f>AF23</f>
      </c>
      <c r="F23" s="3" t="str">
        <f>AG23</f>
      </c>
      <c r="G23" s="2" t="str">
        <f>AE23&amp;"-"&amp;AF23</f>
      </c>
      <c r="H23" s="2" t="str">
        <f>AB23&amp;"-"&amp;AF23</f>
      </c>
      <c r="I23" s="2" t="str">
        <f>AG23&amp;"/"&amp;AF23</f>
      </c>
      <c r="J23" s="2" t="str">
        <f>"Share "&amp;AF23</f>
      </c>
      <c r="K23" s="2" t="str">
        <f>"Share "&amp;AG23</f>
      </c>
      <c r="M23" t="s">
        <v>44</v>
      </c>
      <c r="N23" t="s">
        <v>45</v>
      </c>
      <c r="O23" s="3" t="s">
        <v>18</v>
      </c>
      <c r="P23" s="3" t="s">
        <v>19</v>
      </c>
      <c r="Q23" s="3" t="s">
        <v>20</v>
      </c>
      <c r="R23" s="3" t="s">
        <v>21</v>
      </c>
      <c r="S23" s="3" t="s">
        <v>22</v>
      </c>
      <c r="T23" s="3" t="s">
        <v>23</v>
      </c>
      <c r="U23" s="3" t="s">
        <v>24</v>
      </c>
      <c r="V23" s="3" t="s">
        <v>25</v>
      </c>
      <c r="W23" s="3" t="s">
        <v>26</v>
      </c>
      <c r="X23" s="3" t="s">
        <v>27</v>
      </c>
      <c r="Y23" s="3" t="s">
        <v>28</v>
      </c>
      <c r="Z23" s="3" t="s">
        <v>29</v>
      </c>
      <c r="AA23" s="3" t="s">
        <v>30</v>
      </c>
      <c r="AB23" s="3" t="s">
        <v>31</v>
      </c>
      <c r="AC23" s="3" t="s">
        <v>32</v>
      </c>
      <c r="AD23" s="3" t="s">
        <v>33</v>
      </c>
      <c r="AE23" s="3" t="s">
        <v>34</v>
      </c>
      <c r="AF23" s="3" t="s">
        <v>35</v>
      </c>
      <c r="AG23" s="3" t="s">
        <v>36</v>
      </c>
      <c r="AH23" s="3"/>
    </row>
    <row r="24">
      <c r="A24" t="str">
        <f>M24</f>
      </c>
      <c r="B24" t="str">
        <f>N24</f>
      </c>
      <c r="C24" s="14" t="str">
        <f>AB24</f>
      </c>
      <c r="D24" s="14" t="str">
        <f>AE24</f>
      </c>
      <c r="E24" s="14" t="str">
        <f>AF24</f>
      </c>
      <c r="F24" s="14" t="str">
        <f>AG24</f>
      </c>
      <c r="G24" s="2" t="str">
        <f>AF24/AE24-1</f>
      </c>
      <c r="H24" s="2" t="str">
        <f>AF24/AB24-1</f>
      </c>
      <c r="I24" s="2" t="str">
        <f>AG24/AF24</f>
      </c>
      <c r="J24" s="2" t="str">
        <f>AF24/Sum(AF$23:AF$41)</f>
      </c>
      <c r="K24" s="2" t="str">
        <f>AG24/Sum(AG23:AG$41)</f>
      </c>
      <c r="M24" t="s">
        <v>46</v>
      </c>
      <c r="N24" t="s">
        <v>47</v>
      </c>
      <c r="O24" s="14" t="n">
        <v>54449466411.5692</v>
      </c>
      <c r="P24" s="14" t="n">
        <v>63232491723.9254</v>
      </c>
      <c r="Q24" s="14" t="n">
        <v>63392053370.0628</v>
      </c>
      <c r="R24" s="14" t="n">
        <v>56539150708.6362</v>
      </c>
      <c r="S24" s="14" t="n">
        <v>58588625062.3454</v>
      </c>
      <c r="T24" s="14" t="n">
        <v>65555949762.91</v>
      </c>
      <c r="U24" s="14" t="n">
        <v>45483249269.6359</v>
      </c>
      <c r="V24" s="14" t="n">
        <v>43101248587.6481</v>
      </c>
      <c r="W24" s="14" t="n">
        <v>36245569070.5294</v>
      </c>
      <c r="X24" s="14" t="n">
        <v>33532734060.0418</v>
      </c>
      <c r="Y24" s="14" t="n">
        <v>35921754101.8604</v>
      </c>
      <c r="Z24" s="14" t="n">
        <v>41657932460.6327</v>
      </c>
      <c r="AA24" s="14" t="n">
        <v>41489556970.19</v>
      </c>
      <c r="AB24" s="14" t="n">
        <v>41461691002.1176</v>
      </c>
      <c r="AC24" s="14" t="n">
        <v>61793202433.0379</v>
      </c>
      <c r="AD24" s="14" t="n">
        <v>56171122112.573</v>
      </c>
      <c r="AE24" s="14" t="n">
        <v>46690873758.407</v>
      </c>
      <c r="AF24" s="14" t="n">
        <v>52028027542.552</v>
      </c>
      <c r="AG24" s="14" t="n">
        <v>13009040453.0392</v>
      </c>
      <c r="AH24" s="14"/>
    </row>
    <row r="25">
      <c r="A25" t="str">
        <f>M25</f>
      </c>
      <c r="B25" t="str">
        <f>N25</f>
      </c>
      <c r="C25" s="14" t="str">
        <f>AB25</f>
      </c>
      <c r="D25" s="14" t="str">
        <f>AE25</f>
      </c>
      <c r="E25" s="14" t="str">
        <f>AF25</f>
      </c>
      <c r="F25" s="14" t="str">
        <f>AG25</f>
      </c>
      <c r="G25" s="2" t="str">
        <f>AF25/AE25-1</f>
      </c>
      <c r="H25" s="2" t="str">
        <f>AF25/AB25-1</f>
      </c>
      <c r="I25" s="2" t="str">
        <f>AG25/AF25</f>
      </c>
      <c r="J25" s="2" t="str">
        <f>AF25/Sum(AF$23:AF$41)</f>
      </c>
      <c r="K25" s="2" t="str">
        <f>AG25/Sum(AG23:AG$41)</f>
      </c>
      <c r="M25" t="s">
        <v>46</v>
      </c>
      <c r="N25" t="s">
        <v>48</v>
      </c>
      <c r="O25" s="14" t="n">
        <v>38063552687.1363</v>
      </c>
      <c r="P25" s="14" t="n">
        <v>43700678499.5377</v>
      </c>
      <c r="Q25" s="14" t="n">
        <v>36680598923.0822</v>
      </c>
      <c r="R25" s="14" t="n">
        <v>36858703659.9759</v>
      </c>
      <c r="S25" s="14" t="n">
        <v>34714084530.6678</v>
      </c>
      <c r="T25" s="14" t="n">
        <v>29273453008.149</v>
      </c>
      <c r="U25" s="14" t="n">
        <v>25474454975.0622</v>
      </c>
      <c r="V25" s="14" t="n">
        <v>22916279981.7503</v>
      </c>
      <c r="W25" s="14" t="n">
        <v>24998802491.1628</v>
      </c>
      <c r="X25" s="14" t="n">
        <v>24810355635.3652</v>
      </c>
      <c r="Y25" s="14" t="n">
        <v>27869866111.5463</v>
      </c>
      <c r="Z25" s="14" t="n">
        <v>31845504553.7963</v>
      </c>
      <c r="AA25" s="14" t="n">
        <v>34275196880.5297</v>
      </c>
      <c r="AB25" s="14" t="n">
        <v>40950283955.3428</v>
      </c>
      <c r="AC25" s="14" t="n">
        <v>49580005122.4165</v>
      </c>
      <c r="AD25" s="14" t="n">
        <v>55300332888.433</v>
      </c>
      <c r="AE25" s="14" t="n">
        <v>39114223706.041</v>
      </c>
      <c r="AF25" s="14" t="n">
        <v>34552838408.4773</v>
      </c>
      <c r="AG25" s="14" t="n">
        <v>28933553845.8499</v>
      </c>
      <c r="AH25" s="14"/>
    </row>
    <row r="26">
      <c r="A26" t="str">
        <f>M26</f>
      </c>
      <c r="B26" t="str">
        <f>N26</f>
      </c>
      <c r="C26" s="14" t="str">
        <f>AB26</f>
      </c>
      <c r="D26" s="14" t="str">
        <f>AE26</f>
      </c>
      <c r="E26" s="14" t="str">
        <f>AF26</f>
      </c>
      <c r="F26" s="14" t="str">
        <f>AG26</f>
      </c>
      <c r="G26" s="2" t="str">
        <f>AF26/AE26-1</f>
      </c>
      <c r="H26" s="2" t="str">
        <f>AF26/AB26-1</f>
      </c>
      <c r="I26" s="2" t="str">
        <f>AG26/AF26</f>
      </c>
      <c r="J26" s="2" t="str">
        <f>AF26/Sum(AF$23:AF$41)</f>
      </c>
      <c r="K26" s="2" t="str">
        <f>AG26/Sum(AG23:AG$41)</f>
      </c>
      <c r="M26" t="s">
        <v>49</v>
      </c>
      <c r="N26" t="s">
        <v>47</v>
      </c>
      <c r="O26" s="14" t="n">
        <v>23075906693.8329</v>
      </c>
      <c r="P26" s="14" t="n">
        <v>25790104876.5093</v>
      </c>
      <c r="Q26" s="14" t="n">
        <v>23920281875.414</v>
      </c>
      <c r="R26" s="14" t="n">
        <v>24136934628.6129</v>
      </c>
      <c r="S26" s="14" t="n">
        <v>20758031007.0883</v>
      </c>
      <c r="T26" s="14" t="n">
        <v>20521094638.2649</v>
      </c>
      <c r="U26" s="14" t="n">
        <v>16813336160.4483</v>
      </c>
      <c r="V26" s="14" t="n">
        <v>18411144000.9164</v>
      </c>
      <c r="W26" s="14" t="n">
        <v>16962728673.4569</v>
      </c>
      <c r="X26" s="14" t="n">
        <v>19033754395.959</v>
      </c>
      <c r="Y26" s="14" t="n">
        <v>21286939765.0202</v>
      </c>
      <c r="Z26" s="14" t="n">
        <v>15596820770.929</v>
      </c>
      <c r="AA26" s="14" t="n">
        <v>19161587614.1639</v>
      </c>
      <c r="AB26" s="14" t="n">
        <v>19640610108.9798</v>
      </c>
      <c r="AC26" s="14" t="n">
        <v>17286587363.7373</v>
      </c>
      <c r="AD26" s="14" t="n">
        <v>18177019542.381</v>
      </c>
      <c r="AE26" s="14" t="n">
        <v>19400021131.4488</v>
      </c>
      <c r="AF26" s="14" t="n">
        <v>21510252268.6219</v>
      </c>
      <c r="AG26" s="14" t="n">
        <v>5464583543.61292</v>
      </c>
      <c r="AH26" s="14"/>
    </row>
    <row r="27">
      <c r="A27" t="str">
        <f>M27</f>
      </c>
      <c r="B27" t="str">
        <f>N27</f>
      </c>
      <c r="C27" s="14" t="str">
        <f>AB27</f>
      </c>
      <c r="D27" s="14" t="str">
        <f>AE27</f>
      </c>
      <c r="E27" s="14" t="str">
        <f>AF27</f>
      </c>
      <c r="F27" s="14" t="str">
        <f>AG27</f>
      </c>
      <c r="G27" s="2" t="str">
        <f>AF27/AE27-1</f>
      </c>
      <c r="H27" s="2" t="str">
        <f>AF27/AB27-1</f>
      </c>
      <c r="I27" s="2" t="str">
        <f>AG27/AF27</f>
      </c>
      <c r="J27" s="2" t="str">
        <f>AF27/Sum(AF$23:AF$41)</f>
      </c>
      <c r="K27" s="2" t="str">
        <f>AG27/Sum(AG23:AG$41)</f>
      </c>
      <c r="M27" t="s">
        <v>49</v>
      </c>
      <c r="N27" t="s">
        <v>48</v>
      </c>
      <c r="O27" s="14" t="n">
        <v>22335097212.3559</v>
      </c>
      <c r="P27" s="14" t="n">
        <v>29838611267.1305</v>
      </c>
      <c r="Q27" s="14" t="n">
        <v>30777523700.5218</v>
      </c>
      <c r="R27" s="14" t="n">
        <v>31604733535.0501</v>
      </c>
      <c r="S27" s="14" t="n">
        <v>39862321767.3899</v>
      </c>
      <c r="T27" s="14" t="n">
        <v>38224959507.2856</v>
      </c>
      <c r="U27" s="14" t="n">
        <v>30748574106.8772</v>
      </c>
      <c r="V27" s="14" t="n">
        <v>29362113845.9899</v>
      </c>
      <c r="W27" s="14" t="n">
        <v>25146075710.4495</v>
      </c>
      <c r="X27" s="14" t="n">
        <v>25538849529.6093</v>
      </c>
      <c r="Y27" s="14" t="n">
        <v>24047193186.883</v>
      </c>
      <c r="Z27" s="14" t="n">
        <v>23816487619.4958</v>
      </c>
      <c r="AA27" s="14" t="n">
        <v>24938501678.4143</v>
      </c>
      <c r="AB27" s="14" t="n">
        <v>28237876558.5869</v>
      </c>
      <c r="AC27" s="14" t="n">
        <v>20724735513.7246</v>
      </c>
      <c r="AD27" s="14" t="n">
        <v>21109027082.653</v>
      </c>
      <c r="AE27" s="14" t="n">
        <v>21065777387.7495</v>
      </c>
      <c r="AF27" s="14" t="n">
        <v>18160753621.3558</v>
      </c>
      <c r="AG27" s="14" t="n">
        <v>9439819096.39634</v>
      </c>
      <c r="AH27" s="14"/>
    </row>
    <row r="28">
      <c r="A28" t="str">
        <f>M28</f>
      </c>
      <c r="B28" t="str">
        <f>N28</f>
      </c>
      <c r="C28" s="14" t="str">
        <f>AB28</f>
      </c>
      <c r="D28" s="14" t="str">
        <f>AE28</f>
      </c>
      <c r="E28" s="14" t="str">
        <f>AF28</f>
      </c>
      <c r="F28" s="14" t="str">
        <f>AG28</f>
      </c>
      <c r="G28" s="2" t="str">
        <f>AF28/AE28-1</f>
      </c>
      <c r="H28" s="2" t="str">
        <f>AF28/AB28-1</f>
      </c>
      <c r="I28" s="2" t="str">
        <f>AG28/AF28</f>
      </c>
      <c r="J28" s="2" t="str">
        <f>AF28/Sum(AF$23:AF$41)</f>
      </c>
      <c r="K28" s="2" t="str">
        <f>AG28/Sum(AG23:AG$41)</f>
      </c>
      <c r="M28" t="s">
        <v>50</v>
      </c>
      <c r="N28" t="s">
        <v>47</v>
      </c>
      <c r="O28" s="14" t="n">
        <v>12886487508.9599</v>
      </c>
      <c r="P28" s="14" t="n">
        <v>13193062584.1906</v>
      </c>
      <c r="Q28" s="14" t="n">
        <v>11388664946.6454</v>
      </c>
      <c r="R28" s="14" t="n">
        <v>9762471828.76191</v>
      </c>
      <c r="S28" s="14" t="n">
        <v>8477934285.99281</v>
      </c>
      <c r="T28" s="14" t="n">
        <v>8006165769.26545</v>
      </c>
      <c r="U28" s="14" t="n">
        <v>7014942069.58034</v>
      </c>
      <c r="V28" s="14" t="n">
        <v>8786967813.0815</v>
      </c>
      <c r="W28" s="14" t="n">
        <v>9297001759.51468</v>
      </c>
      <c r="X28" s="14" t="n">
        <v>9321024121.56466</v>
      </c>
      <c r="Y28" s="14" t="n">
        <v>8286421452.92226</v>
      </c>
      <c r="Z28" s="14" t="n">
        <v>15184934727.0079</v>
      </c>
      <c r="AA28" s="14" t="n">
        <v>15198524564.7239</v>
      </c>
      <c r="AB28" s="14" t="n">
        <v>13793997405.9222</v>
      </c>
      <c r="AC28" s="14" t="n">
        <v>12636021888.3888</v>
      </c>
      <c r="AD28" s="14" t="n">
        <v>12463645212.5469</v>
      </c>
      <c r="AE28" s="14" t="n">
        <v>12754740985.2619</v>
      </c>
      <c r="AF28" s="14" t="n">
        <v>15035610196.2116</v>
      </c>
      <c r="AG28" s="14" t="n">
        <v>7329843339.55744</v>
      </c>
      <c r="AH28" s="14"/>
    </row>
    <row r="29">
      <c r="A29" t="str">
        <f>M29</f>
      </c>
      <c r="B29" t="str">
        <f>N29</f>
      </c>
      <c r="C29" s="14" t="str">
        <f>AB29</f>
      </c>
      <c r="D29" s="14" t="str">
        <f>AE29</f>
      </c>
      <c r="E29" s="14" t="str">
        <f>AF29</f>
      </c>
      <c r="F29" s="14" t="str">
        <f>AG29</f>
      </c>
      <c r="G29" s="2" t="str">
        <f>AF29/AE29-1</f>
      </c>
      <c r="H29" s="2" t="str">
        <f>AF29/AB29-1</f>
      </c>
      <c r="I29" s="2" t="str">
        <f>AG29/AF29</f>
      </c>
      <c r="J29" s="2" t="str">
        <f>AF29/Sum(AF$23:AF$41)</f>
      </c>
      <c r="K29" s="2" t="str">
        <f>AG29/Sum(AG23:AG$41)</f>
      </c>
      <c r="M29" t="s">
        <v>50</v>
      </c>
      <c r="N29" t="s">
        <v>48</v>
      </c>
      <c r="O29" s="14" t="n">
        <v>16376957633.6231</v>
      </c>
      <c r="P29" s="14" t="n">
        <v>15455747643.3254</v>
      </c>
      <c r="Q29" s="14" t="n">
        <v>15764810517.4793</v>
      </c>
      <c r="R29" s="14" t="n">
        <v>14753410860.7865</v>
      </c>
      <c r="S29" s="14" t="n">
        <v>19190468617.8842</v>
      </c>
      <c r="T29" s="14" t="n">
        <v>17318831906.1235</v>
      </c>
      <c r="U29" s="14" t="n">
        <v>13925760809.73</v>
      </c>
      <c r="V29" s="14" t="n">
        <v>13993337233.0603</v>
      </c>
      <c r="W29" s="14" t="n">
        <v>13619262951.0979</v>
      </c>
      <c r="X29" s="14" t="n">
        <v>12556699530.6322</v>
      </c>
      <c r="Y29" s="14" t="n">
        <v>13723242536.364</v>
      </c>
      <c r="Z29" s="14" t="n">
        <v>16484761626.1761</v>
      </c>
      <c r="AA29" s="14" t="n">
        <v>16137059635.3209</v>
      </c>
      <c r="AB29" s="14" t="n">
        <v>15077905202.9103</v>
      </c>
      <c r="AC29" s="14" t="n">
        <v>12219664055.6644</v>
      </c>
      <c r="AD29" s="14" t="n">
        <v>12037326094.0014</v>
      </c>
      <c r="AE29" s="14" t="n">
        <v>8170328329.393</v>
      </c>
      <c r="AF29" s="14" t="n">
        <v>6602691203.1004</v>
      </c>
      <c r="AG29" s="14" t="n">
        <v>4486542065.04847</v>
      </c>
      <c r="AH29" s="14"/>
    </row>
    <row r="30">
      <c r="A30" t="str">
        <f>M30</f>
      </c>
      <c r="B30" t="str">
        <f>N30</f>
      </c>
      <c r="C30" s="14" t="str">
        <f>AB30</f>
      </c>
      <c r="D30" s="14" t="str">
        <f>AE30</f>
      </c>
      <c r="E30" s="14" t="str">
        <f>AF30</f>
      </c>
      <c r="F30" s="14" t="str">
        <f>AG30</f>
      </c>
      <c r="G30" s="2" t="str">
        <f>AF30/AE30-1</f>
      </c>
      <c r="H30" s="2" t="str">
        <f>AF30/AB30-1</f>
      </c>
      <c r="I30" s="2" t="str">
        <f>AG30/AF30</f>
      </c>
      <c r="J30" s="2" t="str">
        <f>AF30/Sum(AF$23:AF$41)</f>
      </c>
      <c r="K30" s="2" t="str">
        <f>AG30/Sum(AG23:AG$41)</f>
      </c>
      <c r="M30" t="s">
        <v>51</v>
      </c>
      <c r="N30" t="s">
        <v>47</v>
      </c>
      <c r="O30" s="14" t="n">
        <v>529836.644742355</v>
      </c>
      <c r="P30" s="14" t="n">
        <v>13885173.8185951</v>
      </c>
      <c r="Q30" s="14" t="n">
        <v>23006581.5720281</v>
      </c>
      <c r="R30" s="14" t="n">
        <v>473565966.331648</v>
      </c>
      <c r="S30" s="14" t="n">
        <v>828440787.063246</v>
      </c>
      <c r="T30" s="14" t="n">
        <v>949578038.030593</v>
      </c>
      <c r="U30" s="14" t="n">
        <v>733999449.264648</v>
      </c>
      <c r="V30" s="14" t="n">
        <v>552372668.67137</v>
      </c>
      <c r="W30" s="14" t="n">
        <v>605218363.275255</v>
      </c>
      <c r="X30" s="14" t="n">
        <v>935094803.162324</v>
      </c>
      <c r="Y30" s="14" t="n">
        <v>1484211571.68132</v>
      </c>
      <c r="Z30" s="14" t="n">
        <v>2580612477.64383</v>
      </c>
      <c r="AA30" s="14" t="n">
        <v>1980367368.6827</v>
      </c>
      <c r="AB30" s="14" t="n">
        <v>1730556907.90102</v>
      </c>
      <c r="AC30" s="14" t="n">
        <v>1902800348.41363</v>
      </c>
      <c r="AD30" s="14" t="n">
        <v>3272632760.84386</v>
      </c>
      <c r="AE30" s="14" t="n">
        <v>1908806663.6234</v>
      </c>
      <c r="AF30" s="14" t="n">
        <v>358630902.783826</v>
      </c>
      <c r="AG30" s="14" t="n">
        <v>241520266.32769</v>
      </c>
      <c r="AH30" s="14"/>
    </row>
    <row r="31">
      <c r="A31" t="str">
        <f>M31</f>
      </c>
      <c r="B31" t="str">
        <f>N31</f>
      </c>
      <c r="C31" s="14" t="str">
        <f>AB31</f>
      </c>
      <c r="D31" s="14" t="str">
        <f>AE31</f>
      </c>
      <c r="E31" s="14" t="str">
        <f>AF31</f>
      </c>
      <c r="F31" s="14" t="str">
        <f>AG31</f>
      </c>
      <c r="G31" s="2" t="str">
        <f>AF31/AE31-1</f>
      </c>
      <c r="H31" s="2" t="str">
        <f>AF31/AB31-1</f>
      </c>
      <c r="I31" s="2" t="str">
        <f>AG31/AF31</f>
      </c>
      <c r="J31" s="2" t="str">
        <f>AF31/Sum(AF$23:AF$41)</f>
      </c>
      <c r="K31" s="2" t="str">
        <f>AG31/Sum(AG23:AG$41)</f>
      </c>
      <c r="M31" t="s">
        <v>51</v>
      </c>
      <c r="N31" t="s">
        <v>48</v>
      </c>
      <c r="O31" s="14" t="n">
        <v>180053651.523716</v>
      </c>
      <c r="P31" s="14" t="n">
        <v>75563242.4763499</v>
      </c>
      <c r="Q31" s="14" t="n">
        <v>537330892.537575</v>
      </c>
      <c r="R31" s="14" t="n">
        <v>14264685198.7648</v>
      </c>
      <c r="S31" s="14" t="n">
        <v>57238221777.7517</v>
      </c>
      <c r="T31" s="14" t="n">
        <v>73300416743.0431</v>
      </c>
      <c r="U31" s="14" t="n">
        <v>60917493405.2932</v>
      </c>
      <c r="V31" s="14" t="n">
        <v>56441548786.5568</v>
      </c>
      <c r="W31" s="14" t="n">
        <v>55927519484.6084</v>
      </c>
      <c r="X31" s="14" t="n">
        <v>64187878954.5398</v>
      </c>
      <c r="Y31" s="14" t="n">
        <v>72035739175.0146</v>
      </c>
      <c r="Z31" s="14" t="n">
        <v>89106741221.7671</v>
      </c>
      <c r="AA31" s="14" t="n">
        <v>89879536590.1262</v>
      </c>
      <c r="AB31" s="14" t="n">
        <v>95976959779.3579</v>
      </c>
      <c r="AC31" s="14" t="n">
        <v>87399843842.7288</v>
      </c>
      <c r="AD31" s="14" t="n">
        <v>82282746816.9741</v>
      </c>
      <c r="AE31" s="14" t="n">
        <v>54125665537.1827</v>
      </c>
      <c r="AF31" s="14" t="n">
        <v>30955979907.1903</v>
      </c>
      <c r="AG31" s="14" t="n">
        <v>11520831499.5718</v>
      </c>
      <c r="AH31" s="14"/>
    </row>
    <row r="32">
      <c r="A32" t="str">
        <f>M32</f>
      </c>
      <c r="B32" t="str">
        <f>N32</f>
      </c>
      <c r="C32" s="14" t="str">
        <f>AB32</f>
      </c>
      <c r="D32" s="14" t="str">
        <f>AE32</f>
      </c>
      <c r="E32" s="14" t="str">
        <f>AF32</f>
      </c>
      <c r="F32" s="14" t="str">
        <f>AG32</f>
      </c>
      <c r="G32" s="2" t="str">
        <f>AF32/AE32-1</f>
      </c>
      <c r="H32" s="2" t="str">
        <f>AF32/AB32-1</f>
      </c>
      <c r="I32" s="2" t="str">
        <f>AG32/AF32</f>
      </c>
      <c r="J32" s="2" t="str">
        <f>AF32/Sum(AF$23:AF$41)</f>
      </c>
      <c r="K32" s="2" t="str">
        <f>AG32/Sum(AG23:AG$41)</f>
      </c>
      <c r="M32" t="s">
        <v>52</v>
      </c>
      <c r="N32" t="s">
        <v>47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 t="n">
        <v>12666573.9695506</v>
      </c>
      <c r="AD32" s="14" t="n">
        <v>2624301.07944641</v>
      </c>
      <c r="AE32" s="14"/>
      <c r="AF32" s="14"/>
      <c r="AG32" s="14" t="n">
        <v>396872859.308647</v>
      </c>
      <c r="AH32" s="14"/>
    </row>
    <row r="33">
      <c r="A33" t="str">
        <f>M33</f>
      </c>
      <c r="B33" t="str">
        <f>N33</f>
      </c>
      <c r="C33" s="14" t="str">
        <f>AB33</f>
      </c>
      <c r="D33" s="14" t="str">
        <f>AE33</f>
      </c>
      <c r="E33" s="14" t="str">
        <f>AF33</f>
      </c>
      <c r="F33" s="14" t="str">
        <f>AG33</f>
      </c>
      <c r="G33" s="2" t="str">
        <f>AF33/AE33-1</f>
      </c>
      <c r="H33" s="2" t="str">
        <f>AF33/AB33-1</f>
      </c>
      <c r="I33" s="2" t="str">
        <f>AG33/AF33</f>
      </c>
      <c r="J33" s="2" t="str">
        <f>AF33/Sum(AF$23:AF$41)</f>
      </c>
      <c r="K33" s="2" t="str">
        <f>AG33/Sum(AG23:AG$41)</f>
      </c>
      <c r="M33" t="s">
        <v>52</v>
      </c>
      <c r="N33" t="s">
        <v>48</v>
      </c>
      <c r="O33" s="14" t="n">
        <v>111067018825.385</v>
      </c>
      <c r="P33" s="14" t="n">
        <v>123137538158.022</v>
      </c>
      <c r="Q33" s="14" t="n">
        <v>144505154616.573</v>
      </c>
      <c r="R33" s="14" t="n">
        <v>177116446175.595</v>
      </c>
      <c r="S33" s="14" t="n">
        <v>156476969280.753</v>
      </c>
      <c r="T33" s="14" t="n">
        <v>150307753458.974</v>
      </c>
      <c r="U33" s="14" t="n">
        <v>148180185959.401</v>
      </c>
      <c r="V33" s="14" t="n">
        <v>121778451247.887</v>
      </c>
      <c r="W33" s="14" t="n">
        <v>120982648248.153</v>
      </c>
      <c r="X33" s="14" t="n">
        <v>143121242367.773</v>
      </c>
      <c r="Y33" s="14" t="n">
        <v>148474258206.98</v>
      </c>
      <c r="Z33" s="14" t="n">
        <v>148865775403.186</v>
      </c>
      <c r="AA33" s="14" t="n">
        <v>163166138706.189</v>
      </c>
      <c r="AB33" s="14" t="n">
        <v>186819796599.431</v>
      </c>
      <c r="AC33" s="14" t="n">
        <v>129035950434.249</v>
      </c>
      <c r="AD33" s="14" t="n">
        <v>133729488252.374</v>
      </c>
      <c r="AE33" s="14" t="n">
        <v>200739602072.629</v>
      </c>
      <c r="AF33" s="14" t="n">
        <v>192748616154.745</v>
      </c>
      <c r="AG33" s="14" t="n">
        <v>120190550137.038</v>
      </c>
      <c r="AH33" s="14"/>
    </row>
    <row r="34">
      <c r="A34" t="str">
        <f>M34</f>
      </c>
      <c r="B34" t="str">
        <f>N34</f>
      </c>
      <c r="C34" s="14" t="str">
        <f>AB34</f>
      </c>
      <c r="D34" s="14" t="str">
        <f>AE34</f>
      </c>
      <c r="E34" s="14" t="str">
        <f>AF34</f>
      </c>
      <c r="F34" s="14" t="str">
        <f>AG34</f>
      </c>
      <c r="G34" s="2" t="str">
        <f>AF34/AE34-1</f>
      </c>
      <c r="H34" s="2" t="str">
        <f>AF34/AB34-1</f>
      </c>
      <c r="I34" s="2" t="str">
        <f>AG34/AF34</f>
      </c>
      <c r="J34" s="2" t="str">
        <f>AF34/Sum(AF$23:AF$41)</f>
      </c>
      <c r="K34" s="2" t="str">
        <f>AG34/Sum(AG23:AG$41)</f>
      </c>
      <c r="M34" t="s">
        <v>53</v>
      </c>
      <c r="N34" t="s">
        <v>47</v>
      </c>
      <c r="O34" s="14" t="n">
        <v>4927975.24543857</v>
      </c>
      <c r="P34" s="14" t="n">
        <v>10138331.6768421</v>
      </c>
      <c r="Q34" s="14" t="n">
        <v>6559574.13976913</v>
      </c>
      <c r="R34" s="14" t="n">
        <v>-530002.633965152</v>
      </c>
      <c r="S34" s="14" t="n">
        <v>756423.842348394</v>
      </c>
      <c r="T34" s="14" t="n">
        <v>3597300.3627095</v>
      </c>
      <c r="U34" s="14" t="n">
        <v>953544.880939329</v>
      </c>
      <c r="V34" s="14" t="n">
        <v>2100234.12194165</v>
      </c>
      <c r="W34" s="14" t="n">
        <v>860999.023632689</v>
      </c>
      <c r="X34" s="14" t="n">
        <v>9268393.16624881</v>
      </c>
      <c r="Y34" s="14" t="n">
        <v>18969615.411275</v>
      </c>
      <c r="Z34" s="14" t="n">
        <v>12065005.3822576</v>
      </c>
      <c r="AA34" s="14" t="n">
        <v>58918679.8170415</v>
      </c>
      <c r="AB34" s="14" t="n">
        <v>5374086.67589434</v>
      </c>
      <c r="AC34" s="14" t="n">
        <v>21077740.3262691</v>
      </c>
      <c r="AD34" s="14" t="n">
        <v>6697698.44392739</v>
      </c>
      <c r="AE34" s="14" t="n">
        <v>3009276.34</v>
      </c>
      <c r="AF34" s="14" t="n">
        <v>12008238.5552426</v>
      </c>
      <c r="AG34" s="14" t="n">
        <v>3755208.84498634</v>
      </c>
      <c r="AH34" s="14"/>
    </row>
    <row r="35">
      <c r="A35" t="str">
        <f>M35</f>
      </c>
      <c r="B35" t="str">
        <f>N35</f>
      </c>
      <c r="C35" s="14" t="str">
        <f>AB35</f>
      </c>
      <c r="D35" s="14" t="str">
        <f>AE35</f>
      </c>
      <c r="E35" s="14" t="str">
        <f>AF35</f>
      </c>
      <c r="F35" s="14" t="str">
        <f>AG35</f>
      </c>
      <c r="G35" s="2" t="str">
        <f>AF35/AE35-1</f>
      </c>
      <c r="H35" s="2" t="str">
        <f>AF35/AB35-1</f>
      </c>
      <c r="I35" s="2" t="str">
        <f>AG35/AF35</f>
      </c>
      <c r="J35" s="2" t="str">
        <f>AF35/Sum(AF$23:AF$41)</f>
      </c>
      <c r="K35" s="2" t="str">
        <f>AG35/Sum(AG23:AG$41)</f>
      </c>
      <c r="M35" t="s">
        <v>53</v>
      </c>
      <c r="N35" t="s">
        <v>48</v>
      </c>
      <c r="O35" s="14" t="n">
        <v>129494665.991222</v>
      </c>
      <c r="P35" s="14" t="n">
        <v>377017676.165963</v>
      </c>
      <c r="Q35" s="14" t="n">
        <v>164705116.205773</v>
      </c>
      <c r="R35" s="14" t="n">
        <v>3052336970.05866</v>
      </c>
      <c r="S35" s="14" t="n">
        <v>620639376.904947</v>
      </c>
      <c r="T35" s="14" t="n">
        <v>428082117.626377</v>
      </c>
      <c r="U35" s="14" t="n">
        <v>264005381.730712</v>
      </c>
      <c r="V35" s="14" t="n">
        <v>319864252.59757</v>
      </c>
      <c r="W35" s="14" t="n">
        <v>155895885.608503</v>
      </c>
      <c r="X35" s="14" t="n">
        <v>233122510.329159</v>
      </c>
      <c r="Y35" s="14" t="n">
        <v>153787934.239382</v>
      </c>
      <c r="Z35" s="14" t="n">
        <v>166230507.501403</v>
      </c>
      <c r="AA35" s="14" t="n">
        <v>367214237.129632</v>
      </c>
      <c r="AB35" s="14" t="n">
        <v>379750134.900486</v>
      </c>
      <c r="AC35" s="14" t="n">
        <v>327591257.975747</v>
      </c>
      <c r="AD35" s="14" t="n">
        <v>355867883.075341</v>
      </c>
      <c r="AE35" s="14" t="n">
        <v>643485539.0043</v>
      </c>
      <c r="AF35" s="14" t="n">
        <v>622532152.291294</v>
      </c>
      <c r="AG35" s="14" t="n">
        <v>313795821.28047</v>
      </c>
      <c r="AH35" s="14"/>
    </row>
    <row r="36">
      <c r="A36" t="str">
        <f>M36</f>
      </c>
      <c r="B36" t="str">
        <f>N36</f>
      </c>
      <c r="C36" s="14" t="str">
        <f>AB36</f>
      </c>
      <c r="D36" s="14" t="str">
        <f>AE36</f>
      </c>
      <c r="E36" s="14" t="str">
        <f>AF36</f>
      </c>
      <c r="F36" s="14" t="str">
        <f>AG36</f>
      </c>
      <c r="G36" s="2" t="str">
        <f>AF36/AE36-1</f>
      </c>
      <c r="H36" s="2" t="str">
        <f>AF36/AB36-1</f>
      </c>
      <c r="I36" s="2" t="str">
        <f>AG36/AF36</f>
      </c>
      <c r="J36" s="2" t="str">
        <f>AF36/Sum(AF$23:AF$41)</f>
      </c>
      <c r="K36" s="2" t="str">
        <f>AG36/Sum(AG23:AG$41)</f>
      </c>
      <c r="M36" t="s">
        <v>54</v>
      </c>
      <c r="N36" t="s">
        <v>47</v>
      </c>
      <c r="O36" s="14" t="n">
        <v>16424381463.2627</v>
      </c>
      <c r="P36" s="14" t="n">
        <v>13988991738.8933</v>
      </c>
      <c r="Q36" s="14" t="n">
        <v>9828132954.20528</v>
      </c>
      <c r="R36" s="14" t="n">
        <v>6466641872.48882</v>
      </c>
      <c r="S36" s="14" t="n">
        <v>4181031073.63776</v>
      </c>
      <c r="T36" s="14" t="n">
        <v>3069374666.41211</v>
      </c>
      <c r="U36" s="14" t="n">
        <v>2798190457.37992</v>
      </c>
      <c r="V36" s="14" t="n">
        <v>1645515091.60537</v>
      </c>
      <c r="W36" s="14" t="n">
        <v>2380991354.55904</v>
      </c>
      <c r="X36" s="14" t="n">
        <v>1353059305.24268</v>
      </c>
      <c r="Y36" s="14" t="n">
        <v>1502751665.26777</v>
      </c>
      <c r="Z36" s="14" t="n">
        <v>1746243572.10429</v>
      </c>
      <c r="AA36" s="14" t="n">
        <v>2076505656.80189</v>
      </c>
      <c r="AB36" s="14" t="n">
        <v>2187688092.90887</v>
      </c>
      <c r="AC36" s="14" t="n">
        <v>2099432238.19603</v>
      </c>
      <c r="AD36" s="14" t="n">
        <v>2416079719.34667</v>
      </c>
      <c r="AE36" s="14" t="n">
        <v>4669036581.7704</v>
      </c>
      <c r="AF36" s="14" t="n">
        <v>7157473190.14886</v>
      </c>
      <c r="AG36" s="14" t="n">
        <v>2064519763.97266</v>
      </c>
      <c r="AH36" s="14"/>
    </row>
    <row r="37">
      <c r="A37" t="str">
        <f>M37</f>
      </c>
      <c r="B37" t="str">
        <f>N37</f>
      </c>
      <c r="C37" s="14" t="str">
        <f>AB37</f>
      </c>
      <c r="D37" s="14" t="str">
        <f>AE37</f>
      </c>
      <c r="E37" s="14" t="str">
        <f>AF37</f>
      </c>
      <c r="F37" s="14" t="str">
        <f>AG37</f>
      </c>
      <c r="G37" s="2" t="str">
        <f>AF37/AE37-1</f>
      </c>
      <c r="H37" s="2" t="str">
        <f>AF37/AB37-1</f>
      </c>
      <c r="I37" s="2" t="str">
        <f>AG37/AF37</f>
      </c>
      <c r="J37" s="2" t="str">
        <f>AF37/Sum(AF$23:AF$41)</f>
      </c>
      <c r="K37" s="2" t="str">
        <f>AG37/Sum(AG23:AG$41)</f>
      </c>
      <c r="M37" t="s">
        <v>54</v>
      </c>
      <c r="N37" t="s">
        <v>48</v>
      </c>
      <c r="O37" s="14" t="n">
        <v>147742577584.646</v>
      </c>
      <c r="P37" s="14" t="n">
        <v>164619595720.22</v>
      </c>
      <c r="Q37" s="14" t="n">
        <v>153056128911.88</v>
      </c>
      <c r="R37" s="14" t="n">
        <v>99224796083.2419</v>
      </c>
      <c r="S37" s="14" t="n">
        <v>69246582560.7025</v>
      </c>
      <c r="T37" s="14" t="n">
        <v>42730725682.6447</v>
      </c>
      <c r="U37" s="14" t="n">
        <v>23917143327.0368</v>
      </c>
      <c r="V37" s="14" t="n">
        <v>20343917597.1474</v>
      </c>
      <c r="W37" s="14" t="n">
        <v>16007493273.5054</v>
      </c>
      <c r="X37" s="14" t="n">
        <v>13646397762.1718</v>
      </c>
      <c r="Y37" s="14" t="n">
        <v>15046963068.296</v>
      </c>
      <c r="Z37" s="14" t="n">
        <v>14223154126.2054</v>
      </c>
      <c r="AA37" s="14" t="n">
        <v>13116944942.7227</v>
      </c>
      <c r="AB37" s="14" t="n">
        <v>16344558607.8938</v>
      </c>
      <c r="AC37" s="14" t="n">
        <v>14319691830.0059</v>
      </c>
      <c r="AD37" s="14" t="n">
        <v>13458930941.7876</v>
      </c>
      <c r="AE37" s="14" t="n">
        <v>25914486931.4536</v>
      </c>
      <c r="AF37" s="14" t="n">
        <v>31748098715.9101</v>
      </c>
      <c r="AG37" s="14" t="n">
        <v>15630993342.2423</v>
      </c>
      <c r="AH37" s="14"/>
    </row>
    <row r="38">
      <c r="A38" t="str">
        <f>M38</f>
      </c>
      <c r="B38" t="str">
        <f>N38</f>
      </c>
      <c r="C38" s="14" t="str">
        <f>AB38</f>
      </c>
      <c r="D38" s="14" t="str">
        <f>AE38</f>
      </c>
      <c r="E38" s="14" t="str">
        <f>AF38</f>
      </c>
      <c r="F38" s="14" t="str">
        <f>AG38</f>
      </c>
      <c r="G38" s="2" t="str">
        <f>AF38/AE38-1</f>
      </c>
      <c r="H38" s="2" t="str">
        <f>AF38/AB38-1</f>
      </c>
      <c r="I38" s="2" t="str">
        <f>AG38/AF38</f>
      </c>
      <c r="J38" s="2" t="str">
        <f>AF38/Sum(AF$23:AF$41)</f>
      </c>
      <c r="K38" s="2" t="str">
        <f>AG38/Sum(AG23:AG$41)</f>
      </c>
      <c r="M38" t="s">
        <v>55</v>
      </c>
      <c r="N38" t="s">
        <v>47</v>
      </c>
      <c r="O38" s="14" t="n">
        <v>10078996187.7362</v>
      </c>
      <c r="P38" s="14" t="n">
        <v>9496506257.65148</v>
      </c>
      <c r="Q38" s="14" t="n">
        <v>8240728096.9944</v>
      </c>
      <c r="R38" s="14" t="n">
        <v>6682899757.91496</v>
      </c>
      <c r="S38" s="14" t="n">
        <v>5198706153.95022</v>
      </c>
      <c r="T38" s="14" t="n">
        <v>5154574298.28456</v>
      </c>
      <c r="U38" s="14" t="n">
        <v>4138183220.57859</v>
      </c>
      <c r="V38" s="14" t="n">
        <v>4539048120.48324</v>
      </c>
      <c r="W38" s="14" t="n">
        <v>4078512906.28931</v>
      </c>
      <c r="X38" s="14" t="n">
        <v>5222658894.09059</v>
      </c>
      <c r="Y38" s="14" t="n">
        <v>6097851875.46023</v>
      </c>
      <c r="Z38" s="14" t="n">
        <v>7392243917.38171</v>
      </c>
      <c r="AA38" s="14" t="n">
        <v>7593964726.04226</v>
      </c>
      <c r="AB38" s="14" t="n">
        <v>7348868551.73263</v>
      </c>
      <c r="AC38" s="14" t="n">
        <v>7410344316.48581</v>
      </c>
      <c r="AD38" s="14" t="n">
        <v>6915724224.01597</v>
      </c>
      <c r="AE38" s="14" t="n">
        <v>9074057410.0124</v>
      </c>
      <c r="AF38" s="14" t="n">
        <v>11058423925.0268</v>
      </c>
      <c r="AG38" s="14" t="n">
        <v>3662299750.87941</v>
      </c>
      <c r="AH38" s="14"/>
    </row>
    <row r="39">
      <c r="A39" t="str">
        <f>M39</f>
      </c>
      <c r="B39" t="str">
        <f>N39</f>
      </c>
      <c r="C39" s="14" t="str">
        <f>AB39</f>
      </c>
      <c r="D39" s="14" t="str">
        <f>AE39</f>
      </c>
      <c r="E39" s="14" t="str">
        <f>AF39</f>
      </c>
      <c r="F39" s="14" t="str">
        <f>AG39</f>
      </c>
      <c r="G39" s="2" t="str">
        <f>AF39/AE39-1</f>
      </c>
      <c r="H39" s="2" t="str">
        <f>AF39/AB39-1</f>
      </c>
      <c r="I39" s="2" t="str">
        <f>AG39/AF39</f>
      </c>
      <c r="J39" s="2" t="str">
        <f>AF39/Sum(AF$23:AF$41)</f>
      </c>
      <c r="K39" s="2" t="str">
        <f>AG39/Sum(AG23:AG$41)</f>
      </c>
      <c r="M39" t="s">
        <v>55</v>
      </c>
      <c r="N39" t="s">
        <v>48</v>
      </c>
      <c r="O39" s="14" t="n">
        <v>18395495230.8006</v>
      </c>
      <c r="P39" s="14" t="n">
        <v>17999368482.5921</v>
      </c>
      <c r="Q39" s="14" t="n">
        <v>19021220312.9324</v>
      </c>
      <c r="R39" s="14" t="n">
        <v>14976512428.6425</v>
      </c>
      <c r="S39" s="14" t="n">
        <v>19919094372.237</v>
      </c>
      <c r="T39" s="14" t="n">
        <v>18506702219.8128</v>
      </c>
      <c r="U39" s="14" t="n">
        <v>15824213354.9148</v>
      </c>
      <c r="V39" s="14" t="n">
        <v>15824376161.1838</v>
      </c>
      <c r="W39" s="14" t="n">
        <v>15462117104.0972</v>
      </c>
      <c r="X39" s="14" t="n">
        <v>15588870089.9743</v>
      </c>
      <c r="Y39" s="14" t="n">
        <v>15935941426.3957</v>
      </c>
      <c r="Z39" s="14" t="n">
        <v>19331878718.2248</v>
      </c>
      <c r="AA39" s="14" t="n">
        <v>18890421324.7602</v>
      </c>
      <c r="AB39" s="14" t="n">
        <v>17992403142.7551</v>
      </c>
      <c r="AC39" s="14" t="n">
        <v>15663713277.3036</v>
      </c>
      <c r="AD39" s="14" t="n">
        <v>15178918249.8851</v>
      </c>
      <c r="AE39" s="14" t="n">
        <v>10526983209.9236</v>
      </c>
      <c r="AF39" s="14" t="n">
        <v>8037576458.4032</v>
      </c>
      <c r="AG39" s="14" t="n">
        <v>4362570268.55951</v>
      </c>
      <c r="AH39" s="14"/>
    </row>
    <row r="40">
      <c r="A40" t="str">
        <f>M40</f>
      </c>
      <c r="B40" t="str">
        <f>N40</f>
      </c>
      <c r="C40" s="14" t="str">
        <f>AB40</f>
      </c>
      <c r="D40" s="14" t="str">
        <f>AE40</f>
      </c>
      <c r="E40" s="14" t="str">
        <f>AF40</f>
      </c>
      <c r="F40" s="14" t="str">
        <f>AG40</f>
      </c>
      <c r="G40" s="2" t="str">
        <f>AF40/AE40-1</f>
      </c>
      <c r="H40" s="2" t="str">
        <f>AF40/AB40-1</f>
      </c>
      <c r="I40" s="2" t="str">
        <f>AG40/AF40</f>
      </c>
      <c r="J40" s="2" t="str">
        <f>AF40/Sum(AF$23:AF$41)</f>
      </c>
      <c r="K40" s="2" t="str">
        <f>AG40/Sum(AG23:AG$41)</f>
      </c>
      <c r="M40" t="s">
        <v>56</v>
      </c>
      <c r="N40" t="s">
        <v>47</v>
      </c>
      <c r="O40" s="14" t="n">
        <v>114099492.255342</v>
      </c>
      <c r="P40" s="14" t="n">
        <v>2245106784.65684</v>
      </c>
      <c r="Q40" s="14" t="n">
        <v>2062062584.44226</v>
      </c>
      <c r="R40" s="14" t="n">
        <v>1772438158.91211</v>
      </c>
      <c r="S40" s="14" t="n">
        <v>1230620526.45081</v>
      </c>
      <c r="T40" s="14" t="n">
        <v>720427932.353346</v>
      </c>
      <c r="U40" s="14" t="n">
        <v>469380890.529394</v>
      </c>
      <c r="V40" s="14" t="n">
        <v>445473907.067095</v>
      </c>
      <c r="W40" s="14" t="n">
        <v>437325802.088174</v>
      </c>
      <c r="X40" s="14" t="n">
        <v>542744379.094694</v>
      </c>
      <c r="Y40" s="14" t="n">
        <v>284639884.285965</v>
      </c>
      <c r="Z40" s="14" t="n">
        <v>338662287.463615</v>
      </c>
      <c r="AA40" s="14" t="n">
        <v>467577865.7076</v>
      </c>
      <c r="AB40" s="14" t="n">
        <v>255231038.400127</v>
      </c>
      <c r="AC40" s="14" t="n">
        <v>190606727.620302</v>
      </c>
      <c r="AD40" s="14" t="n">
        <v>186994185.527627</v>
      </c>
      <c r="AE40" s="14" t="n">
        <v>926419474.4362</v>
      </c>
      <c r="AF40" s="14" t="n">
        <v>990385476.977563</v>
      </c>
      <c r="AG40" s="14" t="n">
        <v>447496555.282385</v>
      </c>
      <c r="AH40" s="14"/>
    </row>
    <row r="41">
      <c r="A41" t="str">
        <f>M41</f>
      </c>
      <c r="B41" t="str">
        <f>N41</f>
      </c>
      <c r="C41" s="14" t="str">
        <f>AB41</f>
      </c>
      <c r="D41" s="14" t="str">
        <f>AE41</f>
      </c>
      <c r="E41" s="14" t="str">
        <f>AF41</f>
      </c>
      <c r="F41" s="14" t="str">
        <f>AG41</f>
      </c>
      <c r="G41" s="2" t="str">
        <f>AF41/AE41-1</f>
      </c>
      <c r="H41" s="2" t="str">
        <f>AF41/AB41-1</f>
      </c>
      <c r="I41" s="2" t="str">
        <f>AG41/AF41</f>
      </c>
      <c r="J41" s="2" t="str">
        <f>AF41/Sum(AF$23:AF$41)</f>
      </c>
      <c r="K41" s="2" t="str">
        <f>AG41/Sum(AG23:AG$41)</f>
      </c>
      <c r="M41" t="s">
        <v>56</v>
      </c>
      <c r="N41" t="s">
        <v>48</v>
      </c>
      <c r="O41" s="14" t="n">
        <v>1137745054.75005</v>
      </c>
      <c r="P41" s="14" t="n">
        <v>9144389704.52036</v>
      </c>
      <c r="Q41" s="14" t="n">
        <v>12479599973.0074</v>
      </c>
      <c r="R41" s="14" t="n">
        <v>4131801844.57706</v>
      </c>
      <c r="S41" s="14" t="n">
        <v>3102195687.38753</v>
      </c>
      <c r="T41" s="14" t="n">
        <v>2429230080.80238</v>
      </c>
      <c r="U41" s="14" t="n">
        <v>1400970864.41325</v>
      </c>
      <c r="V41" s="14" t="n">
        <v>1143468005.81532</v>
      </c>
      <c r="W41" s="14" t="n">
        <v>804106676.9491</v>
      </c>
      <c r="X41" s="14" t="n">
        <v>784190581.696594</v>
      </c>
      <c r="Y41" s="14" t="n">
        <v>860287374.227632</v>
      </c>
      <c r="Z41" s="14" t="n">
        <v>771753402.557588</v>
      </c>
      <c r="AA41" s="14" t="n">
        <v>919236547.758132</v>
      </c>
      <c r="AB41" s="14" t="n">
        <v>738817466.951391</v>
      </c>
      <c r="AC41" s="14" t="n">
        <v>376623806.888491</v>
      </c>
      <c r="AD41" s="14" t="n">
        <v>354623581.021112</v>
      </c>
      <c r="AE41" s="14" t="n">
        <v>1453744617.7426</v>
      </c>
      <c r="AF41" s="14" t="n">
        <v>2332415657.4024</v>
      </c>
      <c r="AG41" s="14" t="n">
        <v>1430538721.26258</v>
      </c>
      <c r="AH41" s="14"/>
    </row>
    <row r="42">
      <c r="A42" t="str">
        <f>M42</f>
      </c>
      <c r="B42" t="str">
        <f>N42</f>
      </c>
      <c r="C42" s="14" t="str">
        <f>AB42</f>
      </c>
      <c r="D42" s="14" t="str">
        <f>AE42</f>
      </c>
      <c r="E42" s="14" t="str">
        <f>AF42</f>
      </c>
      <c r="F42" s="14" t="str">
        <f>AG42</f>
      </c>
      <c r="G42" s="2" t="str">
        <f>AF42/AE42-1</f>
      </c>
      <c r="H42" s="2" t="str">
        <f>AF42/AB42-1</f>
      </c>
      <c r="I42" s="2" t="str">
        <f>AG42/AF42</f>
      </c>
      <c r="J42" s="2" t="str">
        <f>Sum(J$23:J$41)</f>
      </c>
      <c r="K42" s="2" t="str">
        <f>Sum(K$23:K$41)</f>
      </c>
      <c r="M42" t="s">
        <v>43</v>
      </c>
      <c r="N42" t="s">
        <v>57</v>
      </c>
      <c r="O42" s="14" t="str">
        <f>Sum(O24:O41)</f>
      </c>
      <c r="P42" s="14" t="str">
        <f>Sum(P24:P41)</f>
      </c>
      <c r="Q42" s="14" t="str">
        <f>Sum(Q24:Q41)</f>
      </c>
      <c r="R42" s="14" t="str">
        <f>Sum(R24:R41)</f>
      </c>
      <c r="S42" s="14" t="str">
        <f>Sum(S24:S41)</f>
      </c>
      <c r="T42" s="14" t="str">
        <f>Sum(T24:T41)</f>
      </c>
      <c r="U42" s="14" t="str">
        <f>Sum(U24:U41)</f>
      </c>
      <c r="V42" s="14" t="str">
        <f>Sum(V24:V41)</f>
      </c>
      <c r="W42" s="14" t="str">
        <f>Sum(W24:W41)</f>
      </c>
      <c r="X42" s="14" t="str">
        <f>Sum(X24:X41)</f>
      </c>
      <c r="Y42" s="14" t="str">
        <f>Sum(Y24:Y41)</f>
      </c>
      <c r="Z42" s="14" t="str">
        <f>Sum(Z24:Z41)</f>
      </c>
      <c r="AA42" s="14" t="str">
        <f>Sum(AA24:AA41)</f>
      </c>
      <c r="AB42" s="14" t="str">
        <f>Sum(AB24:AB41)</f>
      </c>
      <c r="AC42" s="14" t="str">
        <f>Sum(AC24:AC41)</f>
      </c>
      <c r="AD42" s="14" t="str">
        <f>Sum(AD24:AD41)</f>
      </c>
      <c r="AE42" s="14" t="str">
        <f>Sum(AE24:AE41)</f>
      </c>
      <c r="AF42" s="14" t="str">
        <f>Sum(AF24:AF41)</f>
      </c>
      <c r="AG42" s="14" t="str">
        <f>Sum(AG24:AG41)</f>
      </c>
      <c r="AH42" s="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C1" t="str">
        <f>AB1</f>
      </c>
      <c r="D1" t="str">
        <f>AE1</f>
      </c>
      <c r="E1" t="str">
        <f>AF1</f>
      </c>
      <c r="G1" t="str">
        <f>AE1&amp;"-"&amp;AF1</f>
      </c>
      <c r="H1" t="str">
        <f>AB1&amp;"-"&amp;AF1</f>
      </c>
      <c r="J1" t="str">
        <f>"Share "&amp;AF1</f>
      </c>
      <c r="M1" t="s">
        <v>58</v>
      </c>
      <c r="N1" t="s">
        <v>59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</row>
    <row r="2">
      <c r="A2" t="str">
        <f>M2</f>
      </c>
      <c r="B2" t="str">
        <f>N2</f>
      </c>
      <c r="C2" s="4" t="str">
        <f>AB2</f>
      </c>
      <c r="D2" s="4" t="str">
        <f>AE2</f>
      </c>
      <c r="E2" s="4" t="str">
        <f>AF2</f>
      </c>
      <c r="F2" s="4"/>
      <c r="G2" s="2" t="str">
        <f>AF2/AE2-1</f>
      </c>
      <c r="H2" s="2" t="str">
        <f>AF2/AB2-1</f>
      </c>
      <c r="I2" s="2"/>
      <c r="J2" s="2" t="str">
        <f>AF2/Sum(AF$1:AF$9)</f>
      </c>
      <c r="K2" s="2"/>
      <c r="M2" t="s">
        <v>60</v>
      </c>
      <c r="N2" t="s">
        <v>61</v>
      </c>
      <c r="O2" s="4" t="n">
        <v>26660</v>
      </c>
      <c r="P2" s="4" t="n">
        <v>26499</v>
      </c>
      <c r="Q2" s="4" t="n">
        <v>25805</v>
      </c>
      <c r="R2" s="4" t="n">
        <v>24008</v>
      </c>
      <c r="S2" s="4" t="n">
        <v>22616</v>
      </c>
      <c r="T2" s="4" t="n">
        <v>20806</v>
      </c>
      <c r="U2" s="4" t="n">
        <v>17574</v>
      </c>
      <c r="V2" s="4" t="n">
        <v>16847</v>
      </c>
      <c r="W2" s="4" t="n">
        <v>16487</v>
      </c>
      <c r="X2" s="4" t="n">
        <v>15636</v>
      </c>
      <c r="Y2" s="4" t="n">
        <v>15139</v>
      </c>
      <c r="Z2" s="4" t="n">
        <v>14185</v>
      </c>
      <c r="AA2" s="4" t="n">
        <v>13535</v>
      </c>
      <c r="AB2" s="4" t="n">
        <v>12309</v>
      </c>
      <c r="AC2" s="4" t="n">
        <v>11464</v>
      </c>
      <c r="AD2" s="4" t="n">
        <v>10143</v>
      </c>
      <c r="AE2" s="4" t="n">
        <v>9971</v>
      </c>
      <c r="AF2" s="4" t="n">
        <v>10079</v>
      </c>
      <c r="AG2" s="4" t="n">
        <v>6950</v>
      </c>
      <c r="AH2" s="4"/>
    </row>
    <row r="3">
      <c r="A3" t="str">
        <f>M3</f>
      </c>
      <c r="B3" t="str">
        <f>N3</f>
      </c>
      <c r="C3" s="4" t="str">
        <f>AB3</f>
      </c>
      <c r="D3" s="4" t="str">
        <f>AE3</f>
      </c>
      <c r="E3" s="4" t="str">
        <f>AF3</f>
      </c>
      <c r="F3" s="4"/>
      <c r="G3" s="2" t="str">
        <f>AF3/AE3-1</f>
      </c>
      <c r="H3" s="2" t="str">
        <f>AF3/AB3-1</f>
      </c>
      <c r="I3" s="2"/>
      <c r="J3" s="2" t="str">
        <f>AF3/Sum(AF$1:AF$9)</f>
      </c>
      <c r="K3" s="2"/>
      <c r="M3" t="s">
        <v>60</v>
      </c>
      <c r="N3" t="s">
        <v>62</v>
      </c>
      <c r="O3" s="4" t="n">
        <v>12039</v>
      </c>
      <c r="P3" s="4" t="n">
        <v>12319</v>
      </c>
      <c r="Q3" s="4" t="n">
        <v>11686</v>
      </c>
      <c r="R3" s="4" t="n">
        <v>10900</v>
      </c>
      <c r="S3" s="4" t="n">
        <v>10109</v>
      </c>
      <c r="T3" s="4" t="n">
        <v>9554</v>
      </c>
      <c r="U3" s="4" t="n">
        <v>8341</v>
      </c>
      <c r="V3" s="4" t="n">
        <v>7634</v>
      </c>
      <c r="W3" s="4" t="n">
        <v>7684</v>
      </c>
      <c r="X3" s="4" t="n">
        <v>7303</v>
      </c>
      <c r="Y3" s="4" t="n">
        <v>6897</v>
      </c>
      <c r="Z3" s="4" t="n">
        <v>6406</v>
      </c>
      <c r="AA3" s="4" t="n">
        <v>5674</v>
      </c>
      <c r="AB3" s="4" t="n">
        <v>5039</v>
      </c>
      <c r="AC3" s="4" t="n">
        <v>4865</v>
      </c>
      <c r="AD3" s="4" t="n">
        <v>4422</v>
      </c>
      <c r="AE3" s="4" t="n">
        <v>4481</v>
      </c>
      <c r="AF3" s="4" t="n">
        <v>4959</v>
      </c>
      <c r="AG3" s="4" t="n">
        <v>3295</v>
      </c>
      <c r="AH3" s="4"/>
    </row>
    <row r="4">
      <c r="A4" t="str">
        <f>M4</f>
      </c>
      <c r="B4" t="str">
        <f>N4</f>
      </c>
      <c r="C4" s="4" t="str">
        <f>AB4</f>
      </c>
      <c r="D4" s="4" t="str">
        <f>AE4</f>
      </c>
      <c r="E4" s="4" t="str">
        <f>AF4</f>
      </c>
      <c r="F4" s="4"/>
      <c r="G4" s="2" t="str">
        <f>AF4/AE4-1</f>
      </c>
      <c r="H4" s="2" t="str">
        <f>AF4/AB4-1</f>
      </c>
      <c r="I4" s="2"/>
      <c r="J4" s="2" t="str">
        <f>AF4/Sum(AF$1:AF$9)</f>
      </c>
      <c r="K4" s="2"/>
      <c r="M4" t="s">
        <v>63</v>
      </c>
      <c r="N4" t="s">
        <v>61</v>
      </c>
      <c r="O4" s="4" t="n">
        <v>3673</v>
      </c>
      <c r="P4" s="4" t="n">
        <v>3758</v>
      </c>
      <c r="Q4" s="4" t="n">
        <v>4287</v>
      </c>
      <c r="R4" s="4" t="n">
        <v>4284</v>
      </c>
      <c r="S4" s="4" t="n">
        <v>4364</v>
      </c>
      <c r="T4" s="4" t="n">
        <v>4264</v>
      </c>
      <c r="U4" s="4" t="n">
        <v>3740</v>
      </c>
      <c r="V4" s="4" t="n">
        <v>3780</v>
      </c>
      <c r="W4" s="4" t="n">
        <v>3666</v>
      </c>
      <c r="X4" s="4" t="n">
        <v>3596</v>
      </c>
      <c r="Y4" s="4" t="n">
        <v>3602</v>
      </c>
      <c r="Z4" s="4" t="n">
        <v>3458</v>
      </c>
      <c r="AA4" s="4" t="n">
        <v>3413</v>
      </c>
      <c r="AB4" s="4" t="n">
        <v>3646</v>
      </c>
      <c r="AC4" s="4" t="n">
        <v>3550</v>
      </c>
      <c r="AD4" s="4" t="n">
        <v>3155</v>
      </c>
      <c r="AE4" s="4" t="n">
        <v>3382</v>
      </c>
      <c r="AF4" s="4" t="n">
        <v>3431</v>
      </c>
      <c r="AG4" s="4" t="n">
        <v>2505</v>
      </c>
      <c r="AH4" s="4"/>
    </row>
    <row r="5">
      <c r="A5" t="str">
        <f>M5</f>
      </c>
      <c r="B5" t="str">
        <f>N5</f>
      </c>
      <c r="C5" s="4" t="str">
        <f>AB5</f>
      </c>
      <c r="D5" s="4" t="str">
        <f>AE5</f>
      </c>
      <c r="E5" s="4" t="str">
        <f>AF5</f>
      </c>
      <c r="F5" s="4"/>
      <c r="G5" s="2" t="str">
        <f>AF5/AE5-1</f>
      </c>
      <c r="H5" s="2" t="str">
        <f>AF5/AB5-1</f>
      </c>
      <c r="I5" s="2"/>
      <c r="J5" s="2" t="str">
        <f>AF5/Sum(AF$1:AF$9)</f>
      </c>
      <c r="K5" s="2"/>
      <c r="M5" t="s">
        <v>63</v>
      </c>
      <c r="N5" t="s">
        <v>62</v>
      </c>
      <c r="O5" s="4" t="n">
        <v>2520</v>
      </c>
      <c r="P5" s="4" t="n">
        <v>2468</v>
      </c>
      <c r="Q5" s="4" t="n">
        <v>2715</v>
      </c>
      <c r="R5" s="4" t="n">
        <v>2733</v>
      </c>
      <c r="S5" s="4" t="n">
        <v>2643</v>
      </c>
      <c r="T5" s="4" t="n">
        <v>2519</v>
      </c>
      <c r="U5" s="4" t="n">
        <v>2263</v>
      </c>
      <c r="V5" s="4" t="n">
        <v>2086</v>
      </c>
      <c r="W5" s="4" t="n">
        <v>2171</v>
      </c>
      <c r="X5" s="4" t="n">
        <v>2146</v>
      </c>
      <c r="Y5" s="4" t="n">
        <v>2105</v>
      </c>
      <c r="Z5" s="4" t="n">
        <v>2010</v>
      </c>
      <c r="AA5" s="4" t="n">
        <v>1854</v>
      </c>
      <c r="AB5" s="4" t="n">
        <v>1935</v>
      </c>
      <c r="AC5" s="4" t="n">
        <v>1897</v>
      </c>
      <c r="AD5" s="4" t="n">
        <v>1759</v>
      </c>
      <c r="AE5" s="4" t="n">
        <v>1769</v>
      </c>
      <c r="AF5" s="4" t="n">
        <v>1933</v>
      </c>
      <c r="AG5" s="4" t="n">
        <v>1301</v>
      </c>
      <c r="AH5" s="4"/>
    </row>
    <row r="6">
      <c r="A6" t="str">
        <f>M6</f>
      </c>
      <c r="B6" t="str">
        <f>N6</f>
      </c>
      <c r="C6" s="4" t="str">
        <f>AB6</f>
      </c>
      <c r="D6" s="4" t="str">
        <f>AE6</f>
      </c>
      <c r="E6" s="4" t="str">
        <f>AF6</f>
      </c>
      <c r="F6" s="4"/>
      <c r="G6" s="2" t="str">
        <f>AF6/AE6-1</f>
      </c>
      <c r="H6" s="2" t="str">
        <f>AF6/AB6-1</f>
      </c>
      <c r="I6" s="2"/>
      <c r="J6" s="2" t="str">
        <f>AF6/Sum(AF$1:AF$9)</f>
      </c>
      <c r="K6" s="2"/>
      <c r="M6" t="s">
        <v>64</v>
      </c>
      <c r="N6" t="s">
        <v>61</v>
      </c>
      <c r="O6" s="4" t="n">
        <v>8218</v>
      </c>
      <c r="P6" s="4" t="n">
        <v>8183</v>
      </c>
      <c r="Q6" s="4" t="n">
        <v>8159</v>
      </c>
      <c r="R6" s="4" t="n">
        <v>8340</v>
      </c>
      <c r="S6" s="4" t="n">
        <v>8114</v>
      </c>
      <c r="T6" s="4" t="n">
        <v>7769</v>
      </c>
      <c r="U6" s="4" t="n">
        <v>6960</v>
      </c>
      <c r="V6" s="4" t="n">
        <v>6858</v>
      </c>
      <c r="W6" s="4" t="n">
        <v>6479</v>
      </c>
      <c r="X6" s="4" t="n">
        <v>6286</v>
      </c>
      <c r="Y6" s="4" t="n">
        <v>6115</v>
      </c>
      <c r="Z6" s="4" t="n">
        <v>6142</v>
      </c>
      <c r="AA6" s="4" t="n">
        <v>5920</v>
      </c>
      <c r="AB6" s="4" t="n">
        <v>6301</v>
      </c>
      <c r="AC6" s="4" t="n">
        <v>6216</v>
      </c>
      <c r="AD6" s="4" t="n">
        <v>5900</v>
      </c>
      <c r="AE6" s="4" t="n">
        <v>5835</v>
      </c>
      <c r="AF6" s="4" t="n">
        <v>6028</v>
      </c>
      <c r="AG6" s="4" t="n">
        <v>4388</v>
      </c>
      <c r="AH6" s="4"/>
    </row>
    <row r="7">
      <c r="A7" t="str">
        <f>M7</f>
      </c>
      <c r="B7" t="str">
        <f>N7</f>
      </c>
      <c r="C7" s="4" t="str">
        <f>AB7</f>
      </c>
      <c r="D7" s="4" t="str">
        <f>AE7</f>
      </c>
      <c r="E7" s="4" t="str">
        <f>AF7</f>
      </c>
      <c r="F7" s="4"/>
      <c r="G7" s="2" t="str">
        <f>AF7/AE7-1</f>
      </c>
      <c r="H7" s="2" t="str">
        <f>AF7/AB7-1</f>
      </c>
      <c r="I7" s="2"/>
      <c r="J7" s="2" t="str">
        <f>AF7/Sum(AF$1:AF$9)</f>
      </c>
      <c r="K7" s="2"/>
      <c r="M7" t="s">
        <v>64</v>
      </c>
      <c r="N7" t="s">
        <v>62</v>
      </c>
      <c r="O7" s="4" t="n">
        <v>4866</v>
      </c>
      <c r="P7" s="4" t="n">
        <v>4897</v>
      </c>
      <c r="Q7" s="4" t="n">
        <v>4844</v>
      </c>
      <c r="R7" s="4" t="n">
        <v>4758</v>
      </c>
      <c r="S7" s="4" t="n">
        <v>4542</v>
      </c>
      <c r="T7" s="4" t="n">
        <v>4280</v>
      </c>
      <c r="U7" s="4" t="n">
        <v>3869</v>
      </c>
      <c r="V7" s="4" t="n">
        <v>3690</v>
      </c>
      <c r="W7" s="4" t="n">
        <v>3761</v>
      </c>
      <c r="X7" s="4" t="n">
        <v>3692</v>
      </c>
      <c r="Y7" s="4" t="n">
        <v>3586</v>
      </c>
      <c r="Z7" s="4" t="n">
        <v>3526</v>
      </c>
      <c r="AA7" s="4" t="n">
        <v>3322</v>
      </c>
      <c r="AB7" s="4" t="n">
        <v>3294</v>
      </c>
      <c r="AC7" s="4" t="n">
        <v>3135</v>
      </c>
      <c r="AD7" s="4" t="n">
        <v>3004</v>
      </c>
      <c r="AE7" s="4" t="n">
        <v>3066</v>
      </c>
      <c r="AF7" s="4" t="n">
        <v>3421</v>
      </c>
      <c r="AG7" s="4" t="n">
        <v>2354</v>
      </c>
      <c r="AH7" s="4"/>
    </row>
    <row r="8">
      <c r="A8" t="str">
        <f>M8</f>
      </c>
      <c r="B8" t="str">
        <f>N8</f>
      </c>
      <c r="C8" s="4" t="str">
        <f>AB8</f>
      </c>
      <c r="D8" s="4" t="str">
        <f>AE8</f>
      </c>
      <c r="E8" s="4" t="str">
        <f>AF8</f>
      </c>
      <c r="F8" s="4"/>
      <c r="G8" s="2" t="str">
        <f>AF8/AE8-1</f>
      </c>
      <c r="H8" s="2" t="str">
        <f>AF8/AB8-1</f>
      </c>
      <c r="I8" s="2"/>
      <c r="J8" s="2" t="str">
        <f>AF8/Sum(AF$1:AF$9)</f>
      </c>
      <c r="K8" s="2"/>
      <c r="M8" t="s">
        <v>65</v>
      </c>
      <c r="N8" t="s">
        <v>61</v>
      </c>
      <c r="O8" s="4" t="n">
        <v>3243</v>
      </c>
      <c r="P8" s="4" t="n">
        <v>3463</v>
      </c>
      <c r="Q8" s="4" t="n">
        <v>3473</v>
      </c>
      <c r="R8" s="4" t="n">
        <v>4292</v>
      </c>
      <c r="S8" s="4" t="n">
        <v>4473</v>
      </c>
      <c r="T8" s="4" t="n">
        <v>4765</v>
      </c>
      <c r="U8" s="4" t="n">
        <v>6108</v>
      </c>
      <c r="V8" s="4" t="n">
        <v>6460</v>
      </c>
      <c r="W8" s="4" t="n">
        <v>6144</v>
      </c>
      <c r="X8" s="4" t="n">
        <v>6509</v>
      </c>
      <c r="Y8" s="4" t="n">
        <v>6524</v>
      </c>
      <c r="Z8" s="4" t="n">
        <v>6703</v>
      </c>
      <c r="AA8" s="4" t="n">
        <v>6882</v>
      </c>
      <c r="AB8" s="4" t="n">
        <v>5870</v>
      </c>
      <c r="AC8" s="4" t="n">
        <v>5958</v>
      </c>
      <c r="AD8" s="4" t="n">
        <v>6120</v>
      </c>
      <c r="AE8" s="4" t="n">
        <v>6196</v>
      </c>
      <c r="AF8" s="4" t="n">
        <v>6491</v>
      </c>
      <c r="AG8" s="4" t="n">
        <v>6021</v>
      </c>
      <c r="AH8" s="4"/>
    </row>
    <row r="9">
      <c r="A9" t="str">
        <f>M9</f>
      </c>
      <c r="B9" t="str">
        <f>N9</f>
      </c>
      <c r="C9" s="4" t="str">
        <f>AB9</f>
      </c>
      <c r="D9" s="4" t="str">
        <f>AE9</f>
      </c>
      <c r="E9" s="4" t="str">
        <f>AF9</f>
      </c>
      <c r="F9" s="4"/>
      <c r="G9" s="2" t="str">
        <f>AF9/AE9-1</f>
      </c>
      <c r="H9" s="2" t="str">
        <f>AF9/AB9-1</f>
      </c>
      <c r="I9" s="2"/>
      <c r="J9" s="2" t="str">
        <f>AF9/Sum(AF$1:AF$9)</f>
      </c>
      <c r="K9" s="2"/>
      <c r="M9" t="s">
        <v>65</v>
      </c>
      <c r="N9" t="s">
        <v>62</v>
      </c>
      <c r="O9" s="4" t="n">
        <v>4568</v>
      </c>
      <c r="P9" s="4" t="n">
        <v>4776</v>
      </c>
      <c r="Q9" s="4" t="n">
        <v>5325</v>
      </c>
      <c r="R9" s="4" t="n">
        <v>5771</v>
      </c>
      <c r="S9" s="4" t="n">
        <v>5907</v>
      </c>
      <c r="T9" s="4" t="n">
        <v>5768</v>
      </c>
      <c r="U9" s="4" t="n">
        <v>5663</v>
      </c>
      <c r="V9" s="4" t="n">
        <v>5590</v>
      </c>
      <c r="W9" s="4" t="n">
        <v>5521</v>
      </c>
      <c r="X9" s="4" t="n">
        <v>5587</v>
      </c>
      <c r="Y9" s="4" t="n">
        <v>5584</v>
      </c>
      <c r="Z9" s="4" t="n">
        <v>5586</v>
      </c>
      <c r="AA9" s="4" t="n">
        <v>5393</v>
      </c>
      <c r="AB9" s="4" t="n">
        <v>5549</v>
      </c>
      <c r="AC9" s="4" t="n">
        <v>5288</v>
      </c>
      <c r="AD9" s="4" t="n">
        <v>5173</v>
      </c>
      <c r="AE9" s="4" t="n">
        <v>5263</v>
      </c>
      <c r="AF9" s="4" t="n">
        <v>6262</v>
      </c>
      <c r="AG9" s="4" t="n">
        <v>4914</v>
      </c>
      <c r="AH9" s="4"/>
    </row>
    <row r="10">
      <c r="A10" t="str">
        <f>M10</f>
      </c>
      <c r="B10" t="str">
        <f>N10</f>
      </c>
      <c r="C10" s="4" t="str">
        <f>AB10</f>
      </c>
      <c r="D10" s="4" t="str">
        <f>AE10</f>
      </c>
      <c r="E10" s="4" t="str">
        <f>AF10</f>
      </c>
      <c r="F10" s="4"/>
      <c r="G10" s="2" t="str">
        <f>AF10/AE10-1</f>
      </c>
      <c r="H10" s="2" t="str">
        <f>AF10/AB10-1</f>
      </c>
      <c r="I10" s="2"/>
      <c r="J10" s="2" t="str">
        <f>Sum(J$1:J$9)</f>
      </c>
      <c r="K10" s="2"/>
      <c r="M10" t="s">
        <v>43</v>
      </c>
      <c r="N10" t="s">
        <v>57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58</v>
      </c>
      <c r="N1" t="s">
        <v>59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</row>
    <row r="2">
      <c r="A2" t="str">
        <f>M2</f>
      </c>
      <c r="B2" t="str">
        <f>N2</f>
      </c>
      <c r="M2" t="s">
        <v>60</v>
      </c>
      <c r="N2" t="s">
        <v>61</v>
      </c>
      <c r="O2" s="5" t="n">
        <v>1603679916.4495</v>
      </c>
      <c r="P2" s="5" t="n">
        <v>1749306335.7536</v>
      </c>
      <c r="Q2" s="5" t="n">
        <v>1506022070.5974</v>
      </c>
      <c r="R2" s="5" t="n">
        <v>1396637729.7719</v>
      </c>
      <c r="S2" s="5" t="n">
        <v>1394656726.3083</v>
      </c>
      <c r="T2" s="5" t="n">
        <v>1277980765.7825</v>
      </c>
      <c r="U2" s="5" t="n">
        <v>1045755297.0694</v>
      </c>
      <c r="V2" s="5" t="n">
        <v>1073063515.1052</v>
      </c>
      <c r="W2" s="5" t="n">
        <v>1046287389.2594</v>
      </c>
      <c r="X2" s="5" t="n">
        <v>1086993096.2234</v>
      </c>
      <c r="Y2" s="5" t="n">
        <v>1071175248.8091</v>
      </c>
      <c r="Z2" s="5" t="n">
        <v>1095945242.7542</v>
      </c>
      <c r="AA2" s="5" t="n">
        <v>1190315481.8041</v>
      </c>
      <c r="AB2" s="5" t="n">
        <v>917019181.5896</v>
      </c>
      <c r="AC2" s="5" t="n">
        <v>973253083.8328</v>
      </c>
      <c r="AD2" s="5" t="n">
        <v>985681420.6314</v>
      </c>
      <c r="AE2" s="5" t="n">
        <v>926777893.2337</v>
      </c>
      <c r="AF2" s="5" t="n">
        <v>1234234831.7401</v>
      </c>
      <c r="AG2" s="5" t="n">
        <v>568532860.64</v>
      </c>
      <c r="AH2" s="5"/>
    </row>
    <row r="3">
      <c r="A3" t="str">
        <f>M3</f>
      </c>
      <c r="B3" t="str">
        <f>N3</f>
      </c>
      <c r="M3" t="s">
        <v>60</v>
      </c>
      <c r="N3" t="s">
        <v>62</v>
      </c>
      <c r="O3" s="5" t="n">
        <v>1178405542.4659</v>
      </c>
      <c r="P3" s="5" t="n">
        <v>1199225060.7447</v>
      </c>
      <c r="Q3" s="5" t="n">
        <v>1135857892.0745</v>
      </c>
      <c r="R3" s="5" t="n">
        <v>1016867319.0283</v>
      </c>
      <c r="S3" s="5" t="n">
        <v>872038941.9286</v>
      </c>
      <c r="T3" s="5" t="n">
        <v>945796214.7327</v>
      </c>
      <c r="U3" s="5" t="n">
        <v>867847737.2402</v>
      </c>
      <c r="V3" s="5" t="n">
        <v>737855146.1639</v>
      </c>
      <c r="W3" s="5" t="n">
        <v>803311214.1321</v>
      </c>
      <c r="X3" s="5" t="n">
        <v>833735542.3682</v>
      </c>
      <c r="Y3" s="5" t="n">
        <v>761579398.8757</v>
      </c>
      <c r="Z3" s="5" t="n">
        <v>803474580.8465</v>
      </c>
      <c r="AA3" s="5" t="n">
        <v>662169150.7921</v>
      </c>
      <c r="AB3" s="5" t="n">
        <v>539506241.2141</v>
      </c>
      <c r="AC3" s="5" t="n">
        <v>550881497.3173</v>
      </c>
      <c r="AD3" s="5" t="n">
        <v>731465962.6988</v>
      </c>
      <c r="AE3" s="5" t="n">
        <v>634320325.8798</v>
      </c>
      <c r="AF3" s="5" t="n">
        <v>726875125.8846</v>
      </c>
      <c r="AG3" s="5" t="n">
        <v>350082649.88</v>
      </c>
      <c r="AH3" s="5"/>
    </row>
    <row r="4">
      <c r="A4" t="str">
        <f>M4</f>
      </c>
      <c r="B4" t="str">
        <f>N4</f>
      </c>
      <c r="M4" t="s">
        <v>63</v>
      </c>
      <c r="N4" t="s">
        <v>61</v>
      </c>
      <c r="O4" s="5" t="n">
        <v>5999982656.0989</v>
      </c>
      <c r="P4" s="5" t="n">
        <v>6046830018.1236</v>
      </c>
      <c r="Q4" s="5" t="n">
        <v>6751809683.316</v>
      </c>
      <c r="R4" s="5" t="n">
        <v>6066338587.0334</v>
      </c>
      <c r="S4" s="5" t="n">
        <v>5230382582.3197</v>
      </c>
      <c r="T4" s="5" t="n">
        <v>5027216153.8049</v>
      </c>
      <c r="U4" s="5" t="n">
        <v>3533390661.1536</v>
      </c>
      <c r="V4" s="5" t="n">
        <v>4123223364.355</v>
      </c>
      <c r="W4" s="5" t="n">
        <v>3540965916.1068</v>
      </c>
      <c r="X4" s="5" t="n">
        <v>3464662829.517</v>
      </c>
      <c r="Y4" s="5" t="n">
        <v>3649373394.7892</v>
      </c>
      <c r="Z4" s="5" t="n">
        <v>3889193797.8782</v>
      </c>
      <c r="AA4" s="5" t="n">
        <v>3830382989.741</v>
      </c>
      <c r="AB4" s="5" t="n">
        <v>4014633824.3231</v>
      </c>
      <c r="AC4" s="5" t="n">
        <v>3463669460.4728</v>
      </c>
      <c r="AD4" s="5" t="n">
        <v>3658226697.5696</v>
      </c>
      <c r="AE4" s="5" t="n">
        <v>3871195138.9082</v>
      </c>
      <c r="AF4" s="5" t="n">
        <v>4348639122.7004</v>
      </c>
      <c r="AG4" s="5" t="n">
        <v>1677354132.2</v>
      </c>
      <c r="AH4" s="5"/>
    </row>
    <row r="5">
      <c r="A5" t="str">
        <f>M5</f>
      </c>
      <c r="B5" t="str">
        <f>N5</f>
      </c>
      <c r="M5" t="s">
        <v>63</v>
      </c>
      <c r="N5" t="s">
        <v>62</v>
      </c>
      <c r="O5" s="5" t="n">
        <v>5456832730.685</v>
      </c>
      <c r="P5" s="5" t="n">
        <v>5488289388.1671</v>
      </c>
      <c r="Q5" s="5" t="n">
        <v>5123685268.2764</v>
      </c>
      <c r="R5" s="5" t="n">
        <v>4827278412.4566</v>
      </c>
      <c r="S5" s="5" t="n">
        <v>4156968630.7311</v>
      </c>
      <c r="T5" s="5" t="n">
        <v>3788566428.3907</v>
      </c>
      <c r="U5" s="5" t="n">
        <v>3043148007.0823</v>
      </c>
      <c r="V5" s="5" t="n">
        <v>2553559490.2925</v>
      </c>
      <c r="W5" s="5" t="n">
        <v>3008088794.3015</v>
      </c>
      <c r="X5" s="5" t="n">
        <v>3097293622.699</v>
      </c>
      <c r="Y5" s="5" t="n">
        <v>2968060911.6581</v>
      </c>
      <c r="Z5" s="5" t="n">
        <v>3277439089.15</v>
      </c>
      <c r="AA5" s="5" t="n">
        <v>3222079724.2428</v>
      </c>
      <c r="AB5" s="5" t="n">
        <v>2849253776.4235</v>
      </c>
      <c r="AC5" s="5" t="n">
        <v>2846378415.83</v>
      </c>
      <c r="AD5" s="5" t="n">
        <v>3132815426.7574</v>
      </c>
      <c r="AE5" s="5" t="n">
        <v>3462645503.4253</v>
      </c>
      <c r="AF5" s="5" t="n">
        <v>3796874027.7858</v>
      </c>
      <c r="AG5" s="5" t="n">
        <v>1841090841.77</v>
      </c>
      <c r="AH5" s="5"/>
    </row>
    <row r="6">
      <c r="A6" t="str">
        <f>M6</f>
      </c>
      <c r="B6" t="str">
        <f>N6</f>
      </c>
      <c r="M6" t="s">
        <v>64</v>
      </c>
      <c r="N6" t="s">
        <v>61</v>
      </c>
      <c r="O6" s="5" t="n">
        <v>3718111313.4697</v>
      </c>
      <c r="P6" s="5" t="n">
        <v>3610568974.9875</v>
      </c>
      <c r="Q6" s="5" t="n">
        <v>3137052722.4466</v>
      </c>
      <c r="R6" s="5" t="n">
        <v>2981608669.6882</v>
      </c>
      <c r="S6" s="5" t="n">
        <v>3028019481.5055</v>
      </c>
      <c r="T6" s="5" t="n">
        <v>2469663173.1072</v>
      </c>
      <c r="U6" s="5" t="n">
        <v>1955875473.4952</v>
      </c>
      <c r="V6" s="5" t="n">
        <v>2083660917.2093</v>
      </c>
      <c r="W6" s="5" t="n">
        <v>1923815398.9194</v>
      </c>
      <c r="X6" s="5" t="n">
        <v>1900837801.3427</v>
      </c>
      <c r="Y6" s="5" t="n">
        <v>1868274306.0888</v>
      </c>
      <c r="Z6" s="5" t="n">
        <v>2189212078.0905</v>
      </c>
      <c r="AA6" s="5" t="n">
        <v>2195090147.4818</v>
      </c>
      <c r="AB6" s="5" t="n">
        <v>2403791847.0163</v>
      </c>
      <c r="AC6" s="5" t="n">
        <v>2131378735.4381</v>
      </c>
      <c r="AD6" s="5" t="n">
        <v>2678414884.901</v>
      </c>
      <c r="AE6" s="5" t="n">
        <v>2553615953.0667</v>
      </c>
      <c r="AF6" s="5" t="n">
        <v>3211833764.55</v>
      </c>
      <c r="AG6" s="5" t="n">
        <v>1297824497.62</v>
      </c>
      <c r="AH6" s="5"/>
    </row>
    <row r="7">
      <c r="A7" t="str">
        <f>M7</f>
      </c>
      <c r="B7" t="str">
        <f>N7</f>
      </c>
      <c r="M7" t="s">
        <v>64</v>
      </c>
      <c r="N7" t="s">
        <v>62</v>
      </c>
      <c r="O7" s="5" t="n">
        <v>3231449093.5941</v>
      </c>
      <c r="P7" s="5" t="n">
        <v>3070226626.3334</v>
      </c>
      <c r="Q7" s="5" t="n">
        <v>3185022514.7324</v>
      </c>
      <c r="R7" s="5" t="n">
        <v>2673847804.1681</v>
      </c>
      <c r="S7" s="5" t="n">
        <v>2505952459.1394</v>
      </c>
      <c r="T7" s="5" t="n">
        <v>2269318527.9168</v>
      </c>
      <c r="U7" s="5" t="n">
        <v>2017106481.6776</v>
      </c>
      <c r="V7" s="5" t="n">
        <v>1790958432.5253</v>
      </c>
      <c r="W7" s="5" t="n">
        <v>2017170187.3588</v>
      </c>
      <c r="X7" s="5" t="n">
        <v>2077987998.049</v>
      </c>
      <c r="Y7" s="5" t="n">
        <v>1971597759.8254</v>
      </c>
      <c r="Z7" s="5" t="n">
        <v>2813901798.297</v>
      </c>
      <c r="AA7" s="5" t="n">
        <v>2438041713.7476</v>
      </c>
      <c r="AB7" s="5" t="n">
        <v>1723967783.7015</v>
      </c>
      <c r="AC7" s="5" t="n">
        <v>1711870155.0831</v>
      </c>
      <c r="AD7" s="5" t="n">
        <v>2143441031.0854</v>
      </c>
      <c r="AE7" s="5" t="n">
        <v>2011202052.6715</v>
      </c>
      <c r="AF7" s="5" t="n">
        <v>2674387889.3398</v>
      </c>
      <c r="AG7" s="5" t="n">
        <v>1264369206.59</v>
      </c>
      <c r="AH7" s="5"/>
    </row>
    <row r="8">
      <c r="A8" t="str">
        <f>M8</f>
      </c>
      <c r="B8" t="str">
        <f>N8</f>
      </c>
      <c r="M8" t="s">
        <v>65</v>
      </c>
      <c r="N8" t="s">
        <v>61</v>
      </c>
      <c r="O8" s="5" t="n">
        <v>16232597219.2299</v>
      </c>
      <c r="P8" s="5" t="n">
        <v>18013318203.0658</v>
      </c>
      <c r="Q8" s="5" t="n">
        <v>21359436179.1467</v>
      </c>
      <c r="R8" s="5" t="n">
        <v>22503318043.6628</v>
      </c>
      <c r="S8" s="5" t="n">
        <v>21564787931.1273</v>
      </c>
      <c r="T8" s="5" t="n">
        <v>24197409865.2486</v>
      </c>
      <c r="U8" s="5" t="n">
        <v>20762647453.0861</v>
      </c>
      <c r="V8" s="5" t="n">
        <v>24865731284.4558</v>
      </c>
      <c r="W8" s="5" t="n">
        <v>22677462471.5252</v>
      </c>
      <c r="X8" s="5" t="n">
        <v>24171541469.5748</v>
      </c>
      <c r="Y8" s="5" t="n">
        <v>24534867230.8348</v>
      </c>
      <c r="Z8" s="5" t="n">
        <v>30446361823.8658</v>
      </c>
      <c r="AA8" s="5" t="n">
        <v>29841985237.8672</v>
      </c>
      <c r="AB8" s="5" t="n">
        <v>33740474482.0263</v>
      </c>
      <c r="AC8" s="5" t="n">
        <v>39526564389.212</v>
      </c>
      <c r="AD8" s="5" t="n">
        <v>38007317055.303</v>
      </c>
      <c r="AE8" s="5" t="n">
        <v>41336809508.7483</v>
      </c>
      <c r="AF8" s="5" t="n">
        <v>45346459203.6791</v>
      </c>
      <c r="AG8" s="5" t="n">
        <v>17373741014.39</v>
      </c>
      <c r="AH8" s="5"/>
    </row>
    <row r="9">
      <c r="A9" t="str">
        <f>M9</f>
      </c>
      <c r="B9" t="str">
        <f>N9</f>
      </c>
      <c r="M9" t="s">
        <v>65</v>
      </c>
      <c r="N9" t="s">
        <v>62</v>
      </c>
      <c r="O9" s="5" t="n">
        <v>296157760976.03</v>
      </c>
      <c r="P9" s="5" t="n">
        <v>344535256725.175</v>
      </c>
      <c r="Q9" s="5" t="n">
        <v>345005377463.537</v>
      </c>
      <c r="R9" s="5" t="n">
        <v>326990612189.563</v>
      </c>
      <c r="S9" s="5" t="n">
        <v>335575513371.367</v>
      </c>
      <c r="T9" s="5" t="n">
        <v>323306468598.232</v>
      </c>
      <c r="U9" s="5" t="n">
        <v>275994633856.702</v>
      </c>
      <c r="V9" s="5" t="n">
        <v>247183513097.948</v>
      </c>
      <c r="W9" s="5" t="n">
        <v>239098098359.064</v>
      </c>
      <c r="X9" s="5" t="n">
        <v>261662892832.461</v>
      </c>
      <c r="Y9" s="5" t="n">
        <v>285000984377.899</v>
      </c>
      <c r="Z9" s="5" t="n">
        <v>314665652474.159</v>
      </c>
      <c r="AA9" s="5" t="n">
        <v>340129710221.631</v>
      </c>
      <c r="AB9" s="5" t="n">
        <v>376258815022.514</v>
      </c>
      <c r="AC9" s="5" t="n">
        <v>335784156917.117</v>
      </c>
      <c r="AD9" s="5" t="n">
        <v>362900997433.558</v>
      </c>
      <c r="AE9" s="5" t="n">
        <v>401952379002.733</v>
      </c>
      <c r="AF9" s="5" t="n">
        <v>383563605312.117</v>
      </c>
      <c r="AG9" s="5" t="n">
        <v>203227525866.59</v>
      </c>
      <c r="AH9" s="5"/>
    </row>
    <row r="10">
      <c r="A10" t="str">
        <f>M10</f>
      </c>
      <c r="B10" t="str">
        <f>N10</f>
      </c>
      <c r="M10" t="s">
        <v>43</v>
      </c>
      <c r="N10" t="s">
        <v>57</v>
      </c>
      <c r="O10" s="5" t="str">
        <f>Sum(O2:O9)</f>
      </c>
      <c r="P10" s="5" t="str">
        <f>Sum(P2:P9)</f>
      </c>
      <c r="Q10" s="5" t="str">
        <f>Sum(Q2:Q9)</f>
      </c>
      <c r="R10" s="5" t="str">
        <f>Sum(R2:R9)</f>
      </c>
      <c r="S10" s="5" t="str">
        <f>Sum(S2:S9)</f>
      </c>
      <c r="T10" s="5" t="str">
        <f>Sum(T2:T9)</f>
      </c>
      <c r="U10" s="5" t="str">
        <f>Sum(U2:U9)</f>
      </c>
      <c r="V10" s="5" t="str">
        <f>Sum(V2:V9)</f>
      </c>
      <c r="W10" s="5" t="str">
        <f>Sum(W2:W9)</f>
      </c>
      <c r="X10" s="5" t="str">
        <f>Sum(X2:X9)</f>
      </c>
      <c r="Y10" s="5" t="str">
        <f>Sum(Y2:Y9)</f>
      </c>
      <c r="Z10" s="5" t="str">
        <f>Sum(Z2:Z9)</f>
      </c>
      <c r="AA10" s="5" t="str">
        <f>Sum(AA2:AA9)</f>
      </c>
      <c r="AB10" s="5" t="str">
        <f>Sum(AB2:AB9)</f>
      </c>
      <c r="AC10" s="5" t="str">
        <f>Sum(AC2:AC9)</f>
      </c>
      <c r="AD10" s="5" t="str">
        <f>Sum(AD2:AD9)</f>
      </c>
      <c r="AE10" s="5" t="str">
        <f>Sum(AE2:AE9)</f>
      </c>
      <c r="AF10" s="5" t="str">
        <f>Sum(AF2:AF9)</f>
      </c>
      <c r="AG10" s="5" t="str">
        <f>Sum(AG2:AG9)</f>
      </c>
      <c r="AH10" s="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66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</row>
    <row r="2">
      <c r="A2" t="str">
        <f>L2</f>
      </c>
      <c r="L2" t="s">
        <v>67</v>
      </c>
      <c r="M2" s="6" t="n">
        <v>31833667148</v>
      </c>
      <c r="N2" s="6" t="n">
        <v>30446724255</v>
      </c>
      <c r="O2" s="6" t="n">
        <v>31030982567</v>
      </c>
      <c r="P2" s="6" t="n">
        <v>30739020865</v>
      </c>
      <c r="Q2" s="6" t="n">
        <v>31312889405</v>
      </c>
      <c r="R2" s="6" t="n">
        <v>27652249318</v>
      </c>
      <c r="S2" s="6" t="n">
        <v>30088932958.51</v>
      </c>
      <c r="T2" s="6" t="n">
        <v>30307501250</v>
      </c>
      <c r="U2" s="6" t="n">
        <v>33203098779</v>
      </c>
      <c r="V2" s="6" t="n">
        <v>36020620803.34</v>
      </c>
      <c r="W2" s="6" t="n">
        <v>35413855298.53</v>
      </c>
      <c r="X2" s="6" t="n">
        <v>36119460735.8791</v>
      </c>
      <c r="Y2" s="6" t="n">
        <v>39025889499.1626</v>
      </c>
      <c r="Z2" s="6" t="n">
        <v>49245020025.2512</v>
      </c>
      <c r="AA2" s="6" t="n">
        <v>47802126579.3272</v>
      </c>
      <c r="AB2" s="6" t="n">
        <v>47282598635.3366</v>
      </c>
      <c r="AC2" s="6" t="n">
        <v>53944206261.5134</v>
      </c>
      <c r="AD2" s="6" t="n">
        <v>60467600005.3777</v>
      </c>
      <c r="AE2" s="6" t="n">
        <v>66727621101.0344</v>
      </c>
      <c r="AF2" s="6" t="n">
        <v>65849650949.3067</v>
      </c>
      <c r="AG2" s="6" t="n">
        <v>63613543271.9831</v>
      </c>
      <c r="AH2" s="6" t="n">
        <v>70408554456.7648</v>
      </c>
      <c r="AI2" s="6" t="n">
        <v>78210561316.2017</v>
      </c>
      <c r="AJ2" s="6" t="n">
        <v>73620995823.1291</v>
      </c>
      <c r="AK2" s="6" t="n">
        <v>58243299907.6406</v>
      </c>
      <c r="AL2" s="6" t="n">
        <v>61740524994.5333</v>
      </c>
      <c r="AM2" s="6" t="n">
        <v>75458097997.4035</v>
      </c>
      <c r="AN2" s="6" t="n">
        <v>86356420018.5675</v>
      </c>
      <c r="AO2" s="6" t="n">
        <v>83993398279.1735</v>
      </c>
      <c r="AP2" s="6" t="n">
        <v>89880443247.0108</v>
      </c>
      <c r="AQ2" s="6" t="n">
        <v>105289864886.056</v>
      </c>
      <c r="AR2" s="6" t="n">
        <v>72293290170.6676</v>
      </c>
      <c r="AS2" s="6" t="n">
        <v>75190979424.2915</v>
      </c>
      <c r="AT2" s="6" t="n">
        <v>97087898525.6191</v>
      </c>
      <c r="AU2" s="6" t="n">
        <v>70803937008.54</v>
      </c>
      <c r="AV2" s="6" t="n">
        <v>41385771440.56</v>
      </c>
      <c r="AW2" s="6"/>
      <c r="AX2" s="6"/>
    </row>
    <row r="3">
      <c r="A3" t="str">
        <f>L3</f>
      </c>
      <c r="L3" t="s">
        <v>68</v>
      </c>
      <c r="M3" s="6" t="n">
        <v>20056740028.53</v>
      </c>
      <c r="N3" s="6" t="n">
        <v>19744398733</v>
      </c>
      <c r="O3" s="6" t="n">
        <v>19579055483</v>
      </c>
      <c r="P3" s="6" t="n">
        <v>18614358124</v>
      </c>
      <c r="Q3" s="6" t="n">
        <v>17840328302</v>
      </c>
      <c r="R3" s="6" t="n">
        <v>18935372536</v>
      </c>
      <c r="S3" s="6" t="n">
        <v>18438756640</v>
      </c>
      <c r="T3" s="6" t="n">
        <v>21994452623.2</v>
      </c>
      <c r="U3" s="6" t="n">
        <v>22127165085.39</v>
      </c>
      <c r="V3" s="6" t="n">
        <v>26061304461.45</v>
      </c>
      <c r="W3" s="6" t="n">
        <v>20752433554.8069</v>
      </c>
      <c r="X3" s="6" t="n">
        <v>22386855579.8807</v>
      </c>
      <c r="Y3" s="6" t="n">
        <v>25803646202.2489</v>
      </c>
      <c r="Z3" s="6" t="n">
        <v>31479738358.29</v>
      </c>
      <c r="AA3" s="6" t="n">
        <v>37532046095.0014</v>
      </c>
      <c r="AB3" s="6" t="n">
        <v>42233204664.3596</v>
      </c>
      <c r="AC3" s="6" t="n">
        <v>45201239370.3597</v>
      </c>
      <c r="AD3" s="6" t="n">
        <v>52452769362.7979</v>
      </c>
      <c r="AE3" s="6" t="n">
        <v>56949957401.2241</v>
      </c>
      <c r="AF3" s="6" t="n">
        <v>55339760226.2133</v>
      </c>
      <c r="AG3" s="6" t="n">
        <v>56099180178.7736</v>
      </c>
      <c r="AH3" s="6" t="n">
        <v>52378848389.7535</v>
      </c>
      <c r="AI3" s="6" t="n">
        <v>49574359579.3549</v>
      </c>
      <c r="AJ3" s="6" t="n">
        <v>41517691985.8825</v>
      </c>
      <c r="AK3" s="6" t="n">
        <v>40881580498.5278</v>
      </c>
      <c r="AL3" s="6" t="n">
        <v>39557805148.8119</v>
      </c>
      <c r="AM3" s="6" t="n">
        <v>43329347031.5722</v>
      </c>
      <c r="AN3" s="6" t="n">
        <v>45865663976.7032</v>
      </c>
      <c r="AO3" s="6" t="n">
        <v>50962559294.2397</v>
      </c>
      <c r="AP3" s="6" t="n">
        <v>54933874063.0537</v>
      </c>
      <c r="AQ3" s="6" t="n">
        <v>55379486824.1898</v>
      </c>
      <c r="AR3" s="6" t="n">
        <v>49671979158.9507</v>
      </c>
      <c r="AS3" s="6" t="n">
        <v>53600319822.2382</v>
      </c>
      <c r="AT3" s="6" t="n">
        <v>56403290342.7071</v>
      </c>
      <c r="AU3" s="6" t="n">
        <v>58146844104.9356</v>
      </c>
      <c r="AV3" s="6" t="n">
        <v>23125307153.07</v>
      </c>
      <c r="AW3" s="6"/>
      <c r="AX3" s="6"/>
    </row>
    <row r="4">
      <c r="A4" t="str">
        <f>L4</f>
      </c>
      <c r="L4" t="s">
        <v>69</v>
      </c>
      <c r="M4" s="6" t="n">
        <v>12270146387.56</v>
      </c>
      <c r="N4" s="6" t="n">
        <v>18546859868</v>
      </c>
      <c r="O4" s="6" t="n">
        <v>18034998930</v>
      </c>
      <c r="P4" s="6" t="n">
        <v>17269650869</v>
      </c>
      <c r="Q4" s="6" t="n">
        <v>20413419957.16</v>
      </c>
      <c r="R4" s="6" t="n">
        <v>20253453482</v>
      </c>
      <c r="S4" s="6" t="n">
        <v>20496894585</v>
      </c>
      <c r="T4" s="6" t="n">
        <v>22097368058</v>
      </c>
      <c r="U4" s="6" t="n">
        <v>22256433114.02</v>
      </c>
      <c r="V4" s="6" t="n">
        <v>25642719585.99</v>
      </c>
      <c r="W4" s="6" t="n">
        <v>20799929809.0744</v>
      </c>
      <c r="X4" s="6" t="n">
        <v>23066281708.1984</v>
      </c>
      <c r="Y4" s="6" t="n">
        <v>26062764956.2649</v>
      </c>
      <c r="Z4" s="6" t="n">
        <v>34446873950.0982</v>
      </c>
      <c r="AA4" s="6" t="n">
        <v>35703133221.642</v>
      </c>
      <c r="AB4" s="6" t="n">
        <v>39560168282.3154</v>
      </c>
      <c r="AC4" s="6" t="n">
        <v>45549368633.1513</v>
      </c>
      <c r="AD4" s="6" t="n">
        <v>46197030188.0772</v>
      </c>
      <c r="AE4" s="6" t="n">
        <v>57289811092.6687</v>
      </c>
      <c r="AF4" s="6" t="n">
        <v>66364166614.9981</v>
      </c>
      <c r="AG4" s="6" t="n">
        <v>61236025341.1526</v>
      </c>
      <c r="AH4" s="6" t="n">
        <v>54581198029.4269</v>
      </c>
      <c r="AI4" s="6" t="n">
        <v>49007984692.1448</v>
      </c>
      <c r="AJ4" s="6" t="n">
        <v>39519355046.853</v>
      </c>
      <c r="AK4" s="6" t="n">
        <v>42197614655.4973</v>
      </c>
      <c r="AL4" s="6" t="n">
        <v>38095138884.6941</v>
      </c>
      <c r="AM4" s="6" t="n">
        <v>38545539074.4664</v>
      </c>
      <c r="AN4" s="6" t="n">
        <v>38480051893.3859</v>
      </c>
      <c r="AO4" s="6" t="n">
        <v>46957728670.0224</v>
      </c>
      <c r="AP4" s="6" t="n">
        <v>52076314862.7224</v>
      </c>
      <c r="AQ4" s="6" t="n">
        <v>60199257113.2442</v>
      </c>
      <c r="AR4" s="6" t="n">
        <v>51276701200.0085</v>
      </c>
      <c r="AS4" s="6" t="n">
        <v>57336683329.8192</v>
      </c>
      <c r="AT4" s="6" t="n">
        <v>64915296781.2943</v>
      </c>
      <c r="AU4" s="6" t="n">
        <v>66166496594.515</v>
      </c>
      <c r="AV4" s="6" t="n">
        <v>21996682906.77</v>
      </c>
      <c r="AW4" s="6"/>
      <c r="AX4" s="6"/>
    </row>
    <row r="5">
      <c r="A5" t="str">
        <f>L5</f>
      </c>
      <c r="L5" t="s">
        <v>70</v>
      </c>
      <c r="M5" s="6" t="n">
        <v>4280921000</v>
      </c>
      <c r="N5" s="6" t="n">
        <v>6513488889</v>
      </c>
      <c r="O5" s="6" t="n">
        <v>4169827450</v>
      </c>
      <c r="P5" s="6" t="n">
        <v>4391855530</v>
      </c>
      <c r="Q5" s="6" t="n">
        <v>3619929411</v>
      </c>
      <c r="R5" s="6" t="n">
        <v>3099414659</v>
      </c>
      <c r="S5" s="6" t="n">
        <v>3682108068</v>
      </c>
      <c r="T5" s="6" t="n">
        <v>4712839717</v>
      </c>
      <c r="U5" s="6" t="n">
        <v>3946165607</v>
      </c>
      <c r="V5" s="6" t="n">
        <v>5299615987</v>
      </c>
      <c r="W5" s="6" t="n">
        <v>3395360125.419</v>
      </c>
      <c r="X5" s="6" t="n">
        <v>3297789660.2609</v>
      </c>
      <c r="Y5" s="6" t="n">
        <v>4784757838.3462</v>
      </c>
      <c r="Z5" s="6" t="n">
        <v>9641512533.5187</v>
      </c>
      <c r="AA5" s="6" t="n">
        <v>8545490686.6053</v>
      </c>
      <c r="AB5" s="6" t="n">
        <v>15261772563.6108</v>
      </c>
      <c r="AC5" s="6" t="n">
        <v>16131747285.9201</v>
      </c>
      <c r="AD5" s="6" t="n">
        <v>28198596874.6629</v>
      </c>
      <c r="AE5" s="6" t="n">
        <v>39757216060.0822</v>
      </c>
      <c r="AF5" s="6" t="n">
        <v>28835130195.0829</v>
      </c>
      <c r="AG5" s="6" t="n">
        <v>25332224333.8185</v>
      </c>
      <c r="AH5" s="6" t="n">
        <v>19575557221.9926</v>
      </c>
      <c r="AI5" s="6" t="n">
        <v>10828673127.7275</v>
      </c>
      <c r="AJ5" s="6" t="n">
        <v>7435113801.5888</v>
      </c>
      <c r="AK5" s="6" t="n">
        <v>5825472234.4273</v>
      </c>
      <c r="AL5" s="6" t="n">
        <v>7493772244.1363</v>
      </c>
      <c r="AM5" s="6" t="n">
        <v>7352399029.425</v>
      </c>
      <c r="AN5" s="6" t="n">
        <v>8259179595.6552</v>
      </c>
      <c r="AO5" s="6" t="n">
        <v>12665731962.3236</v>
      </c>
      <c r="AP5" s="6" t="n">
        <v>12919390944.6891</v>
      </c>
      <c r="AQ5" s="6" t="n">
        <v>11753634626.5612</v>
      </c>
      <c r="AR5" s="6" t="n">
        <v>9682677466.2496</v>
      </c>
      <c r="AS5" s="6" t="n">
        <v>10820251636.0674</v>
      </c>
      <c r="AT5" s="6" t="n">
        <v>14534536560.3744</v>
      </c>
      <c r="AU5" s="6" t="n">
        <v>13712865514.2433</v>
      </c>
      <c r="AV5" s="6" t="n">
        <v>7038883895.4</v>
      </c>
      <c r="AW5" s="6"/>
      <c r="AX5" s="6"/>
    </row>
    <row r="6">
      <c r="A6" t="str">
        <f>L6</f>
      </c>
      <c r="L6" t="s">
        <v>71</v>
      </c>
      <c r="M6" s="6" t="n">
        <v>4493109000</v>
      </c>
      <c r="N6" s="6" t="n">
        <v>6783380054</v>
      </c>
      <c r="O6" s="6" t="n">
        <v>5440650317</v>
      </c>
      <c r="P6" s="6" t="n">
        <v>6509522213</v>
      </c>
      <c r="Q6" s="6" t="n">
        <v>5223252139</v>
      </c>
      <c r="R6" s="6" t="n">
        <v>4527970932</v>
      </c>
      <c r="S6" s="6" t="n">
        <v>4790278768</v>
      </c>
      <c r="T6" s="6" t="n">
        <v>6223012401</v>
      </c>
      <c r="U6" s="6" t="n">
        <v>6064798156</v>
      </c>
      <c r="V6" s="6" t="n">
        <v>5179696452.63</v>
      </c>
      <c r="W6" s="6" t="n">
        <v>3712993149</v>
      </c>
      <c r="X6" s="6" t="n">
        <v>4009935888.4</v>
      </c>
      <c r="Y6" s="6" t="n">
        <v>5642874340.825</v>
      </c>
      <c r="Z6" s="6" t="n">
        <v>5825750978.0938</v>
      </c>
      <c r="AA6" s="6" t="n">
        <v>6850883253.5797</v>
      </c>
      <c r="AB6" s="6" t="n">
        <v>7241986679.0175</v>
      </c>
      <c r="AC6" s="6" t="n">
        <v>8137932950.5804</v>
      </c>
      <c r="AD6" s="6" t="n">
        <v>9598715469.6009</v>
      </c>
      <c r="AE6" s="6" t="n">
        <v>10357444323.9373</v>
      </c>
      <c r="AF6" s="6" t="n">
        <v>12248019705.5001</v>
      </c>
      <c r="AG6" s="6" t="n">
        <v>12410878346.5912</v>
      </c>
      <c r="AH6" s="6" t="n">
        <v>12082693116.94</v>
      </c>
      <c r="AI6" s="6" t="n">
        <v>12676566647.6782</v>
      </c>
      <c r="AJ6" s="6" t="n">
        <v>12099741738.1587</v>
      </c>
      <c r="AK6" s="6" t="n">
        <v>9293494133.5078</v>
      </c>
      <c r="AL6" s="6" t="n">
        <v>10675878028.3043</v>
      </c>
      <c r="AM6" s="6" t="n">
        <v>10975434323.0138</v>
      </c>
      <c r="AN6" s="6" t="n">
        <v>8833249237.5575</v>
      </c>
      <c r="AO6" s="6" t="n">
        <v>14755738244.1553</v>
      </c>
      <c r="AP6" s="6" t="n">
        <v>15081953782.2425</v>
      </c>
      <c r="AQ6" s="6" t="n">
        <v>20378112917.8361</v>
      </c>
      <c r="AR6" s="6" t="n">
        <v>13476285589.9655</v>
      </c>
      <c r="AS6" s="6" t="n">
        <v>15035342321.3875</v>
      </c>
      <c r="AT6" s="6" t="n">
        <v>13888597838.8381</v>
      </c>
      <c r="AU6" s="6" t="n">
        <v>14026979429.09</v>
      </c>
      <c r="AV6" s="6" t="n">
        <v>5985294638.14</v>
      </c>
      <c r="AW6" s="6"/>
      <c r="AX6" s="6"/>
    </row>
    <row r="7">
      <c r="A7" t="str">
        <f>L7</f>
      </c>
      <c r="L7" t="s">
        <v>72</v>
      </c>
      <c r="M7" s="6" t="n">
        <v>10399846000</v>
      </c>
      <c r="N7" s="6" t="n">
        <v>13591854004</v>
      </c>
      <c r="O7" s="6" t="n">
        <v>12417659763</v>
      </c>
      <c r="P7" s="6" t="n">
        <v>9927115218</v>
      </c>
      <c r="Q7" s="6" t="n">
        <v>8057990037</v>
      </c>
      <c r="R7" s="6" t="n">
        <v>7865077208</v>
      </c>
      <c r="S7" s="6" t="n">
        <v>8060286338</v>
      </c>
      <c r="T7" s="6" t="n">
        <v>9168533717</v>
      </c>
      <c r="U7" s="6" t="n">
        <v>10288578986</v>
      </c>
      <c r="V7" s="6" t="n">
        <v>11750399074.01</v>
      </c>
      <c r="W7" s="6" t="n">
        <v>7967724148.275</v>
      </c>
      <c r="X7" s="6" t="n">
        <v>8474994549.3995</v>
      </c>
      <c r="Y7" s="6" t="n">
        <v>11442383339.6534</v>
      </c>
      <c r="Z7" s="6" t="n">
        <v>12782466654.0499</v>
      </c>
      <c r="AA7" s="6" t="n">
        <v>13235234778.1002</v>
      </c>
      <c r="AB7" s="6" t="n">
        <v>14091262916.2053</v>
      </c>
      <c r="AC7" s="6" t="n">
        <v>13651090437.2432</v>
      </c>
      <c r="AD7" s="6" t="n">
        <v>16656166488.807</v>
      </c>
      <c r="AE7" s="6" t="n">
        <v>17610345879.8083</v>
      </c>
      <c r="AF7" s="6" t="n">
        <v>16167191003.7199</v>
      </c>
      <c r="AG7" s="6" t="n">
        <v>14815235215.5489</v>
      </c>
      <c r="AH7" s="6" t="n">
        <v>14253124058.6975</v>
      </c>
      <c r="AI7" s="6" t="n">
        <v>14382664541.4263</v>
      </c>
      <c r="AJ7" s="6" t="n">
        <v>11812268600.8085</v>
      </c>
      <c r="AK7" s="6" t="n">
        <v>11790205750.0985</v>
      </c>
      <c r="AL7" s="6" t="n">
        <v>12058818951.4863</v>
      </c>
      <c r="AM7" s="6" t="n">
        <v>15479871347.5807</v>
      </c>
      <c r="AN7" s="6" t="n">
        <v>17833777232.4115</v>
      </c>
      <c r="AO7" s="6" t="n">
        <v>20343585093.6363</v>
      </c>
      <c r="AP7" s="6" t="n">
        <v>22899175031.5749</v>
      </c>
      <c r="AQ7" s="6" t="n">
        <v>22854209895.2227</v>
      </c>
      <c r="AR7" s="6" t="n">
        <v>20535332343.4112</v>
      </c>
      <c r="AS7" s="6" t="n">
        <v>19082858482.1756</v>
      </c>
      <c r="AT7" s="6" t="n">
        <v>32619034324.5858</v>
      </c>
      <c r="AU7" s="6" t="n">
        <v>35486377510.2</v>
      </c>
      <c r="AV7" s="6" t="n">
        <v>13638953249.35</v>
      </c>
      <c r="AW7" s="6"/>
      <c r="AX7" s="6"/>
    </row>
    <row r="8">
      <c r="A8" t="str">
        <f>L8</f>
      </c>
      <c r="L8" t="s">
        <v>73</v>
      </c>
      <c r="M8" s="6" t="n">
        <v>10914125000</v>
      </c>
      <c r="N8" s="6" t="n">
        <v>13706410115</v>
      </c>
      <c r="O8" s="6" t="n">
        <v>9675044302</v>
      </c>
      <c r="P8" s="6" t="n">
        <v>10551452583</v>
      </c>
      <c r="Q8" s="6" t="n">
        <v>8629385645</v>
      </c>
      <c r="R8" s="6" t="n">
        <v>8571790193</v>
      </c>
      <c r="S8" s="6" t="n">
        <v>9683594429</v>
      </c>
      <c r="T8" s="6" t="n">
        <v>12422489000</v>
      </c>
      <c r="U8" s="6" t="n">
        <v>10945019386</v>
      </c>
      <c r="V8" s="6" t="n">
        <v>9492171289</v>
      </c>
      <c r="W8" s="6" t="n">
        <v>8636765200.09</v>
      </c>
      <c r="X8" s="6" t="n">
        <v>10224864678</v>
      </c>
      <c r="Y8" s="6" t="n">
        <v>13391908160.2411</v>
      </c>
      <c r="Z8" s="6" t="n">
        <v>15543175627.4262</v>
      </c>
      <c r="AA8" s="6" t="n">
        <v>18316590305.9285</v>
      </c>
      <c r="AB8" s="6" t="n">
        <v>31788501747.0561</v>
      </c>
      <c r="AC8" s="6" t="n">
        <v>34619998279.619</v>
      </c>
      <c r="AD8" s="6" t="n">
        <v>34291731704.5411</v>
      </c>
      <c r="AE8" s="6" t="n">
        <v>39100105365.4799</v>
      </c>
      <c r="AF8" s="6" t="n">
        <v>35618854636.1993</v>
      </c>
      <c r="AG8" s="6" t="n">
        <v>29439139717.4327</v>
      </c>
      <c r="AH8" s="6" t="n">
        <v>29987721179.0583</v>
      </c>
      <c r="AI8" s="6" t="n">
        <v>35353479895.3198</v>
      </c>
      <c r="AJ8" s="6" t="n">
        <v>26660379036.4712</v>
      </c>
      <c r="AK8" s="6" t="n">
        <v>24340029384.9638</v>
      </c>
      <c r="AL8" s="6" t="n">
        <v>21065394905.4149</v>
      </c>
      <c r="AM8" s="6" t="n">
        <v>19404060743.2575</v>
      </c>
      <c r="AN8" s="6" t="n">
        <v>21592088392.3687</v>
      </c>
      <c r="AO8" s="6" t="n">
        <v>25367009408.098</v>
      </c>
      <c r="AP8" s="6" t="n">
        <v>23213918475.9798</v>
      </c>
      <c r="AQ8" s="6" t="n">
        <v>25597318174.2036</v>
      </c>
      <c r="AR8" s="6" t="n">
        <v>53375209324.7045</v>
      </c>
      <c r="AS8" s="6" t="n">
        <v>58547339525.5499</v>
      </c>
      <c r="AT8" s="6" t="n">
        <v>32836485328.8367</v>
      </c>
      <c r="AU8" s="6" t="n">
        <v>32319439019.0318</v>
      </c>
      <c r="AV8" s="6" t="n">
        <v>13492289259.28</v>
      </c>
      <c r="AW8" s="6"/>
      <c r="AX8" s="6"/>
    </row>
    <row r="9">
      <c r="A9" t="str">
        <f>L9</f>
      </c>
      <c r="L9" t="s">
        <v>74</v>
      </c>
      <c r="M9" s="6" t="n">
        <v>7783568381</v>
      </c>
      <c r="N9" s="6" t="n">
        <v>7941110229</v>
      </c>
      <c r="O9" s="6" t="n">
        <v>8818200450</v>
      </c>
      <c r="P9" s="6" t="n">
        <v>8589186442</v>
      </c>
      <c r="Q9" s="6" t="n">
        <v>8483277454</v>
      </c>
      <c r="R9" s="6" t="n">
        <v>8900619476</v>
      </c>
      <c r="S9" s="6" t="n">
        <v>9336253170</v>
      </c>
      <c r="T9" s="6" t="n">
        <v>10861073492.06</v>
      </c>
      <c r="U9" s="6" t="n">
        <v>12465993555</v>
      </c>
      <c r="V9" s="6" t="n">
        <v>14132252954.98</v>
      </c>
      <c r="W9" s="6" t="n">
        <v>12423934945.0637</v>
      </c>
      <c r="X9" s="6" t="n">
        <v>12424468932.9164</v>
      </c>
      <c r="Y9" s="6" t="n">
        <v>15837779626.0314</v>
      </c>
      <c r="Z9" s="6" t="n">
        <v>18425337221.3278</v>
      </c>
      <c r="AA9" s="6" t="n">
        <v>20538698310.7172</v>
      </c>
      <c r="AB9" s="6" t="n">
        <v>25425408590.6261</v>
      </c>
      <c r="AC9" s="6" t="n">
        <v>28721179671.8363</v>
      </c>
      <c r="AD9" s="6" t="n">
        <v>30296153197.6628</v>
      </c>
      <c r="AE9" s="6" t="n">
        <v>33793436149.5149</v>
      </c>
      <c r="AF9" s="6" t="n">
        <v>38519614943.2069</v>
      </c>
      <c r="AG9" s="6" t="n">
        <v>39961534982.9329</v>
      </c>
      <c r="AH9" s="6" t="n">
        <v>39730605562.5358</v>
      </c>
      <c r="AI9" s="6" t="n">
        <v>39961453800.8548</v>
      </c>
      <c r="AJ9" s="6" t="n">
        <v>33931408862.2226</v>
      </c>
      <c r="AK9" s="6" t="n">
        <v>33317114461.3787</v>
      </c>
      <c r="AL9" s="6" t="n">
        <v>33043118560.0173</v>
      </c>
      <c r="AM9" s="6" t="n">
        <v>33263526143.4788</v>
      </c>
      <c r="AN9" s="6" t="n">
        <v>34993406923.4755</v>
      </c>
      <c r="AO9" s="6" t="n">
        <v>38689350207.3315</v>
      </c>
      <c r="AP9" s="6" t="n">
        <v>42364005233.0725</v>
      </c>
      <c r="AQ9" s="6" t="n">
        <v>44087994948.0853</v>
      </c>
      <c r="AR9" s="6" t="n">
        <v>52189979707.7235</v>
      </c>
      <c r="AS9" s="6" t="n">
        <v>55016689993.9699</v>
      </c>
      <c r="AT9" s="6" t="n">
        <v>67494380984.9426</v>
      </c>
      <c r="AU9" s="6" t="n">
        <v>76248485619.8805</v>
      </c>
      <c r="AV9" s="6" t="n">
        <v>33649649879.84</v>
      </c>
      <c r="AW9" s="6"/>
      <c r="AX9" s="6"/>
    </row>
    <row r="10">
      <c r="A10" t="str">
        <f>L10</f>
      </c>
      <c r="L10" t="s">
        <v>75</v>
      </c>
      <c r="M10" s="6" t="n">
        <v>4385928184</v>
      </c>
      <c r="N10" s="6" t="n">
        <v>5642501985</v>
      </c>
      <c r="O10" s="6" t="n">
        <v>4212521274</v>
      </c>
      <c r="P10" s="6" t="n">
        <v>3076431560</v>
      </c>
      <c r="Q10" s="6" t="n">
        <v>4016084413</v>
      </c>
      <c r="R10" s="6" t="n">
        <v>5278185433</v>
      </c>
      <c r="S10" s="6" t="n">
        <v>5094354952</v>
      </c>
      <c r="T10" s="6" t="n">
        <v>5936682915</v>
      </c>
      <c r="U10" s="6" t="n">
        <v>6260095195</v>
      </c>
      <c r="V10" s="6" t="n">
        <v>7836022358</v>
      </c>
      <c r="W10" s="6" t="n">
        <v>6506896271.1198</v>
      </c>
      <c r="X10" s="6" t="n">
        <v>7420418599.3494</v>
      </c>
      <c r="Y10" s="6" t="n">
        <v>10545115941.9841</v>
      </c>
      <c r="Z10" s="6" t="n">
        <v>16105347747.7887</v>
      </c>
      <c r="AA10" s="6" t="n">
        <v>20122322174.6054</v>
      </c>
      <c r="AB10" s="6" t="n">
        <v>22213036981.4812</v>
      </c>
      <c r="AC10" s="6" t="n">
        <v>24238830668.4184</v>
      </c>
      <c r="AD10" s="6" t="n">
        <v>24497884758.7179</v>
      </c>
      <c r="AE10" s="6" t="n">
        <v>27468028277.7697</v>
      </c>
      <c r="AF10" s="6" t="n">
        <v>30723657954.163</v>
      </c>
      <c r="AG10" s="6" t="n">
        <v>33024157518.5712</v>
      </c>
      <c r="AH10" s="6" t="n">
        <v>36792544582.1274</v>
      </c>
      <c r="AI10" s="6" t="n">
        <v>33864152089.5312</v>
      </c>
      <c r="AJ10" s="6" t="n">
        <v>30720193694.3823</v>
      </c>
      <c r="AK10" s="6" t="n">
        <v>25679241583.7085</v>
      </c>
      <c r="AL10" s="6" t="n">
        <v>23029997076.45</v>
      </c>
      <c r="AM10" s="6" t="n">
        <v>23874254235.4478</v>
      </c>
      <c r="AN10" s="6" t="n">
        <v>26385508316.6237</v>
      </c>
      <c r="AO10" s="6" t="n">
        <v>28451192588.9657</v>
      </c>
      <c r="AP10" s="6" t="n">
        <v>29702735027.001</v>
      </c>
      <c r="AQ10" s="6" t="n">
        <v>29575059025.7073</v>
      </c>
      <c r="AR10" s="6" t="n">
        <v>28823440556.7604</v>
      </c>
      <c r="AS10" s="6" t="n">
        <v>30675787255.7935</v>
      </c>
      <c r="AT10" s="6" t="n">
        <v>32097350797.9685</v>
      </c>
      <c r="AU10" s="6" t="n">
        <v>32847951432.6312</v>
      </c>
      <c r="AV10" s="6" t="n">
        <v>15244201373.4</v>
      </c>
      <c r="AW10" s="6"/>
      <c r="AX10" s="6"/>
    </row>
    <row r="11">
      <c r="A11" t="str">
        <f>L11</f>
      </c>
      <c r="L11" t="s">
        <v>76</v>
      </c>
      <c r="M11" s="6" t="n">
        <v>10691711493</v>
      </c>
      <c r="N11" s="6" t="n">
        <v>9519123712</v>
      </c>
      <c r="O11" s="6" t="n">
        <v>8611054026</v>
      </c>
      <c r="P11" s="6" t="n">
        <v>9546693472</v>
      </c>
      <c r="Q11" s="6" t="n">
        <v>7408709646</v>
      </c>
      <c r="R11" s="6" t="n">
        <v>9669502740</v>
      </c>
      <c r="S11" s="6" t="n">
        <v>7986152424</v>
      </c>
      <c r="T11" s="6" t="n">
        <v>10692887574</v>
      </c>
      <c r="U11" s="6" t="n">
        <v>11593416925</v>
      </c>
      <c r="V11" s="6" t="n">
        <v>10676588934</v>
      </c>
      <c r="W11" s="6" t="n">
        <v>9355821763</v>
      </c>
      <c r="X11" s="6" t="n">
        <v>12404327288</v>
      </c>
      <c r="Y11" s="6" t="n">
        <v>12695551342.9298</v>
      </c>
      <c r="Z11" s="6" t="n">
        <v>12672639055.0506</v>
      </c>
      <c r="AA11" s="6" t="n">
        <v>14842821715.2183</v>
      </c>
      <c r="AB11" s="6" t="n">
        <v>14040438232.1252</v>
      </c>
      <c r="AC11" s="6" t="n">
        <v>16819203914.1752</v>
      </c>
      <c r="AD11" s="6" t="n">
        <v>17253476229.614</v>
      </c>
      <c r="AE11" s="6" t="n">
        <v>19353690799.1401</v>
      </c>
      <c r="AF11" s="6" t="n">
        <v>21502362107.6503</v>
      </c>
      <c r="AG11" s="6" t="n">
        <v>17560432635.8953</v>
      </c>
      <c r="AH11" s="6" t="n">
        <v>28388643767.3702</v>
      </c>
      <c r="AI11" s="6" t="n">
        <v>23822792650.8337</v>
      </c>
      <c r="AJ11" s="6" t="n">
        <v>23148510363.5899</v>
      </c>
      <c r="AK11" s="6" t="n">
        <v>23827135602.909</v>
      </c>
      <c r="AL11" s="6" t="n">
        <v>21484151844.7643</v>
      </c>
      <c r="AM11" s="6" t="n">
        <v>24652199962.6787</v>
      </c>
      <c r="AN11" s="6" t="n">
        <v>27220706844.2556</v>
      </c>
      <c r="AO11" s="6" t="n">
        <v>31316882680.7664</v>
      </c>
      <c r="AP11" s="6" t="n">
        <v>33323312663.534</v>
      </c>
      <c r="AQ11" s="6" t="n">
        <v>40096800397.2507</v>
      </c>
      <c r="AR11" s="6" t="n">
        <v>32018368298.9107</v>
      </c>
      <c r="AS11" s="6" t="n">
        <v>34380659311.2719</v>
      </c>
      <c r="AT11" s="6" t="n">
        <v>40072133032.806</v>
      </c>
      <c r="AU11" s="6" t="n">
        <v>39149757367.4309</v>
      </c>
      <c r="AV11" s="6" t="n">
        <v>21335674092.63</v>
      </c>
      <c r="AW11" s="6"/>
      <c r="AX11" s="6"/>
    </row>
    <row r="12">
      <c r="A12" t="str">
        <f>L12</f>
      </c>
      <c r="L12" t="s">
        <v>77</v>
      </c>
      <c r="M12" s="6" t="n">
        <v>5255479000</v>
      </c>
      <c r="N12" s="6" t="n">
        <v>4690791000</v>
      </c>
      <c r="O12" s="6" t="n">
        <v>3262692007</v>
      </c>
      <c r="P12" s="6" t="n">
        <v>3841805266</v>
      </c>
      <c r="Q12" s="6" t="n">
        <v>3932350729</v>
      </c>
      <c r="R12" s="6" t="n">
        <v>3629776820</v>
      </c>
      <c r="S12" s="6" t="n">
        <v>3048311142</v>
      </c>
      <c r="T12" s="6" t="n">
        <v>5372020018</v>
      </c>
      <c r="U12" s="6" t="n">
        <v>4161150258</v>
      </c>
      <c r="V12" s="6" t="n">
        <v>4478025355</v>
      </c>
      <c r="W12" s="6" t="n">
        <v>3182752123</v>
      </c>
      <c r="X12" s="6" t="n">
        <v>4154315718</v>
      </c>
      <c r="Y12" s="6" t="n">
        <v>4493775536.64</v>
      </c>
      <c r="Z12" s="6" t="n">
        <v>5289484147.71</v>
      </c>
      <c r="AA12" s="6" t="n">
        <v>6278698516.1575</v>
      </c>
      <c r="AB12" s="6" t="n">
        <v>6522295831.15</v>
      </c>
      <c r="AC12" s="6" t="n">
        <v>8010484938.6197</v>
      </c>
      <c r="AD12" s="6" t="n">
        <v>8210408402.6981</v>
      </c>
      <c r="AE12" s="6" t="n">
        <v>9577508049.2441</v>
      </c>
      <c r="AF12" s="6" t="n">
        <v>10381035512.3811</v>
      </c>
      <c r="AG12" s="6" t="n">
        <v>9203473353.7473</v>
      </c>
      <c r="AH12" s="6" t="n">
        <v>10431151648.4688</v>
      </c>
      <c r="AI12" s="6" t="n">
        <v>10107315072.0074</v>
      </c>
      <c r="AJ12" s="6" t="n">
        <v>7735167706.6243</v>
      </c>
      <c r="AK12" s="6" t="n">
        <v>8004623908.5857</v>
      </c>
      <c r="AL12" s="6" t="n">
        <v>5981723226.965</v>
      </c>
      <c r="AM12" s="6" t="n">
        <v>6013852003.3234</v>
      </c>
      <c r="AN12" s="6" t="n">
        <v>6031120360.7928</v>
      </c>
      <c r="AO12" s="6" t="n">
        <v>5858469687.1801</v>
      </c>
      <c r="AP12" s="6" t="n">
        <v>7212921755.1126</v>
      </c>
      <c r="AQ12" s="6" t="n">
        <v>7323024505.8012</v>
      </c>
      <c r="AR12" s="6" t="n">
        <v>3626347428.9336</v>
      </c>
      <c r="AS12" s="6" t="n">
        <v>4637988234.9818</v>
      </c>
      <c r="AT12" s="6" t="n">
        <v>5131395923.0176</v>
      </c>
      <c r="AU12" s="6" t="n">
        <v>5926921767.09</v>
      </c>
      <c r="AV12" s="6" t="n">
        <v>1561775086.3</v>
      </c>
      <c r="AW12" s="6"/>
      <c r="AX12" s="6"/>
    </row>
    <row r="13">
      <c r="A13" t="str">
        <f>L13</f>
      </c>
      <c r="L13" t="s">
        <v>78</v>
      </c>
      <c r="M13" s="6"/>
      <c r="N13" s="6"/>
      <c r="O13" s="6"/>
      <c r="P13" s="6"/>
      <c r="Q13" s="6" t="n">
        <v>0</v>
      </c>
      <c r="R13" s="6" t="n">
        <v>4773197</v>
      </c>
      <c r="S13" s="6" t="n">
        <v>387836</v>
      </c>
      <c r="T13" s="6" t="n">
        <v>33893609.95</v>
      </c>
      <c r="U13" s="6" t="n">
        <v>13320</v>
      </c>
      <c r="V13" s="6" t="n">
        <v>31603156</v>
      </c>
      <c r="W13" s="6" t="n">
        <v>29503352.0086</v>
      </c>
      <c r="X13" s="6" t="n">
        <v>9825233.9423</v>
      </c>
      <c r="Y13" s="6" t="n">
        <v>84074351.1747</v>
      </c>
      <c r="Z13" s="6" t="n">
        <v>75741000.1801</v>
      </c>
      <c r="AA13" s="6" t="n">
        <v>7078195.786</v>
      </c>
      <c r="AB13" s="6" t="n">
        <v>3802636.12</v>
      </c>
      <c r="AC13" s="6" t="n">
        <v>110264977.8082</v>
      </c>
      <c r="AD13" s="6" t="n">
        <v>18047584.62</v>
      </c>
      <c r="AE13" s="6" t="n">
        <v>368043.2172</v>
      </c>
      <c r="AF13" s="6" t="n">
        <v>986168.1493</v>
      </c>
      <c r="AG13" s="6" t="n">
        <v>-253919.658</v>
      </c>
      <c r="AH13" s="6" t="n">
        <v>-140825.1013</v>
      </c>
      <c r="AI13" s="6" t="n">
        <v>-6477.8001</v>
      </c>
      <c r="AJ13" s="6" t="n">
        <v>-99723.1206</v>
      </c>
      <c r="AK13" s="6" t="n">
        <v>449040</v>
      </c>
      <c r="AL13" s="6" t="n">
        <v>30000</v>
      </c>
      <c r="AM13" s="6" t="n">
        <v>3581529.4309</v>
      </c>
      <c r="AN13" s="6" t="n">
        <v>31755</v>
      </c>
      <c r="AO13" s="6" t="n">
        <v>-212795.37</v>
      </c>
      <c r="AP13" s="6" t="n">
        <v>465885</v>
      </c>
      <c r="AQ13" s="6" t="n">
        <v>10000</v>
      </c>
      <c r="AR13" s="6" t="n">
        <v>386316</v>
      </c>
      <c r="AS13" s="6" t="n">
        <v>980919.7602</v>
      </c>
      <c r="AT13" s="6" t="n">
        <v>2471452.5331</v>
      </c>
      <c r="AU13" s="6" t="n">
        <v>2527052.94</v>
      </c>
      <c r="AV13" s="6" t="n">
        <v>2844018.11</v>
      </c>
      <c r="AW13" s="6"/>
      <c r="AX13" s="6"/>
    </row>
    <row r="14">
      <c r="A14" t="str">
        <f>L14</f>
      </c>
      <c r="L14" t="s">
        <v>43</v>
      </c>
      <c r="M14" s="6" t="str">
        <f>Sum(M2:M13)</f>
      </c>
      <c r="N14" s="6" t="str">
        <f>Sum(N2:N13)</f>
      </c>
      <c r="O14" s="6" t="str">
        <f>Sum(O2:O13)</f>
      </c>
      <c r="P14" s="6" t="str">
        <f>Sum(P2:P13)</f>
      </c>
      <c r="Q14" s="6" t="str">
        <f>Sum(Q2:Q13)</f>
      </c>
      <c r="R14" s="6" t="str">
        <f>Sum(R2:R13)</f>
      </c>
      <c r="S14" s="6" t="str">
        <f>Sum(S2:S13)</f>
      </c>
      <c r="T14" s="6" t="str">
        <f>Sum(T2:T13)</f>
      </c>
      <c r="U14" s="6" t="str">
        <f>Sum(U2:U13)</f>
      </c>
      <c r="V14" s="6" t="str">
        <f>Sum(V2:V13)</f>
      </c>
      <c r="W14" s="6" t="str">
        <f>Sum(W2:W13)</f>
      </c>
      <c r="X14" s="6" t="str">
        <f>Sum(X2:X13)</f>
      </c>
      <c r="Y14" s="6" t="str">
        <f>Sum(Y2:Y13)</f>
      </c>
      <c r="Z14" s="6" t="str">
        <f>Sum(Z2:Z13)</f>
      </c>
      <c r="AA14" s="6" t="str">
        <f>Sum(AA2:AA13)</f>
      </c>
      <c r="AB14" s="6" t="str">
        <f>Sum(AB2:AB13)</f>
      </c>
      <c r="AC14" s="6" t="str">
        <f>Sum(AC2:AC13)</f>
      </c>
      <c r="AD14" s="6" t="str">
        <f>Sum(AD2:AD13)</f>
      </c>
      <c r="AE14" s="6" t="str">
        <f>Sum(AE2:AE13)</f>
      </c>
      <c r="AF14" s="6" t="str">
        <f>Sum(AF2:AF13)</f>
      </c>
      <c r="AG14" s="6" t="str">
        <f>Sum(AG2:AG13)</f>
      </c>
      <c r="AH14" s="6" t="str">
        <f>Sum(AH2:AH13)</f>
      </c>
      <c r="AI14" s="6" t="str">
        <f>Sum(AI2:AI13)</f>
      </c>
      <c r="AJ14" s="6" t="str">
        <f>Sum(AJ2:AJ13)</f>
      </c>
      <c r="AK14" s="6" t="str">
        <f>Sum(AK2:AK13)</f>
      </c>
      <c r="AL14" s="6" t="str">
        <f>Sum(AL2:AL13)</f>
      </c>
      <c r="AM14" s="6" t="str">
        <f>Sum(AM2:AM13)</f>
      </c>
      <c r="AN14" s="6" t="str">
        <f>Sum(AN2:AN13)</f>
      </c>
      <c r="AO14" s="6" t="str">
        <f>Sum(AO2:AO13)</f>
      </c>
      <c r="AP14" s="6" t="str">
        <f>Sum(AP2:AP13)</f>
      </c>
      <c r="AQ14" s="6" t="str">
        <f>Sum(AQ2:AQ13)</f>
      </c>
      <c r="AR14" s="6" t="str">
        <f>Sum(AR2:AR13)</f>
      </c>
      <c r="AS14" s="6" t="str">
        <f>Sum(AS2:AS13)</f>
      </c>
      <c r="AT14" s="6" t="str">
        <f>Sum(AT2:AT13)</f>
      </c>
      <c r="AU14" s="6" t="str">
        <f>Sum(AU2:AU13)</f>
      </c>
      <c r="AV14" s="6" t="str">
        <f>Sum(AV2:AV13)</f>
      </c>
      <c r="AW14" s="6" t="str">
        <f>Sum(AW2:AW13)</f>
      </c>
      <c r="AX14" s="6"/>
    </row>
    <row r="17">
      <c r="A17" t="str">
        <f>L17</f>
      </c>
      <c r="B17" t="str">
        <f>AQ17</f>
      </c>
      <c r="C17" t="str">
        <f>AT17</f>
      </c>
      <c r="D17" t="str">
        <f>AU17</f>
      </c>
      <c r="F17" t="str">
        <f>AT17&amp;"-"&amp;AU17</f>
      </c>
      <c r="G17" t="str">
        <f>AQ17&amp;"-"&amp;AU17</f>
      </c>
      <c r="I17" t="str">
        <f>"Share "&amp;AU17</f>
      </c>
      <c r="L17" t="s">
        <v>66</v>
      </c>
      <c r="M17" t="s">
        <v>1</v>
      </c>
      <c r="N17" t="s">
        <v>2</v>
      </c>
      <c r="O17" t="s">
        <v>3</v>
      </c>
      <c r="P17" t="s">
        <v>4</v>
      </c>
      <c r="Q17" t="s">
        <v>5</v>
      </c>
      <c r="R17" t="s">
        <v>6</v>
      </c>
      <c r="S17" t="s">
        <v>7</v>
      </c>
      <c r="T17" t="s">
        <v>8</v>
      </c>
      <c r="U17" t="s">
        <v>9</v>
      </c>
      <c r="V17" t="s">
        <v>10</v>
      </c>
      <c r="W17" t="s">
        <v>11</v>
      </c>
      <c r="X17" t="s">
        <v>12</v>
      </c>
      <c r="Y17" t="s">
        <v>13</v>
      </c>
      <c r="Z17" t="s">
        <v>14</v>
      </c>
      <c r="AA17" t="s">
        <v>15</v>
      </c>
      <c r="AB17" t="s">
        <v>16</v>
      </c>
      <c r="AC17" t="s">
        <v>17</v>
      </c>
      <c r="AD17" t="s">
        <v>18</v>
      </c>
      <c r="AE17" t="s">
        <v>19</v>
      </c>
      <c r="AF17" t="s">
        <v>20</v>
      </c>
      <c r="AG17" t="s">
        <v>21</v>
      </c>
      <c r="AH17" t="s">
        <v>22</v>
      </c>
      <c r="AI17" t="s">
        <v>23</v>
      </c>
      <c r="AJ17" t="s">
        <v>24</v>
      </c>
      <c r="AK17" t="s">
        <v>25</v>
      </c>
      <c r="AL17" t="s">
        <v>26</v>
      </c>
      <c r="AM17" t="s">
        <v>27</v>
      </c>
      <c r="AN17" t="s">
        <v>28</v>
      </c>
      <c r="AO17" t="s">
        <v>29</v>
      </c>
      <c r="AP17" t="s">
        <v>30</v>
      </c>
      <c r="AQ17" t="s">
        <v>31</v>
      </c>
      <c r="AR17" t="s">
        <v>32</v>
      </c>
      <c r="AS17" t="s">
        <v>33</v>
      </c>
      <c r="AT17" t="s">
        <v>34</v>
      </c>
      <c r="AU17" t="s">
        <v>35</v>
      </c>
      <c r="AV17" t="s">
        <v>36</v>
      </c>
    </row>
    <row r="18">
      <c r="A18" t="str">
        <f>L18</f>
      </c>
      <c r="B18" s="6" t="str">
        <f>AQ18</f>
      </c>
      <c r="C18" s="6" t="str">
        <f>AT18</f>
      </c>
      <c r="D18" s="6" t="str">
        <f>AU18</f>
      </c>
      <c r="E18" s="6"/>
      <c r="F18" s="2" t="str">
        <f>AU18/AT18-1</f>
      </c>
      <c r="G18" s="2" t="str">
        <f>AU18/AQ18-1</f>
      </c>
      <c r="H18" s="2"/>
      <c r="I18" s="2" t="str">
        <f>AU18/Sum(AU$17:AU$29)</f>
      </c>
      <c r="J18" s="2"/>
      <c r="L18" t="s">
        <v>67</v>
      </c>
      <c r="M18" s="6" t="n">
        <v>65840998757.794</v>
      </c>
      <c r="N18" s="6" t="n">
        <v>60798816125.4818</v>
      </c>
      <c r="O18" s="6" t="n">
        <v>60452474346.2375</v>
      </c>
      <c r="P18" s="6" t="n">
        <v>58511028790.3703</v>
      </c>
      <c r="Q18" s="6" t="n">
        <v>58329992546.4837</v>
      </c>
      <c r="R18" s="6" t="n">
        <v>50440975445.6104</v>
      </c>
      <c r="S18" s="6" t="n">
        <v>53871458568.5772</v>
      </c>
      <c r="T18" s="6" t="n">
        <v>53316568367.2439</v>
      </c>
      <c r="U18" s="6" t="n">
        <v>57687194295.6345</v>
      </c>
      <c r="V18" s="6" t="n">
        <v>61816915215.2476</v>
      </c>
      <c r="W18" s="6" t="n">
        <v>59536831213.9557</v>
      </c>
      <c r="X18" s="6" t="n">
        <v>59286036971.0737</v>
      </c>
      <c r="Y18" s="6" t="n">
        <v>63064473558.9893</v>
      </c>
      <c r="Z18" s="6" t="n">
        <v>78079485526.482</v>
      </c>
      <c r="AA18" s="6" t="n">
        <v>73985109570.071</v>
      </c>
      <c r="AB18" s="6" t="n">
        <v>71019894407.9578</v>
      </c>
      <c r="AC18" s="6" t="n">
        <v>78476573182.0537</v>
      </c>
      <c r="AD18" s="6" t="n">
        <v>85609834544.4612</v>
      </c>
      <c r="AE18" s="6" t="n">
        <v>92551308993.3711</v>
      </c>
      <c r="AF18" s="6" t="n">
        <v>90409030331.521</v>
      </c>
      <c r="AG18" s="6" t="n">
        <v>86589041306.4763</v>
      </c>
      <c r="AH18" s="6" t="n">
        <v>93952473196.7343</v>
      </c>
      <c r="AI18" s="6" t="n">
        <v>102503362932.436</v>
      </c>
      <c r="AJ18" s="6" t="n">
        <v>94768690889.5499</v>
      </c>
      <c r="AK18" s="6" t="n">
        <v>73630484878.4373</v>
      </c>
      <c r="AL18" s="6" t="n">
        <v>77251597847.0432</v>
      </c>
      <c r="AM18" s="6" t="n">
        <v>93666565247.9425</v>
      </c>
      <c r="AN18" s="6" t="n">
        <v>105415281936.916</v>
      </c>
      <c r="AO18" s="6" t="n">
        <v>100303992608.493</v>
      </c>
      <c r="AP18" s="6" t="n">
        <v>105385704655.384</v>
      </c>
      <c r="AQ18" s="6" t="n">
        <v>121861513271.404</v>
      </c>
      <c r="AR18" s="6" t="n">
        <v>80887643731.6265</v>
      </c>
      <c r="AS18" s="6" t="n">
        <v>78630710686.5115</v>
      </c>
      <c r="AT18" s="6" t="n">
        <v>97087898525.6191</v>
      </c>
      <c r="AU18" s="6" t="n">
        <v>68962232456.1138</v>
      </c>
      <c r="AV18" s="6" t="n">
        <v>39443793878.3393</v>
      </c>
      <c r="AW18" s="6"/>
      <c r="AX18" s="6"/>
    </row>
    <row r="19">
      <c r="A19" t="str">
        <f>L19</f>
      </c>
      <c r="B19" s="6" t="str">
        <f>AQ19</f>
      </c>
      <c r="C19" s="6" t="str">
        <f>AT19</f>
      </c>
      <c r="D19" s="6" t="str">
        <f>AU19</f>
      </c>
      <c r="E19" s="6"/>
      <c r="F19" s="2" t="str">
        <f>AU19/AT19-1</f>
      </c>
      <c r="G19" s="2" t="str">
        <f>AU19/AQ19-1</f>
      </c>
      <c r="H19" s="2"/>
      <c r="I19" s="2" t="str">
        <f>AU19/Sum(AU$17:AU$29)</f>
      </c>
      <c r="J19" s="2"/>
      <c r="L19" t="s">
        <v>68</v>
      </c>
      <c r="M19" s="6" t="n">
        <v>41482993120.5964</v>
      </c>
      <c r="N19" s="6" t="n">
        <v>39427429303.1285</v>
      </c>
      <c r="O19" s="6" t="n">
        <v>38142599795.3518</v>
      </c>
      <c r="P19" s="6" t="n">
        <v>35432008354.8188</v>
      </c>
      <c r="Q19" s="6" t="n">
        <v>33233158506.1683</v>
      </c>
      <c r="R19" s="6" t="n">
        <v>34540360538.415</v>
      </c>
      <c r="S19" s="6" t="n">
        <v>33012892672.4501</v>
      </c>
      <c r="T19" s="6" t="n">
        <v>38692359601.4023</v>
      </c>
      <c r="U19" s="6" t="n">
        <v>38443823571.6659</v>
      </c>
      <c r="V19" s="6" t="n">
        <v>44725199409.7455</v>
      </c>
      <c r="W19" s="6" t="n">
        <v>34888439098.6557</v>
      </c>
      <c r="X19" s="6" t="n">
        <v>36745508391.7268</v>
      </c>
      <c r="Y19" s="6" t="n">
        <v>41697790480.3979</v>
      </c>
      <c r="Z19" s="6" t="n">
        <v>49912088049.9836</v>
      </c>
      <c r="AA19" s="6" t="n">
        <v>58089728249.2137</v>
      </c>
      <c r="AB19" s="6" t="n">
        <v>63435551816.9616</v>
      </c>
      <c r="AC19" s="6" t="n">
        <v>65757541267.1953</v>
      </c>
      <c r="AD19" s="6" t="n">
        <v>74262462974.3623</v>
      </c>
      <c r="AE19" s="6" t="n">
        <v>78989675004.5883</v>
      </c>
      <c r="AF19" s="6" t="n">
        <v>75979355831.0956</v>
      </c>
      <c r="AG19" s="6" t="n">
        <v>76360692706.4331</v>
      </c>
      <c r="AH19" s="6" t="n">
        <v>69893813150.7301</v>
      </c>
      <c r="AI19" s="6" t="n">
        <v>64972536785.1699</v>
      </c>
      <c r="AJ19" s="6" t="n">
        <v>53443685110.0232</v>
      </c>
      <c r="AK19" s="6" t="n">
        <v>51682006333.3772</v>
      </c>
      <c r="AL19" s="6" t="n">
        <v>49495913022.0919</v>
      </c>
      <c r="AM19" s="6" t="n">
        <v>53784964352.3105</v>
      </c>
      <c r="AN19" s="6" t="n">
        <v>55988216027.1169</v>
      </c>
      <c r="AO19" s="6" t="n">
        <v>60858927909.6564</v>
      </c>
      <c r="AP19" s="6" t="n">
        <v>64410508208.9433</v>
      </c>
      <c r="AQ19" s="6" t="n">
        <v>64095704519.0708</v>
      </c>
      <c r="AR19" s="6" t="n">
        <v>55577071456.684</v>
      </c>
      <c r="AS19" s="6" t="n">
        <v>56052351929.9352</v>
      </c>
      <c r="AT19" s="6" t="n">
        <v>56403290342.7071</v>
      </c>
      <c r="AU19" s="6" t="n">
        <v>56634367369.5761</v>
      </c>
      <c r="AV19" s="6" t="n">
        <v>22040179920.9916</v>
      </c>
      <c r="AW19" s="6"/>
      <c r="AX19" s="6"/>
    </row>
    <row r="20">
      <c r="A20" t="str">
        <f>L20</f>
      </c>
      <c r="B20" s="6" t="str">
        <f>AQ20</f>
      </c>
      <c r="C20" s="6" t="str">
        <f>AT20</f>
      </c>
      <c r="D20" s="6" t="str">
        <f>AU20</f>
      </c>
      <c r="E20" s="6"/>
      <c r="F20" s="2" t="str">
        <f>AU20/AT20-1</f>
      </c>
      <c r="G20" s="2" t="str">
        <f>AU20/AQ20-1</f>
      </c>
      <c r="H20" s="2"/>
      <c r="I20" s="2" t="str">
        <f>AU20/Sum(AU$17:AU$29)</f>
      </c>
      <c r="J20" s="2"/>
      <c r="L20" t="s">
        <v>69</v>
      </c>
      <c r="M20" s="6" t="n">
        <v>25378122140.4787</v>
      </c>
      <c r="N20" s="6" t="n">
        <v>37036073679.8944</v>
      </c>
      <c r="O20" s="6" t="n">
        <v>35134572609.6887</v>
      </c>
      <c r="P20" s="6" t="n">
        <v>32872388604.4866</v>
      </c>
      <c r="Q20" s="6" t="n">
        <v>38026341758.1404</v>
      </c>
      <c r="R20" s="6" t="n">
        <v>36944696180.9855</v>
      </c>
      <c r="S20" s="6" t="n">
        <v>36697798786.7803</v>
      </c>
      <c r="T20" s="6" t="n">
        <v>38873407117.3389</v>
      </c>
      <c r="U20" s="6" t="n">
        <v>38668414352.5875</v>
      </c>
      <c r="V20" s="6" t="n">
        <v>44006843501.9457</v>
      </c>
      <c r="W20" s="6" t="n">
        <v>34968288537.5202</v>
      </c>
      <c r="X20" s="6" t="n">
        <v>37860710051.4943</v>
      </c>
      <c r="Y20" s="6" t="n">
        <v>42116517331.2396</v>
      </c>
      <c r="Z20" s="6" t="n">
        <v>54616572287.7178</v>
      </c>
      <c r="AA20" s="6" t="n">
        <v>55259052523.8345</v>
      </c>
      <c r="AB20" s="6" t="n">
        <v>59420570257.5611</v>
      </c>
      <c r="AC20" s="6" t="n">
        <v>66263990308.9299</v>
      </c>
      <c r="AD20" s="6" t="n">
        <v>65405607474.0032</v>
      </c>
      <c r="AE20" s="6" t="n">
        <v>79461052576.4307</v>
      </c>
      <c r="AF20" s="6" t="n">
        <v>91115440490.9514</v>
      </c>
      <c r="AG20" s="6" t="n">
        <v>83352827951.1005</v>
      </c>
      <c r="AH20" s="6" t="n">
        <v>72832606555.7036</v>
      </c>
      <c r="AI20" s="6" t="n">
        <v>64230241503.7846</v>
      </c>
      <c r="AJ20" s="6" t="n">
        <v>50871324147.6283</v>
      </c>
      <c r="AK20" s="6" t="n">
        <v>53345721013.8281</v>
      </c>
      <c r="AL20" s="6" t="n">
        <v>47665781094.4792</v>
      </c>
      <c r="AM20" s="6" t="n">
        <v>47846796388.3725</v>
      </c>
      <c r="AN20" s="6" t="n">
        <v>46972599355.2796</v>
      </c>
      <c r="AO20" s="6" t="n">
        <v>56076403216.5299</v>
      </c>
      <c r="AP20" s="6" t="n">
        <v>61059991911.4905</v>
      </c>
      <c r="AQ20" s="6" t="n">
        <v>69674061958.1304</v>
      </c>
      <c r="AR20" s="6" t="n">
        <v>57372565678.0555</v>
      </c>
      <c r="AS20" s="6" t="n">
        <v>59959641344.619</v>
      </c>
      <c r="AT20" s="6" t="n">
        <v>64915296781.2943</v>
      </c>
      <c r="AU20" s="6" t="n">
        <v>64445418033.8481</v>
      </c>
      <c r="AV20" s="6" t="n">
        <v>20964515010.3812</v>
      </c>
      <c r="AW20" s="6"/>
      <c r="AX20" s="6"/>
    </row>
    <row r="21">
      <c r="A21" t="str">
        <f>L21</f>
      </c>
      <c r="B21" s="6" t="str">
        <f>AQ21</f>
      </c>
      <c r="C21" s="6" t="str">
        <f>AT21</f>
      </c>
      <c r="D21" s="6" t="str">
        <f>AU21</f>
      </c>
      <c r="E21" s="6"/>
      <c r="F21" s="2" t="str">
        <f>AU21/AT21-1</f>
      </c>
      <c r="G21" s="2" t="str">
        <f>AU21/AQ21-1</f>
      </c>
      <c r="H21" s="2"/>
      <c r="I21" s="2" t="str">
        <f>AU21/Sum(AU$17:AU$29)</f>
      </c>
      <c r="J21" s="2"/>
      <c r="L21" t="s">
        <v>70</v>
      </c>
      <c r="M21" s="6" t="n">
        <v>8854151578.98083</v>
      </c>
      <c r="N21" s="6" t="n">
        <v>13006733006.1836</v>
      </c>
      <c r="O21" s="6" t="n">
        <v>8123377543.88201</v>
      </c>
      <c r="P21" s="6" t="n">
        <v>8359797356.18613</v>
      </c>
      <c r="Q21" s="6" t="n">
        <v>6743244062.57797</v>
      </c>
      <c r="R21" s="6" t="n">
        <v>5653699158.88243</v>
      </c>
      <c r="S21" s="6" t="n">
        <v>6592474798.08632</v>
      </c>
      <c r="T21" s="6" t="n">
        <v>8290767322.01052</v>
      </c>
      <c r="U21" s="6" t="n">
        <v>6856083632.7041</v>
      </c>
      <c r="V21" s="6" t="n">
        <v>9094954635.3008</v>
      </c>
      <c r="W21" s="6" t="n">
        <v>5708189096.99609</v>
      </c>
      <c r="X21" s="6" t="n">
        <v>5412951238.41205</v>
      </c>
      <c r="Y21" s="6" t="n">
        <v>7732001449.67934</v>
      </c>
      <c r="Z21" s="6" t="n">
        <v>15286913030.5614</v>
      </c>
      <c r="AA21" s="6" t="n">
        <v>13226170256.8675</v>
      </c>
      <c r="AB21" s="6" t="n">
        <v>22923644368.7311</v>
      </c>
      <c r="AC21" s="6" t="n">
        <v>23468029917.8136</v>
      </c>
      <c r="AD21" s="6" t="n">
        <v>39923483197.7977</v>
      </c>
      <c r="AE21" s="6" t="n">
        <v>55143317378.5937</v>
      </c>
      <c r="AF21" s="6" t="n">
        <v>39589521323.7733</v>
      </c>
      <c r="AG21" s="6" t="n">
        <v>34481541294.5564</v>
      </c>
      <c r="AH21" s="6" t="n">
        <v>26121428417.3348</v>
      </c>
      <c r="AI21" s="6" t="n">
        <v>14192142250.464</v>
      </c>
      <c r="AJ21" s="6" t="n">
        <v>9570856706.2065</v>
      </c>
      <c r="AK21" s="6" t="n">
        <v>7364492498.65539</v>
      </c>
      <c r="AL21" s="6" t="n">
        <v>9376432737.04929</v>
      </c>
      <c r="AM21" s="6" t="n">
        <v>9126574638.04935</v>
      </c>
      <c r="AN21" s="6" t="n">
        <v>10081980534.3531</v>
      </c>
      <c r="AO21" s="6" t="n">
        <v>15125277833.2349</v>
      </c>
      <c r="AP21" s="6" t="n">
        <v>15148113084.8755</v>
      </c>
      <c r="AQ21" s="6" t="n">
        <v>13603547725.9085</v>
      </c>
      <c r="AR21" s="6" t="n">
        <v>10833771203.5138</v>
      </c>
      <c r="AS21" s="6" t="n">
        <v>11315241302.4162</v>
      </c>
      <c r="AT21" s="6" t="n">
        <v>14534536560.3744</v>
      </c>
      <c r="AU21" s="6" t="n">
        <v>13356175647.6707</v>
      </c>
      <c r="AV21" s="6" t="n">
        <v>6708592732.2263</v>
      </c>
      <c r="AW21" s="6"/>
      <c r="AX21" s="6"/>
    </row>
    <row r="22">
      <c r="A22" t="str">
        <f>L22</f>
      </c>
      <c r="B22" s="6" t="str">
        <f>AQ22</f>
      </c>
      <c r="C22" s="6" t="str">
        <f>AT22</f>
      </c>
      <c r="D22" s="6" t="str">
        <f>AU22</f>
      </c>
      <c r="E22" s="6"/>
      <c r="F22" s="2" t="str">
        <f>AU22/AT22-1</f>
      </c>
      <c r="G22" s="2" t="str">
        <f>AU22/AQ22-1</f>
      </c>
      <c r="H22" s="2"/>
      <c r="I22" s="2" t="str">
        <f>AU22/Sum(AU$17:AU$29)</f>
      </c>
      <c r="J22" s="2"/>
      <c r="L22" t="s">
        <v>71</v>
      </c>
      <c r="M22" s="6" t="n">
        <v>9293016186.67641</v>
      </c>
      <c r="N22" s="6" t="n">
        <v>13545676479.2908</v>
      </c>
      <c r="O22" s="6" t="n">
        <v>10599109229.1438</v>
      </c>
      <c r="P22" s="6" t="n">
        <v>12390727840.3286</v>
      </c>
      <c r="Q22" s="6" t="n">
        <v>9729931160.15749</v>
      </c>
      <c r="R22" s="6" t="n">
        <v>8259554872.83913</v>
      </c>
      <c r="S22" s="6" t="n">
        <v>8576552200.70743</v>
      </c>
      <c r="T22" s="6" t="n">
        <v>10947443782.6881</v>
      </c>
      <c r="U22" s="6" t="n">
        <v>10537004148.8493</v>
      </c>
      <c r="V22" s="6" t="n">
        <v>8889154304.17172</v>
      </c>
      <c r="W22" s="6" t="n">
        <v>6242185284.46302</v>
      </c>
      <c r="X22" s="6" t="n">
        <v>6581859266.10932</v>
      </c>
      <c r="Y22" s="6" t="n">
        <v>9118687728.34233</v>
      </c>
      <c r="Z22" s="6" t="n">
        <v>9236906370.26282</v>
      </c>
      <c r="AA22" s="6" t="n">
        <v>10603364001.5308</v>
      </c>
      <c r="AB22" s="6" t="n">
        <v>10877683208.8768</v>
      </c>
      <c r="AC22" s="6" t="n">
        <v>11838844891.9028</v>
      </c>
      <c r="AD22" s="6" t="n">
        <v>13589830638.5372</v>
      </c>
      <c r="AE22" s="6" t="n">
        <v>14365790570.5183</v>
      </c>
      <c r="AF22" s="6" t="n">
        <v>16816058537.7755</v>
      </c>
      <c r="AG22" s="6" t="n">
        <v>16893353247.2469</v>
      </c>
      <c r="AH22" s="6" t="n">
        <v>16123025248.4555</v>
      </c>
      <c r="AI22" s="6" t="n">
        <v>16614005704.048</v>
      </c>
      <c r="AJ22" s="6" t="n">
        <v>15575403073.6257</v>
      </c>
      <c r="AK22" s="6" t="n">
        <v>11748724408.6478</v>
      </c>
      <c r="AL22" s="6" t="n">
        <v>13357978996.448</v>
      </c>
      <c r="AM22" s="6" t="n">
        <v>13623868907.701</v>
      </c>
      <c r="AN22" s="6" t="n">
        <v>10782747346.3578</v>
      </c>
      <c r="AO22" s="6" t="n">
        <v>17621140352.665</v>
      </c>
      <c r="AP22" s="6" t="n">
        <v>17683739304.1497</v>
      </c>
      <c r="AQ22" s="6" t="n">
        <v>23585438925.8687</v>
      </c>
      <c r="AR22" s="6" t="n">
        <v>15078370137.1648</v>
      </c>
      <c r="AS22" s="6" t="n">
        <v>15723158033.0199</v>
      </c>
      <c r="AT22" s="6" t="n">
        <v>13888597838.8381</v>
      </c>
      <c r="AU22" s="6" t="n">
        <v>13662119041.9024</v>
      </c>
      <c r="AV22" s="6" t="n">
        <v>5704441884.01793</v>
      </c>
      <c r="AW22" s="6"/>
      <c r="AX22" s="6"/>
    </row>
    <row r="23">
      <c r="A23" t="str">
        <f>L23</f>
      </c>
      <c r="B23" s="6" t="str">
        <f>AQ23</f>
      </c>
      <c r="C23" s="6" t="str">
        <f>AT23</f>
      </c>
      <c r="D23" s="6" t="str">
        <f>AU23</f>
      </c>
      <c r="E23" s="6"/>
      <c r="F23" s="2" t="str">
        <f>AU23/AT23-1</f>
      </c>
      <c r="G23" s="2" t="str">
        <f>AU23/AQ23-1</f>
      </c>
      <c r="H23" s="2"/>
      <c r="I23" s="2" t="str">
        <f>AU23/Sum(AU$17:AU$29)</f>
      </c>
      <c r="J23" s="2"/>
      <c r="L23" t="s">
        <v>72</v>
      </c>
      <c r="M23" s="6" t="n">
        <v>21509813631.7062</v>
      </c>
      <c r="N23" s="6" t="n">
        <v>27141462755.4845</v>
      </c>
      <c r="O23" s="6" t="n">
        <v>24191250039.9319</v>
      </c>
      <c r="P23" s="6" t="n">
        <v>18896038584.8556</v>
      </c>
      <c r="Q23" s="6" t="n">
        <v>15010511892.3582</v>
      </c>
      <c r="R23" s="6" t="n">
        <v>14346831672.3267</v>
      </c>
      <c r="S23" s="6" t="n">
        <v>14431199075.992</v>
      </c>
      <c r="T23" s="6" t="n">
        <v>16129167189.2552</v>
      </c>
      <c r="U23" s="6" t="n">
        <v>17875417560.928</v>
      </c>
      <c r="V23" s="6" t="n">
        <v>20165488742.383</v>
      </c>
      <c r="W23" s="6" t="n">
        <v>13395125827.91</v>
      </c>
      <c r="X23" s="6" t="n">
        <v>13910751432.8485</v>
      </c>
      <c r="Y23" s="6" t="n">
        <v>18490491589.9707</v>
      </c>
      <c r="Z23" s="6" t="n">
        <v>20266991862.2403</v>
      </c>
      <c r="AA23" s="6" t="n">
        <v>20484659685.9737</v>
      </c>
      <c r="AB23" s="6" t="n">
        <v>21165503446.6688</v>
      </c>
      <c r="AC23" s="6" t="n">
        <v>19859237385.3773</v>
      </c>
      <c r="AD23" s="6" t="n">
        <v>23581747202.2199</v>
      </c>
      <c r="AE23" s="6" t="n">
        <v>24425575737.7362</v>
      </c>
      <c r="AF23" s="6" t="n">
        <v>22196929532.0341</v>
      </c>
      <c r="AG23" s="6" t="n">
        <v>20166099042.1409</v>
      </c>
      <c r="AH23" s="6" t="n">
        <v>19019226661.1127</v>
      </c>
      <c r="AI23" s="6" t="n">
        <v>18850030719.8268</v>
      </c>
      <c r="AJ23" s="6" t="n">
        <v>15205353027.6029</v>
      </c>
      <c r="AK23" s="6" t="n">
        <v>14905037447.6191</v>
      </c>
      <c r="AL23" s="6" t="n">
        <v>15088356184.7426</v>
      </c>
      <c r="AM23" s="6" t="n">
        <v>19215252147.7259</v>
      </c>
      <c r="AN23" s="6" t="n">
        <v>21769691871.7867</v>
      </c>
      <c r="AO23" s="6" t="n">
        <v>24294085614.6821</v>
      </c>
      <c r="AP23" s="6" t="n">
        <v>26849508186.0843</v>
      </c>
      <c r="AQ23" s="6" t="n">
        <v>26451250606.771</v>
      </c>
      <c r="AR23" s="6" t="n">
        <v>22976608791.5356</v>
      </c>
      <c r="AS23" s="6" t="n">
        <v>19955834275.2327</v>
      </c>
      <c r="AT23" s="6" t="n">
        <v>32619034324.5858</v>
      </c>
      <c r="AU23" s="6" t="n">
        <v>34563329643.5006</v>
      </c>
      <c r="AV23" s="6" t="n">
        <v>12998961767.7256</v>
      </c>
      <c r="AW23" s="6"/>
      <c r="AX23" s="6"/>
    </row>
    <row r="24">
      <c r="A24" t="str">
        <f>L24</f>
      </c>
      <c r="B24" s="6" t="str">
        <f>AQ24</f>
      </c>
      <c r="C24" s="6" t="str">
        <f>AT24</f>
      </c>
      <c r="D24" s="6" t="str">
        <f>AU24</f>
      </c>
      <c r="E24" s="6"/>
      <c r="F24" s="2" t="str">
        <f>AU24/AT24-1</f>
      </c>
      <c r="G24" s="2" t="str">
        <f>AU24/AQ24-1</f>
      </c>
      <c r="H24" s="2"/>
      <c r="I24" s="2" t="str">
        <f>AU24/Sum(AU$17:AU$29)</f>
      </c>
      <c r="J24" s="2"/>
      <c r="L24" t="s">
        <v>73</v>
      </c>
      <c r="M24" s="6" t="n">
        <v>22573487598.0996</v>
      </c>
      <c r="N24" s="6" t="n">
        <v>27370218922.1711</v>
      </c>
      <c r="O24" s="6" t="n">
        <v>18848270956.375</v>
      </c>
      <c r="P24" s="6" t="n">
        <v>20084450593.7759</v>
      </c>
      <c r="Q24" s="6" t="n">
        <v>16074913874.7064</v>
      </c>
      <c r="R24" s="6" t="n">
        <v>15635959797.6209</v>
      </c>
      <c r="S24" s="6" t="n">
        <v>17337582452.5288</v>
      </c>
      <c r="T24" s="6" t="n">
        <v>21853483683.675</v>
      </c>
      <c r="U24" s="6" t="n">
        <v>19015919691.4778</v>
      </c>
      <c r="V24" s="6" t="n">
        <v>16290023178.2322</v>
      </c>
      <c r="W24" s="6" t="n">
        <v>14519899841.9601</v>
      </c>
      <c r="X24" s="6" t="n">
        <v>16782966660.4622</v>
      </c>
      <c r="Y24" s="6" t="n">
        <v>21640855568.3032</v>
      </c>
      <c r="Z24" s="6" t="n">
        <v>24644180382.4</v>
      </c>
      <c r="AA24" s="6" t="n">
        <v>28349260539.3895</v>
      </c>
      <c r="AB24" s="6" t="n">
        <v>47747291871.0496</v>
      </c>
      <c r="AC24" s="6" t="n">
        <v>50364237734.4876</v>
      </c>
      <c r="AD24" s="6" t="n">
        <v>48550123987.1887</v>
      </c>
      <c r="AE24" s="6" t="n">
        <v>54231903874.9277</v>
      </c>
      <c r="AF24" s="6" t="n">
        <v>48903313271.2768</v>
      </c>
      <c r="AG24" s="6" t="n">
        <v>40071763871.4301</v>
      </c>
      <c r="AH24" s="6" t="n">
        <v>40015316207.5879</v>
      </c>
      <c r="AI24" s="6" t="n">
        <v>46334542543.2185</v>
      </c>
      <c r="AJ24" s="6" t="n">
        <v>34318596096.9006</v>
      </c>
      <c r="AK24" s="6" t="n">
        <v>30770374762.629</v>
      </c>
      <c r="AL24" s="6" t="n">
        <v>26357654326.1716</v>
      </c>
      <c r="AM24" s="6" t="n">
        <v>24086370713.2654</v>
      </c>
      <c r="AN24" s="6" t="n">
        <v>26357462305.6277</v>
      </c>
      <c r="AO24" s="6" t="n">
        <v>30293003691.938</v>
      </c>
      <c r="AP24" s="6" t="n">
        <v>27218547973.562</v>
      </c>
      <c r="AQ24" s="6" t="n">
        <v>29626098692.1559</v>
      </c>
      <c r="AR24" s="6" t="n">
        <v>59720548141.6785</v>
      </c>
      <c r="AS24" s="6" t="n">
        <v>61225680938.6794</v>
      </c>
      <c r="AT24" s="6" t="n">
        <v>32836485328.8367</v>
      </c>
      <c r="AU24" s="6" t="n">
        <v>31478767433.6928</v>
      </c>
      <c r="AV24" s="6" t="n">
        <v>12859179809.0395</v>
      </c>
      <c r="AW24" s="6"/>
      <c r="AX24" s="6"/>
    </row>
    <row r="25">
      <c r="A25" t="str">
        <f>L25</f>
      </c>
      <c r="B25" s="6" t="str">
        <f>AQ25</f>
      </c>
      <c r="C25" s="6" t="str">
        <f>AT25</f>
      </c>
      <c r="D25" s="6" t="str">
        <f>AU25</f>
      </c>
      <c r="E25" s="6"/>
      <c r="F25" s="2" t="str">
        <f>AU25/AT25-1</f>
      </c>
      <c r="G25" s="2" t="str">
        <f>AU25/AQ25-1</f>
      </c>
      <c r="H25" s="2"/>
      <c r="I25" s="2" t="str">
        <f>AU25/Sum(AU$17:AU$29)</f>
      </c>
      <c r="J25" s="2"/>
      <c r="L25" t="s">
        <v>74</v>
      </c>
      <c r="M25" s="6" t="n">
        <v>16098613889.5664</v>
      </c>
      <c r="N25" s="6" t="n">
        <v>15857538453.1183</v>
      </c>
      <c r="O25" s="6" t="n">
        <v>17179025360.625</v>
      </c>
      <c r="P25" s="6" t="n">
        <v>16349321515.5056</v>
      </c>
      <c r="Q25" s="6" t="n">
        <v>15802741939.9552</v>
      </c>
      <c r="R25" s="6" t="n">
        <v>16235783327.304</v>
      </c>
      <c r="S25" s="6" t="n">
        <v>16715699972.7088</v>
      </c>
      <c r="T25" s="6" t="n">
        <v>19106661502.8541</v>
      </c>
      <c r="U25" s="6" t="n">
        <v>21658466189.6148</v>
      </c>
      <c r="V25" s="6" t="n">
        <v>24253115666.3859</v>
      </c>
      <c r="W25" s="6" t="n">
        <v>20886788845.837</v>
      </c>
      <c r="X25" s="6" t="n">
        <v>20393369931.2167</v>
      </c>
      <c r="Y25" s="6" t="n">
        <v>25593298379.0258</v>
      </c>
      <c r="Z25" s="6" t="n">
        <v>29213935747.3208</v>
      </c>
      <c r="AA25" s="6" t="n">
        <v>31788498832.2298</v>
      </c>
      <c r="AB25" s="6" t="n">
        <v>38189733337.4557</v>
      </c>
      <c r="AC25" s="6" t="n">
        <v>41782795866.2514</v>
      </c>
      <c r="AD25" s="6" t="n">
        <v>42893196726.0962</v>
      </c>
      <c r="AE25" s="6" t="n">
        <v>46871545836.8563</v>
      </c>
      <c r="AF25" s="6" t="n">
        <v>52885945264.0055</v>
      </c>
      <c r="AG25" s="6" t="n">
        <v>54394564825.8103</v>
      </c>
      <c r="AH25" s="6" t="n">
        <v>53016124006.584</v>
      </c>
      <c r="AI25" s="6" t="n">
        <v>52373788569.2459</v>
      </c>
      <c r="AJ25" s="6" t="n">
        <v>43678235562.5332</v>
      </c>
      <c r="AK25" s="6" t="n">
        <v>42119098616.1808</v>
      </c>
      <c r="AL25" s="6" t="n">
        <v>41344541641.5983</v>
      </c>
      <c r="AM25" s="6" t="n">
        <v>41290203763.18</v>
      </c>
      <c r="AN25" s="6" t="n">
        <v>42716451839.6924</v>
      </c>
      <c r="AO25" s="6" t="n">
        <v>46202396577.9438</v>
      </c>
      <c r="AP25" s="6" t="n">
        <v>49672213244.9009</v>
      </c>
      <c r="AQ25" s="6" t="n">
        <v>51027036527.114</v>
      </c>
      <c r="AR25" s="6" t="n">
        <v>58394416342.0024</v>
      </c>
      <c r="AS25" s="6" t="n">
        <v>57533516213.8846</v>
      </c>
      <c r="AT25" s="6" t="n">
        <v>67494380984.9426</v>
      </c>
      <c r="AU25" s="6" t="n">
        <v>74265161118.2388</v>
      </c>
      <c r="AV25" s="6" t="n">
        <v>32070680519.8733</v>
      </c>
      <c r="AW25" s="6"/>
      <c r="AX25" s="6"/>
    </row>
    <row r="26">
      <c r="A26" t="str">
        <f>L26</f>
      </c>
      <c r="B26" s="6" t="str">
        <f>AQ26</f>
      </c>
      <c r="C26" s="6" t="str">
        <f>AT26</f>
      </c>
      <c r="D26" s="6" t="str">
        <f>AU26</f>
      </c>
      <c r="E26" s="6"/>
      <c r="F26" s="2" t="str">
        <f>AU26/AT26-1</f>
      </c>
      <c r="G26" s="2" t="str">
        <f>AU26/AQ26-1</f>
      </c>
      <c r="H26" s="2"/>
      <c r="I26" s="2" t="str">
        <f>AU26/Sum(AU$17:AU$29)</f>
      </c>
      <c r="J26" s="2"/>
      <c r="L26" t="s">
        <v>75</v>
      </c>
      <c r="M26" s="6" t="n">
        <v>9071336040.92673</v>
      </c>
      <c r="N26" s="6" t="n">
        <v>11267466338.9229</v>
      </c>
      <c r="O26" s="6" t="n">
        <v>8206550781.93628</v>
      </c>
      <c r="P26" s="6" t="n">
        <v>5855917674.454</v>
      </c>
      <c r="Q26" s="6" t="n">
        <v>7481205929.17667</v>
      </c>
      <c r="R26" s="6" t="n">
        <v>9628034911.79384</v>
      </c>
      <c r="S26" s="6" t="n">
        <v>9120972555.21568</v>
      </c>
      <c r="T26" s="6" t="n">
        <v>10443736614.9493</v>
      </c>
      <c r="U26" s="6" t="n">
        <v>10876313991.8596</v>
      </c>
      <c r="V26" s="6" t="n">
        <v>13447817359.2265</v>
      </c>
      <c r="W26" s="6" t="n">
        <v>10939220871.4553</v>
      </c>
      <c r="X26" s="6" t="n">
        <v>12179783486.7693</v>
      </c>
      <c r="Y26" s="6" t="n">
        <v>17040538832.9202</v>
      </c>
      <c r="Z26" s="6" t="n">
        <v>25535521474.6105</v>
      </c>
      <c r="AA26" s="6" t="n">
        <v>31144058171.1753</v>
      </c>
      <c r="AB26" s="6" t="n">
        <v>33364653941.1195</v>
      </c>
      <c r="AC26" s="6" t="n">
        <v>35261995691.9203</v>
      </c>
      <c r="AD26" s="6" t="n">
        <v>34684026829.1878</v>
      </c>
      <c r="AE26" s="6" t="n">
        <v>38098195779.0057</v>
      </c>
      <c r="AF26" s="6" t="n">
        <v>42182397079.2429</v>
      </c>
      <c r="AG26" s="6" t="n">
        <v>44951593519.3402</v>
      </c>
      <c r="AH26" s="6" t="n">
        <v>49095604722.5005</v>
      </c>
      <c r="AI26" s="6" t="n">
        <v>44382618071.2163</v>
      </c>
      <c r="AJ26" s="6" t="n">
        <v>39544596045.4584</v>
      </c>
      <c r="AK26" s="6" t="n">
        <v>32463390846.9693</v>
      </c>
      <c r="AL26" s="6" t="n">
        <v>28815823524.7598</v>
      </c>
      <c r="AM26" s="6" t="n">
        <v>29635247262.2287</v>
      </c>
      <c r="AN26" s="6" t="n">
        <v>32208790008.2899</v>
      </c>
      <c r="AO26" s="6" t="n">
        <v>33976101331.9307</v>
      </c>
      <c r="AP26" s="6" t="n">
        <v>34826749267.4695</v>
      </c>
      <c r="AQ26" s="6" t="n">
        <v>34229899068.2918</v>
      </c>
      <c r="AR26" s="6" t="n">
        <v>32250021895.1291</v>
      </c>
      <c r="AS26" s="6" t="n">
        <v>32079100063.0593</v>
      </c>
      <c r="AT26" s="6" t="n">
        <v>32097350797.9685</v>
      </c>
      <c r="AU26" s="6" t="n">
        <v>31993532536.6303</v>
      </c>
      <c r="AV26" s="6" t="n">
        <v>14528885553.7194</v>
      </c>
      <c r="AW26" s="6"/>
      <c r="AX26" s="6"/>
    </row>
    <row r="27">
      <c r="A27" t="str">
        <f>L27</f>
      </c>
      <c r="B27" s="6" t="str">
        <f>AQ27</f>
      </c>
      <c r="C27" s="6" t="str">
        <f>AT27</f>
      </c>
      <c r="D27" s="6" t="str">
        <f>AU27</f>
      </c>
      <c r="E27" s="6"/>
      <c r="F27" s="2" t="str">
        <f>AU27/AT27-1</f>
      </c>
      <c r="G27" s="2" t="str">
        <f>AU27/AQ27-1</f>
      </c>
      <c r="H27" s="2"/>
      <c r="I27" s="2" t="str">
        <f>AU27/Sum(AU$17:AU$29)</f>
      </c>
      <c r="J27" s="2"/>
      <c r="L27" t="s">
        <v>76</v>
      </c>
      <c r="M27" s="6" t="n">
        <v>22113473758.977</v>
      </c>
      <c r="N27" s="6" t="n">
        <v>19008660747.6848</v>
      </c>
      <c r="O27" s="6" t="n">
        <v>16775476621.6917</v>
      </c>
      <c r="P27" s="6" t="n">
        <v>18171914422.5914</v>
      </c>
      <c r="Q27" s="6" t="n">
        <v>13801025285.1733</v>
      </c>
      <c r="R27" s="6" t="n">
        <v>17638317399.4498</v>
      </c>
      <c r="S27" s="6" t="n">
        <v>14298469142.2957</v>
      </c>
      <c r="T27" s="6" t="n">
        <v>18810790988.0041</v>
      </c>
      <c r="U27" s="6" t="n">
        <v>20142448123.7204</v>
      </c>
      <c r="V27" s="6" t="n">
        <v>18322665689.8687</v>
      </c>
      <c r="W27" s="6" t="n">
        <v>15728758602.4192</v>
      </c>
      <c r="X27" s="6" t="n">
        <v>20360309683.8917</v>
      </c>
      <c r="Y27" s="6" t="n">
        <v>20515567287.7147</v>
      </c>
      <c r="Z27" s="6" t="n">
        <v>20092856844.6877</v>
      </c>
      <c r="AA27" s="6" t="n">
        <v>22972781118.9966</v>
      </c>
      <c r="AB27" s="6" t="n">
        <v>21089163232.7028</v>
      </c>
      <c r="AC27" s="6" t="n">
        <v>24468123238.9612</v>
      </c>
      <c r="AD27" s="6" t="n">
        <v>24427416421.4006</v>
      </c>
      <c r="AE27" s="6" t="n">
        <v>26843597714.974</v>
      </c>
      <c r="AF27" s="6" t="n">
        <v>29521913631.5007</v>
      </c>
      <c r="AG27" s="6" t="n">
        <v>23902787813.0916</v>
      </c>
      <c r="AH27" s="6" t="n">
        <v>37881523249.8958</v>
      </c>
      <c r="AI27" s="6" t="n">
        <v>31222335194.3482</v>
      </c>
      <c r="AJ27" s="6" t="n">
        <v>29797940094.0322</v>
      </c>
      <c r="AK27" s="6" t="n">
        <v>30121980562.3739</v>
      </c>
      <c r="AL27" s="6" t="n">
        <v>26881615576.5358</v>
      </c>
      <c r="AM27" s="6" t="n">
        <v>30600915708.0665</v>
      </c>
      <c r="AN27" s="6" t="n">
        <v>33228316851.166</v>
      </c>
      <c r="AO27" s="6" t="n">
        <v>37398276927.5749</v>
      </c>
      <c r="AP27" s="6" t="n">
        <v>39071912193.9245</v>
      </c>
      <c r="AQ27" s="6" t="n">
        <v>46407664964.128</v>
      </c>
      <c r="AR27" s="6" t="n">
        <v>35824768269.8652</v>
      </c>
      <c r="AS27" s="6" t="n">
        <v>35953457398.944</v>
      </c>
      <c r="AT27" s="6" t="n">
        <v>40072133032.806</v>
      </c>
      <c r="AU27" s="6" t="n">
        <v>38131420119.3019</v>
      </c>
      <c r="AV27" s="6" t="n">
        <v>20334523240.0417</v>
      </c>
      <c r="AW27" s="6"/>
      <c r="AX27" s="6"/>
    </row>
    <row r="28">
      <c r="A28" t="str">
        <f>L28</f>
      </c>
      <c r="B28" s="6" t="str">
        <f>AQ28</f>
      </c>
      <c r="C28" s="6" t="str">
        <f>AT28</f>
      </c>
      <c r="D28" s="6" t="str">
        <f>AU28</f>
      </c>
      <c r="E28" s="6"/>
      <c r="F28" s="2" t="str">
        <f>AU28/AT28-1</f>
      </c>
      <c r="G28" s="2" t="str">
        <f>AU28/AQ28-1</f>
      </c>
      <c r="H28" s="2"/>
      <c r="I28" s="2" t="str">
        <f>AU28/Sum(AU$17:AU$29)</f>
      </c>
      <c r="J28" s="2"/>
      <c r="L28" t="s">
        <v>77</v>
      </c>
      <c r="M28" s="6" t="n">
        <v>10869812287.1575</v>
      </c>
      <c r="N28" s="6" t="n">
        <v>9367002410.61991</v>
      </c>
      <c r="O28" s="6" t="n">
        <v>6356157251.12729</v>
      </c>
      <c r="P28" s="6" t="n">
        <v>7312789158.54701</v>
      </c>
      <c r="Q28" s="6" t="n">
        <v>7325225907.64503</v>
      </c>
      <c r="R28" s="6" t="n">
        <v>6621142509.78799</v>
      </c>
      <c r="S28" s="6" t="n">
        <v>5457719873.84286</v>
      </c>
      <c r="T28" s="6" t="n">
        <v>9450388872.28949</v>
      </c>
      <c r="U28" s="6" t="n">
        <v>7229598810.1688</v>
      </c>
      <c r="V28" s="6" t="n">
        <v>7684978979.48766</v>
      </c>
      <c r="W28" s="6" t="n">
        <v>5350758180.5355</v>
      </c>
      <c r="X28" s="6" t="n">
        <v>6818842536.1015</v>
      </c>
      <c r="Y28" s="6" t="n">
        <v>7261784219.33336</v>
      </c>
      <c r="Z28" s="6" t="n">
        <v>8386638907.68866</v>
      </c>
      <c r="AA28" s="6" t="n">
        <v>9717772637.25854</v>
      </c>
      <c r="AB28" s="6" t="n">
        <v>9796685770.13352</v>
      </c>
      <c r="AC28" s="6" t="n">
        <v>11653436968.9638</v>
      </c>
      <c r="AD28" s="6" t="n">
        <v>11624269936.8741</v>
      </c>
      <c r="AE28" s="6" t="n">
        <v>13284017805.909</v>
      </c>
      <c r="AF28" s="6" t="n">
        <v>14252761267.2386</v>
      </c>
      <c r="AG28" s="6" t="n">
        <v>12527519980.8224</v>
      </c>
      <c r="AH28" s="6" t="n">
        <v>13919224776.3819</v>
      </c>
      <c r="AI28" s="6" t="n">
        <v>13246724836.9414</v>
      </c>
      <c r="AJ28" s="6" t="n">
        <v>9957101356.37161</v>
      </c>
      <c r="AK28" s="6" t="n">
        <v>10119350047.0151</v>
      </c>
      <c r="AL28" s="6" t="n">
        <v>7484511626.72707</v>
      </c>
      <c r="AM28" s="6" t="n">
        <v>7465028618.66653</v>
      </c>
      <c r="AN28" s="6" t="n">
        <v>7362188625.83405</v>
      </c>
      <c r="AO28" s="6" t="n">
        <v>6996120078.94786</v>
      </c>
      <c r="AP28" s="6" t="n">
        <v>8457221775.12707</v>
      </c>
      <c r="AQ28" s="6" t="n">
        <v>8475600656.9697</v>
      </c>
      <c r="AR28" s="6" t="n">
        <v>4057453993.11893</v>
      </c>
      <c r="AS28" s="6" t="n">
        <v>4850160403.07729</v>
      </c>
      <c r="AT28" s="6" t="n">
        <v>5131395923.0176</v>
      </c>
      <c r="AU28" s="6" t="n">
        <v>5772754650.66246</v>
      </c>
      <c r="AV28" s="6" t="n">
        <v>1488490668.26793</v>
      </c>
      <c r="AW28" s="6"/>
      <c r="AX28" s="6"/>
    </row>
    <row r="29">
      <c r="A29" t="str">
        <f>L29</f>
      </c>
      <c r="B29" s="6" t="str">
        <f>AQ29</f>
      </c>
      <c r="C29" s="6" t="str">
        <f>AT29</f>
      </c>
      <c r="D29" s="6" t="str">
        <f>AU29</f>
      </c>
      <c r="E29" s="6"/>
      <c r="F29" s="2" t="str">
        <f>AU29/AT29-1</f>
      </c>
      <c r="G29" s="2" t="str">
        <f>AU29/AQ29-1</f>
      </c>
      <c r="H29" s="2"/>
      <c r="I29" s="2" t="str">
        <f>AU29/Sum(AU$17:AU$29)</f>
      </c>
      <c r="J29" s="2"/>
      <c r="L29" t="s">
        <v>78</v>
      </c>
      <c r="M29" s="6"/>
      <c r="N29" s="6"/>
      <c r="O29" s="6"/>
      <c r="P29" s="6"/>
      <c r="Q29" s="6" t="n">
        <v>0</v>
      </c>
      <c r="R29" s="6" t="n">
        <v>8706876.24378308</v>
      </c>
      <c r="S29" s="6" t="n">
        <v>694384.577685514</v>
      </c>
      <c r="T29" s="6" t="n">
        <v>59625204.902429</v>
      </c>
      <c r="U29" s="6" t="n">
        <v>23142.2203431156</v>
      </c>
      <c r="V29" s="6" t="n">
        <v>54235867.4397165</v>
      </c>
      <c r="W29" s="6" t="n">
        <v>49600250.3532805</v>
      </c>
      <c r="X29" s="6" t="n">
        <v>16127017.7041714</v>
      </c>
      <c r="Y29" s="6" t="n">
        <v>135861213.278939</v>
      </c>
      <c r="Z29" s="6" t="n">
        <v>120089672.504773</v>
      </c>
      <c r="AA29" s="6" t="n">
        <v>10955183.9689931</v>
      </c>
      <c r="AB29" s="6" t="n">
        <v>5711674.55911476</v>
      </c>
      <c r="AC29" s="6" t="n">
        <v>160410509.303506</v>
      </c>
      <c r="AD29" s="6" t="n">
        <v>25551712.5387472</v>
      </c>
      <c r="AE29" s="6" t="n">
        <v>510476.485688227</v>
      </c>
      <c r="AF29" s="6" t="n">
        <v>1353970.82348517</v>
      </c>
      <c r="AG29" s="6" t="n">
        <v>-345628.597688439</v>
      </c>
      <c r="AH29" s="6" t="n">
        <v>-187915.611354302</v>
      </c>
      <c r="AI29" s="6" t="n">
        <v>-8489.85461144517</v>
      </c>
      <c r="AJ29" s="6" t="n">
        <v>-128368.673705357</v>
      </c>
      <c r="AK29" s="6" t="n">
        <v>567671.010781381</v>
      </c>
      <c r="AL29" s="6" t="n">
        <v>37536.9003683804</v>
      </c>
      <c r="AM29" s="6" t="n">
        <v>4445772.80676177</v>
      </c>
      <c r="AN29" s="6" t="n">
        <v>38763.3285074464</v>
      </c>
      <c r="AO29" s="6" t="n">
        <v>-254117.890892549</v>
      </c>
      <c r="AP29" s="6" t="n">
        <v>546254.749528136</v>
      </c>
      <c r="AQ29" s="6" t="n">
        <v>11573.9072704938</v>
      </c>
      <c r="AR29" s="6" t="n">
        <v>432241.925938871</v>
      </c>
      <c r="AS29" s="6" t="n">
        <v>1025793.49892137</v>
      </c>
      <c r="AT29" s="6" t="n">
        <v>2471452.5331</v>
      </c>
      <c r="AU29" s="6" t="n">
        <v>2461320.93270698</v>
      </c>
      <c r="AV29" s="6" t="n">
        <v>2710565.97986147</v>
      </c>
      <c r="AW29" s="6"/>
      <c r="AX29" s="6"/>
    </row>
    <row r="30">
      <c r="A30" t="str">
        <f>L30</f>
      </c>
      <c r="B30" s="6" t="str">
        <f>AQ30</f>
      </c>
      <c r="C30" s="6" t="str">
        <f>AT30</f>
      </c>
      <c r="D30" s="6" t="str">
        <f>AU30</f>
      </c>
      <c r="E30" s="6"/>
      <c r="F30" s="2" t="str">
        <f>AU30/AT30-1</f>
      </c>
      <c r="G30" s="2" t="str">
        <f>AU30/AQ30-1</f>
      </c>
      <c r="H30" s="2"/>
      <c r="I30" s="2" t="str">
        <f>Sum(I$17:I$29)</f>
      </c>
      <c r="J30" s="2"/>
      <c r="L30" t="s">
        <v>43</v>
      </c>
      <c r="M30" s="6" t="str">
        <f>Sum(M18:M29)</f>
      </c>
      <c r="N30" s="6" t="str">
        <f>Sum(N18:N29)</f>
      </c>
      <c r="O30" s="6" t="str">
        <f>Sum(O18:O29)</f>
      </c>
      <c r="P30" s="6" t="str">
        <f>Sum(P18:P29)</f>
      </c>
      <c r="Q30" s="6" t="str">
        <f>Sum(Q18:Q29)</f>
      </c>
      <c r="R30" s="6" t="str">
        <f>Sum(R18:R29)</f>
      </c>
      <c r="S30" s="6" t="str">
        <f>Sum(S18:S29)</f>
      </c>
      <c r="T30" s="6" t="str">
        <f>Sum(T18:T29)</f>
      </c>
      <c r="U30" s="6" t="str">
        <f>Sum(U18:U29)</f>
      </c>
      <c r="V30" s="6" t="str">
        <f>Sum(V18:V29)</f>
      </c>
      <c r="W30" s="6" t="str">
        <f>Sum(W18:W29)</f>
      </c>
      <c r="X30" s="6" t="str">
        <f>Sum(X18:X29)</f>
      </c>
      <c r="Y30" s="6" t="str">
        <f>Sum(Y18:Y29)</f>
      </c>
      <c r="Z30" s="6" t="str">
        <f>Sum(Z18:Z29)</f>
      </c>
      <c r="AA30" s="6" t="str">
        <f>Sum(AA18:AA29)</f>
      </c>
      <c r="AB30" s="6" t="str">
        <f>Sum(AB18:AB29)</f>
      </c>
      <c r="AC30" s="6" t="str">
        <f>Sum(AC18:AC29)</f>
      </c>
      <c r="AD30" s="6" t="str">
        <f>Sum(AD18:AD29)</f>
      </c>
      <c r="AE30" s="6" t="str">
        <f>Sum(AE18:AE29)</f>
      </c>
      <c r="AF30" s="6" t="str">
        <f>Sum(AF18:AF29)</f>
      </c>
      <c r="AG30" s="6" t="str">
        <f>Sum(AG18:AG29)</f>
      </c>
      <c r="AH30" s="6" t="str">
        <f>Sum(AH18:AH29)</f>
      </c>
      <c r="AI30" s="6" t="str">
        <f>Sum(AI18:AI29)</f>
      </c>
      <c r="AJ30" s="6" t="str">
        <f>Sum(AJ18:AJ29)</f>
      </c>
      <c r="AK30" s="6" t="str">
        <f>Sum(AK18:AK29)</f>
      </c>
      <c r="AL30" s="6" t="str">
        <f>Sum(AL18:AL29)</f>
      </c>
      <c r="AM30" s="6" t="str">
        <f>Sum(AM18:AM29)</f>
      </c>
      <c r="AN30" s="6" t="str">
        <f>Sum(AN18:AN29)</f>
      </c>
      <c r="AO30" s="6" t="str">
        <f>Sum(AO18:AO29)</f>
      </c>
      <c r="AP30" s="6" t="str">
        <f>Sum(AP18:AP29)</f>
      </c>
      <c r="AQ30" s="6" t="str">
        <f>Sum(AQ18:AQ29)</f>
      </c>
      <c r="AR30" s="6" t="str">
        <f>Sum(AR18:AR29)</f>
      </c>
      <c r="AS30" s="6" t="str">
        <f>Sum(AS18:AS29)</f>
      </c>
      <c r="AT30" s="6" t="str">
        <f>Sum(AT18:AT29)</f>
      </c>
      <c r="AU30" s="6" t="str">
        <f>Sum(AU18:AU29)</f>
      </c>
      <c r="AV30" s="6" t="str">
        <f>Sum(AV18:AV29)</f>
      </c>
      <c r="AW30" s="6" t="str">
        <f>Sum(AW18:AW29)</f>
      </c>
      <c r="AX30" s="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C1" t="str">
        <f>AI1</f>
      </c>
      <c r="D1" t="str">
        <f>AL1</f>
      </c>
      <c r="E1" t="str">
        <f>AM1</f>
      </c>
      <c r="G1" t="str">
        <f>AL1&amp;"-"&amp;AM1</f>
      </c>
      <c r="H1" t="str">
        <f>AI1&amp;"-"&amp;AM1</f>
      </c>
      <c r="J1" t="str">
        <f>"Share "&amp;AM1</f>
      </c>
      <c r="M1" t="s">
        <v>79</v>
      </c>
      <c r="N1" t="s">
        <v>66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>
      <c r="A2" t="str">
        <f>M2</f>
      </c>
      <c r="B2" t="str">
        <f>N2</f>
      </c>
      <c r="C2" s="7" t="str">
        <f>AI2</f>
      </c>
      <c r="D2" s="7" t="str">
        <f>AL2</f>
      </c>
      <c r="E2" s="7" t="str">
        <f>AM2</f>
      </c>
      <c r="F2" s="7"/>
      <c r="G2" s="2" t="str">
        <f>AM2/AL2-1</f>
      </c>
      <c r="H2" s="2" t="str">
        <f>AM2/AI2-1</f>
      </c>
      <c r="I2" s="2"/>
      <c r="J2" s="2" t="str">
        <f>AM2/Sum(AM$1:AM$64)</f>
      </c>
      <c r="K2" s="2"/>
      <c r="M2" t="s">
        <v>80</v>
      </c>
      <c r="N2" t="s">
        <v>67</v>
      </c>
      <c r="O2" s="7" t="n">
        <v>29191588150.4195</v>
      </c>
      <c r="P2" s="7" t="n">
        <v>30793707602.5465</v>
      </c>
      <c r="Q2" s="7" t="n">
        <v>34586764059.1634</v>
      </c>
      <c r="R2" s="7" t="n">
        <v>40636426244.8659</v>
      </c>
      <c r="S2" s="7" t="n">
        <v>34882352773.086</v>
      </c>
      <c r="T2" s="7" t="n">
        <v>30453591534.9541</v>
      </c>
      <c r="U2" s="7" t="n">
        <v>36286852087.0707</v>
      </c>
      <c r="V2" s="7" t="n">
        <v>42038837173.3782</v>
      </c>
      <c r="W2" s="7" t="n">
        <v>36385582496.5318</v>
      </c>
      <c r="X2" s="7" t="n">
        <v>36107266808.8387</v>
      </c>
      <c r="Y2" s="7" t="n">
        <v>36415419147.9442</v>
      </c>
      <c r="Z2" s="7" t="n">
        <v>36790254513.3255</v>
      </c>
      <c r="AA2" s="7" t="n">
        <v>42279643684.324</v>
      </c>
      <c r="AB2" s="7" t="n">
        <v>31230197139.8769</v>
      </c>
      <c r="AC2" s="7" t="n">
        <v>28998408241.1063</v>
      </c>
      <c r="AD2" s="7" t="n">
        <v>27361663089.9338</v>
      </c>
      <c r="AE2" s="7" t="n">
        <v>36646840070.8772</v>
      </c>
      <c r="AF2" s="7" t="n">
        <v>30668423180.7928</v>
      </c>
      <c r="AG2" s="7" t="n">
        <v>35398948396.9951</v>
      </c>
      <c r="AH2" s="7" t="n">
        <v>35027329471.8309</v>
      </c>
      <c r="AI2" s="7" t="n">
        <v>35396146057.9509</v>
      </c>
      <c r="AJ2" s="7" t="n">
        <v>32180650177.0696</v>
      </c>
      <c r="AK2" s="7" t="n">
        <v>26295473732.1314</v>
      </c>
      <c r="AL2" s="7" t="n">
        <v>27932349811.1166</v>
      </c>
      <c r="AM2" s="7" t="n">
        <v>24983058308.4122</v>
      </c>
      <c r="AN2" s="7" t="n">
        <v>11720260353.3511</v>
      </c>
      <c r="AO2" s="7"/>
    </row>
    <row r="3">
      <c r="A3" t="str">
        <f>M3</f>
      </c>
      <c r="B3" t="str">
        <f>N3</f>
      </c>
      <c r="C3" s="7" t="str">
        <f>AI3</f>
      </c>
      <c r="D3" s="7" t="str">
        <f>AL3</f>
      </c>
      <c r="E3" s="7" t="str">
        <f>AM3</f>
      </c>
      <c r="F3" s="7"/>
      <c r="G3" s="2" t="str">
        <f>AM3/AL3-1</f>
      </c>
      <c r="H3" s="2" t="str">
        <f>AM3/AI3-1</f>
      </c>
      <c r="I3" s="2"/>
      <c r="J3" s="2" t="str">
        <f>AM3/Sum(AM$1:AM$64)</f>
      </c>
      <c r="K3" s="2"/>
      <c r="M3" t="s">
        <v>80</v>
      </c>
      <c r="N3" t="s">
        <v>68</v>
      </c>
      <c r="O3" s="7" t="n">
        <v>10458348805.1567</v>
      </c>
      <c r="P3" s="7" t="n">
        <v>10227785719.4225</v>
      </c>
      <c r="Q3" s="7" t="n">
        <v>11145525916.0903</v>
      </c>
      <c r="R3" s="7" t="n">
        <v>12953959929.5503</v>
      </c>
      <c r="S3" s="7" t="n">
        <v>14576584447.5885</v>
      </c>
      <c r="T3" s="7" t="n">
        <v>14713910260.6546</v>
      </c>
      <c r="U3" s="7" t="n">
        <v>14518386439.8178</v>
      </c>
      <c r="V3" s="7" t="n">
        <v>16488006788.1196</v>
      </c>
      <c r="W3" s="7" t="n">
        <v>14934688082.9883</v>
      </c>
      <c r="X3" s="7" t="n">
        <v>14839026212.828</v>
      </c>
      <c r="Y3" s="7" t="n">
        <v>13575929945.8747</v>
      </c>
      <c r="Z3" s="7" t="n">
        <v>12976743927.3181</v>
      </c>
      <c r="AA3" s="7" t="n">
        <v>13771845174.0263</v>
      </c>
      <c r="AB3" s="7" t="n">
        <v>10776245058.6873</v>
      </c>
      <c r="AC3" s="7" t="n">
        <v>11309937430.1941</v>
      </c>
      <c r="AD3" s="7" t="n">
        <v>10527199745.4673</v>
      </c>
      <c r="AE3" s="7" t="n">
        <v>12140075113.3407</v>
      </c>
      <c r="AF3" s="7" t="n">
        <v>13245894903.1105</v>
      </c>
      <c r="AG3" s="7" t="n">
        <v>14385917982.0679</v>
      </c>
      <c r="AH3" s="7" t="n">
        <v>15045492836.4183</v>
      </c>
      <c r="AI3" s="7" t="n">
        <v>14416811477.5286</v>
      </c>
      <c r="AJ3" s="7" t="n">
        <v>13569846969.7415</v>
      </c>
      <c r="AK3" s="7" t="n">
        <v>13984769306.1492</v>
      </c>
      <c r="AL3" s="7" t="n">
        <v>13664056461.4798</v>
      </c>
      <c r="AM3" s="7" t="n">
        <v>13105384447.8235</v>
      </c>
      <c r="AN3" s="7" t="n">
        <v>5181436427.85492</v>
      </c>
      <c r="AO3" s="7"/>
    </row>
    <row r="4">
      <c r="A4" t="str">
        <f>M4</f>
      </c>
      <c r="B4" t="str">
        <f>N4</f>
      </c>
      <c r="C4" s="7" t="str">
        <f>AI4</f>
      </c>
      <c r="D4" s="7" t="str">
        <f>AL4</f>
      </c>
      <c r="E4" s="7" t="str">
        <f>AM4</f>
      </c>
      <c r="F4" s="7"/>
      <c r="G4" s="2" t="str">
        <f>AM4/AL4-1</f>
      </c>
      <c r="H4" s="2" t="str">
        <f>AM4/AI4-1</f>
      </c>
      <c r="I4" s="2"/>
      <c r="J4" s="2" t="str">
        <f>AM4/Sum(AM$1:AM$64)</f>
      </c>
      <c r="K4" s="2"/>
      <c r="M4" t="s">
        <v>80</v>
      </c>
      <c r="N4" t="s">
        <v>69</v>
      </c>
      <c r="O4" s="7" t="n">
        <v>6902789577.02691</v>
      </c>
      <c r="P4" s="7" t="n">
        <v>6460932970.53955</v>
      </c>
      <c r="Q4" s="7" t="n">
        <v>7266051928.07044</v>
      </c>
      <c r="R4" s="7" t="n">
        <v>10086789637.8892</v>
      </c>
      <c r="S4" s="7" t="n">
        <v>10166862989.7895</v>
      </c>
      <c r="T4" s="7" t="n">
        <v>10733555424.1639</v>
      </c>
      <c r="U4" s="7" t="n">
        <v>11282627081.3764</v>
      </c>
      <c r="V4" s="7" t="n">
        <v>10990098262.5364</v>
      </c>
      <c r="W4" s="7" t="n">
        <v>10361495512.2864</v>
      </c>
      <c r="X4" s="7" t="n">
        <v>11324776624.4863</v>
      </c>
      <c r="Y4" s="7" t="n">
        <v>10035719595.376</v>
      </c>
      <c r="Z4" s="7" t="n">
        <v>9048190377.3508</v>
      </c>
      <c r="AA4" s="7" t="n">
        <v>7928728420.14803</v>
      </c>
      <c r="AB4" s="7" t="n">
        <v>6177787382.49789</v>
      </c>
      <c r="AC4" s="7" t="n">
        <v>7458242434.29375</v>
      </c>
      <c r="AD4" s="7" t="n">
        <v>6820138897.69859</v>
      </c>
      <c r="AE4" s="7" t="n">
        <v>6835391137.1501</v>
      </c>
      <c r="AF4" s="7" t="n">
        <v>6516518066.32448</v>
      </c>
      <c r="AG4" s="7" t="n">
        <v>6433425934.42101</v>
      </c>
      <c r="AH4" s="7" t="n">
        <v>6947498446.0557</v>
      </c>
      <c r="AI4" s="7" t="n">
        <v>7382931524.03155</v>
      </c>
      <c r="AJ4" s="7" t="n">
        <v>7296011173.74044</v>
      </c>
      <c r="AK4" s="7" t="n">
        <v>8004148099.02291</v>
      </c>
      <c r="AL4" s="7" t="n">
        <v>7376042101.1627</v>
      </c>
      <c r="AM4" s="7" t="n">
        <v>7805511352.83902</v>
      </c>
      <c r="AN4" s="7" t="n">
        <v>2782091675.7785</v>
      </c>
      <c r="AO4" s="7"/>
    </row>
    <row r="5">
      <c r="A5" t="str">
        <f>M5</f>
      </c>
      <c r="B5" t="str">
        <f>N5</f>
      </c>
      <c r="C5" s="7" t="str">
        <f>AI5</f>
      </c>
      <c r="D5" s="7" t="str">
        <f>AL5</f>
      </c>
      <c r="E5" s="7" t="str">
        <f>AM5</f>
      </c>
      <c r="F5" s="7"/>
      <c r="G5" s="2" t="str">
        <f>AM5/AL5-1</f>
      </c>
      <c r="H5" s="2" t="str">
        <f>AM5/AI5-1</f>
      </c>
      <c r="I5" s="2"/>
      <c r="J5" s="2" t="str">
        <f>AM5/Sum(AM$1:AM$64)</f>
      </c>
      <c r="K5" s="2"/>
      <c r="M5" t="s">
        <v>80</v>
      </c>
      <c r="N5" t="s">
        <v>70</v>
      </c>
      <c r="O5" s="7" t="n">
        <v>400316021.594356</v>
      </c>
      <c r="P5" s="7" t="n">
        <v>291812590.068521</v>
      </c>
      <c r="Q5" s="7" t="n">
        <v>317132147.355412</v>
      </c>
      <c r="R5" s="7" t="n">
        <v>348606446.645282</v>
      </c>
      <c r="S5" s="7" t="n">
        <v>349502162.725349</v>
      </c>
      <c r="T5" s="7" t="n">
        <v>434104080.504953</v>
      </c>
      <c r="U5" s="7" t="n">
        <v>349298840.41094</v>
      </c>
      <c r="V5" s="7" t="n">
        <v>404156104.983473</v>
      </c>
      <c r="W5" s="7" t="n">
        <v>223252336.195798</v>
      </c>
      <c r="X5" s="7" t="n">
        <v>185125239.430159</v>
      </c>
      <c r="Y5" s="7" t="n">
        <v>168659525.625526</v>
      </c>
      <c r="Z5" s="7" t="n">
        <v>197518227.510159</v>
      </c>
      <c r="AA5" s="7" t="n">
        <v>189696992.333861</v>
      </c>
      <c r="AB5" s="7" t="n">
        <v>688017764.402478</v>
      </c>
      <c r="AC5" s="7" t="n">
        <v>195894040.012147</v>
      </c>
      <c r="AD5" s="7" t="n">
        <v>273996646.842203</v>
      </c>
      <c r="AE5" s="7" t="n">
        <v>311746023.318012</v>
      </c>
      <c r="AF5" s="7" t="n">
        <v>359267722.760846</v>
      </c>
      <c r="AG5" s="7" t="n">
        <v>1079427654.21857</v>
      </c>
      <c r="AH5" s="7" t="n">
        <v>1134339453.9109</v>
      </c>
      <c r="AI5" s="7" t="n">
        <v>870778844.085224</v>
      </c>
      <c r="AJ5" s="7" t="n">
        <v>916424711.210352</v>
      </c>
      <c r="AK5" s="7" t="n">
        <v>763881571.387</v>
      </c>
      <c r="AL5" s="7" t="n">
        <v>1882861193.2758</v>
      </c>
      <c r="AM5" s="7" t="n">
        <v>2005965821.97016</v>
      </c>
      <c r="AN5" s="7" t="n">
        <v>919460653.938788</v>
      </c>
      <c r="AO5" s="7"/>
    </row>
    <row r="6">
      <c r="A6" t="str">
        <f>M6</f>
      </c>
      <c r="B6" t="str">
        <f>N6</f>
      </c>
      <c r="C6" s="7" t="str">
        <f>AI6</f>
      </c>
      <c r="D6" s="7" t="str">
        <f>AL6</f>
      </c>
      <c r="E6" s="7" t="str">
        <f>AM6</f>
      </c>
      <c r="F6" s="7"/>
      <c r="G6" s="2" t="str">
        <f>AM6/AL6-1</f>
      </c>
      <c r="H6" s="2" t="str">
        <f>AM6/AI6-1</f>
      </c>
      <c r="I6" s="2"/>
      <c r="J6" s="2" t="str">
        <f>AM6/Sum(AM$1:AM$64)</f>
      </c>
      <c r="K6" s="2"/>
      <c r="M6" t="s">
        <v>80</v>
      </c>
      <c r="N6" t="s">
        <v>71</v>
      </c>
      <c r="O6" s="7" t="n">
        <v>614756864.59367</v>
      </c>
      <c r="P6" s="7" t="n">
        <v>611511163.241583</v>
      </c>
      <c r="Q6" s="7" t="n">
        <v>797801686.066909</v>
      </c>
      <c r="R6" s="7" t="n">
        <v>610895867.670476</v>
      </c>
      <c r="S6" s="7" t="n">
        <v>439675808.948696</v>
      </c>
      <c r="T6" s="7" t="n">
        <v>610616966.683995</v>
      </c>
      <c r="U6" s="7" t="n">
        <v>748290006.455846</v>
      </c>
      <c r="V6" s="7" t="n">
        <v>845617497.403372</v>
      </c>
      <c r="W6" s="7" t="n">
        <v>869208836.984615</v>
      </c>
      <c r="X6" s="7" t="n">
        <v>1366364486.42919</v>
      </c>
      <c r="Y6" s="7" t="n">
        <v>1057114246.19173</v>
      </c>
      <c r="Z6" s="7" t="n">
        <v>924183572.827388</v>
      </c>
      <c r="AA6" s="7" t="n">
        <v>877501611.704994</v>
      </c>
      <c r="AB6" s="7" t="n">
        <v>816956074.066299</v>
      </c>
      <c r="AC6" s="7" t="n">
        <v>313978719.795805</v>
      </c>
      <c r="AD6" s="7" t="n">
        <v>1447558905.88824</v>
      </c>
      <c r="AE6" s="7" t="n">
        <v>1300892709.67585</v>
      </c>
      <c r="AF6" s="7" t="n">
        <v>243318139.330764</v>
      </c>
      <c r="AG6" s="7" t="n">
        <v>1750470756.07476</v>
      </c>
      <c r="AH6" s="7" t="n">
        <v>518794134.060459</v>
      </c>
      <c r="AI6" s="7" t="n">
        <v>1479187775.42954</v>
      </c>
      <c r="AJ6" s="7" t="n">
        <v>1673798972.72053</v>
      </c>
      <c r="AK6" s="7" t="n">
        <v>1368449136.21739</v>
      </c>
      <c r="AL6" s="7" t="n">
        <v>1360798527.3316</v>
      </c>
      <c r="AM6" s="7" t="n">
        <v>1440507046.0639</v>
      </c>
      <c r="AN6" s="7" t="n">
        <v>103641882.814008</v>
      </c>
      <c r="AO6" s="7"/>
    </row>
    <row r="7">
      <c r="A7" t="str">
        <f>M7</f>
      </c>
      <c r="B7" t="str">
        <f>N7</f>
      </c>
      <c r="C7" s="7" t="str">
        <f>AI7</f>
      </c>
      <c r="D7" s="7" t="str">
        <f>AL7</f>
      </c>
      <c r="E7" s="7" t="str">
        <f>AM7</f>
      </c>
      <c r="F7" s="7"/>
      <c r="G7" s="2" t="str">
        <f>AM7/AL7-1</f>
      </c>
      <c r="H7" s="2" t="str">
        <f>AM7/AI7-1</f>
      </c>
      <c r="I7" s="2"/>
      <c r="J7" s="2" t="str">
        <f>AM7/Sum(AM$1:AM$64)</f>
      </c>
      <c r="K7" s="2"/>
      <c r="M7" t="s">
        <v>80</v>
      </c>
      <c r="N7" t="s">
        <v>72</v>
      </c>
      <c r="O7" s="7" t="n">
        <v>3516498323.68604</v>
      </c>
      <c r="P7" s="7" t="n">
        <v>3535945386.7651</v>
      </c>
      <c r="Q7" s="7" t="n">
        <v>5412872107.62617</v>
      </c>
      <c r="R7" s="7" t="n">
        <v>5125197571.75261</v>
      </c>
      <c r="S7" s="7" t="n">
        <v>5157184282.8927</v>
      </c>
      <c r="T7" s="7" t="n">
        <v>4973760189.36645</v>
      </c>
      <c r="U7" s="7" t="n">
        <v>4144061972.92121</v>
      </c>
      <c r="V7" s="7" t="n">
        <v>5812253508.52796</v>
      </c>
      <c r="W7" s="7" t="n">
        <v>3541194410.33606</v>
      </c>
      <c r="X7" s="7" t="n">
        <v>3237853638.63355</v>
      </c>
      <c r="Y7" s="7" t="n">
        <v>3703854320.98147</v>
      </c>
      <c r="Z7" s="7" t="n">
        <v>3340472061.94276</v>
      </c>
      <c r="AA7" s="7" t="n">
        <v>3401797105.4494</v>
      </c>
      <c r="AB7" s="7" t="n">
        <v>3211130309.01079</v>
      </c>
      <c r="AC7" s="7" t="n">
        <v>2839581763.34135</v>
      </c>
      <c r="AD7" s="7" t="n">
        <v>2192424373.822</v>
      </c>
      <c r="AE7" s="7" t="n">
        <v>4668873339.07969</v>
      </c>
      <c r="AF7" s="7" t="n">
        <v>3784452069.15956</v>
      </c>
      <c r="AG7" s="7" t="n">
        <v>5164874516.84773</v>
      </c>
      <c r="AH7" s="7" t="n">
        <v>5245630934.24835</v>
      </c>
      <c r="AI7" s="7" t="n">
        <v>5260530527.68631</v>
      </c>
      <c r="AJ7" s="7" t="n">
        <v>4773546098.85953</v>
      </c>
      <c r="AK7" s="7" t="n">
        <v>3747916254.81945</v>
      </c>
      <c r="AL7" s="7" t="n">
        <v>5362828360.6622</v>
      </c>
      <c r="AM7" s="7" t="n">
        <v>8144066038.20255</v>
      </c>
      <c r="AN7" s="7" t="n">
        <v>4507334115.48104</v>
      </c>
      <c r="AO7" s="7"/>
    </row>
    <row r="8">
      <c r="A8" t="str">
        <f>M8</f>
      </c>
      <c r="B8" t="str">
        <f>N8</f>
      </c>
      <c r="C8" s="7" t="str">
        <f>AI8</f>
      </c>
      <c r="D8" s="7" t="str">
        <f>AL8</f>
      </c>
      <c r="E8" s="7" t="str">
        <f>AM8</f>
      </c>
      <c r="F8" s="7"/>
      <c r="G8" s="2" t="str">
        <f>AM8/AL8-1</f>
      </c>
      <c r="H8" s="2" t="str">
        <f>AM8/AI8-1</f>
      </c>
      <c r="I8" s="2"/>
      <c r="J8" s="2" t="str">
        <f>AM8/Sum(AM$1:AM$64)</f>
      </c>
      <c r="K8" s="2"/>
      <c r="M8" t="s">
        <v>80</v>
      </c>
      <c r="N8" t="s">
        <v>73</v>
      </c>
      <c r="O8" s="7" t="n">
        <v>1570824692.02505</v>
      </c>
      <c r="P8" s="7" t="n">
        <v>2018445353.11665</v>
      </c>
      <c r="Q8" s="7" t="n">
        <v>2607532287.17566</v>
      </c>
      <c r="R8" s="7" t="n">
        <v>406302332.19103</v>
      </c>
      <c r="S8" s="7" t="n">
        <v>1493571582.28601</v>
      </c>
      <c r="T8" s="7" t="n">
        <v>738916064.963104</v>
      </c>
      <c r="U8" s="7" t="n">
        <v>628620310.318495</v>
      </c>
      <c r="V8" s="7" t="n">
        <v>483066168.327241</v>
      </c>
      <c r="W8" s="7" t="n">
        <v>565228703.105796</v>
      </c>
      <c r="X8" s="7" t="n">
        <v>657973466.241903</v>
      </c>
      <c r="Y8" s="7" t="n">
        <v>453734917.689545</v>
      </c>
      <c r="Z8" s="7" t="n">
        <v>506782737.148817</v>
      </c>
      <c r="AA8" s="7" t="n">
        <v>291694139.26635</v>
      </c>
      <c r="AB8" s="7" t="n">
        <v>271443605.412483</v>
      </c>
      <c r="AC8" s="7" t="n">
        <v>291032804.444031</v>
      </c>
      <c r="AD8" s="7" t="n">
        <v>276311413.939888</v>
      </c>
      <c r="AE8" s="7" t="n">
        <v>403714498.3012</v>
      </c>
      <c r="AF8" s="7" t="n">
        <v>354297012.851641</v>
      </c>
      <c r="AG8" s="7" t="n">
        <v>373830598.62925</v>
      </c>
      <c r="AH8" s="7" t="n">
        <v>373321134.014401</v>
      </c>
      <c r="AI8" s="7" t="n">
        <v>683160259.922273</v>
      </c>
      <c r="AJ8" s="7" t="n">
        <v>1638799865.46689</v>
      </c>
      <c r="AK8" s="7" t="n">
        <v>781600764.711714</v>
      </c>
      <c r="AL8" s="7" t="n">
        <v>241324739.7135</v>
      </c>
      <c r="AM8" s="7" t="n">
        <v>464049722.704062</v>
      </c>
      <c r="AN8" s="7" t="n">
        <v>141444589.96139</v>
      </c>
      <c r="AO8" s="7"/>
    </row>
    <row r="9">
      <c r="A9" t="str">
        <f>M9</f>
      </c>
      <c r="B9" t="str">
        <f>N9</f>
      </c>
      <c r="C9" s="7" t="str">
        <f>AI9</f>
      </c>
      <c r="D9" s="7" t="str">
        <f>AL9</f>
      </c>
      <c r="E9" s="7" t="str">
        <f>AM9</f>
      </c>
      <c r="F9" s="7"/>
      <c r="G9" s="2" t="str">
        <f>AM9/AL9-1</f>
      </c>
      <c r="H9" s="2" t="str">
        <f>AM9/AI9-1</f>
      </c>
      <c r="I9" s="2"/>
      <c r="J9" s="2" t="str">
        <f>AM9/Sum(AM$1:AM$64)</f>
      </c>
      <c r="K9" s="2"/>
      <c r="M9" t="s">
        <v>80</v>
      </c>
      <c r="N9" t="s">
        <v>74</v>
      </c>
      <c r="O9" s="7" t="n">
        <v>4517568071.12671</v>
      </c>
      <c r="P9" s="7" t="n">
        <v>4828728215.42097</v>
      </c>
      <c r="Q9" s="7" t="n">
        <v>5220501857.92027</v>
      </c>
      <c r="R9" s="7" t="n">
        <v>6236252596.21858</v>
      </c>
      <c r="S9" s="7" t="n">
        <v>6273467185.26456</v>
      </c>
      <c r="T9" s="7" t="n">
        <v>8197567947.96548</v>
      </c>
      <c r="U9" s="7" t="n">
        <v>9502071965.98528</v>
      </c>
      <c r="V9" s="7" t="n">
        <v>8081866887.45914</v>
      </c>
      <c r="W9" s="7" t="n">
        <v>9577083869.81737</v>
      </c>
      <c r="X9" s="7" t="n">
        <v>12298487315.5518</v>
      </c>
      <c r="Y9" s="7" t="n">
        <v>11197898076.7156</v>
      </c>
      <c r="Z9" s="7" t="n">
        <v>10710149150.2141</v>
      </c>
      <c r="AA9" s="7" t="n">
        <v>11912414959.9153</v>
      </c>
      <c r="AB9" s="7" t="n">
        <v>8577476565.31254</v>
      </c>
      <c r="AC9" s="7" t="n">
        <v>8713149624.73911</v>
      </c>
      <c r="AD9" s="7" t="n">
        <v>8892793890.32067</v>
      </c>
      <c r="AE9" s="7" t="n">
        <v>9534904885.33227</v>
      </c>
      <c r="AF9" s="7" t="n">
        <v>10556141101.3884</v>
      </c>
      <c r="AG9" s="7" t="n">
        <v>12479423165.7497</v>
      </c>
      <c r="AH9" s="7" t="n">
        <v>14669463997.7545</v>
      </c>
      <c r="AI9" s="7" t="n">
        <v>14863340315.9935</v>
      </c>
      <c r="AJ9" s="7" t="n">
        <v>19957093225.1404</v>
      </c>
      <c r="AK9" s="7" t="n">
        <v>20546850681.4782</v>
      </c>
      <c r="AL9" s="7" t="n">
        <v>27635454232.3391</v>
      </c>
      <c r="AM9" s="7" t="n">
        <v>31422486494.0205</v>
      </c>
      <c r="AN9" s="7" t="n">
        <v>14160532093.7232</v>
      </c>
      <c r="AO9" s="7"/>
    </row>
    <row r="10">
      <c r="A10" t="str">
        <f>M10</f>
      </c>
      <c r="B10" t="str">
        <f>N10</f>
      </c>
      <c r="C10" s="7" t="str">
        <f>AI10</f>
      </c>
      <c r="D10" s="7" t="str">
        <f>AL10</f>
      </c>
      <c r="E10" s="7" t="str">
        <f>AM10</f>
      </c>
      <c r="F10" s="7"/>
      <c r="G10" s="2" t="str">
        <f>AM10/AL10-1</f>
      </c>
      <c r="H10" s="2" t="str">
        <f>AM10/AI10-1</f>
      </c>
      <c r="I10" s="2"/>
      <c r="J10" s="2" t="str">
        <f>AM10/Sum(AM$1:AM$64)</f>
      </c>
      <c r="K10" s="2"/>
      <c r="M10" t="s">
        <v>80</v>
      </c>
      <c r="N10" t="s">
        <v>75</v>
      </c>
      <c r="O10" s="7" t="n">
        <v>1681209469.35774</v>
      </c>
      <c r="P10" s="7" t="n">
        <v>1595464788.4596</v>
      </c>
      <c r="Q10" s="7" t="n">
        <v>2731709870.84975</v>
      </c>
      <c r="R10" s="7" t="n">
        <v>4506330750.66652</v>
      </c>
      <c r="S10" s="7" t="n">
        <v>3879856712.90356</v>
      </c>
      <c r="T10" s="7" t="n">
        <v>4995033386.04739</v>
      </c>
      <c r="U10" s="7" t="n">
        <v>5055079249.90829</v>
      </c>
      <c r="V10" s="7" t="n">
        <v>5163329619.25325</v>
      </c>
      <c r="W10" s="7" t="n">
        <v>1429759419.49278</v>
      </c>
      <c r="X10" s="7" t="n">
        <v>1490801870.63303</v>
      </c>
      <c r="Y10" s="7" t="n">
        <v>1551566404.67239</v>
      </c>
      <c r="Z10" s="7" t="n">
        <v>1882251956.2342</v>
      </c>
      <c r="AA10" s="7" t="n">
        <v>1778095231.32667</v>
      </c>
      <c r="AB10" s="7" t="n">
        <v>1380954500.11016</v>
      </c>
      <c r="AC10" s="7" t="n">
        <v>1633052615.21872</v>
      </c>
      <c r="AD10" s="7" t="n">
        <v>1728489331.41333</v>
      </c>
      <c r="AE10" s="7" t="n">
        <v>2174072773.18495</v>
      </c>
      <c r="AF10" s="7" t="n">
        <v>2662279136.6358</v>
      </c>
      <c r="AG10" s="7" t="n">
        <v>2821095862.39209</v>
      </c>
      <c r="AH10" s="7" t="n">
        <v>2727722963.17666</v>
      </c>
      <c r="AI10" s="7" t="n">
        <v>2910437267.96937</v>
      </c>
      <c r="AJ10" s="7" t="n">
        <v>2674634693.01098</v>
      </c>
      <c r="AK10" s="7" t="n">
        <v>2364094328.04239</v>
      </c>
      <c r="AL10" s="7" t="n">
        <v>2268533632.5961</v>
      </c>
      <c r="AM10" s="7" t="n">
        <v>2285827143.76767</v>
      </c>
      <c r="AN10" s="7" t="n">
        <v>782863949.050696</v>
      </c>
      <c r="AO10" s="7"/>
    </row>
    <row r="11">
      <c r="A11" t="str">
        <f>M11</f>
      </c>
      <c r="B11" t="str">
        <f>N11</f>
      </c>
      <c r="C11" s="7" t="str">
        <f>AI11</f>
      </c>
      <c r="D11" s="7" t="str">
        <f>AL11</f>
      </c>
      <c r="E11" s="7" t="str">
        <f>AM11</f>
      </c>
      <c r="F11" s="7"/>
      <c r="G11" s="2" t="str">
        <f>AM11/AL11-1</f>
      </c>
      <c r="H11" s="2" t="str">
        <f>AM11/AI11-1</f>
      </c>
      <c r="I11" s="2"/>
      <c r="J11" s="2" t="str">
        <f>AM11/Sum(AM$1:AM$64)</f>
      </c>
      <c r="K11" s="2"/>
      <c r="M11" t="s">
        <v>80</v>
      </c>
      <c r="N11" t="s">
        <v>76</v>
      </c>
      <c r="O11" s="7" t="n">
        <v>6771537.78088438</v>
      </c>
      <c r="P11" s="7" t="n">
        <v>29313075.9834456</v>
      </c>
      <c r="Q11" s="7" t="n">
        <v>27043624.3857038</v>
      </c>
      <c r="R11" s="7" t="n">
        <v>223740143.142811</v>
      </c>
      <c r="S11" s="7" t="n">
        <v>96712590.9783283</v>
      </c>
      <c r="T11" s="7" t="n">
        <v>130978639.23099</v>
      </c>
      <c r="U11" s="7" t="n">
        <v>60906090.5496086</v>
      </c>
      <c r="V11" s="7" t="n">
        <v>11302713.3272781</v>
      </c>
      <c r="W11" s="7" t="n">
        <v>26451920.5447438</v>
      </c>
      <c r="X11" s="7" t="n">
        <v>22141110.4496869</v>
      </c>
      <c r="Y11" s="7" t="n">
        <v>17519553.9895689</v>
      </c>
      <c r="Z11" s="7" t="n">
        <v>18492085.7911697</v>
      </c>
      <c r="AA11" s="7" t="n">
        <v>20626039.959566</v>
      </c>
      <c r="AB11" s="7" t="n">
        <v>14342781.3790959</v>
      </c>
      <c r="AC11" s="7" t="n">
        <v>16345056.0229684</v>
      </c>
      <c r="AD11" s="7" t="n">
        <v>21200525.1844036</v>
      </c>
      <c r="AE11" s="7" t="n">
        <v>33131548.5868478</v>
      </c>
      <c r="AF11" s="7" t="n">
        <v>25968557.4690369</v>
      </c>
      <c r="AG11" s="7" t="n">
        <v>23858761.3106895</v>
      </c>
      <c r="AH11" s="7" t="n">
        <v>27077763.8603465</v>
      </c>
      <c r="AI11" s="7" t="n">
        <v>21499647.8256774</v>
      </c>
      <c r="AJ11" s="7" t="n">
        <v>19570190.9368814</v>
      </c>
      <c r="AK11" s="7" t="n">
        <v>19222637.290026</v>
      </c>
      <c r="AL11" s="7" t="n">
        <v>83984992.0365</v>
      </c>
      <c r="AM11" s="7" t="n">
        <v>91684514.9635964</v>
      </c>
      <c r="AN11" s="7" t="n">
        <v>36556906.3606234</v>
      </c>
      <c r="AO11" s="7"/>
    </row>
    <row r="12">
      <c r="A12" t="str">
        <f>M12</f>
      </c>
      <c r="B12" t="str">
        <f>N12</f>
      </c>
      <c r="C12" s="7" t="str">
        <f>AI12</f>
      </c>
      <c r="D12" s="7" t="str">
        <f>AL12</f>
      </c>
      <c r="E12" s="7" t="str">
        <f>AM12</f>
      </c>
      <c r="F12" s="7"/>
      <c r="G12" s="2" t="str">
        <f>AM12/AL12-1</f>
      </c>
      <c r="H12" s="2" t="str">
        <f>AM12/AI12-1</f>
      </c>
      <c r="I12" s="2"/>
      <c r="J12" s="2" t="str">
        <f>AM12/Sum(AM$1:AM$64)</f>
      </c>
      <c r="K12" s="2"/>
      <c r="M12" t="s">
        <v>80</v>
      </c>
      <c r="N12" t="s">
        <v>77</v>
      </c>
      <c r="O12" s="7" t="n">
        <v>4954857575.92453</v>
      </c>
      <c r="P12" s="7" t="n">
        <v>6300934256.51541</v>
      </c>
      <c r="Q12" s="7" t="n">
        <v>6506204817.19699</v>
      </c>
      <c r="R12" s="7" t="n">
        <v>6951436149.42671</v>
      </c>
      <c r="S12" s="7" t="n">
        <v>7897514066.04082</v>
      </c>
      <c r="T12" s="7" t="n">
        <v>7500911711.34564</v>
      </c>
      <c r="U12" s="7" t="n">
        <v>9277361894.29946</v>
      </c>
      <c r="V12" s="7" t="n">
        <v>8613292295.70853</v>
      </c>
      <c r="W12" s="7" t="n">
        <v>10369864279.2882</v>
      </c>
      <c r="X12" s="7" t="n">
        <v>11567482416.6697</v>
      </c>
      <c r="Y12" s="7" t="n">
        <v>10173083477.3582</v>
      </c>
      <c r="Z12" s="7" t="n">
        <v>10975784359.7784</v>
      </c>
      <c r="AA12" s="7" t="n">
        <v>11249557102.1447</v>
      </c>
      <c r="AB12" s="7" t="n">
        <v>7869747245.9361</v>
      </c>
      <c r="AC12" s="7" t="n">
        <v>8775979230.25422</v>
      </c>
      <c r="AD12" s="7" t="n">
        <v>6593013203.36309</v>
      </c>
      <c r="AE12" s="7" t="n">
        <v>6696095647.96009</v>
      </c>
      <c r="AF12" s="7" t="n">
        <v>6527022931.97877</v>
      </c>
      <c r="AG12" s="7" t="n">
        <v>5912567376.8201</v>
      </c>
      <c r="AH12" s="7" t="n">
        <v>7176663819.41966</v>
      </c>
      <c r="AI12" s="7" t="n">
        <v>6941925179.56952</v>
      </c>
      <c r="AJ12" s="7" t="n">
        <v>3881345765.14577</v>
      </c>
      <c r="AK12" s="7" t="n">
        <v>4511649809.06361</v>
      </c>
      <c r="AL12" s="7" t="n">
        <v>4938290602.7362</v>
      </c>
      <c r="AM12" s="7" t="n">
        <v>5501062767.14342</v>
      </c>
      <c r="AN12" s="7" t="n">
        <v>1341998371.07649</v>
      </c>
      <c r="AO12" s="7"/>
    </row>
    <row r="13">
      <c r="A13" t="str">
        <f>M13</f>
      </c>
      <c r="B13" t="str">
        <f>N13</f>
      </c>
      <c r="C13" s="7" t="str">
        <f>AI13</f>
      </c>
      <c r="D13" s="7" t="str">
        <f>AL13</f>
      </c>
      <c r="E13" s="7" t="str">
        <f>AM13</f>
      </c>
      <c r="F13" s="7"/>
      <c r="G13" s="2" t="str">
        <f>AM13/AL13-1</f>
      </c>
      <c r="H13" s="2" t="str">
        <f>AM13/AI13-1</f>
      </c>
      <c r="I13" s="2"/>
      <c r="J13" s="2" t="str">
        <f>AM13/Sum(AM$1:AM$64)</f>
      </c>
      <c r="K13" s="2"/>
      <c r="M13" t="s">
        <v>80</v>
      </c>
      <c r="N13" t="s">
        <v>78</v>
      </c>
      <c r="O13" s="7" t="n">
        <v>0</v>
      </c>
      <c r="P13" s="7" t="n">
        <v>0</v>
      </c>
      <c r="Q13" s="7" t="n">
        <v>40399.1263032855</v>
      </c>
      <c r="R13" s="7" t="n">
        <v>1599258.26976485</v>
      </c>
      <c r="S13" s="7" t="n">
        <v>-11453.25218764</v>
      </c>
      <c r="T13" s="7"/>
      <c r="U13" s="7" t="n">
        <v>0</v>
      </c>
      <c r="V13" s="7" t="n">
        <v>0</v>
      </c>
      <c r="W13" s="7" t="n">
        <v>-11211.1329349013</v>
      </c>
      <c r="X13" s="7" t="n">
        <v>-6274.68110104943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 t="n">
        <v>0</v>
      </c>
      <c r="AK13" s="7" t="n">
        <v>537859.818605967</v>
      </c>
      <c r="AL13" s="7" t="n">
        <v>87486.28</v>
      </c>
      <c r="AM13" s="7" t="n">
        <v>196196.420742021</v>
      </c>
      <c r="AN13" s="7" t="n">
        <v>21328.930456761</v>
      </c>
      <c r="AO13" s="7"/>
    </row>
    <row r="14">
      <c r="A14" t="str">
        <f>M14</f>
      </c>
      <c r="B14" t="str">
        <f>N14</f>
      </c>
      <c r="C14" s="7" t="str">
        <f>AI14</f>
      </c>
      <c r="D14" s="7" t="str">
        <f>AL14</f>
      </c>
      <c r="E14" s="7" t="str">
        <f>AM14</f>
      </c>
      <c r="F14" s="7"/>
      <c r="G14" s="2" t="str">
        <f>AM14/AL14-1</f>
      </c>
      <c r="H14" s="2" t="str">
        <f>AM14/AI14-1</f>
      </c>
      <c r="I14" s="2"/>
      <c r="J14" s="2" t="str">
        <f>AM14/Sum(AM$1:AM$64)</f>
      </c>
      <c r="K14" s="2"/>
      <c r="M14" t="s">
        <v>81</v>
      </c>
      <c r="N14" t="s">
        <v>67</v>
      </c>
      <c r="O14" s="7" t="n">
        <v>13147349926.1695</v>
      </c>
      <c r="P14" s="7" t="n">
        <v>12700690573.2317</v>
      </c>
      <c r="Q14" s="7" t="n">
        <v>9890389682.95903</v>
      </c>
      <c r="R14" s="7" t="n">
        <v>11563004304.2637</v>
      </c>
      <c r="S14" s="7" t="n">
        <v>14175123541.6483</v>
      </c>
      <c r="T14" s="7" t="n">
        <v>12320275851.4631</v>
      </c>
      <c r="U14" s="7" t="n">
        <v>12059251544.602</v>
      </c>
      <c r="V14" s="7" t="n">
        <v>12549186289.5826</v>
      </c>
      <c r="W14" s="7" t="n">
        <v>18622933730.7867</v>
      </c>
      <c r="X14" s="7" t="n">
        <v>14719199729.7656</v>
      </c>
      <c r="Y14" s="7" t="n">
        <v>14720408535.4401</v>
      </c>
      <c r="Z14" s="7" t="n">
        <v>16477922266.6665</v>
      </c>
      <c r="AA14" s="7" t="n">
        <v>18944780681.1703</v>
      </c>
      <c r="AB14" s="7" t="n">
        <v>15897140527.89</v>
      </c>
      <c r="AC14" s="7" t="n">
        <v>12150346361.8879</v>
      </c>
      <c r="AD14" s="7" t="n">
        <v>11688402079.4539</v>
      </c>
      <c r="AE14" s="7" t="n">
        <v>13908946660.4841</v>
      </c>
      <c r="AF14" s="7" t="n">
        <v>13840519844.563</v>
      </c>
      <c r="AG14" s="7" t="n">
        <v>11537875758.6354</v>
      </c>
      <c r="AH14" s="7" t="n">
        <v>10789541094.3422</v>
      </c>
      <c r="AI14" s="7" t="n">
        <v>11285521797.4974</v>
      </c>
      <c r="AJ14" s="7" t="n">
        <v>7861322649.50456</v>
      </c>
      <c r="AK14" s="7" t="n">
        <v>6138872463.9294</v>
      </c>
      <c r="AL14" s="7" t="n">
        <v>9745827316.0349</v>
      </c>
      <c r="AM14" s="7" t="n">
        <v>6564820359.0783</v>
      </c>
      <c r="AN14" s="7" t="n">
        <v>4034143371.75445</v>
      </c>
      <c r="AO14" s="7"/>
    </row>
    <row r="15">
      <c r="A15" t="str">
        <f>M15</f>
      </c>
      <c r="B15" t="str">
        <f>N15</f>
      </c>
      <c r="C15" s="7" t="str">
        <f>AI15</f>
      </c>
      <c r="D15" s="7" t="str">
        <f>AL15</f>
      </c>
      <c r="E15" s="7" t="str">
        <f>AM15</f>
      </c>
      <c r="F15" s="7"/>
      <c r="G15" s="2" t="str">
        <f>AM15/AL15-1</f>
      </c>
      <c r="H15" s="2" t="str">
        <f>AM15/AI15-1</f>
      </c>
      <c r="I15" s="2"/>
      <c r="J15" s="2" t="str">
        <f>AM15/Sum(AM$1:AM$64)</f>
      </c>
      <c r="K15" s="2"/>
      <c r="M15" t="s">
        <v>81</v>
      </c>
      <c r="N15" t="s">
        <v>68</v>
      </c>
      <c r="O15" s="7" t="n">
        <v>7700666660.67805</v>
      </c>
      <c r="P15" s="7" t="n">
        <v>10475701171.5752</v>
      </c>
      <c r="Q15" s="7" t="n">
        <v>11036391643.3472</v>
      </c>
      <c r="R15" s="7" t="n">
        <v>14781136741.6237</v>
      </c>
      <c r="S15" s="7" t="n">
        <v>18136906444.307</v>
      </c>
      <c r="T15" s="7" t="n">
        <v>23254965451.6924</v>
      </c>
      <c r="U15" s="7" t="n">
        <v>23812362493.7756</v>
      </c>
      <c r="V15" s="7" t="n">
        <v>28307211222.3548</v>
      </c>
      <c r="W15" s="7" t="n">
        <v>34574178186.1501</v>
      </c>
      <c r="X15" s="7" t="n">
        <v>31475631407.6602</v>
      </c>
      <c r="Y15" s="7" t="n">
        <v>30326220077.3126</v>
      </c>
      <c r="Z15" s="7" t="n">
        <v>23352816844.7789</v>
      </c>
      <c r="AA15" s="7" t="n">
        <v>20176273635.2846</v>
      </c>
      <c r="AB15" s="7" t="n">
        <v>15411992539.4087</v>
      </c>
      <c r="AC15" s="7" t="n">
        <v>13781540834.5692</v>
      </c>
      <c r="AD15" s="7" t="n">
        <v>12860930512.2941</v>
      </c>
      <c r="AE15" s="7" t="n">
        <v>13722436756.8664</v>
      </c>
      <c r="AF15" s="7" t="n">
        <v>13680526194.8964</v>
      </c>
      <c r="AG15" s="7" t="n">
        <v>15100649836.9161</v>
      </c>
      <c r="AH15" s="7" t="n">
        <v>13800640923.937</v>
      </c>
      <c r="AI15" s="7" t="n">
        <v>13556421969.1395</v>
      </c>
      <c r="AJ15" s="7" t="n">
        <v>11285632834.9945</v>
      </c>
      <c r="AK15" s="7" t="n">
        <v>11193372973.4535</v>
      </c>
      <c r="AL15" s="7" t="n">
        <v>11321151870.9876</v>
      </c>
      <c r="AM15" s="7" t="n">
        <v>11596696295.2427</v>
      </c>
      <c r="AN15" s="7" t="n">
        <v>3960105648.00144</v>
      </c>
      <c r="AO15" s="7"/>
    </row>
    <row r="16">
      <c r="A16" t="str">
        <f>M16</f>
      </c>
      <c r="B16" t="str">
        <f>N16</f>
      </c>
      <c r="C16" s="7" t="str">
        <f>AI16</f>
      </c>
      <c r="D16" s="7" t="str">
        <f>AL16</f>
      </c>
      <c r="E16" s="7" t="str">
        <f>AM16</f>
      </c>
      <c r="F16" s="7"/>
      <c r="G16" s="2" t="str">
        <f>AM16/AL16-1</f>
      </c>
      <c r="H16" s="2" t="str">
        <f>AM16/AI16-1</f>
      </c>
      <c r="I16" s="2"/>
      <c r="J16" s="2" t="str">
        <f>AM16/Sum(AM$1:AM$64)</f>
      </c>
      <c r="K16" s="2"/>
      <c r="M16" t="s">
        <v>81</v>
      </c>
      <c r="N16" t="s">
        <v>69</v>
      </c>
      <c r="O16" s="7" t="n">
        <v>17629989651.5885</v>
      </c>
      <c r="P16" s="7" t="n">
        <v>19238805787.0738</v>
      </c>
      <c r="Q16" s="7" t="n">
        <v>21781767414.2979</v>
      </c>
      <c r="R16" s="7" t="n">
        <v>28739240896.0095</v>
      </c>
      <c r="S16" s="7" t="n">
        <v>31332982606.5504</v>
      </c>
      <c r="T16" s="7" t="n">
        <v>33261414667.8321</v>
      </c>
      <c r="U16" s="7" t="n">
        <v>37363159503.9691</v>
      </c>
      <c r="V16" s="7" t="n">
        <v>37329171799.3287</v>
      </c>
      <c r="W16" s="7" t="n">
        <v>49688150805.8032</v>
      </c>
      <c r="X16" s="7" t="n">
        <v>59709025016.1178</v>
      </c>
      <c r="Y16" s="7" t="n">
        <v>53180783472.8206</v>
      </c>
      <c r="Z16" s="7" t="n">
        <v>44359830794.0821</v>
      </c>
      <c r="AA16" s="7" t="n">
        <v>39144083042.4311</v>
      </c>
      <c r="AB16" s="7" t="n">
        <v>30102101920.941</v>
      </c>
      <c r="AC16" s="7" t="n">
        <v>30538351563.3438</v>
      </c>
      <c r="AD16" s="7" t="n">
        <v>26209264538.8233</v>
      </c>
      <c r="AE16" s="7" t="n">
        <v>25695449927.2672</v>
      </c>
      <c r="AF16" s="7" t="n">
        <v>25183273623.8672</v>
      </c>
      <c r="AG16" s="7" t="n">
        <v>31752630189.4792</v>
      </c>
      <c r="AH16" s="7" t="n">
        <v>35056890584.7527</v>
      </c>
      <c r="AI16" s="7" t="n">
        <v>39443454452.5138</v>
      </c>
      <c r="AJ16" s="7" t="n">
        <v>28621771319.6748</v>
      </c>
      <c r="AK16" s="7" t="n">
        <v>30558601391.1578</v>
      </c>
      <c r="AL16" s="7" t="n">
        <v>34635622768.8106</v>
      </c>
      <c r="AM16" s="7" t="n">
        <v>32395787936.0189</v>
      </c>
      <c r="AN16" s="7" t="n">
        <v>9570669454.36309</v>
      </c>
      <c r="AO16" s="7"/>
    </row>
    <row r="17">
      <c r="A17" t="str">
        <f>M17</f>
      </c>
      <c r="B17" t="str">
        <f>N17</f>
      </c>
      <c r="C17" s="7" t="str">
        <f>AI17</f>
      </c>
      <c r="D17" s="7" t="str">
        <f>AL17</f>
      </c>
      <c r="E17" s="7" t="str">
        <f>AM17</f>
      </c>
      <c r="F17" s="7"/>
      <c r="G17" s="2" t="str">
        <f>AM17/AL17-1</f>
      </c>
      <c r="H17" s="2" t="str">
        <f>AM17/AI17-1</f>
      </c>
      <c r="I17" s="2"/>
      <c r="J17" s="2" t="str">
        <f>AM17/Sum(AM$1:AM$64)</f>
      </c>
      <c r="K17" s="2"/>
      <c r="M17" t="s">
        <v>81</v>
      </c>
      <c r="N17" t="s">
        <v>70</v>
      </c>
      <c r="O17" s="7" t="n">
        <v>4558533428.96195</v>
      </c>
      <c r="P17" s="7" t="n">
        <v>4223184079.98416</v>
      </c>
      <c r="Q17" s="7" t="n">
        <v>5857216683.60343</v>
      </c>
      <c r="R17" s="7" t="n">
        <v>13542451007.1088</v>
      </c>
      <c r="S17" s="7" t="n">
        <v>10408922829.7431</v>
      </c>
      <c r="T17" s="7" t="n">
        <v>19795289448.7769</v>
      </c>
      <c r="U17" s="7" t="n">
        <v>20374407950.4825</v>
      </c>
      <c r="V17" s="7" t="n">
        <v>31590936037.7341</v>
      </c>
      <c r="W17" s="7" t="n">
        <v>39609849588.8578</v>
      </c>
      <c r="X17" s="7" t="n">
        <v>33033689017.6804</v>
      </c>
      <c r="Y17" s="7" t="n">
        <v>27295923141.6557</v>
      </c>
      <c r="Z17" s="7" t="n">
        <v>19551616719.4972</v>
      </c>
      <c r="AA17" s="7" t="n">
        <v>9669885681.49817</v>
      </c>
      <c r="AB17" s="7" t="n">
        <v>7071975612.78384</v>
      </c>
      <c r="AC17" s="7" t="n">
        <v>5217235532.66997</v>
      </c>
      <c r="AD17" s="7" t="n">
        <v>6915692994.28296</v>
      </c>
      <c r="AE17" s="7" t="n">
        <v>6236083887.08286</v>
      </c>
      <c r="AF17" s="7" t="n">
        <v>6939079237.6563</v>
      </c>
      <c r="AG17" s="7" t="n">
        <v>10401669195.3095</v>
      </c>
      <c r="AH17" s="7" t="n">
        <v>10496225997.9922</v>
      </c>
      <c r="AI17" s="7" t="n">
        <v>9338029647.36705</v>
      </c>
      <c r="AJ17" s="7" t="n">
        <v>7626003074.78867</v>
      </c>
      <c r="AK17" s="7" t="n">
        <v>8082821202.70891</v>
      </c>
      <c r="AL17" s="7" t="n">
        <v>10147744410.6429</v>
      </c>
      <c r="AM17" s="7" t="n">
        <v>8480970797.64962</v>
      </c>
      <c r="AN17" s="7" t="n">
        <v>4486979071.92196</v>
      </c>
      <c r="AO17" s="7"/>
    </row>
    <row r="18">
      <c r="A18" t="str">
        <f>M18</f>
      </c>
      <c r="B18" t="str">
        <f>N18</f>
      </c>
      <c r="C18" s="7" t="str">
        <f>AI18</f>
      </c>
      <c r="D18" s="7" t="str">
        <f>AL18</f>
      </c>
      <c r="E18" s="7" t="str">
        <f>AM18</f>
      </c>
      <c r="F18" s="7"/>
      <c r="G18" s="2" t="str">
        <f>AM18/AL18-1</f>
      </c>
      <c r="H18" s="2" t="str">
        <f>AM18/AI18-1</f>
      </c>
      <c r="I18" s="2"/>
      <c r="J18" s="2" t="str">
        <f>AM18/Sum(AM$1:AM$64)</f>
      </c>
      <c r="K18" s="2"/>
      <c r="M18" t="s">
        <v>81</v>
      </c>
      <c r="N18" t="s">
        <v>71</v>
      </c>
      <c r="O18" s="7" t="n">
        <v>2277490406.49752</v>
      </c>
      <c r="P18" s="7" t="n">
        <v>2447301488.77143</v>
      </c>
      <c r="Q18" s="7" t="n">
        <v>3377824490.37181</v>
      </c>
      <c r="R18" s="7" t="n">
        <v>3167687876.00016</v>
      </c>
      <c r="S18" s="7" t="n">
        <v>2844918086.91302</v>
      </c>
      <c r="T18" s="7" t="n">
        <v>2587467566.51017</v>
      </c>
      <c r="U18" s="7" t="n">
        <v>3482561931.5911</v>
      </c>
      <c r="V18" s="7" t="n">
        <v>2901720278.66214</v>
      </c>
      <c r="W18" s="7" t="n">
        <v>3662093772.7699</v>
      </c>
      <c r="X18" s="7" t="n">
        <v>5307065430.28113</v>
      </c>
      <c r="Y18" s="7" t="n">
        <v>5998094038.08732</v>
      </c>
      <c r="Z18" s="7" t="n">
        <v>6146385389.43649</v>
      </c>
      <c r="AA18" s="7" t="n">
        <v>5231718348.83174</v>
      </c>
      <c r="AB18" s="7" t="n">
        <v>3596516246.76151</v>
      </c>
      <c r="AC18" s="7" t="n">
        <v>2846096622.64218</v>
      </c>
      <c r="AD18" s="7" t="n">
        <v>5576625078.16227</v>
      </c>
      <c r="AE18" s="7" t="n">
        <v>3622110229.22829</v>
      </c>
      <c r="AF18" s="7" t="n">
        <v>3308696795.43582</v>
      </c>
      <c r="AG18" s="7" t="n">
        <v>5574163394.45485</v>
      </c>
      <c r="AH18" s="7" t="n">
        <v>6328707114.25133</v>
      </c>
      <c r="AI18" s="7" t="n">
        <v>6827940499.75868</v>
      </c>
      <c r="AJ18" s="7" t="n">
        <v>2705294724.29359</v>
      </c>
      <c r="AK18" s="7" t="n">
        <v>3478498580.46927</v>
      </c>
      <c r="AL18" s="7" t="n">
        <v>4930294728.3135</v>
      </c>
      <c r="AM18" s="7" t="n">
        <v>3518245261.02793</v>
      </c>
      <c r="AN18" s="7" t="n">
        <v>1200078427.90683</v>
      </c>
      <c r="AO18" s="7"/>
    </row>
    <row r="19">
      <c r="A19" t="str">
        <f>M19</f>
      </c>
      <c r="B19" t="str">
        <f>N19</f>
      </c>
      <c r="C19" s="7" t="str">
        <f>AI19</f>
      </c>
      <c r="D19" s="7" t="str">
        <f>AL19</f>
      </c>
      <c r="E19" s="7" t="str">
        <f>AM19</f>
      </c>
      <c r="F19" s="7"/>
      <c r="G19" s="2" t="str">
        <f>AM19/AL19-1</f>
      </c>
      <c r="H19" s="2" t="str">
        <f>AM19/AI19-1</f>
      </c>
      <c r="I19" s="2"/>
      <c r="J19" s="2" t="str">
        <f>AM19/Sum(AM$1:AM$64)</f>
      </c>
      <c r="K19" s="2"/>
      <c r="M19" t="s">
        <v>81</v>
      </c>
      <c r="N19" t="s">
        <v>72</v>
      </c>
      <c r="O19" s="7" t="n">
        <v>5258567656.61155</v>
      </c>
      <c r="P19" s="7" t="n">
        <v>6177337252.60513</v>
      </c>
      <c r="Q19" s="7" t="n">
        <v>7996707399.10192</v>
      </c>
      <c r="R19" s="7" t="n">
        <v>8094666996.34557</v>
      </c>
      <c r="S19" s="7" t="n">
        <v>8598436671.06635</v>
      </c>
      <c r="T19" s="7" t="n">
        <v>10101062188.2922</v>
      </c>
      <c r="U19" s="7" t="n">
        <v>8798891740.9322</v>
      </c>
      <c r="V19" s="7" t="n">
        <v>10516383558.5246</v>
      </c>
      <c r="W19" s="7" t="n">
        <v>14181308520.2157</v>
      </c>
      <c r="X19" s="7" t="n">
        <v>12563694965.1309</v>
      </c>
      <c r="Y19" s="7" t="n">
        <v>10808025216.9455</v>
      </c>
      <c r="Z19" s="7" t="n">
        <v>9583295093.05528</v>
      </c>
      <c r="AA19" s="7" t="n">
        <v>8783968656.23589</v>
      </c>
      <c r="AB19" s="7" t="n">
        <v>5792415589.97161</v>
      </c>
      <c r="AC19" s="7" t="n">
        <v>5307644709.73</v>
      </c>
      <c r="AD19" s="7" t="n">
        <v>5272295618.14295</v>
      </c>
      <c r="AE19" s="7" t="n">
        <v>6896739217.44841</v>
      </c>
      <c r="AF19" s="7" t="n">
        <v>9523813468.22187</v>
      </c>
      <c r="AG19" s="7" t="n">
        <v>9759265648.23904</v>
      </c>
      <c r="AH19" s="7" t="n">
        <v>10369974711.4053</v>
      </c>
      <c r="AI19" s="7" t="n">
        <v>9835571177.11412</v>
      </c>
      <c r="AJ19" s="7" t="n">
        <v>9225924769.3771</v>
      </c>
      <c r="AK19" s="7" t="n">
        <v>8015835331.89301</v>
      </c>
      <c r="AL19" s="7" t="n">
        <v>17434030673.1233</v>
      </c>
      <c r="AM19" s="7" t="n">
        <v>15693896795.8761</v>
      </c>
      <c r="AN19" s="7" t="n">
        <v>3660275002.68515</v>
      </c>
      <c r="AO19" s="7"/>
    </row>
    <row r="20">
      <c r="A20" t="str">
        <f>M20</f>
      </c>
      <c r="B20" t="str">
        <f>N20</f>
      </c>
      <c r="C20" s="7" t="str">
        <f>AI20</f>
      </c>
      <c r="D20" s="7" t="str">
        <f>AL20</f>
      </c>
      <c r="E20" s="7" t="str">
        <f>AM20</f>
      </c>
      <c r="F20" s="7"/>
      <c r="G20" s="2" t="str">
        <f>AM20/AL20-1</f>
      </c>
      <c r="H20" s="2" t="str">
        <f>AM20/AI20-1</f>
      </c>
      <c r="I20" s="2"/>
      <c r="J20" s="2" t="str">
        <f>AM20/Sum(AM$1:AM$64)</f>
      </c>
      <c r="K20" s="2"/>
      <c r="M20" t="s">
        <v>81</v>
      </c>
      <c r="N20" t="s">
        <v>73</v>
      </c>
      <c r="O20" s="7" t="n">
        <v>932091162.844317</v>
      </c>
      <c r="P20" s="7" t="n">
        <v>921034425.479851</v>
      </c>
      <c r="Q20" s="7" t="n">
        <v>1308897818.86975</v>
      </c>
      <c r="R20" s="7" t="n">
        <v>2354983027.65834</v>
      </c>
      <c r="S20" s="7" t="n">
        <v>2752682459.32539</v>
      </c>
      <c r="T20" s="7" t="n">
        <v>12262111934.4542</v>
      </c>
      <c r="U20" s="7" t="n">
        <v>11162045213.0348</v>
      </c>
      <c r="V20" s="7" t="n">
        <v>12274669400.2187</v>
      </c>
      <c r="W20" s="7" t="n">
        <v>15046414253.2225</v>
      </c>
      <c r="X20" s="7" t="n">
        <v>6968377224.45826</v>
      </c>
      <c r="Y20" s="7" t="n">
        <v>6016461247.89534</v>
      </c>
      <c r="Z20" s="7" t="n">
        <v>5506725582.11264</v>
      </c>
      <c r="AA20" s="7" t="n">
        <v>3640650703.07569</v>
      </c>
      <c r="AB20" s="7" t="n">
        <v>2908614572.14789</v>
      </c>
      <c r="AC20" s="7" t="n">
        <v>2813747133.1449</v>
      </c>
      <c r="AD20" s="7" t="n">
        <v>1843149990.0865</v>
      </c>
      <c r="AE20" s="7" t="n">
        <v>1914493665.2944</v>
      </c>
      <c r="AF20" s="7" t="n">
        <v>1882738836.30562</v>
      </c>
      <c r="AG20" s="7" t="n">
        <v>2093508757.80228</v>
      </c>
      <c r="AH20" s="7" t="n">
        <v>2271510135.37373</v>
      </c>
      <c r="AI20" s="7" t="n">
        <v>4188755355.62189</v>
      </c>
      <c r="AJ20" s="7" t="n">
        <v>35070159530.5526</v>
      </c>
      <c r="AK20" s="7" t="n">
        <v>31616742560.5876</v>
      </c>
      <c r="AL20" s="7" t="n">
        <v>4713838107.3864</v>
      </c>
      <c r="AM20" s="7" t="n">
        <v>2576381183.87988</v>
      </c>
      <c r="AN20" s="7" t="n">
        <v>418498831.232169</v>
      </c>
      <c r="AO20" s="7"/>
    </row>
    <row r="21">
      <c r="A21" t="str">
        <f>M21</f>
      </c>
      <c r="B21" t="str">
        <f>N21</f>
      </c>
      <c r="C21" s="7" t="str">
        <f>AI21</f>
      </c>
      <c r="D21" s="7" t="str">
        <f>AL21</f>
      </c>
      <c r="E21" s="7" t="str">
        <f>AM21</f>
      </c>
      <c r="F21" s="7"/>
      <c r="G21" s="2" t="str">
        <f>AM21/AL21-1</f>
      </c>
      <c r="H21" s="2" t="str">
        <f>AM21/AI21-1</f>
      </c>
      <c r="I21" s="2"/>
      <c r="J21" s="2" t="str">
        <f>AM21/Sum(AM$1:AM$64)</f>
      </c>
      <c r="K21" s="2"/>
      <c r="M21" t="s">
        <v>81</v>
      </c>
      <c r="N21" t="s">
        <v>74</v>
      </c>
      <c r="O21" s="7" t="n">
        <v>6405390773.28349</v>
      </c>
      <c r="P21" s="7" t="n">
        <v>6076148478.13869</v>
      </c>
      <c r="Q21" s="7" t="n">
        <v>8397959686.37554</v>
      </c>
      <c r="R21" s="7" t="n">
        <v>10907297207.1456</v>
      </c>
      <c r="S21" s="7" t="n">
        <v>13240133566.0363</v>
      </c>
      <c r="T21" s="7" t="n">
        <v>15024548321.3577</v>
      </c>
      <c r="U21" s="7" t="n">
        <v>16771942196.5399</v>
      </c>
      <c r="V21" s="7" t="n">
        <v>19438356705.5895</v>
      </c>
      <c r="W21" s="7" t="n">
        <v>21315101765.8866</v>
      </c>
      <c r="X21" s="7" t="n">
        <v>22628302703.9234</v>
      </c>
      <c r="Y21" s="7" t="n">
        <v>24174295352.7799</v>
      </c>
      <c r="Z21" s="7" t="n">
        <v>23623544433.5119</v>
      </c>
      <c r="AA21" s="7" t="n">
        <v>23131424830.2726</v>
      </c>
      <c r="AB21" s="7" t="n">
        <v>19215782717.9125</v>
      </c>
      <c r="AC21" s="7" t="n">
        <v>15865134497.3763</v>
      </c>
      <c r="AD21" s="7" t="n">
        <v>15200251365.6977</v>
      </c>
      <c r="AE21" s="7" t="n">
        <v>14165032974.6601</v>
      </c>
      <c r="AF21" s="7" t="n">
        <v>14691752153.8062</v>
      </c>
      <c r="AG21" s="7" t="n">
        <v>14989700288.6255</v>
      </c>
      <c r="AH21" s="7" t="n">
        <v>14866847302.3018</v>
      </c>
      <c r="AI21" s="7" t="n">
        <v>14480844613.8597</v>
      </c>
      <c r="AJ21" s="7" t="n">
        <v>14220862106.2939</v>
      </c>
      <c r="AK21" s="7" t="n">
        <v>12707989216.3019</v>
      </c>
      <c r="AL21" s="7" t="n">
        <v>12944782848.0093</v>
      </c>
      <c r="AM21" s="7" t="n">
        <v>14729159963.339</v>
      </c>
      <c r="AN21" s="7" t="n">
        <v>6395753552.26321</v>
      </c>
      <c r="AO21" s="7"/>
    </row>
    <row r="22">
      <c r="A22" t="str">
        <f>M22</f>
      </c>
      <c r="B22" t="str">
        <f>N22</f>
      </c>
      <c r="C22" s="7" t="str">
        <f>AI22</f>
      </c>
      <c r="D22" s="7" t="str">
        <f>AL22</f>
      </c>
      <c r="E22" s="7" t="str">
        <f>AM22</f>
      </c>
      <c r="F22" s="7"/>
      <c r="G22" s="2" t="str">
        <f>AM22/AL22-1</f>
      </c>
      <c r="H22" s="2" t="str">
        <f>AM22/AI22-1</f>
      </c>
      <c r="I22" s="2"/>
      <c r="J22" s="2" t="str">
        <f>AM22/Sum(AM$1:AM$64)</f>
      </c>
      <c r="K22" s="2"/>
      <c r="M22" t="s">
        <v>81</v>
      </c>
      <c r="N22" t="s">
        <v>75</v>
      </c>
      <c r="O22" s="7" t="n">
        <v>3651603279.8701</v>
      </c>
      <c r="P22" s="7" t="n">
        <v>3843684137.84209</v>
      </c>
      <c r="Q22" s="7" t="n">
        <v>4127291449.72384</v>
      </c>
      <c r="R22" s="7" t="n">
        <v>7429718834.15048</v>
      </c>
      <c r="S22" s="7" t="n">
        <v>15077444777.6711</v>
      </c>
      <c r="T22" s="7" t="n">
        <v>13873664010.0332</v>
      </c>
      <c r="U22" s="7" t="n">
        <v>12759263926.1708</v>
      </c>
      <c r="V22" s="7" t="n">
        <v>11234847019.4889</v>
      </c>
      <c r="W22" s="7" t="n">
        <v>13650287339.5856</v>
      </c>
      <c r="X22" s="7" t="n">
        <v>14066804347.929</v>
      </c>
      <c r="Y22" s="7" t="n">
        <v>17805484593.1545</v>
      </c>
      <c r="Z22" s="7" t="n">
        <v>17340044619.9347</v>
      </c>
      <c r="AA22" s="7" t="n">
        <v>12736448236.2525</v>
      </c>
      <c r="AB22" s="7" t="n">
        <v>11622868571.4613</v>
      </c>
      <c r="AC22" s="7" t="n">
        <v>5780127055.90364</v>
      </c>
      <c r="AD22" s="7" t="n">
        <v>4922170626.73571</v>
      </c>
      <c r="AE22" s="7" t="n">
        <v>5177408297.4518</v>
      </c>
      <c r="AF22" s="7" t="n">
        <v>6088014083.96798</v>
      </c>
      <c r="AG22" s="7" t="n">
        <v>6923894667.43881</v>
      </c>
      <c r="AH22" s="7" t="n">
        <v>6495949030.48321</v>
      </c>
      <c r="AI22" s="7" t="n">
        <v>6216379703.51913</v>
      </c>
      <c r="AJ22" s="7" t="n">
        <v>5808142279.18629</v>
      </c>
      <c r="AK22" s="7" t="n">
        <v>5535550279.69538</v>
      </c>
      <c r="AL22" s="7" t="n">
        <v>5485238326.2539</v>
      </c>
      <c r="AM22" s="7" t="n">
        <v>5432319507.07197</v>
      </c>
      <c r="AN22" s="7" t="n">
        <v>1869984572.31724</v>
      </c>
      <c r="AO22" s="7"/>
    </row>
    <row r="23">
      <c r="A23" t="str">
        <f>M23</f>
      </c>
      <c r="B23" t="str">
        <f>N23</f>
      </c>
      <c r="C23" s="7" t="str">
        <f>AI23</f>
      </c>
      <c r="D23" s="7" t="str">
        <f>AL23</f>
      </c>
      <c r="E23" s="7" t="str">
        <f>AM23</f>
      </c>
      <c r="F23" s="7"/>
      <c r="G23" s="2" t="str">
        <f>AM23/AL23-1</f>
      </c>
      <c r="H23" s="2" t="str">
        <f>AM23/AI23-1</f>
      </c>
      <c r="I23" s="2"/>
      <c r="J23" s="2" t="str">
        <f>AM23/Sum(AM$1:AM$64)</f>
      </c>
      <c r="K23" s="2"/>
      <c r="M23" t="s">
        <v>81</v>
      </c>
      <c r="N23" t="s">
        <v>76</v>
      </c>
      <c r="O23" s="7" t="n">
        <v>110673460.021595</v>
      </c>
      <c r="P23" s="7" t="n">
        <v>176438352.926578</v>
      </c>
      <c r="Q23" s="7" t="n">
        <v>226916763.372479</v>
      </c>
      <c r="R23" s="7" t="n">
        <v>271437315.743013</v>
      </c>
      <c r="S23" s="7" t="n">
        <v>222668165.602276</v>
      </c>
      <c r="T23" s="7" t="n">
        <v>335089730.596361</v>
      </c>
      <c r="U23" s="7" t="n">
        <v>348630973.212858</v>
      </c>
      <c r="V23" s="7" t="n">
        <v>309834226.716451</v>
      </c>
      <c r="W23" s="7" t="n">
        <v>465483310.314703</v>
      </c>
      <c r="X23" s="7" t="n">
        <v>543190037.250434</v>
      </c>
      <c r="Y23" s="7" t="n">
        <v>467497511.322513</v>
      </c>
      <c r="Z23" s="7" t="n">
        <v>280086600.582655</v>
      </c>
      <c r="AA23" s="7" t="n">
        <v>369494846.757281</v>
      </c>
      <c r="AB23" s="7" t="n">
        <v>283330087.825561</v>
      </c>
      <c r="AC23" s="7" t="n">
        <v>229766114.154956</v>
      </c>
      <c r="AD23" s="7" t="n">
        <v>224600227.815452</v>
      </c>
      <c r="AE23" s="7" t="n">
        <v>354172437.726928</v>
      </c>
      <c r="AF23" s="7" t="n">
        <v>286689803.49302</v>
      </c>
      <c r="AG23" s="7" t="n">
        <v>315713427.648526</v>
      </c>
      <c r="AH23" s="7" t="n">
        <v>305156410.998507</v>
      </c>
      <c r="AI23" s="7" t="n">
        <v>362300537.048973</v>
      </c>
      <c r="AJ23" s="7" t="n">
        <v>358164841.024558</v>
      </c>
      <c r="AK23" s="7" t="n">
        <v>330528899.675744</v>
      </c>
      <c r="AL23" s="7" t="n">
        <v>615280253.7428</v>
      </c>
      <c r="AM23" s="7" t="n">
        <v>443168614.30441</v>
      </c>
      <c r="AN23" s="7" t="n">
        <v>213060753.263052</v>
      </c>
      <c r="AO23" s="7"/>
    </row>
    <row r="24">
      <c r="A24" t="str">
        <f>M24</f>
      </c>
      <c r="B24" t="str">
        <f>N24</f>
      </c>
      <c r="C24" s="7" t="str">
        <f>AI24</f>
      </c>
      <c r="D24" s="7" t="str">
        <f>AL24</f>
      </c>
      <c r="E24" s="7" t="str">
        <f>AM24</f>
      </c>
      <c r="F24" s="7"/>
      <c r="G24" s="2" t="str">
        <f>AM24/AL24-1</f>
      </c>
      <c r="H24" s="2" t="str">
        <f>AM24/AI24-1</f>
      </c>
      <c r="I24" s="2"/>
      <c r="J24" s="2" t="str">
        <f>AM24/Sum(AM$1:AM$64)</f>
      </c>
      <c r="K24" s="2"/>
      <c r="M24" t="s">
        <v>81</v>
      </c>
      <c r="N24" t="s">
        <v>77</v>
      </c>
      <c r="O24" s="7" t="n">
        <v>203622016.453735</v>
      </c>
      <c r="P24" s="7" t="n">
        <v>273376442.738714</v>
      </c>
      <c r="Q24" s="7" t="n">
        <v>557938680.085951</v>
      </c>
      <c r="R24" s="7" t="n">
        <v>836640517.85839</v>
      </c>
      <c r="S24" s="7" t="n">
        <v>939050848.313447</v>
      </c>
      <c r="T24" s="7" t="n">
        <v>814292262.908097</v>
      </c>
      <c r="U24" s="7" t="n">
        <v>837595235.534145</v>
      </c>
      <c r="V24" s="7" t="n">
        <v>1099586066.54793</v>
      </c>
      <c r="W24" s="7" t="n">
        <v>1555520140.91516</v>
      </c>
      <c r="X24" s="7" t="n">
        <v>1063427165.36689</v>
      </c>
      <c r="Y24" s="7" t="n">
        <v>1371931878.53666</v>
      </c>
      <c r="Z24" s="7" t="n">
        <v>1277589461.75387</v>
      </c>
      <c r="AA24" s="7" t="n">
        <v>1221963724.37473</v>
      </c>
      <c r="AB24" s="7" t="n">
        <v>987992466.940974</v>
      </c>
      <c r="AC24" s="7" t="n">
        <v>756242171.604694</v>
      </c>
      <c r="AD24" s="7" t="n">
        <v>539198174.445778</v>
      </c>
      <c r="AE24" s="7" t="n">
        <v>403838260.951504</v>
      </c>
      <c r="AF24" s="7" t="n">
        <v>548802104.218613</v>
      </c>
      <c r="AG24" s="7" t="n">
        <v>762408546.93191</v>
      </c>
      <c r="AH24" s="7" t="n">
        <v>655543136.448454</v>
      </c>
      <c r="AI24" s="7" t="n">
        <v>758819876.172224</v>
      </c>
      <c r="AJ24" s="7" t="n">
        <v>69680794.4576971</v>
      </c>
      <c r="AK24" s="7" t="n">
        <v>32117442.3211773</v>
      </c>
      <c r="AL24" s="7" t="n">
        <v>19576.8691</v>
      </c>
      <c r="AM24" s="7" t="n">
        <v>-18011.3101668206</v>
      </c>
      <c r="AN24" s="7" t="n">
        <v>0</v>
      </c>
      <c r="AO24" s="7"/>
    </row>
    <row r="25">
      <c r="A25" t="str">
        <f>M25</f>
      </c>
      <c r="B25" t="str">
        <f>N25</f>
      </c>
      <c r="C25" s="7" t="str">
        <f>AI25</f>
      </c>
      <c r="D25" s="7" t="str">
        <f>AL25</f>
      </c>
      <c r="E25" s="7" t="str">
        <f>AM25</f>
      </c>
      <c r="F25" s="7"/>
      <c r="G25" s="2" t="str">
        <f>AM25/AL25-1</f>
      </c>
      <c r="H25" s="2" t="str">
        <f>AM25/AI25-1</f>
      </c>
      <c r="I25" s="2"/>
      <c r="J25" s="2" t="str">
        <f>AM25/Sum(AM$1:AM$64)</f>
      </c>
      <c r="K25" s="2"/>
      <c r="M25" t="s">
        <v>81</v>
      </c>
      <c r="N25" t="s">
        <v>78</v>
      </c>
      <c r="O25" s="7" t="n">
        <v>45841908.2217084</v>
      </c>
      <c r="P25" s="7" t="n">
        <v>14588743.9417202</v>
      </c>
      <c r="Q25" s="7" t="n">
        <v>64128614.4779958</v>
      </c>
      <c r="R25" s="7" t="n">
        <v>113248788.958657</v>
      </c>
      <c r="S25" s="7" t="n">
        <v>7859314.12224038</v>
      </c>
      <c r="T25" s="7" t="n">
        <v>4311570.38069846</v>
      </c>
      <c r="U25" s="7" t="n">
        <v>148188554.056629</v>
      </c>
      <c r="V25" s="7" t="n">
        <v>25555148.677579</v>
      </c>
      <c r="W25" s="7" t="n">
        <v>602777.07793536</v>
      </c>
      <c r="X25" s="7" t="n">
        <v>894291.876509232</v>
      </c>
      <c r="Y25" s="7" t="n">
        <v>-306894.595131739</v>
      </c>
      <c r="Z25" s="7" t="n">
        <v>-144193.614746743</v>
      </c>
      <c r="AA25" s="7" t="n">
        <v>-8489.85461144517</v>
      </c>
      <c r="AB25" s="7" t="n">
        <v>-128368.673705357</v>
      </c>
      <c r="AC25" s="7" t="n">
        <v>567671.010781381</v>
      </c>
      <c r="AD25" s="7"/>
      <c r="AE25" s="7" t="n">
        <v>4446490.84002931</v>
      </c>
      <c r="AF25" s="7" t="n">
        <v>0</v>
      </c>
      <c r="AG25" s="7" t="n">
        <v>-278246.133397523</v>
      </c>
      <c r="AH25" s="7" t="n">
        <v>546254.749528136</v>
      </c>
      <c r="AI25" s="7"/>
      <c r="AJ25" s="7" t="n">
        <v>421053.108340354</v>
      </c>
      <c r="AK25" s="7" t="n">
        <v>239057.828414668</v>
      </c>
      <c r="AL25" s="7" t="n">
        <v>601439.56</v>
      </c>
      <c r="AM25" s="7" t="n">
        <v>480123.439194357</v>
      </c>
      <c r="AN25" s="7" t="n">
        <v>235546.54077628</v>
      </c>
      <c r="AO25" s="7"/>
    </row>
    <row r="26">
      <c r="A26" t="str">
        <f>M26</f>
      </c>
      <c r="B26" t="str">
        <f>N26</f>
      </c>
      <c r="C26" s="7" t="str">
        <f>AI26</f>
      </c>
      <c r="D26" s="7" t="str">
        <f>AL26</f>
      </c>
      <c r="E26" s="7" t="str">
        <f>AM26</f>
      </c>
      <c r="F26" s="7"/>
      <c r="G26" s="2" t="str">
        <f>AM26/AL26-1</f>
      </c>
      <c r="H26" s="2" t="str">
        <f>AM26/AI26-1</f>
      </c>
      <c r="I26" s="2"/>
      <c r="J26" s="2" t="str">
        <f>AM26/Sum(AM$1:AM$64)</f>
      </c>
      <c r="K26" s="2"/>
      <c r="M26" t="s">
        <v>82</v>
      </c>
      <c r="N26" t="s">
        <v>67</v>
      </c>
      <c r="O26" s="7" t="n">
        <v>2200400264.52053</v>
      </c>
      <c r="P26" s="7" t="n">
        <v>2610617381.70437</v>
      </c>
      <c r="Q26" s="7" t="n">
        <v>2956125771.55544</v>
      </c>
      <c r="R26" s="7" t="n">
        <v>2819137785.45407</v>
      </c>
      <c r="S26" s="7" t="n">
        <v>2463298522.32895</v>
      </c>
      <c r="T26" s="7" t="n">
        <v>2943393557.47735</v>
      </c>
      <c r="U26" s="7" t="n">
        <v>3280185520.98359</v>
      </c>
      <c r="V26" s="7" t="n">
        <v>2331377580.80417</v>
      </c>
      <c r="W26" s="7" t="n">
        <v>3900103891.62211</v>
      </c>
      <c r="X26" s="7" t="n">
        <v>4759256305.9586</v>
      </c>
      <c r="Y26" s="7" t="n">
        <v>6219661772.76095</v>
      </c>
      <c r="Z26" s="7" t="n">
        <v>6014223738.48188</v>
      </c>
      <c r="AA26" s="7" t="n">
        <v>6218119867.49775</v>
      </c>
      <c r="AB26" s="7" t="n">
        <v>5031326687.99096</v>
      </c>
      <c r="AC26" s="7" t="n">
        <v>5155700233.62436</v>
      </c>
      <c r="AD26" s="7" t="n">
        <v>5065507899.52494</v>
      </c>
      <c r="AE26" s="7" t="n">
        <v>5921652211.22953</v>
      </c>
      <c r="AF26" s="7" t="n">
        <v>7671478161.24816</v>
      </c>
      <c r="AG26" s="7" t="n">
        <v>9860106809.33544</v>
      </c>
      <c r="AH26" s="7" t="n">
        <v>10217974510.933</v>
      </c>
      <c r="AI26" s="7" t="n">
        <v>8487964908.71951</v>
      </c>
      <c r="AJ26" s="7" t="n">
        <v>6121647068.09801</v>
      </c>
      <c r="AK26" s="7" t="n">
        <v>6396207157.27197</v>
      </c>
      <c r="AL26" s="7" t="n">
        <v>5626638319.9819</v>
      </c>
      <c r="AM26" s="7" t="n">
        <v>5173632473.03862</v>
      </c>
      <c r="AN26" s="7" t="n">
        <v>1985014966.38434</v>
      </c>
      <c r="AO26" s="7"/>
    </row>
    <row r="27">
      <c r="A27" t="str">
        <f>M27</f>
      </c>
      <c r="B27" t="str">
        <f>N27</f>
      </c>
      <c r="C27" s="7" t="str">
        <f>AI27</f>
      </c>
      <c r="D27" s="7" t="str">
        <f>AL27</f>
      </c>
      <c r="E27" s="7" t="str">
        <f>AM27</f>
      </c>
      <c r="F27" s="7"/>
      <c r="G27" s="2" t="str">
        <f>AM27/AL27-1</f>
      </c>
      <c r="H27" s="2" t="str">
        <f>AM27/AI27-1</f>
      </c>
      <c r="I27" s="2"/>
      <c r="J27" s="2" t="str">
        <f>AM27/Sum(AM$1:AM$64)</f>
      </c>
      <c r="K27" s="2"/>
      <c r="M27" t="s">
        <v>82</v>
      </c>
      <c r="N27" t="s">
        <v>68</v>
      </c>
      <c r="O27" s="7" t="n">
        <v>1419145247.63645</v>
      </c>
      <c r="P27" s="7" t="n">
        <v>1520978900.07971</v>
      </c>
      <c r="Q27" s="7" t="n">
        <v>1867275441.42412</v>
      </c>
      <c r="R27" s="7" t="n">
        <v>2301719934.96883</v>
      </c>
      <c r="S27" s="7" t="n">
        <v>2411169152.73905</v>
      </c>
      <c r="T27" s="7" t="n">
        <v>2472368287.79352</v>
      </c>
      <c r="U27" s="7" t="n">
        <v>2196694139.16719</v>
      </c>
      <c r="V27" s="7" t="n">
        <v>1806556188.32039</v>
      </c>
      <c r="W27" s="7" t="n">
        <v>2082732697.79058</v>
      </c>
      <c r="X27" s="7" t="n">
        <v>1964802632.65215</v>
      </c>
      <c r="Y27" s="7" t="n">
        <v>2467405538.7267</v>
      </c>
      <c r="Z27" s="7" t="n">
        <v>2782016734.94901</v>
      </c>
      <c r="AA27" s="7" t="n">
        <v>2494733032.80623</v>
      </c>
      <c r="AB27" s="7" t="n">
        <v>2390490090.5541</v>
      </c>
      <c r="AC27" s="7" t="n">
        <v>2133858594.65712</v>
      </c>
      <c r="AD27" s="7" t="n">
        <v>2332403157.77122</v>
      </c>
      <c r="AE27" s="7" t="n">
        <v>2555700654.43125</v>
      </c>
      <c r="AF27" s="7" t="n">
        <v>2563864795.8887</v>
      </c>
      <c r="AG27" s="7" t="n">
        <v>3573003502.965</v>
      </c>
      <c r="AH27" s="7" t="n">
        <v>4019979156.78317</v>
      </c>
      <c r="AI27" s="7" t="n">
        <v>3559179081.68168</v>
      </c>
      <c r="AJ27" s="7" t="n">
        <v>3110822989.65289</v>
      </c>
      <c r="AK27" s="7" t="n">
        <v>2739987394.57348</v>
      </c>
      <c r="AL27" s="7" t="n">
        <v>3886958744.2912</v>
      </c>
      <c r="AM27" s="7" t="n">
        <v>4662118779.50984</v>
      </c>
      <c r="AN27" s="7" t="n">
        <v>2063351829.74991</v>
      </c>
      <c r="AO27" s="7"/>
    </row>
    <row r="28">
      <c r="A28" t="str">
        <f>M28</f>
      </c>
      <c r="B28" t="str">
        <f>N28</f>
      </c>
      <c r="C28" s="7" t="str">
        <f>AI28</f>
      </c>
      <c r="D28" s="7" t="str">
        <f>AL28</f>
      </c>
      <c r="E28" s="7" t="str">
        <f>AM28</f>
      </c>
      <c r="F28" s="7"/>
      <c r="G28" s="2" t="str">
        <f>AM28/AL28-1</f>
      </c>
      <c r="H28" s="2" t="str">
        <f>AM28/AI28-1</f>
      </c>
      <c r="I28" s="2"/>
      <c r="J28" s="2" t="str">
        <f>AM28/Sum(AM$1:AM$64)</f>
      </c>
      <c r="K28" s="2"/>
      <c r="M28" t="s">
        <v>82</v>
      </c>
      <c r="N28" t="s">
        <v>69</v>
      </c>
      <c r="O28" s="7" t="n">
        <v>758631819.459334</v>
      </c>
      <c r="P28" s="7" t="n">
        <v>1071112770.74804</v>
      </c>
      <c r="Q28" s="7" t="n">
        <v>1283079222.17814</v>
      </c>
      <c r="R28" s="7" t="n">
        <v>1782808061.01921</v>
      </c>
      <c r="S28" s="7" t="n">
        <v>2735301804.46267</v>
      </c>
      <c r="T28" s="7" t="n">
        <v>3522283265.30203</v>
      </c>
      <c r="U28" s="7" t="n">
        <v>4984745826.7066</v>
      </c>
      <c r="V28" s="7" t="n">
        <v>4045619387.3239</v>
      </c>
      <c r="W28" s="7" t="n">
        <v>3558369775.56704</v>
      </c>
      <c r="X28" s="7" t="n">
        <v>2998631154.59774</v>
      </c>
      <c r="Y28" s="7" t="n">
        <v>3475057259.68169</v>
      </c>
      <c r="Z28" s="7" t="n">
        <v>3538947218.46692</v>
      </c>
      <c r="AA28" s="7" t="n">
        <v>2884683892.70308</v>
      </c>
      <c r="AB28" s="7" t="n">
        <v>2989464482.46995</v>
      </c>
      <c r="AC28" s="7" t="n">
        <v>3159438005.76683</v>
      </c>
      <c r="AD28" s="7" t="n">
        <v>3487693215.72402</v>
      </c>
      <c r="AE28" s="7" t="n">
        <v>3479734456.74522</v>
      </c>
      <c r="AF28" s="7" t="n">
        <v>3905449721.18229</v>
      </c>
      <c r="AG28" s="7" t="n">
        <v>5178531397.78387</v>
      </c>
      <c r="AH28" s="7" t="n">
        <v>4922422841.44786</v>
      </c>
      <c r="AI28" s="7" t="n">
        <v>4667050218.3906</v>
      </c>
      <c r="AJ28" s="7" t="n">
        <v>6296539968.77971</v>
      </c>
      <c r="AK28" s="7" t="n">
        <v>6473544038.85278</v>
      </c>
      <c r="AL28" s="7" t="n">
        <v>5495773090.4095</v>
      </c>
      <c r="AM28" s="7" t="n">
        <v>5545504222.93826</v>
      </c>
      <c r="AN28" s="7" t="n">
        <v>2755327079.08336</v>
      </c>
      <c r="AO28" s="7"/>
    </row>
    <row r="29">
      <c r="A29" t="str">
        <f>M29</f>
      </c>
      <c r="B29" t="str">
        <f>N29</f>
      </c>
      <c r="C29" s="7" t="str">
        <f>AI29</f>
      </c>
      <c r="D29" s="7" t="str">
        <f>AL29</f>
      </c>
      <c r="E29" s="7" t="str">
        <f>AM29</f>
      </c>
      <c r="F29" s="7"/>
      <c r="G29" s="2" t="str">
        <f>AM29/AL29-1</f>
      </c>
      <c r="H29" s="2" t="str">
        <f>AM29/AI29-1</f>
      </c>
      <c r="I29" s="2"/>
      <c r="J29" s="2" t="str">
        <f>AM29/Sum(AM$1:AM$64)</f>
      </c>
      <c r="K29" s="2"/>
      <c r="M29" t="s">
        <v>82</v>
      </c>
      <c r="N29" t="s">
        <v>70</v>
      </c>
      <c r="O29" s="7" t="n">
        <v>272727057.231411</v>
      </c>
      <c r="P29" s="7" t="n">
        <v>265722619.273896</v>
      </c>
      <c r="Q29" s="7" t="n">
        <v>337769973.463785</v>
      </c>
      <c r="R29" s="7" t="n">
        <v>575682414.544916</v>
      </c>
      <c r="S29" s="7" t="n">
        <v>908498875.911278</v>
      </c>
      <c r="T29" s="7" t="n">
        <v>885878783.868094</v>
      </c>
      <c r="U29" s="7" t="n">
        <v>785978447.36387</v>
      </c>
      <c r="V29" s="7" t="n">
        <v>1053451159.94349</v>
      </c>
      <c r="W29" s="7" t="n">
        <v>1865499810.24322</v>
      </c>
      <c r="X29" s="7" t="n">
        <v>1745637612.03744</v>
      </c>
      <c r="Y29" s="7" t="n">
        <v>1955620333.12707</v>
      </c>
      <c r="Z29" s="7" t="n">
        <v>1548385179.56989</v>
      </c>
      <c r="AA29" s="7" t="n">
        <v>1524608539.76766</v>
      </c>
      <c r="AB29" s="7" t="n">
        <v>1092407691.65644</v>
      </c>
      <c r="AC29" s="7" t="n">
        <v>1271287839.00709</v>
      </c>
      <c r="AD29" s="7" t="n">
        <v>1618506855.67154</v>
      </c>
      <c r="AE29" s="7" t="n">
        <v>1789239884.72022</v>
      </c>
      <c r="AF29" s="7" t="n">
        <v>2155431486.16195</v>
      </c>
      <c r="AG29" s="7" t="n">
        <v>2761844444.48468</v>
      </c>
      <c r="AH29" s="7" t="n">
        <v>2575449852.83483</v>
      </c>
      <c r="AI29" s="7" t="n">
        <v>2281134085.41837</v>
      </c>
      <c r="AJ29" s="7" t="n">
        <v>1117484350.93862</v>
      </c>
      <c r="AK29" s="7" t="n">
        <v>1326550863.5264</v>
      </c>
      <c r="AL29" s="7" t="n">
        <v>1330422297.8787</v>
      </c>
      <c r="AM29" s="7" t="n">
        <v>1466124484.18875</v>
      </c>
      <c r="AN29" s="7" t="n">
        <v>699794958.378619</v>
      </c>
      <c r="AO29" s="7"/>
    </row>
    <row r="30">
      <c r="A30" t="str">
        <f>M30</f>
      </c>
      <c r="B30" t="str">
        <f>N30</f>
      </c>
      <c r="C30" s="7" t="str">
        <f>AI30</f>
      </c>
      <c r="D30" s="7" t="str">
        <f>AL30</f>
      </c>
      <c r="E30" s="7" t="str">
        <f>AM30</f>
      </c>
      <c r="F30" s="7"/>
      <c r="G30" s="2" t="str">
        <f>AM30/AL30-1</f>
      </c>
      <c r="H30" s="2" t="str">
        <f>AM30/AI30-1</f>
      </c>
      <c r="I30" s="2"/>
      <c r="J30" s="2" t="str">
        <f>AM30/Sum(AM$1:AM$64)</f>
      </c>
      <c r="K30" s="2"/>
      <c r="M30" t="s">
        <v>82</v>
      </c>
      <c r="N30" t="s">
        <v>71</v>
      </c>
      <c r="O30" s="7" t="n">
        <v>1010598.71723814</v>
      </c>
      <c r="P30" s="7" t="n">
        <v>3097227.92604432</v>
      </c>
      <c r="Q30" s="7" t="n">
        <v>3702815.85659373</v>
      </c>
      <c r="R30" s="7" t="n">
        <v>61907.0417844944</v>
      </c>
      <c r="S30" s="7" t="n">
        <v>0</v>
      </c>
      <c r="T30" s="7"/>
      <c r="U30" s="7"/>
      <c r="V30" s="7"/>
      <c r="W30" s="7"/>
      <c r="X30" s="7" t="n">
        <v>24808809.912441</v>
      </c>
      <c r="Y30" s="7" t="n">
        <v>47364336.7294088</v>
      </c>
      <c r="Z30" s="7" t="n">
        <v>82403006.8724636</v>
      </c>
      <c r="AA30" s="7" t="n">
        <v>55810885.2335408</v>
      </c>
      <c r="AB30" s="7" t="n">
        <v>19830185.1701751</v>
      </c>
      <c r="AC30" s="7" t="n">
        <v>24598598.272061</v>
      </c>
      <c r="AD30" s="7" t="n">
        <v>24905458.3240145</v>
      </c>
      <c r="AE30" s="7" t="n">
        <v>25068169.4213975</v>
      </c>
      <c r="AF30" s="7" t="n">
        <v>31049954.944024</v>
      </c>
      <c r="AG30" s="7" t="n">
        <v>98736134.5627407</v>
      </c>
      <c r="AH30" s="7" t="n">
        <v>74519143.0429686</v>
      </c>
      <c r="AI30" s="7" t="n">
        <v>10391410.5924251</v>
      </c>
      <c r="AJ30" s="7" t="n">
        <v>-75093.5046130063</v>
      </c>
      <c r="AK30" s="7" t="n">
        <v>-285729.342074972</v>
      </c>
      <c r="AL30" s="7" t="n">
        <v>0</v>
      </c>
      <c r="AM30" s="7" t="n">
        <v>221191.093316191</v>
      </c>
      <c r="AN30" s="7"/>
      <c r="AO30" s="7"/>
    </row>
    <row r="31">
      <c r="A31" t="str">
        <f>M31</f>
      </c>
      <c r="B31" t="str">
        <f>N31</f>
      </c>
      <c r="C31" s="7" t="str">
        <f>AI31</f>
      </c>
      <c r="D31" s="7" t="str">
        <f>AL31</f>
      </c>
      <c r="E31" s="7" t="str">
        <f>AM31</f>
      </c>
      <c r="F31" s="7"/>
      <c r="G31" s="2" t="str">
        <f>AM31/AL31-1</f>
      </c>
      <c r="H31" s="2" t="str">
        <f>AM31/AI31-1</f>
      </c>
      <c r="I31" s="2"/>
      <c r="J31" s="2" t="str">
        <f>AM31/Sum(AM$1:AM$64)</f>
      </c>
      <c r="K31" s="2"/>
      <c r="M31" t="s">
        <v>82</v>
      </c>
      <c r="N31" t="s">
        <v>72</v>
      </c>
      <c r="O31" s="7" t="n">
        <v>40969304.5259543</v>
      </c>
      <c r="P31" s="7" t="n">
        <v>47342760.8074708</v>
      </c>
      <c r="Q31" s="7" t="n">
        <v>71160224.9645709</v>
      </c>
      <c r="R31" s="7" t="n">
        <v>89376677.9026085</v>
      </c>
      <c r="S31" s="7" t="n">
        <v>106150759.523812</v>
      </c>
      <c r="T31" s="7" t="n">
        <v>94864876.3355047</v>
      </c>
      <c r="U31" s="7" t="n">
        <v>137340273.201709</v>
      </c>
      <c r="V31" s="7" t="n">
        <v>157578791.910587</v>
      </c>
      <c r="W31" s="7" t="n">
        <v>222905101.500449</v>
      </c>
      <c r="X31" s="7" t="n">
        <v>183966376.777807</v>
      </c>
      <c r="Y31" s="7" t="n">
        <v>242243675.250101</v>
      </c>
      <c r="Z31" s="7" t="n">
        <v>247575706.738263</v>
      </c>
      <c r="AA31" s="7" t="n">
        <v>263248952.492808</v>
      </c>
      <c r="AB31" s="7" t="n">
        <v>207132331.209947</v>
      </c>
      <c r="AC31" s="7" t="n">
        <v>158773357.338706</v>
      </c>
      <c r="AD31" s="7" t="n">
        <v>178805854.692537</v>
      </c>
      <c r="AE31" s="7" t="n">
        <v>183115929.143824</v>
      </c>
      <c r="AF31" s="7" t="n">
        <v>271346652.511071</v>
      </c>
      <c r="AG31" s="7" t="n">
        <v>373209631.087861</v>
      </c>
      <c r="AH31" s="7" t="n">
        <v>385853256.173634</v>
      </c>
      <c r="AI31" s="7" t="n">
        <v>382774802.43132</v>
      </c>
      <c r="AJ31" s="7" t="n">
        <v>288672923.271873</v>
      </c>
      <c r="AK31" s="7" t="n">
        <v>385351462.648533</v>
      </c>
      <c r="AL31" s="7" t="n">
        <v>1085632871.5997</v>
      </c>
      <c r="AM31" s="7" t="n">
        <v>1219791751.82331</v>
      </c>
      <c r="AN31" s="7" t="n">
        <v>804723739.33051</v>
      </c>
      <c r="AO31" s="7"/>
    </row>
    <row r="32">
      <c r="A32" t="str">
        <f>M32</f>
      </c>
      <c r="B32" t="str">
        <f>N32</f>
      </c>
      <c r="C32" s="7" t="str">
        <f>AI32</f>
      </c>
      <c r="D32" s="7" t="str">
        <f>AL32</f>
      </c>
      <c r="E32" s="7" t="str">
        <f>AM32</f>
      </c>
      <c r="F32" s="7"/>
      <c r="G32" s="2" t="str">
        <f>AM32/AL32-1</f>
      </c>
      <c r="H32" s="2" t="str">
        <f>AM32/AI32-1</f>
      </c>
      <c r="I32" s="2"/>
      <c r="J32" s="2" t="str">
        <f>AM32/Sum(AM$1:AM$64)</f>
      </c>
      <c r="K32" s="2"/>
      <c r="M32" t="s">
        <v>82</v>
      </c>
      <c r="N32" t="s">
        <v>73</v>
      </c>
      <c r="O32" s="7" t="n">
        <v>11070902440.4103</v>
      </c>
      <c r="P32" s="7" t="n">
        <v>12761604343.1774</v>
      </c>
      <c r="Q32" s="7" t="n">
        <v>16501573289.0311</v>
      </c>
      <c r="R32" s="7" t="n">
        <v>19839081679.7252</v>
      </c>
      <c r="S32" s="7" t="n">
        <v>21007109112.4733</v>
      </c>
      <c r="T32" s="7" t="n">
        <v>31213621239.929</v>
      </c>
      <c r="U32" s="7" t="n">
        <v>35183942126.4581</v>
      </c>
      <c r="V32" s="7" t="n">
        <v>33011725017.1181</v>
      </c>
      <c r="W32" s="7" t="n">
        <v>36827503713.5149</v>
      </c>
      <c r="X32" s="7" t="n">
        <v>39033392666.2019</v>
      </c>
      <c r="Y32" s="7" t="n">
        <v>31527934951.4029</v>
      </c>
      <c r="Z32" s="7" t="n">
        <v>31888830920.6098</v>
      </c>
      <c r="AA32" s="7" t="n">
        <v>40701700367.3378</v>
      </c>
      <c r="AB32" s="7" t="n">
        <v>29612860419.3484</v>
      </c>
      <c r="AC32" s="7" t="n">
        <v>26325727898.3493</v>
      </c>
      <c r="AD32" s="7" t="n">
        <v>23085346523.1639</v>
      </c>
      <c r="AE32" s="7" t="n">
        <v>20592082652.5464</v>
      </c>
      <c r="AF32" s="7" t="n">
        <v>23114453819.8302</v>
      </c>
      <c r="AG32" s="7" t="n">
        <v>26560858981.702</v>
      </c>
      <c r="AH32" s="7" t="n">
        <v>23422792557.2743</v>
      </c>
      <c r="AI32" s="7" t="n">
        <v>23671844674.2882</v>
      </c>
      <c r="AJ32" s="7" t="n">
        <v>21831369555.3006</v>
      </c>
      <c r="AK32" s="7" t="n">
        <v>27730123653.3961</v>
      </c>
      <c r="AL32" s="7" t="n">
        <v>26457957856.5303</v>
      </c>
      <c r="AM32" s="7" t="n">
        <v>26449041709.3876</v>
      </c>
      <c r="AN32" s="7" t="n">
        <v>11536746943.446</v>
      </c>
      <c r="AO32" s="7"/>
    </row>
    <row r="33">
      <c r="A33" t="str">
        <f>M33</f>
      </c>
      <c r="B33" t="str">
        <f>N33</f>
      </c>
      <c r="C33" s="7" t="str">
        <f>AI33</f>
      </c>
      <c r="D33" s="7" t="str">
        <f>AL33</f>
      </c>
      <c r="E33" s="7" t="str">
        <f>AM33</f>
      </c>
      <c r="F33" s="7"/>
      <c r="G33" s="2" t="str">
        <f>AM33/AL33-1</f>
      </c>
      <c r="H33" s="2" t="str">
        <f>AM33/AI33-1</f>
      </c>
      <c r="I33" s="2"/>
      <c r="J33" s="2" t="str">
        <f>AM33/Sum(AM$1:AM$64)</f>
      </c>
      <c r="K33" s="2"/>
      <c r="M33" t="s">
        <v>82</v>
      </c>
      <c r="N33" t="s">
        <v>74</v>
      </c>
      <c r="O33" s="7" t="n">
        <v>206864597.62612</v>
      </c>
      <c r="P33" s="7" t="n">
        <v>337159770.70471</v>
      </c>
      <c r="Q33" s="7" t="n">
        <v>331065771.581039</v>
      </c>
      <c r="R33" s="7" t="n">
        <v>342783158.357745</v>
      </c>
      <c r="S33" s="7" t="n">
        <v>395828602.721156</v>
      </c>
      <c r="T33" s="7" t="n">
        <v>324114267.947306</v>
      </c>
      <c r="U33" s="7" t="n">
        <v>303503100.224634</v>
      </c>
      <c r="V33" s="7" t="n">
        <v>322660057.281326</v>
      </c>
      <c r="W33" s="7" t="n">
        <v>458109022.012415</v>
      </c>
      <c r="X33" s="7" t="n">
        <v>526843846.841019</v>
      </c>
      <c r="Y33" s="7" t="n">
        <v>424258568.585973</v>
      </c>
      <c r="Z33" s="7" t="n">
        <v>356832075.250663</v>
      </c>
      <c r="AA33" s="7" t="n">
        <v>380039876.67913</v>
      </c>
      <c r="AB33" s="7" t="n">
        <v>474670166.98459</v>
      </c>
      <c r="AC33" s="7" t="n">
        <v>571646116.06603</v>
      </c>
      <c r="AD33" s="7" t="n">
        <v>495517381.426556</v>
      </c>
      <c r="AE33" s="7" t="n">
        <v>394583541.667085</v>
      </c>
      <c r="AF33" s="7" t="n">
        <v>381050041.690872</v>
      </c>
      <c r="AG33" s="7" t="n">
        <v>451784969.85277</v>
      </c>
      <c r="AH33" s="7" t="n">
        <v>373725023.500058</v>
      </c>
      <c r="AI33" s="7" t="n">
        <v>396056295.591096</v>
      </c>
      <c r="AJ33" s="7" t="n">
        <v>368714392.700161</v>
      </c>
      <c r="AK33" s="7" t="n">
        <v>418592374.81928</v>
      </c>
      <c r="AL33" s="7" t="n">
        <v>487583726.0775</v>
      </c>
      <c r="AM33" s="7" t="n">
        <v>552267936.436736</v>
      </c>
      <c r="AN33" s="7" t="n">
        <v>231324024.087186</v>
      </c>
      <c r="AO33" s="7"/>
    </row>
    <row r="34">
      <c r="A34" t="str">
        <f>M34</f>
      </c>
      <c r="B34" t="str">
        <f>N34</f>
      </c>
      <c r="C34" s="7" t="str">
        <f>AI34</f>
      </c>
      <c r="D34" s="7" t="str">
        <f>AL34</f>
      </c>
      <c r="E34" s="7" t="str">
        <f>AM34</f>
      </c>
      <c r="F34" s="7"/>
      <c r="G34" s="2" t="str">
        <f>AM34/AL34-1</f>
      </c>
      <c r="H34" s="2" t="str">
        <f>AM34/AI34-1</f>
      </c>
      <c r="I34" s="2"/>
      <c r="J34" s="2" t="str">
        <f>AM34/Sum(AM$1:AM$64)</f>
      </c>
      <c r="K34" s="2"/>
      <c r="M34" t="s">
        <v>82</v>
      </c>
      <c r="N34" t="s">
        <v>75</v>
      </c>
      <c r="O34" s="7" t="n">
        <v>30365974.1480285</v>
      </c>
      <c r="P34" s="7" t="n">
        <v>11923125.2808825</v>
      </c>
      <c r="Q34" s="7" t="n">
        <v>43469823.4944719</v>
      </c>
      <c r="R34" s="7" t="n">
        <v>80464321.0152749</v>
      </c>
      <c r="S34" s="7" t="n">
        <v>90790058.5535755</v>
      </c>
      <c r="T34" s="7" t="n">
        <v>149412938.29784</v>
      </c>
      <c r="U34" s="7" t="n">
        <v>116196130.491564</v>
      </c>
      <c r="V34" s="7" t="n">
        <v>136027203.766436</v>
      </c>
      <c r="W34" s="7" t="n">
        <v>98935941.46441</v>
      </c>
      <c r="X34" s="7" t="n">
        <v>108529618.015703</v>
      </c>
      <c r="Y34" s="7" t="n">
        <v>124148997.282814</v>
      </c>
      <c r="Z34" s="7" t="n">
        <v>130223760.715215</v>
      </c>
      <c r="AA34" s="7" t="n">
        <v>131057205.943543</v>
      </c>
      <c r="AB34" s="7" t="n">
        <v>175508007.479067</v>
      </c>
      <c r="AC34" s="7" t="n">
        <v>149619310.398176</v>
      </c>
      <c r="AD34" s="7" t="n">
        <v>156046565.700312</v>
      </c>
      <c r="AE34" s="7" t="n">
        <v>90698834.1228853</v>
      </c>
      <c r="AF34" s="7" t="n">
        <v>192923155.386771</v>
      </c>
      <c r="AG34" s="7" t="n">
        <v>126180700.80227</v>
      </c>
      <c r="AH34" s="7" t="n">
        <v>156840897.494472</v>
      </c>
      <c r="AI34" s="7" t="n">
        <v>95025190.741927</v>
      </c>
      <c r="AJ34" s="7" t="n">
        <v>81964182.8527683</v>
      </c>
      <c r="AK34" s="7" t="n">
        <v>92931570.8767806</v>
      </c>
      <c r="AL34" s="7" t="n">
        <v>124524868.2688</v>
      </c>
      <c r="AM34" s="7" t="n">
        <v>115743002.377425</v>
      </c>
      <c r="AN34" s="7" t="n">
        <v>60302869.7278853</v>
      </c>
      <c r="AO34" s="7"/>
    </row>
    <row r="35">
      <c r="A35" t="str">
        <f>M35</f>
      </c>
      <c r="B35" t="str">
        <f>N35</f>
      </c>
      <c r="C35" s="7" t="str">
        <f>AI35</f>
      </c>
      <c r="D35" s="7" t="str">
        <f>AL35</f>
      </c>
      <c r="E35" s="7" t="str">
        <f>AM35</f>
      </c>
      <c r="F35" s="7"/>
      <c r="G35" s="2" t="str">
        <f>AM35/AL35-1</f>
      </c>
      <c r="H35" s="2" t="str">
        <f>AM35/AI35-1</f>
      </c>
      <c r="I35" s="2"/>
      <c r="J35" s="2" t="str">
        <f>AM35/Sum(AM$1:AM$64)</f>
      </c>
      <c r="K35" s="2"/>
      <c r="M35" t="s">
        <v>82</v>
      </c>
      <c r="N35" t="s">
        <v>76</v>
      </c>
      <c r="O35" s="7" t="n">
        <v>104886672.917056</v>
      </c>
      <c r="P35" s="7" t="n">
        <v>125436348.135695</v>
      </c>
      <c r="Q35" s="7" t="n">
        <v>179573832.008255</v>
      </c>
      <c r="R35" s="7" t="n">
        <v>199467727.868631</v>
      </c>
      <c r="S35" s="7" t="n">
        <v>247942137.687054</v>
      </c>
      <c r="T35" s="7" t="n">
        <v>321107983.022924</v>
      </c>
      <c r="U35" s="7" t="n">
        <v>435263717.17072</v>
      </c>
      <c r="V35" s="7" t="n">
        <v>514648251.542913</v>
      </c>
      <c r="W35" s="7" t="n">
        <v>527816472.730249</v>
      </c>
      <c r="X35" s="7" t="n">
        <v>861743806.221269</v>
      </c>
      <c r="Y35" s="7" t="n">
        <v>1486268107.07683</v>
      </c>
      <c r="Z35" s="7" t="n">
        <v>1613373413.49545</v>
      </c>
      <c r="AA35" s="7" t="n">
        <v>1897963467.9795</v>
      </c>
      <c r="AB35" s="7" t="n">
        <v>1879223343.55538</v>
      </c>
      <c r="AC35" s="7" t="n">
        <v>1909302915.58443</v>
      </c>
      <c r="AD35" s="7" t="n">
        <v>2222962048.22004</v>
      </c>
      <c r="AE35" s="7" t="n">
        <v>2491463656.63985</v>
      </c>
      <c r="AF35" s="7" t="n">
        <v>3183095234.4381</v>
      </c>
      <c r="AG35" s="7" t="n">
        <v>5291535532.85294</v>
      </c>
      <c r="AH35" s="7" t="n">
        <v>5716986199.85154</v>
      </c>
      <c r="AI35" s="7" t="n">
        <v>5202298869.09581</v>
      </c>
      <c r="AJ35" s="7" t="n">
        <v>4541392057.82918</v>
      </c>
      <c r="AK35" s="7" t="n">
        <v>4948877284.8235</v>
      </c>
      <c r="AL35" s="7" t="n">
        <v>6034833689.9876</v>
      </c>
      <c r="AM35" s="7" t="n">
        <v>6517521401.45305</v>
      </c>
      <c r="AN35" s="7" t="n">
        <v>2325697779.26364</v>
      </c>
      <c r="AO35" s="7"/>
    </row>
    <row r="36">
      <c r="A36" t="str">
        <f>M36</f>
      </c>
      <c r="B36" t="str">
        <f>N36</f>
      </c>
      <c r="C36" s="7" t="str">
        <f>AI36</f>
      </c>
      <c r="D36" s="7" t="str">
        <f>AL36</f>
      </c>
      <c r="E36" s="7" t="str">
        <f>AM36</f>
      </c>
      <c r="F36" s="7"/>
      <c r="G36" s="2" t="str">
        <f>AM36/AL36-1</f>
      </c>
      <c r="H36" s="2" t="str">
        <f>AM36/AI36-1</f>
      </c>
      <c r="I36" s="2"/>
      <c r="J36" s="2" t="str">
        <f>AM36/Sum(AM$1:AM$64)</f>
      </c>
      <c r="K36" s="2"/>
      <c r="M36" t="s">
        <v>82</v>
      </c>
      <c r="N36" t="s">
        <v>77</v>
      </c>
      <c r="O36" s="7" t="n">
        <v>769627.729185152</v>
      </c>
      <c r="P36" s="7" t="n">
        <v>274060.855432156</v>
      </c>
      <c r="Q36" s="7" t="n">
        <v>4228280.82856035</v>
      </c>
      <c r="R36" s="7"/>
      <c r="S36" s="7" t="n">
        <v>91819.4845988845</v>
      </c>
      <c r="T36" s="7" t="n">
        <v>1832293.68205333</v>
      </c>
      <c r="U36" s="7" t="n">
        <v>18221.0314549848</v>
      </c>
      <c r="V36" s="7" t="n">
        <v>37653.115875402</v>
      </c>
      <c r="W36" s="7" t="n">
        <v>20334.8286476045</v>
      </c>
      <c r="X36" s="7" t="n">
        <v>27124.2258308179</v>
      </c>
      <c r="Y36" s="7" t="n">
        <v>16406.2188833712</v>
      </c>
      <c r="Z36" s="7" t="n">
        <v>5474201.31492448</v>
      </c>
      <c r="AA36" s="7" t="n">
        <v>1061048.5349311</v>
      </c>
      <c r="AB36" s="7" t="n">
        <v>1097832.93388587</v>
      </c>
      <c r="AC36" s="7" t="n">
        <v>32054262.3273302</v>
      </c>
      <c r="AD36" s="7" t="n">
        <v>-179947.646183974</v>
      </c>
      <c r="AE36" s="7"/>
      <c r="AF36" s="7" t="n">
        <v>976.560000187597</v>
      </c>
      <c r="AG36" s="7" t="n">
        <v>42673.1498582622</v>
      </c>
      <c r="AH36" s="7" t="n">
        <v>2511441.01315835</v>
      </c>
      <c r="AI36" s="7" t="n">
        <v>100215.072247593</v>
      </c>
      <c r="AJ36" s="7" t="n">
        <v>417078.918986749</v>
      </c>
      <c r="AK36" s="7" t="n">
        <v>713004.783136167</v>
      </c>
      <c r="AL36" s="7" t="n">
        <v>44058.9922</v>
      </c>
      <c r="AM36" s="7"/>
      <c r="AN36" s="7"/>
      <c r="AO36" s="7"/>
    </row>
    <row r="37">
      <c r="A37" t="str">
        <f>M37</f>
      </c>
      <c r="B37" t="str">
        <f>N37</f>
      </c>
      <c r="C37" s="7" t="str">
        <f>AI37</f>
      </c>
      <c r="D37" s="7" t="str">
        <f>AL37</f>
      </c>
      <c r="E37" s="7" t="str">
        <f>AM37</f>
      </c>
      <c r="F37" s="7"/>
      <c r="G37" s="2" t="str">
        <f>AM37/AL37-1</f>
      </c>
      <c r="H37" s="2" t="str">
        <f>AM37/AI37-1</f>
      </c>
      <c r="I37" s="2"/>
      <c r="J37" s="2" t="str">
        <f>AM37/Sum(AM$1:AM$64)</f>
      </c>
      <c r="K37" s="2"/>
      <c r="M37" t="s">
        <v>82</v>
      </c>
      <c r="N37" t="s">
        <v>78</v>
      </c>
      <c r="O37" s="7" t="n">
        <v>0</v>
      </c>
      <c r="P37" s="7" t="n">
        <v>0</v>
      </c>
      <c r="Q37" s="7"/>
      <c r="R37" s="7" t="n">
        <v>0</v>
      </c>
      <c r="S37" s="7"/>
      <c r="T37" s="7" t="n">
        <v>3529.77113516707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 t="n">
        <v>62506.8778753535</v>
      </c>
      <c r="AL37" s="7"/>
      <c r="AM37" s="7" t="n">
        <v>47955.3061689166</v>
      </c>
      <c r="AN37" s="7" t="n">
        <v>49270.2273597401</v>
      </c>
      <c r="AO37" s="7"/>
    </row>
    <row r="38">
      <c r="A38" t="str">
        <f>M38</f>
      </c>
      <c r="B38" t="str">
        <f>N38</f>
      </c>
      <c r="C38" s="7" t="str">
        <f>AI38</f>
      </c>
      <c r="D38" s="7" t="str">
        <f>AL38</f>
      </c>
      <c r="E38" s="7" t="str">
        <f>AM38</f>
      </c>
      <c r="F38" s="7"/>
      <c r="G38" s="2" t="str">
        <f>AM38/AL38-1</f>
      </c>
      <c r="H38" s="2" t="str">
        <f>AM38/AI38-1</f>
      </c>
      <c r="I38" s="2"/>
      <c r="J38" s="2" t="str">
        <f>AM38/Sum(AM$1:AM$64)</f>
      </c>
      <c r="K38" s="2"/>
      <c r="M38" t="s">
        <v>83</v>
      </c>
      <c r="N38" t="s">
        <v>67</v>
      </c>
      <c r="O38" s="7" t="n">
        <v>299301746.655263</v>
      </c>
      <c r="P38" s="7" t="n">
        <v>440935389.072888</v>
      </c>
      <c r="Q38" s="7" t="n">
        <v>10592040.0819318</v>
      </c>
      <c r="R38" s="7" t="n">
        <v>380412694.426977</v>
      </c>
      <c r="S38" s="7" t="n">
        <v>303635806.883335</v>
      </c>
      <c r="T38" s="7" t="n">
        <v>447347219.57915</v>
      </c>
      <c r="U38" s="7" t="n">
        <v>922628913.542959</v>
      </c>
      <c r="V38" s="7" t="n">
        <v>1509045111.94499</v>
      </c>
      <c r="W38" s="7" t="n">
        <v>3780102052.58756</v>
      </c>
      <c r="X38" s="7" t="n">
        <v>5054508158.29863</v>
      </c>
      <c r="Y38" s="7" t="n">
        <v>2552003495.49745</v>
      </c>
      <c r="Z38" s="7" t="n">
        <v>6508694295.00063</v>
      </c>
      <c r="AA38" s="7" t="n">
        <v>6149107315.19809</v>
      </c>
      <c r="AB38" s="7" t="n">
        <v>15680466024.2433</v>
      </c>
      <c r="AC38" s="7" t="n">
        <v>4799290287.59893</v>
      </c>
      <c r="AD38" s="7" t="n">
        <v>14054895794.937</v>
      </c>
      <c r="AE38" s="7" t="n">
        <v>12914255476.8041</v>
      </c>
      <c r="AF38" s="7" t="n">
        <v>29497424077.2514</v>
      </c>
      <c r="AG38" s="7" t="n">
        <v>19099160174.4736</v>
      </c>
      <c r="AH38" s="7" t="n">
        <v>19961118824.2935</v>
      </c>
      <c r="AI38" s="7" t="n">
        <v>41618770545.9695</v>
      </c>
      <c r="AJ38" s="7" t="n">
        <v>11017552816.3117</v>
      </c>
      <c r="AK38" s="7" t="n">
        <v>21686621379.1785</v>
      </c>
      <c r="AL38" s="7" t="n">
        <v>36167249992.413</v>
      </c>
      <c r="AM38" s="7" t="n">
        <v>11769652916.0303</v>
      </c>
      <c r="AN38" s="7" t="n">
        <v>13134960050.4576</v>
      </c>
      <c r="AO38" s="7"/>
    </row>
    <row r="39">
      <c r="A39" t="str">
        <f>M39</f>
      </c>
      <c r="B39" t="str">
        <f>N39</f>
      </c>
      <c r="C39" s="7" t="str">
        <f>AI39</f>
      </c>
      <c r="D39" s="7" t="str">
        <f>AL39</f>
      </c>
      <c r="E39" s="7" t="str">
        <f>AM39</f>
      </c>
      <c r="F39" s="7"/>
      <c r="G39" s="2" t="str">
        <f>AM39/AL39-1</f>
      </c>
      <c r="H39" s="2" t="str">
        <f>AM39/AI39-1</f>
      </c>
      <c r="I39" s="2"/>
      <c r="J39" s="2" t="str">
        <f>AM39/Sum(AM$1:AM$64)</f>
      </c>
      <c r="K39" s="2"/>
      <c r="M39" t="s">
        <v>84</v>
      </c>
      <c r="N39" t="s">
        <v>67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 t="n">
        <v>1212653.93800829</v>
      </c>
      <c r="AH39" s="7" t="n">
        <v>353856.986087384</v>
      </c>
      <c r="AI39" s="7" t="n">
        <v>-21353.2225806394</v>
      </c>
      <c r="AJ39" s="7"/>
      <c r="AK39" s="7"/>
      <c r="AL39" s="7"/>
      <c r="AM39" s="7"/>
      <c r="AN39" s="7"/>
      <c r="AO39" s="7"/>
    </row>
    <row r="40">
      <c r="A40" t="str">
        <f>M40</f>
      </c>
      <c r="B40" t="str">
        <f>N40</f>
      </c>
      <c r="C40" s="7" t="str">
        <f>AI40</f>
      </c>
      <c r="D40" s="7" t="str">
        <f>AL40</f>
      </c>
      <c r="E40" s="7" t="str">
        <f>AM40</f>
      </c>
      <c r="F40" s="7"/>
      <c r="G40" s="2" t="str">
        <f>AM40/AL40-1</f>
      </c>
      <c r="H40" s="2" t="str">
        <f>AM40/AI40-1</f>
      </c>
      <c r="I40" s="2"/>
      <c r="J40" s="2" t="str">
        <f>AM40/Sum(AM$1:AM$64)</f>
      </c>
      <c r="K40" s="2"/>
      <c r="M40" t="s">
        <v>84</v>
      </c>
      <c r="N40" t="s">
        <v>71</v>
      </c>
      <c r="O40" s="7" t="n">
        <v>2309730357.72614</v>
      </c>
      <c r="P40" s="7" t="n">
        <v>2746059464.84853</v>
      </c>
      <c r="Q40" s="7" t="n">
        <v>4017232360.15943</v>
      </c>
      <c r="R40" s="7" t="n">
        <v>4235737157.19836</v>
      </c>
      <c r="S40" s="7" t="n">
        <v>5235874303.33651</v>
      </c>
      <c r="T40" s="7" t="n">
        <v>5770419174.97836</v>
      </c>
      <c r="U40" s="7" t="n">
        <v>5080979561.31918</v>
      </c>
      <c r="V40" s="7" t="n">
        <v>6978504361.64336</v>
      </c>
      <c r="W40" s="7" t="n">
        <v>7989493110.92442</v>
      </c>
      <c r="X40" s="7" t="n">
        <v>7789390562.16214</v>
      </c>
      <c r="Y40" s="7" t="n">
        <v>7291738427.81566</v>
      </c>
      <c r="Z40" s="7" t="n">
        <v>7181882676.80957</v>
      </c>
      <c r="AA40" s="7" t="n">
        <v>9013052255.60019</v>
      </c>
      <c r="AB40" s="7" t="n">
        <v>9919760928.92085</v>
      </c>
      <c r="AC40" s="7" t="n">
        <v>7649409204.00139</v>
      </c>
      <c r="AD40" s="7" t="n">
        <v>5869241836.73204</v>
      </c>
      <c r="AE40" s="7" t="n">
        <v>8179262999.95439</v>
      </c>
      <c r="AF40" s="7" t="n">
        <v>6606776202.11988</v>
      </c>
      <c r="AG40" s="7" t="n">
        <v>9902556961.3514</v>
      </c>
      <c r="AH40" s="7" t="n">
        <v>10340135497.105</v>
      </c>
      <c r="AI40" s="7" t="n">
        <v>14268130133.0793</v>
      </c>
      <c r="AJ40" s="7" t="n">
        <v>9865536847.95767</v>
      </c>
      <c r="AK40" s="7" t="n">
        <v>10291424693.2484</v>
      </c>
      <c r="AL40" s="7" t="n">
        <v>7078755082.6783</v>
      </c>
      <c r="AM40" s="7" t="n">
        <v>8239294051.45341</v>
      </c>
      <c r="AN40" s="7" t="n">
        <v>3886278623.51123</v>
      </c>
      <c r="AO40" s="7"/>
    </row>
    <row r="41">
      <c r="A41" t="str">
        <f>M41</f>
      </c>
      <c r="B41" t="str">
        <f>N41</f>
      </c>
      <c r="C41" s="7" t="str">
        <f>AI41</f>
      </c>
      <c r="D41" s="7" t="str">
        <f>AL41</f>
      </c>
      <c r="E41" s="7" t="str">
        <f>AM41</f>
      </c>
      <c r="F41" s="7"/>
      <c r="G41" s="2" t="str">
        <f>AM41/AL41-1</f>
      </c>
      <c r="H41" s="2" t="str">
        <f>AM41/AI41-1</f>
      </c>
      <c r="I41" s="2"/>
      <c r="J41" s="2" t="str">
        <f>AM41/Sum(AM$1:AM$64)</f>
      </c>
      <c r="K41" s="2"/>
      <c r="M41" t="s">
        <v>85</v>
      </c>
      <c r="N41" t="s">
        <v>67</v>
      </c>
      <c r="O41" s="7" t="n">
        <v>14430509594.7734</v>
      </c>
      <c r="P41" s="7" t="n">
        <v>12482410350.9009</v>
      </c>
      <c r="Q41" s="7" t="n">
        <v>15226310811.5849</v>
      </c>
      <c r="R41" s="7" t="n">
        <v>22207129459.9598</v>
      </c>
      <c r="S41" s="7" t="n">
        <v>21469536163.2363</v>
      </c>
      <c r="T41" s="7" t="n">
        <v>24199189295.128</v>
      </c>
      <c r="U41" s="7" t="n">
        <v>25288354708.4001</v>
      </c>
      <c r="V41" s="7" t="n">
        <v>26405424273.9222</v>
      </c>
      <c r="W41" s="7" t="n">
        <v>28773960308.9498</v>
      </c>
      <c r="X41" s="7" t="n">
        <v>28565067873.7818</v>
      </c>
      <c r="Y41" s="7" t="n">
        <v>25729309031.6895</v>
      </c>
      <c r="Z41" s="7" t="n">
        <v>26842937644.0119</v>
      </c>
      <c r="AA41" s="7" t="n">
        <v>27970764853.1419</v>
      </c>
      <c r="AB41" s="7" t="n">
        <v>26199364238.8353</v>
      </c>
      <c r="AC41" s="7" t="n">
        <v>21947838206.1351</v>
      </c>
      <c r="AD41" s="7" t="n">
        <v>18490333693.3745</v>
      </c>
      <c r="AE41" s="7" t="n">
        <v>23632667323.2041</v>
      </c>
      <c r="AF41" s="7" t="n">
        <v>22728675343.9103</v>
      </c>
      <c r="AG41" s="7" t="n">
        <v>23029275607.2631</v>
      </c>
      <c r="AH41" s="7" t="n">
        <v>28218712792.8973</v>
      </c>
      <c r="AI41" s="7" t="n">
        <v>23934058702.14</v>
      </c>
      <c r="AJ41" s="7" t="n">
        <v>22195446890.3663</v>
      </c>
      <c r="AK41" s="7" t="n">
        <v>16897422387.4418</v>
      </c>
      <c r="AL41" s="7" t="n">
        <v>16619409015.7932</v>
      </c>
      <c r="AM41" s="7" t="n">
        <v>19133811101.9764</v>
      </c>
      <c r="AN41" s="7" t="n">
        <v>7888556066.48891</v>
      </c>
      <c r="AO41" s="7"/>
    </row>
    <row r="42">
      <c r="A42" t="str">
        <f>M42</f>
      </c>
      <c r="B42" t="str">
        <f>N42</f>
      </c>
      <c r="C42" s="7" t="str">
        <f>AI42</f>
      </c>
      <c r="D42" s="7" t="str">
        <f>AL42</f>
      </c>
      <c r="E42" s="7" t="str">
        <f>AM42</f>
      </c>
      <c r="F42" s="7"/>
      <c r="G42" s="2" t="str">
        <f>AM42/AL42-1</f>
      </c>
      <c r="H42" s="2" t="str">
        <f>AM42/AI42-1</f>
      </c>
      <c r="I42" s="2"/>
      <c r="J42" s="2" t="str">
        <f>AM42/Sum(AM$1:AM$64)</f>
      </c>
      <c r="K42" s="2"/>
      <c r="M42" t="s">
        <v>85</v>
      </c>
      <c r="N42" t="s">
        <v>68</v>
      </c>
      <c r="O42" s="7" t="n">
        <v>11054766418.3989</v>
      </c>
      <c r="P42" s="7" t="n">
        <v>9427735463.50933</v>
      </c>
      <c r="Q42" s="7" t="n">
        <v>11580996788.1825</v>
      </c>
      <c r="R42" s="7" t="n">
        <v>12536866633.9174</v>
      </c>
      <c r="S42" s="7" t="n">
        <v>15136263445.4516</v>
      </c>
      <c r="T42" s="7" t="n">
        <v>14761134333.9951</v>
      </c>
      <c r="U42" s="7" t="n">
        <v>17135536273.0138</v>
      </c>
      <c r="V42" s="7" t="n">
        <v>19870532681.2549</v>
      </c>
      <c r="W42" s="7" t="n">
        <v>19687059407.1995</v>
      </c>
      <c r="X42" s="7" t="n">
        <v>19077982813.2203</v>
      </c>
      <c r="Y42" s="7" t="n">
        <v>19674406293.4887</v>
      </c>
      <c r="Z42" s="7" t="n">
        <v>20149960706.6515</v>
      </c>
      <c r="AA42" s="7" t="n">
        <v>17966456725.0841</v>
      </c>
      <c r="AB42" s="7" t="n">
        <v>15966610172.7307</v>
      </c>
      <c r="AC42" s="7" t="n">
        <v>14780113612.1076</v>
      </c>
      <c r="AD42" s="7" t="n">
        <v>14590362335.6463</v>
      </c>
      <c r="AE42" s="7" t="n">
        <v>15319040169.6855</v>
      </c>
      <c r="AF42" s="7" t="n">
        <v>15605943031.159</v>
      </c>
      <c r="AG42" s="7" t="n">
        <v>15671265958.9963</v>
      </c>
      <c r="AH42" s="7" t="n">
        <v>17689319036.9197</v>
      </c>
      <c r="AI42" s="7" t="n">
        <v>18463918745.433</v>
      </c>
      <c r="AJ42" s="7" t="n">
        <v>15935420370.097</v>
      </c>
      <c r="AK42" s="7" t="n">
        <v>16585786646.3348</v>
      </c>
      <c r="AL42" s="7" t="n">
        <v>16779402404.8526</v>
      </c>
      <c r="AM42" s="7" t="n">
        <v>16927560511.3448</v>
      </c>
      <c r="AN42" s="7" t="n">
        <v>6386127190.53914</v>
      </c>
      <c r="AO42" s="7"/>
    </row>
    <row r="43">
      <c r="A43" t="str">
        <f>M43</f>
      </c>
      <c r="B43" t="str">
        <f>N43</f>
      </c>
      <c r="C43" s="7" t="str">
        <f>AI43</f>
      </c>
      <c r="D43" s="7" t="str">
        <f>AL43</f>
      </c>
      <c r="E43" s="7" t="str">
        <f>AM43</f>
      </c>
      <c r="F43" s="7"/>
      <c r="G43" s="2" t="str">
        <f>AM43/AL43-1</f>
      </c>
      <c r="H43" s="2" t="str">
        <f>AM43/AI43-1</f>
      </c>
      <c r="I43" s="2"/>
      <c r="J43" s="2" t="str">
        <f>AM43/Sum(AM$1:AM$64)</f>
      </c>
      <c r="K43" s="2"/>
      <c r="M43" t="s">
        <v>85</v>
      </c>
      <c r="N43" t="s">
        <v>69</v>
      </c>
      <c r="O43" s="7" t="n">
        <v>8863228377.23462</v>
      </c>
      <c r="P43" s="7" t="n">
        <v>10194940823.4264</v>
      </c>
      <c r="Q43" s="7" t="n">
        <v>9959141330.24504</v>
      </c>
      <c r="R43" s="7" t="n">
        <v>12305983377.0162</v>
      </c>
      <c r="S43" s="7" t="n">
        <v>9612032370.30948</v>
      </c>
      <c r="T43" s="7" t="n">
        <v>10796790250.2314</v>
      </c>
      <c r="U43" s="7" t="n">
        <v>11461698628.6648</v>
      </c>
      <c r="V43" s="7" t="n">
        <v>12326020439.1448</v>
      </c>
      <c r="W43" s="7" t="n">
        <v>15231887692.8871</v>
      </c>
      <c r="X43" s="7" t="n">
        <v>16313275004.4948</v>
      </c>
      <c r="Y43" s="7" t="n">
        <v>15964425946.0636</v>
      </c>
      <c r="Z43" s="7" t="n">
        <v>15417477936.4062</v>
      </c>
      <c r="AA43" s="7" t="n">
        <v>13784592509.9858</v>
      </c>
      <c r="AB43" s="7" t="n">
        <v>11153012098.9247</v>
      </c>
      <c r="AC43" s="7" t="n">
        <v>11805059025.5541</v>
      </c>
      <c r="AD43" s="7" t="n">
        <v>10693028670.8489</v>
      </c>
      <c r="AE43" s="7" t="n">
        <v>11417544341.5018</v>
      </c>
      <c r="AF43" s="7" t="n">
        <v>10953143983.2026</v>
      </c>
      <c r="AG43" s="7" t="n">
        <v>12234247931.0943</v>
      </c>
      <c r="AH43" s="7" t="n">
        <v>13626814763.9125</v>
      </c>
      <c r="AI43" s="7" t="n">
        <v>17699454099.5039</v>
      </c>
      <c r="AJ43" s="7" t="n">
        <v>14616530616.3315</v>
      </c>
      <c r="AK43" s="7" t="n">
        <v>14431243037.8047</v>
      </c>
      <c r="AL43" s="7" t="n">
        <v>16762448715.5622</v>
      </c>
      <c r="AM43" s="7" t="n">
        <v>17991645994.0861</v>
      </c>
      <c r="AN43" s="7" t="n">
        <v>5636570321.6611</v>
      </c>
      <c r="AO43" s="7"/>
    </row>
    <row r="44">
      <c r="A44" t="str">
        <f>M44</f>
      </c>
      <c r="B44" t="str">
        <f>N44</f>
      </c>
      <c r="C44" s="7" t="str">
        <f>AI44</f>
      </c>
      <c r="D44" s="7" t="str">
        <f>AL44</f>
      </c>
      <c r="E44" s="7" t="str">
        <f>AM44</f>
      </c>
      <c r="F44" s="7"/>
      <c r="G44" s="2" t="str">
        <f>AM44/AL44-1</f>
      </c>
      <c r="H44" s="2" t="str">
        <f>AM44/AI44-1</f>
      </c>
      <c r="I44" s="2"/>
      <c r="J44" s="2" t="str">
        <f>AM44/Sum(AM$1:AM$64)</f>
      </c>
      <c r="K44" s="2"/>
      <c r="M44" t="s">
        <v>85</v>
      </c>
      <c r="N44" t="s">
        <v>70</v>
      </c>
      <c r="O44" s="7" t="n">
        <v>459784927.857899</v>
      </c>
      <c r="P44" s="7" t="n">
        <v>623941971.365664</v>
      </c>
      <c r="Q44" s="7" t="n">
        <v>1193795043.57146</v>
      </c>
      <c r="R44" s="7" t="n">
        <v>783166142.378316</v>
      </c>
      <c r="S44" s="7" t="n">
        <v>1513854371.22517</v>
      </c>
      <c r="T44" s="7" t="n">
        <v>1765825669.47171</v>
      </c>
      <c r="U44" s="7" t="n">
        <v>1928369471.20763</v>
      </c>
      <c r="V44" s="7" t="n">
        <v>6835266176.73849</v>
      </c>
      <c r="W44" s="7" t="n">
        <v>13399144318.9106</v>
      </c>
      <c r="X44" s="7" t="n">
        <v>4483143175.43034</v>
      </c>
      <c r="Y44" s="7" t="n">
        <v>5205779403.029</v>
      </c>
      <c r="Z44" s="7" t="n">
        <v>4947439320.42302</v>
      </c>
      <c r="AA44" s="7" t="n">
        <v>2769011464.59671</v>
      </c>
      <c r="AB44" s="7" t="n">
        <v>688611893.449241</v>
      </c>
      <c r="AC44" s="7" t="n">
        <v>639145925.990676</v>
      </c>
      <c r="AD44" s="7" t="n">
        <v>482964329.716345</v>
      </c>
      <c r="AE44" s="7" t="n">
        <v>724124768.212543</v>
      </c>
      <c r="AF44" s="7" t="n">
        <v>473372289.359875</v>
      </c>
      <c r="AG44" s="7" t="n">
        <v>717710571.313347</v>
      </c>
      <c r="AH44" s="7" t="n">
        <v>768285666.990252</v>
      </c>
      <c r="AI44" s="7" t="n">
        <v>961834145.045169</v>
      </c>
      <c r="AJ44" s="7" t="n">
        <v>1138699389.12178</v>
      </c>
      <c r="AK44" s="7" t="n">
        <v>1091723034.74788</v>
      </c>
      <c r="AL44" s="7" t="n">
        <v>1151328890.4984</v>
      </c>
      <c r="AM44" s="7" t="n">
        <v>1386251175.03766</v>
      </c>
      <c r="AN44" s="7" t="n">
        <v>604837963.807362</v>
      </c>
      <c r="AO44" s="7"/>
    </row>
    <row r="45">
      <c r="A45" t="str">
        <f>M45</f>
      </c>
      <c r="B45" t="str">
        <f>N45</f>
      </c>
      <c r="C45" s="7" t="str">
        <f>AI45</f>
      </c>
      <c r="D45" s="7" t="str">
        <f>AL45</f>
      </c>
      <c r="E45" s="7" t="str">
        <f>AM45</f>
      </c>
      <c r="F45" s="7"/>
      <c r="G45" s="2" t="str">
        <f>AM45/AL45-1</f>
      </c>
      <c r="H45" s="2" t="str">
        <f>AM45/AI45-1</f>
      </c>
      <c r="I45" s="2"/>
      <c r="J45" s="2" t="str">
        <f>AM45/Sum(AM$1:AM$64)</f>
      </c>
      <c r="K45" s="2"/>
      <c r="M45" t="s">
        <v>85</v>
      </c>
      <c r="N45" t="s">
        <v>71</v>
      </c>
      <c r="O45" s="7" t="n">
        <v>1037532695.27098</v>
      </c>
      <c r="P45" s="7" t="n">
        <v>773889921.321724</v>
      </c>
      <c r="Q45" s="7" t="n">
        <v>922126375.887588</v>
      </c>
      <c r="R45" s="7" t="n">
        <v>1222523562.35205</v>
      </c>
      <c r="S45" s="7" t="n">
        <v>2082895802.33262</v>
      </c>
      <c r="T45" s="7" t="n">
        <v>1908850859.48515</v>
      </c>
      <c r="U45" s="7" t="n">
        <v>2527004435.4995</v>
      </c>
      <c r="V45" s="7" t="n">
        <v>2863988500.82831</v>
      </c>
      <c r="W45" s="7" t="n">
        <v>1846029460.01178</v>
      </c>
      <c r="X45" s="7" t="n">
        <v>2329984365.24311</v>
      </c>
      <c r="Y45" s="7" t="n">
        <v>2543647268.38082</v>
      </c>
      <c r="Z45" s="7" t="n">
        <v>1809622580.37558</v>
      </c>
      <c r="AA45" s="7" t="n">
        <v>1451749359.9492</v>
      </c>
      <c r="AB45" s="7" t="n">
        <v>1231058547.8525</v>
      </c>
      <c r="AC45" s="7" t="n">
        <v>947089043.940011</v>
      </c>
      <c r="AD45" s="7" t="n">
        <v>451948924.218836</v>
      </c>
      <c r="AE45" s="7" t="n">
        <v>501851027.210361</v>
      </c>
      <c r="AF45" s="7" t="n">
        <v>598278167.744729</v>
      </c>
      <c r="AG45" s="7" t="n">
        <v>306031743.103568</v>
      </c>
      <c r="AH45" s="7" t="n">
        <v>433244977.896272</v>
      </c>
      <c r="AI45" s="7" t="n">
        <v>1006404906.46551</v>
      </c>
      <c r="AJ45" s="7" t="n">
        <v>837628413.891746</v>
      </c>
      <c r="AK45" s="7" t="n">
        <v>580825762.044328</v>
      </c>
      <c r="AL45" s="7" t="n">
        <v>518221151.2745</v>
      </c>
      <c r="AM45" s="7" t="n">
        <v>469086340.226936</v>
      </c>
      <c r="AN45" s="7" t="n">
        <v>512133236.753547</v>
      </c>
      <c r="AO45" s="7"/>
    </row>
    <row r="46">
      <c r="A46" t="str">
        <f>M46</f>
      </c>
      <c r="B46" t="str">
        <f>N46</f>
      </c>
      <c r="C46" s="7" t="str">
        <f>AI46</f>
      </c>
      <c r="D46" s="7" t="str">
        <f>AL46</f>
      </c>
      <c r="E46" s="7" t="str">
        <f>AM46</f>
      </c>
      <c r="F46" s="7"/>
      <c r="G46" s="2" t="str">
        <f>AM46/AL46-1</f>
      </c>
      <c r="H46" s="2" t="str">
        <f>AM46/AI46-1</f>
      </c>
      <c r="I46" s="2"/>
      <c r="J46" s="2" t="str">
        <f>AM46/Sum(AM$1:AM$64)</f>
      </c>
      <c r="K46" s="2"/>
      <c r="M46" t="s">
        <v>85</v>
      </c>
      <c r="N46" t="s">
        <v>72</v>
      </c>
      <c r="O46" s="7" t="n">
        <v>4554047688.42164</v>
      </c>
      <c r="P46" s="7" t="n">
        <v>4081465583.90889</v>
      </c>
      <c r="Q46" s="7" t="n">
        <v>4788827767.17629</v>
      </c>
      <c r="R46" s="7" t="n">
        <v>6786382872.78593</v>
      </c>
      <c r="S46" s="7" t="n">
        <v>6322626707.09292</v>
      </c>
      <c r="T46" s="7" t="n">
        <v>5873147419.2963</v>
      </c>
      <c r="U46" s="7" t="n">
        <v>6570772441.17116</v>
      </c>
      <c r="V46" s="7" t="n">
        <v>6975206826.49292</v>
      </c>
      <c r="W46" s="7" t="n">
        <v>6404079225.04971</v>
      </c>
      <c r="X46" s="7" t="n">
        <v>6133061647.23902</v>
      </c>
      <c r="Y46" s="7" t="n">
        <v>5389655251.52524</v>
      </c>
      <c r="Z46" s="7" t="n">
        <v>5788876322.77663</v>
      </c>
      <c r="AA46" s="7" t="n">
        <v>6356943307.49947</v>
      </c>
      <c r="AB46" s="7" t="n">
        <v>5985014410.64128</v>
      </c>
      <c r="AC46" s="7" t="n">
        <v>6548827355.92265</v>
      </c>
      <c r="AD46" s="7" t="n">
        <v>7315349395.68793</v>
      </c>
      <c r="AE46" s="7" t="n">
        <v>7296241564.13654</v>
      </c>
      <c r="AF46" s="7" t="n">
        <v>8078272206.39219</v>
      </c>
      <c r="AG46" s="7" t="n">
        <v>8969973455.3582</v>
      </c>
      <c r="AH46" s="7" t="n">
        <v>10711019329.5793</v>
      </c>
      <c r="AI46" s="7" t="n">
        <v>10916512144.9428</v>
      </c>
      <c r="AJ46" s="7" t="n">
        <v>8608240575.85262</v>
      </c>
      <c r="AK46" s="7" t="n">
        <v>7791994663.32213</v>
      </c>
      <c r="AL46" s="7" t="n">
        <v>8677756184.8485</v>
      </c>
      <c r="AM46" s="7" t="n">
        <v>9475356725.86337</v>
      </c>
      <c r="AN46" s="7" t="n">
        <v>4048047390.31505</v>
      </c>
      <c r="AO46" s="7"/>
    </row>
    <row r="47">
      <c r="A47" t="str">
        <f>M47</f>
      </c>
      <c r="B47" t="str">
        <f>N47</f>
      </c>
      <c r="C47" s="7" t="str">
        <f>AI47</f>
      </c>
      <c r="D47" s="7" t="str">
        <f>AL47</f>
      </c>
      <c r="E47" s="7" t="str">
        <f>AM47</f>
      </c>
      <c r="F47" s="7"/>
      <c r="G47" s="2" t="str">
        <f>AM47/AL47-1</f>
      </c>
      <c r="H47" s="2" t="str">
        <f>AM47/AI47-1</f>
      </c>
      <c r="I47" s="2"/>
      <c r="J47" s="2" t="str">
        <f>AM47/Sum(AM$1:AM$64)</f>
      </c>
      <c r="K47" s="2"/>
      <c r="M47" t="s">
        <v>85</v>
      </c>
      <c r="N47" t="s">
        <v>73</v>
      </c>
      <c r="O47" s="7" t="n">
        <v>629757031.626652</v>
      </c>
      <c r="P47" s="7" t="n">
        <v>781439231.068973</v>
      </c>
      <c r="Q47" s="7" t="n">
        <v>812677431.233641</v>
      </c>
      <c r="R47" s="7" t="n">
        <v>1328391017.6082</v>
      </c>
      <c r="S47" s="7" t="n">
        <v>1880199010.2005</v>
      </c>
      <c r="T47" s="7" t="n">
        <v>2451326209.63124</v>
      </c>
      <c r="U47" s="7" t="n">
        <v>2524840860.54622</v>
      </c>
      <c r="V47" s="7" t="n">
        <v>2700351416.3181</v>
      </c>
      <c r="W47" s="7" t="n">
        <v>1644352395.75406</v>
      </c>
      <c r="X47" s="7" t="n">
        <v>2183205679.9149</v>
      </c>
      <c r="Y47" s="7" t="n">
        <v>2036999775.27074</v>
      </c>
      <c r="Z47" s="7" t="n">
        <v>2072051089.77459</v>
      </c>
      <c r="AA47" s="7" t="n">
        <v>1641010617.18255</v>
      </c>
      <c r="AB47" s="7" t="n">
        <v>1494604443.41004</v>
      </c>
      <c r="AC47" s="7" t="n">
        <v>1266794558.54935</v>
      </c>
      <c r="AD47" s="7" t="n">
        <v>911868607.709169</v>
      </c>
      <c r="AE47" s="7" t="n">
        <v>988923523.555715</v>
      </c>
      <c r="AF47" s="7" t="n">
        <v>840565180.487203</v>
      </c>
      <c r="AG47" s="7" t="n">
        <v>1105956586.97076</v>
      </c>
      <c r="AH47" s="7" t="n">
        <v>1010335885.57804</v>
      </c>
      <c r="AI47" s="7" t="n">
        <v>943498993.137891</v>
      </c>
      <c r="AJ47" s="7" t="n">
        <v>1097439667.87973</v>
      </c>
      <c r="AK47" s="7" t="n">
        <v>932231504.172893</v>
      </c>
      <c r="AL47" s="7" t="n">
        <v>1373654732.7647</v>
      </c>
      <c r="AM47" s="7" t="n">
        <v>1533930568.08762</v>
      </c>
      <c r="AN47" s="7" t="n">
        <v>657872575.686512</v>
      </c>
      <c r="AO47" s="7"/>
    </row>
    <row r="48">
      <c r="A48" t="str">
        <f>M48</f>
      </c>
      <c r="B48" t="str">
        <f>N48</f>
      </c>
      <c r="C48" s="7" t="str">
        <f>AI48</f>
      </c>
      <c r="D48" s="7" t="str">
        <f>AL48</f>
      </c>
      <c r="E48" s="7" t="str">
        <f>AM48</f>
      </c>
      <c r="F48" s="7"/>
      <c r="G48" s="2" t="str">
        <f>AM48/AL48-1</f>
      </c>
      <c r="H48" s="2" t="str">
        <f>AM48/AI48-1</f>
      </c>
      <c r="I48" s="2"/>
      <c r="J48" s="2" t="str">
        <f>AM48/Sum(AM$1:AM$64)</f>
      </c>
      <c r="K48" s="2"/>
      <c r="M48" t="s">
        <v>85</v>
      </c>
      <c r="N48" t="s">
        <v>74</v>
      </c>
      <c r="O48" s="7" t="n">
        <v>8220083546.7948</v>
      </c>
      <c r="P48" s="7" t="n">
        <v>7692884519.48803</v>
      </c>
      <c r="Q48" s="7" t="n">
        <v>9473585048.31874</v>
      </c>
      <c r="R48" s="7" t="n">
        <v>9023499622.60345</v>
      </c>
      <c r="S48" s="7" t="n">
        <v>9004017492.12288</v>
      </c>
      <c r="T48" s="7" t="n">
        <v>10666680138.3679</v>
      </c>
      <c r="U48" s="7" t="n">
        <v>10588661863.3062</v>
      </c>
      <c r="V48" s="7" t="n">
        <v>12016407916.2224</v>
      </c>
      <c r="W48" s="7" t="n">
        <v>12130674135.0137</v>
      </c>
      <c r="X48" s="7" t="n">
        <v>13634133503.258</v>
      </c>
      <c r="Y48" s="7" t="n">
        <v>14187275308.9471</v>
      </c>
      <c r="Z48" s="7" t="n">
        <v>14028899581.3463</v>
      </c>
      <c r="AA48" s="7" t="n">
        <v>12718905413.9041</v>
      </c>
      <c r="AB48" s="7" t="n">
        <v>10940512766.3701</v>
      </c>
      <c r="AC48" s="7" t="n">
        <v>11959806133.1817</v>
      </c>
      <c r="AD48" s="7" t="n">
        <v>11391889877.6001</v>
      </c>
      <c r="AE48" s="7" t="n">
        <v>11648360748.9234</v>
      </c>
      <c r="AF48" s="7" t="n">
        <v>11521623764.2649</v>
      </c>
      <c r="AG48" s="7" t="n">
        <v>12429556318.5368</v>
      </c>
      <c r="AH48" s="7" t="n">
        <v>12768928143.942</v>
      </c>
      <c r="AI48" s="7" t="n">
        <v>13448948775.6967</v>
      </c>
      <c r="AJ48" s="7" t="n">
        <v>15191065099.8624</v>
      </c>
      <c r="AK48" s="7" t="n">
        <v>15503892670.595</v>
      </c>
      <c r="AL48" s="7" t="n">
        <v>16653184633.6258</v>
      </c>
      <c r="AM48" s="7" t="n">
        <v>17248528957.5135</v>
      </c>
      <c r="AN48" s="7" t="n">
        <v>6952064959.71824</v>
      </c>
      <c r="AO48" s="7"/>
    </row>
    <row r="49">
      <c r="A49" t="str">
        <f>M49</f>
      </c>
      <c r="B49" t="str">
        <f>N49</f>
      </c>
      <c r="C49" s="7" t="str">
        <f>AI49</f>
      </c>
      <c r="D49" s="7" t="str">
        <f>AL49</f>
      </c>
      <c r="E49" s="7" t="str">
        <f>AM49</f>
      </c>
      <c r="F49" s="7"/>
      <c r="G49" s="2" t="str">
        <f>AM49/AL49-1</f>
      </c>
      <c r="H49" s="2" t="str">
        <f>AM49/AI49-1</f>
      </c>
      <c r="I49" s="2"/>
      <c r="J49" s="2" t="str">
        <f>AM49/Sum(AM$1:AM$64)</f>
      </c>
      <c r="K49" s="2"/>
      <c r="M49" t="s">
        <v>85</v>
      </c>
      <c r="N49" t="s">
        <v>75</v>
      </c>
      <c r="O49" s="7" t="n">
        <v>2921000245.11004</v>
      </c>
      <c r="P49" s="7" t="n">
        <v>2575064627.99754</v>
      </c>
      <c r="Q49" s="7" t="n">
        <v>2978327155.19805</v>
      </c>
      <c r="R49" s="7" t="n">
        <v>3611367186.99801</v>
      </c>
      <c r="S49" s="7" t="n">
        <v>3559019035.53343</v>
      </c>
      <c r="T49" s="7" t="n">
        <v>3950802509.14472</v>
      </c>
      <c r="U49" s="7" t="n">
        <v>4938125355.94207</v>
      </c>
      <c r="V49" s="7" t="n">
        <v>4545465479.02193</v>
      </c>
      <c r="W49" s="7" t="n">
        <v>3827514702.06336</v>
      </c>
      <c r="X49" s="7" t="n">
        <v>4155668504.58394</v>
      </c>
      <c r="Y49" s="7" t="n">
        <v>3895655593.34928</v>
      </c>
      <c r="Z49" s="7" t="n">
        <v>4082349717.19311</v>
      </c>
      <c r="AA49" s="7" t="n">
        <v>3676115952.16947</v>
      </c>
      <c r="AB49" s="7" t="n">
        <v>3555920203.29453</v>
      </c>
      <c r="AC49" s="7" t="n">
        <v>3289734389.46015</v>
      </c>
      <c r="AD49" s="7" t="n">
        <v>2979712908.68954</v>
      </c>
      <c r="AE49" s="7" t="n">
        <v>3283227838.70229</v>
      </c>
      <c r="AF49" s="7" t="n">
        <v>3661057688.26676</v>
      </c>
      <c r="AG49" s="7" t="n">
        <v>3824431245.0053</v>
      </c>
      <c r="AH49" s="7" t="n">
        <v>4130726428.80188</v>
      </c>
      <c r="AI49" s="7" t="n">
        <v>3593907431.17751</v>
      </c>
      <c r="AJ49" s="7" t="n">
        <v>3481921791.72034</v>
      </c>
      <c r="AK49" s="7" t="n">
        <v>3350064880.1889</v>
      </c>
      <c r="AL49" s="7" t="n">
        <v>3623944081.4767</v>
      </c>
      <c r="AM49" s="7" t="n">
        <v>3383152343.24123</v>
      </c>
      <c r="AN49" s="7" t="n">
        <v>1358412251.69317</v>
      </c>
      <c r="AO49" s="7"/>
    </row>
    <row r="50">
      <c r="A50" t="str">
        <f>M50</f>
      </c>
      <c r="B50" t="str">
        <f>N50</f>
      </c>
      <c r="C50" s="7" t="str">
        <f>AI50</f>
      </c>
      <c r="D50" s="7" t="str">
        <f>AL50</f>
      </c>
      <c r="E50" s="7" t="str">
        <f>AM50</f>
      </c>
      <c r="F50" s="7"/>
      <c r="G50" s="2" t="str">
        <f>AM50/AL50-1</f>
      </c>
      <c r="H50" s="2" t="str">
        <f>AM50/AI50-1</f>
      </c>
      <c r="I50" s="2"/>
      <c r="J50" s="2" t="str">
        <f>AM50/Sum(AM$1:AM$64)</f>
      </c>
      <c r="K50" s="2"/>
      <c r="M50" t="s">
        <v>85</v>
      </c>
      <c r="N50" t="s">
        <v>76</v>
      </c>
      <c r="O50" s="7" t="n">
        <v>15386819524.6226</v>
      </c>
      <c r="P50" s="7" t="n">
        <v>19962260538.7757</v>
      </c>
      <c r="Q50" s="7" t="n">
        <v>20028106728.8969</v>
      </c>
      <c r="R50" s="7" t="n">
        <v>19364394050.4433</v>
      </c>
      <c r="S50" s="7" t="n">
        <v>22374374567.333</v>
      </c>
      <c r="T50" s="7" t="n">
        <v>20249909894.4747</v>
      </c>
      <c r="U50" s="7" t="n">
        <v>23586728923.4745</v>
      </c>
      <c r="V50" s="7" t="n">
        <v>23510717617.4124</v>
      </c>
      <c r="W50" s="7" t="n">
        <v>25683668111.6295</v>
      </c>
      <c r="X50" s="7" t="n">
        <v>27930080141.1897</v>
      </c>
      <c r="Y50" s="7" t="n">
        <v>21732292363.1177</v>
      </c>
      <c r="Z50" s="7" t="n">
        <v>35772090839.7364</v>
      </c>
      <c r="AA50" s="7" t="n">
        <v>28714225864.3037</v>
      </c>
      <c r="AB50" s="7" t="n">
        <v>27487432782.2834</v>
      </c>
      <c r="AC50" s="7" t="n">
        <v>27810726290.3744</v>
      </c>
      <c r="AD50" s="7" t="n">
        <v>24271912600.8728</v>
      </c>
      <c r="AE50" s="7" t="n">
        <v>27572232647.4768</v>
      </c>
      <c r="AF50" s="7" t="n">
        <v>29566517873.1166</v>
      </c>
      <c r="AG50" s="7" t="n">
        <v>31616552209.6188</v>
      </c>
      <c r="AH50" s="7" t="n">
        <v>32901995959.7169</v>
      </c>
      <c r="AI50" s="7" t="n">
        <v>40713416953.2858</v>
      </c>
      <c r="AJ50" s="7" t="n">
        <v>30862354626.1619</v>
      </c>
      <c r="AK50" s="7" t="n">
        <v>30630859667.944</v>
      </c>
      <c r="AL50" s="7" t="n">
        <v>33296117801.0216</v>
      </c>
      <c r="AM50" s="7" t="n">
        <v>31020256447.0588</v>
      </c>
      <c r="AN50" s="7" t="n">
        <v>17755764547.4173</v>
      </c>
      <c r="AO50" s="7"/>
    </row>
    <row r="51">
      <c r="A51" t="str">
        <f>M51</f>
      </c>
      <c r="B51" t="str">
        <f>N51</f>
      </c>
      <c r="C51" s="7" t="str">
        <f>AI51</f>
      </c>
      <c r="D51" s="7" t="str">
        <f>AL51</f>
      </c>
      <c r="E51" s="7" t="str">
        <f>AM51</f>
      </c>
      <c r="F51" s="7"/>
      <c r="G51" s="2" t="str">
        <f>AM51/AL51-1</f>
      </c>
      <c r="H51" s="2" t="str">
        <f>AM51/AI51-1</f>
      </c>
      <c r="I51" s="2"/>
      <c r="J51" s="2" t="str">
        <f>AM51/Sum(AM$1:AM$64)</f>
      </c>
      <c r="K51" s="2"/>
      <c r="M51" t="s">
        <v>85</v>
      </c>
      <c r="N51" t="s">
        <v>77</v>
      </c>
      <c r="O51" s="7" t="n">
        <v>190346650.942809</v>
      </c>
      <c r="P51" s="7" t="n">
        <v>244257775.991948</v>
      </c>
      <c r="Q51" s="7" t="n">
        <v>193412441.221857</v>
      </c>
      <c r="R51" s="7" t="n">
        <v>597654907.840678</v>
      </c>
      <c r="S51" s="7" t="n">
        <v>875359864.232777</v>
      </c>
      <c r="T51" s="7" t="n">
        <v>1438124002.34398</v>
      </c>
      <c r="U51" s="7" t="n">
        <v>1523596154.52834</v>
      </c>
      <c r="V51" s="7" t="n">
        <v>1877761360.34276</v>
      </c>
      <c r="W51" s="7" t="n">
        <v>1336631160.91236</v>
      </c>
      <c r="X51" s="7" t="n">
        <v>1605215425.08743</v>
      </c>
      <c r="Y51" s="7" t="n">
        <v>994716949.947493</v>
      </c>
      <c r="Z51" s="7" t="n">
        <v>1462553170.07277</v>
      </c>
      <c r="AA51" s="7" t="n">
        <v>801336733.303235</v>
      </c>
      <c r="AB51" s="7" t="n">
        <v>1107250363.22969</v>
      </c>
      <c r="AC51" s="7" t="n">
        <v>559773380.136188</v>
      </c>
      <c r="AD51" s="7" t="n">
        <v>394056224.991556</v>
      </c>
      <c r="AE51" s="7" t="n">
        <v>404462971.412177</v>
      </c>
      <c r="AF51" s="7" t="n">
        <v>279498603.663731</v>
      </c>
      <c r="AG51" s="7" t="n">
        <v>329385338.200727</v>
      </c>
      <c r="AH51" s="7" t="n">
        <v>623686471.359443</v>
      </c>
      <c r="AI51" s="7" t="n">
        <v>701452922.737276</v>
      </c>
      <c r="AJ51" s="7" t="n">
        <v>92007195.8838426</v>
      </c>
      <c r="AK51" s="7" t="n">
        <v>182669324.050985</v>
      </c>
      <c r="AL51" s="7" t="n">
        <v>203585165.3616</v>
      </c>
      <c r="AM51" s="7" t="n">
        <v>283413600.213657</v>
      </c>
      <c r="AN51" s="7" t="n">
        <v>147572339.813304</v>
      </c>
      <c r="AO51" s="7"/>
    </row>
    <row r="52">
      <c r="A52" t="str">
        <f>M52</f>
      </c>
      <c r="B52" t="str">
        <f>N52</f>
      </c>
      <c r="C52" s="7" t="str">
        <f>AI52</f>
      </c>
      <c r="D52" s="7" t="str">
        <f>AL52</f>
      </c>
      <c r="E52" s="7" t="str">
        <f>AM52</f>
      </c>
      <c r="F52" s="7"/>
      <c r="G52" s="2" t="str">
        <f>AM52/AL52-1</f>
      </c>
      <c r="H52" s="2" t="str">
        <f>AM52/AI52-1</f>
      </c>
      <c r="I52" s="2"/>
      <c r="J52" s="2" t="str">
        <f>AM52/Sum(AM$1:AM$64)</f>
      </c>
      <c r="K52" s="2"/>
      <c r="M52" t="s">
        <v>85</v>
      </c>
      <c r="N52" t="s">
        <v>78</v>
      </c>
      <c r="O52" s="7" t="n">
        <v>37735.6179428428</v>
      </c>
      <c r="P52" s="7" t="n">
        <v>510715.848549818</v>
      </c>
      <c r="Q52" s="7" t="n">
        <v>66427622.6770211</v>
      </c>
      <c r="R52" s="7" t="n">
        <v>4749392.54890523</v>
      </c>
      <c r="S52" s="7" t="n">
        <v>59355.7055940535</v>
      </c>
      <c r="T52" s="7" t="n">
        <v>623518.299709424</v>
      </c>
      <c r="U52" s="7" t="n">
        <v>9960992.13596285</v>
      </c>
      <c r="V52" s="7" t="n">
        <v>-3436.13883172027</v>
      </c>
      <c r="W52" s="7" t="n">
        <v>0</v>
      </c>
      <c r="X52" s="7" t="n">
        <v>66145.6279447405</v>
      </c>
      <c r="Y52" s="7" t="n">
        <v>-1870.25178343583</v>
      </c>
      <c r="Z52" s="7" t="n">
        <v>-6625.43332081168</v>
      </c>
      <c r="AA52" s="7"/>
      <c r="AB52" s="7"/>
      <c r="AC52" s="7"/>
      <c r="AD52" s="7" t="n">
        <v>37536.9003683804</v>
      </c>
      <c r="AE52" s="7" t="n">
        <v>2157.67476297287</v>
      </c>
      <c r="AF52" s="7" t="n">
        <v>39062.4000075039</v>
      </c>
      <c r="AG52" s="7" t="n">
        <v>24128.2425049737</v>
      </c>
      <c r="AH52" s="7" t="n">
        <v>0</v>
      </c>
      <c r="AI52" s="7" t="n">
        <v>11573.9072704938</v>
      </c>
      <c r="AJ52" s="7" t="n">
        <v>11188.817598517</v>
      </c>
      <c r="AK52" s="7" t="n">
        <v>169459.261837094</v>
      </c>
      <c r="AL52" s="7" t="n">
        <v>476853.46</v>
      </c>
      <c r="AM52" s="7" t="n">
        <v>518096.695857588</v>
      </c>
      <c r="AN52" s="7" t="n">
        <v>96433.2032359537</v>
      </c>
      <c r="AO52" s="7"/>
    </row>
    <row r="53">
      <c r="A53" t="str">
        <f>M53</f>
      </c>
      <c r="B53" t="str">
        <f>N53</f>
      </c>
      <c r="C53" s="7" t="str">
        <f>AI53</f>
      </c>
      <c r="D53" s="7" t="str">
        <f>AL53</f>
      </c>
      <c r="E53" s="7" t="str">
        <f>AM53</f>
      </c>
      <c r="F53" s="7"/>
      <c r="G53" s="2" t="str">
        <f>AM53/AL53-1</f>
      </c>
      <c r="H53" s="2" t="str">
        <f>AM53/AI53-1</f>
      </c>
      <c r="I53" s="2"/>
      <c r="J53" s="2" t="str">
        <f>AM53/Sum(AM$1:AM$64)</f>
      </c>
      <c r="K53" s="2"/>
      <c r="M53" t="s">
        <v>86</v>
      </c>
      <c r="N53" t="s">
        <v>67</v>
      </c>
      <c r="O53" s="7" t="n">
        <v>267681531.417425</v>
      </c>
      <c r="P53" s="7" t="n">
        <v>257675673.617287</v>
      </c>
      <c r="Q53" s="7" t="n">
        <v>394291193.644608</v>
      </c>
      <c r="R53" s="7" t="n">
        <v>473375037.511553</v>
      </c>
      <c r="S53" s="7" t="n">
        <v>691162762.888084</v>
      </c>
      <c r="T53" s="7" t="n">
        <v>656096949.356093</v>
      </c>
      <c r="U53" s="7" t="n">
        <v>639300407.454414</v>
      </c>
      <c r="V53" s="7" t="n">
        <v>775964114.828947</v>
      </c>
      <c r="W53" s="7" t="n">
        <v>1088626512.89315</v>
      </c>
      <c r="X53" s="7" t="n">
        <v>1203731454.87759</v>
      </c>
      <c r="Y53" s="7" t="n">
        <v>952239323.144119</v>
      </c>
      <c r="Z53" s="7" t="n">
        <v>1318440739.24791</v>
      </c>
      <c r="AA53" s="7" t="n">
        <v>940946531.103952</v>
      </c>
      <c r="AB53" s="7" t="n">
        <v>730196270.713487</v>
      </c>
      <c r="AC53" s="7" t="n">
        <v>578901548.084762</v>
      </c>
      <c r="AD53" s="7" t="n">
        <v>590795289.818942</v>
      </c>
      <c r="AE53" s="7" t="n">
        <v>642203505.343452</v>
      </c>
      <c r="AF53" s="7" t="n">
        <v>1008761329.15002</v>
      </c>
      <c r="AG53" s="7" t="n">
        <v>1377413207.85183</v>
      </c>
      <c r="AH53" s="7" t="n">
        <v>1170674104.10138</v>
      </c>
      <c r="AI53" s="7" t="n">
        <v>1139072612.34923</v>
      </c>
      <c r="AJ53" s="7" t="n">
        <v>1511024130.27631</v>
      </c>
      <c r="AK53" s="7" t="n">
        <v>1216113566.55842</v>
      </c>
      <c r="AL53" s="7" t="n">
        <v>996424070.2795</v>
      </c>
      <c r="AM53" s="7" t="n">
        <v>1337257297.57797</v>
      </c>
      <c r="AN53" s="7" t="n">
        <v>680859069.902884</v>
      </c>
      <c r="AO53" s="7"/>
    </row>
    <row r="54">
      <c r="A54" t="str">
        <f>M54</f>
      </c>
      <c r="B54" t="str">
        <f>N54</f>
      </c>
      <c r="C54" s="7" t="str">
        <f>AI54</f>
      </c>
      <c r="D54" s="7" t="str">
        <f>AL54</f>
      </c>
      <c r="E54" s="7" t="str">
        <f>AM54</f>
      </c>
      <c r="F54" s="7"/>
      <c r="G54" s="2" t="str">
        <f>AM54/AL54-1</f>
      </c>
      <c r="H54" s="2" t="str">
        <f>AM54/AI54-1</f>
      </c>
      <c r="I54" s="2"/>
      <c r="J54" s="2" t="str">
        <f>AM54/Sum(AM$1:AM$64)</f>
      </c>
      <c r="K54" s="2"/>
      <c r="M54" t="s">
        <v>86</v>
      </c>
      <c r="N54" t="s">
        <v>68</v>
      </c>
      <c r="O54" s="7" t="n">
        <v>4255511966.78553</v>
      </c>
      <c r="P54" s="7" t="n">
        <v>5093307137.14007</v>
      </c>
      <c r="Q54" s="7" t="n">
        <v>6067600691.3538</v>
      </c>
      <c r="R54" s="7" t="n">
        <v>7338404809.92346</v>
      </c>
      <c r="S54" s="7" t="n">
        <v>7828804759.12763</v>
      </c>
      <c r="T54" s="7" t="n">
        <v>8233173482.82596</v>
      </c>
      <c r="U54" s="7" t="n">
        <v>8094561921.42093</v>
      </c>
      <c r="V54" s="7" t="n">
        <v>7790156094.31261</v>
      </c>
      <c r="W54" s="7" t="n">
        <v>7711016630.45978</v>
      </c>
      <c r="X54" s="7" t="n">
        <v>8621912764.73495</v>
      </c>
      <c r="Y54" s="7" t="n">
        <v>10316730851.0304</v>
      </c>
      <c r="Z54" s="7" t="n">
        <v>10632274937.0326</v>
      </c>
      <c r="AA54" s="7" t="n">
        <v>10563228217.9687</v>
      </c>
      <c r="AB54" s="7" t="n">
        <v>8898347248.64241</v>
      </c>
      <c r="AC54" s="7" t="n">
        <v>9676555861.84912</v>
      </c>
      <c r="AD54" s="7" t="n">
        <v>9185017270.91292</v>
      </c>
      <c r="AE54" s="7" t="n">
        <v>10047711657.9866</v>
      </c>
      <c r="AF54" s="7" t="n">
        <v>10891987102.0623</v>
      </c>
      <c r="AG54" s="7" t="n">
        <v>12128090628.7112</v>
      </c>
      <c r="AH54" s="7" t="n">
        <v>13855076254.8852</v>
      </c>
      <c r="AI54" s="7" t="n">
        <v>14099373245.288</v>
      </c>
      <c r="AJ54" s="7" t="n">
        <v>11675348292.1981</v>
      </c>
      <c r="AK54" s="7" t="n">
        <v>11548435609.4242</v>
      </c>
      <c r="AL54" s="7" t="n">
        <v>10751720861.0959</v>
      </c>
      <c r="AM54" s="7" t="n">
        <v>10342607335.6553</v>
      </c>
      <c r="AN54" s="7" t="n">
        <v>4449158824.84622</v>
      </c>
      <c r="AO54" s="7"/>
    </row>
    <row r="55">
      <c r="A55" t="str">
        <f>M55</f>
      </c>
      <c r="B55" t="str">
        <f>N55</f>
      </c>
      <c r="C55" s="7" t="str">
        <f>AI55</f>
      </c>
      <c r="D55" s="7" t="str">
        <f>AL55</f>
      </c>
      <c r="E55" s="7" t="str">
        <f>AM55</f>
      </c>
      <c r="F55" s="7"/>
      <c r="G55" s="2" t="str">
        <f>AM55/AL55-1</f>
      </c>
      <c r="H55" s="2" t="str">
        <f>AM55/AI55-1</f>
      </c>
      <c r="I55" s="2"/>
      <c r="J55" s="2" t="str">
        <f>AM55/Sum(AM$1:AM$64)</f>
      </c>
      <c r="K55" s="2"/>
      <c r="M55" t="s">
        <v>86</v>
      </c>
      <c r="N55" t="s">
        <v>69</v>
      </c>
      <c r="O55" s="7" t="n">
        <v>813649112.210915</v>
      </c>
      <c r="P55" s="7" t="n">
        <v>894917699.706487</v>
      </c>
      <c r="Q55" s="7" t="n">
        <v>1826477436.44804</v>
      </c>
      <c r="R55" s="7" t="n">
        <v>1701750315.78371</v>
      </c>
      <c r="S55" s="7" t="n">
        <v>1411872752.72233</v>
      </c>
      <c r="T55" s="7" t="n">
        <v>1106526650.03177</v>
      </c>
      <c r="U55" s="7" t="n">
        <v>1171759268.21297</v>
      </c>
      <c r="V55" s="7" t="n">
        <v>714697585.669326</v>
      </c>
      <c r="W55" s="7" t="n">
        <v>621148789.886983</v>
      </c>
      <c r="X55" s="7" t="n">
        <v>769732691.254607</v>
      </c>
      <c r="Y55" s="7" t="n">
        <v>696841677.158577</v>
      </c>
      <c r="Z55" s="7" t="n">
        <v>468160229.397552</v>
      </c>
      <c r="AA55" s="7" t="n">
        <v>488153638.516468</v>
      </c>
      <c r="AB55" s="7" t="n">
        <v>448958262.794657</v>
      </c>
      <c r="AC55" s="7" t="n">
        <v>384629984.869628</v>
      </c>
      <c r="AD55" s="7" t="n">
        <v>455655771.384391</v>
      </c>
      <c r="AE55" s="7" t="n">
        <v>418676525.708231</v>
      </c>
      <c r="AF55" s="7" t="n">
        <v>414213960.703033</v>
      </c>
      <c r="AG55" s="7" t="n">
        <v>477567763.751545</v>
      </c>
      <c r="AH55" s="7" t="n">
        <v>506365275.321733</v>
      </c>
      <c r="AI55" s="7" t="n">
        <v>481171663.69056</v>
      </c>
      <c r="AJ55" s="7" t="n">
        <v>541712599.52912</v>
      </c>
      <c r="AK55" s="7" t="n">
        <v>492104777.780689</v>
      </c>
      <c r="AL55" s="7" t="n">
        <v>645410105.3493</v>
      </c>
      <c r="AM55" s="7" t="n">
        <v>706968527.965769</v>
      </c>
      <c r="AN55" s="7" t="n">
        <v>219856479.495138</v>
      </c>
      <c r="AO55" s="7"/>
    </row>
    <row r="56">
      <c r="A56" t="str">
        <f>M56</f>
      </c>
      <c r="B56" t="str">
        <f>N56</f>
      </c>
      <c r="C56" s="7" t="str">
        <f>AI56</f>
      </c>
      <c r="D56" s="7" t="str">
        <f>AL56</f>
      </c>
      <c r="E56" s="7" t="str">
        <f>AM56</f>
      </c>
      <c r="F56" s="7"/>
      <c r="G56" s="2" t="str">
        <f>AM56/AL56-1</f>
      </c>
      <c r="H56" s="2" t="str">
        <f>AM56/AI56-1</f>
      </c>
      <c r="I56" s="2"/>
      <c r="J56" s="2" t="str">
        <f>AM56/Sum(AM$1:AM$64)</f>
      </c>
      <c r="K56" s="2"/>
      <c r="M56" t="s">
        <v>86</v>
      </c>
      <c r="N56" t="s">
        <v>70</v>
      </c>
      <c r="O56" s="7" t="n">
        <v>16827661.3504775</v>
      </c>
      <c r="P56" s="7" t="n">
        <v>8289977.71980397</v>
      </c>
      <c r="Q56" s="7" t="n">
        <v>26087601.6852473</v>
      </c>
      <c r="R56" s="7" t="n">
        <v>37007019.884036</v>
      </c>
      <c r="S56" s="7" t="n">
        <v>45392017.2626079</v>
      </c>
      <c r="T56" s="7" t="n">
        <v>42546386.109462</v>
      </c>
      <c r="U56" s="7" t="n">
        <v>29975208.3486569</v>
      </c>
      <c r="V56" s="7" t="n">
        <v>39673718.3982262</v>
      </c>
      <c r="W56" s="7" t="n">
        <v>45571324.386238</v>
      </c>
      <c r="X56" s="7" t="n">
        <v>141926279.194986</v>
      </c>
      <c r="Y56" s="7" t="n">
        <v>-144441108.880939</v>
      </c>
      <c r="Z56" s="7" t="n">
        <v>-123531029.665468</v>
      </c>
      <c r="AA56" s="7" t="n">
        <v>38939572.2675586</v>
      </c>
      <c r="AB56" s="7" t="n">
        <v>29843743.9144974</v>
      </c>
      <c r="AC56" s="7" t="n">
        <v>40929160.9755079</v>
      </c>
      <c r="AD56" s="7" t="n">
        <v>85271910.5362383</v>
      </c>
      <c r="AE56" s="7" t="n">
        <v>65380074.7157278</v>
      </c>
      <c r="AF56" s="7" t="n">
        <v>154829798.414078</v>
      </c>
      <c r="AG56" s="7" t="n">
        <v>164625967.908817</v>
      </c>
      <c r="AH56" s="7" t="n">
        <v>173812113.147275</v>
      </c>
      <c r="AI56" s="7" t="n">
        <v>151771003.99266</v>
      </c>
      <c r="AJ56" s="7" t="n">
        <v>35159677.4543831</v>
      </c>
      <c r="AK56" s="7" t="n">
        <v>50264630.0459971</v>
      </c>
      <c r="AL56" s="7" t="n">
        <v>22179768.0786</v>
      </c>
      <c r="AM56" s="7" t="n">
        <v>16863368.8245325</v>
      </c>
      <c r="AN56" s="7" t="n">
        <v>-2479915.82042125</v>
      </c>
      <c r="AO56" s="7"/>
    </row>
    <row r="57">
      <c r="A57" t="str">
        <f>M57</f>
      </c>
      <c r="B57" t="str">
        <f>N57</f>
      </c>
      <c r="C57" s="7" t="str">
        <f>AI57</f>
      </c>
      <c r="D57" s="7" t="str">
        <f>AL57</f>
      </c>
      <c r="E57" s="7" t="str">
        <f>AM57</f>
      </c>
      <c r="F57" s="7"/>
      <c r="G57" s="2" t="str">
        <f>AM57/AL57-1</f>
      </c>
      <c r="H57" s="2" t="str">
        <f>AM57/AI57-1</f>
      </c>
      <c r="I57" s="2"/>
      <c r="J57" s="2" t="str">
        <f>AM57/Sum(AM$1:AM$64)</f>
      </c>
      <c r="K57" s="2"/>
      <c r="M57" t="s">
        <v>86</v>
      </c>
      <c r="N57" t="s">
        <v>71</v>
      </c>
      <c r="O57" s="7" t="n">
        <v>1664361.657463</v>
      </c>
      <c r="P57" s="7"/>
      <c r="Q57" s="7"/>
      <c r="R57" s="7"/>
      <c r="S57" s="7"/>
      <c r="T57" s="7" t="n">
        <v>328641.219077568</v>
      </c>
      <c r="U57" s="7" t="n">
        <v>8957.03717910909</v>
      </c>
      <c r="V57" s="7"/>
      <c r="W57" s="7" t="n">
        <v>-1034610.17240254</v>
      </c>
      <c r="X57" s="7" t="n">
        <v>-1555116.25252212</v>
      </c>
      <c r="Y57" s="7" t="n">
        <v>-44605069.958027</v>
      </c>
      <c r="Z57" s="7" t="n">
        <v>-21451977.8659975</v>
      </c>
      <c r="AA57" s="7" t="n">
        <v>-15826757.2716672</v>
      </c>
      <c r="AB57" s="7" t="n">
        <v>-8718909.145665</v>
      </c>
      <c r="AC57" s="7" t="n">
        <v>-32447780.0036407</v>
      </c>
      <c r="AD57" s="7" t="n">
        <v>-12301206.8774118</v>
      </c>
      <c r="AE57" s="7" t="n">
        <v>-5316227.78930825</v>
      </c>
      <c r="AF57" s="7" t="n">
        <v>-5371913.21740476</v>
      </c>
      <c r="AG57" s="7" t="n">
        <v>-10818636.8823573</v>
      </c>
      <c r="AH57" s="7" t="n">
        <v>-11661562.2062969</v>
      </c>
      <c r="AI57" s="7" t="n">
        <v>-6615799.45667265</v>
      </c>
      <c r="AJ57" s="7" t="n">
        <v>-3813728.19415814</v>
      </c>
      <c r="AK57" s="7" t="n">
        <v>4245590.38255636</v>
      </c>
      <c r="AL57" s="7" t="n">
        <v>528349.2402</v>
      </c>
      <c r="AM57" s="7" t="n">
        <v>-5234847.96311522</v>
      </c>
      <c r="AN57" s="7" t="n">
        <v>2309713.03231996</v>
      </c>
      <c r="AO57" s="7"/>
    </row>
    <row r="58">
      <c r="A58" t="str">
        <f>M58</f>
      </c>
      <c r="B58" t="str">
        <f>N58</f>
      </c>
      <c r="C58" s="7" t="str">
        <f>AI58</f>
      </c>
      <c r="D58" s="7" t="str">
        <f>AL58</f>
      </c>
      <c r="E58" s="7" t="str">
        <f>AM58</f>
      </c>
      <c r="F58" s="7"/>
      <c r="G58" s="2" t="str">
        <f>AM58/AL58-1</f>
      </c>
      <c r="H58" s="2" t="str">
        <f>AM58/AI58-1</f>
      </c>
      <c r="I58" s="2"/>
      <c r="J58" s="2" t="str">
        <f>AM58/Sum(AM$1:AM$64)</f>
      </c>
      <c r="K58" s="2"/>
      <c r="M58" t="s">
        <v>86</v>
      </c>
      <c r="N58" t="s">
        <v>72</v>
      </c>
      <c r="O58" s="7" t="n">
        <v>25042854.6648316</v>
      </c>
      <c r="P58" s="7" t="n">
        <v>68660448.7619505</v>
      </c>
      <c r="Q58" s="7" t="n">
        <v>220924091.101749</v>
      </c>
      <c r="R58" s="7" t="n">
        <v>171367743.453604</v>
      </c>
      <c r="S58" s="7" t="n">
        <v>300261265.397957</v>
      </c>
      <c r="T58" s="7" t="n">
        <v>122668773.378275</v>
      </c>
      <c r="U58" s="7" t="n">
        <v>208170957.151001</v>
      </c>
      <c r="V58" s="7" t="n">
        <v>120324516.763776</v>
      </c>
      <c r="W58" s="7" t="n">
        <v>76088480.6342818</v>
      </c>
      <c r="X58" s="7" t="n">
        <v>78352904.2528215</v>
      </c>
      <c r="Y58" s="7" t="n">
        <v>22320577.4385775</v>
      </c>
      <c r="Z58" s="7" t="n">
        <v>59007476.5997561</v>
      </c>
      <c r="AA58" s="7" t="n">
        <v>44072698.1492134</v>
      </c>
      <c r="AB58" s="7" t="n">
        <v>9660386.76927565</v>
      </c>
      <c r="AC58" s="7" t="n">
        <v>50210261.2863724</v>
      </c>
      <c r="AD58" s="7" t="n">
        <v>129480942.397191</v>
      </c>
      <c r="AE58" s="7" t="n">
        <v>170282097.917489</v>
      </c>
      <c r="AF58" s="7" t="n">
        <v>111807475.501982</v>
      </c>
      <c r="AG58" s="7" t="n">
        <v>26762363.1492839</v>
      </c>
      <c r="AH58" s="7" t="n">
        <v>137029954.677699</v>
      </c>
      <c r="AI58" s="7" t="n">
        <v>55861954.5964599</v>
      </c>
      <c r="AJ58" s="7" t="n">
        <v>80224424.1744394</v>
      </c>
      <c r="AK58" s="7" t="n">
        <v>14736562.5495632</v>
      </c>
      <c r="AL58" s="7" t="n">
        <v>58786234.3521</v>
      </c>
      <c r="AM58" s="7" t="n">
        <v>30218331.7352971</v>
      </c>
      <c r="AN58" s="7" t="n">
        <v>-21418480.0861866</v>
      </c>
      <c r="AO58" s="7"/>
    </row>
    <row r="59">
      <c r="A59" t="str">
        <f>M59</f>
      </c>
      <c r="B59" t="str">
        <f>N59</f>
      </c>
      <c r="C59" s="7" t="str">
        <f>AI59</f>
      </c>
      <c r="D59" s="7" t="str">
        <f>AL59</f>
      </c>
      <c r="E59" s="7" t="str">
        <f>AM59</f>
      </c>
      <c r="F59" s="7"/>
      <c r="G59" s="2" t="str">
        <f>AM59/AL59-1</f>
      </c>
      <c r="H59" s="2" t="str">
        <f>AM59/AI59-1</f>
      </c>
      <c r="I59" s="2"/>
      <c r="J59" s="2" t="str">
        <f>AM59/Sum(AM$1:AM$64)</f>
      </c>
      <c r="K59" s="2"/>
      <c r="M59" t="s">
        <v>86</v>
      </c>
      <c r="N59" t="s">
        <v>73</v>
      </c>
      <c r="O59" s="7" t="n">
        <v>316324515.053809</v>
      </c>
      <c r="P59" s="7" t="n">
        <v>300443307.619354</v>
      </c>
      <c r="Q59" s="7" t="n">
        <v>410174741.993081</v>
      </c>
      <c r="R59" s="7" t="n">
        <v>715422325.217232</v>
      </c>
      <c r="S59" s="7" t="n">
        <v>1215698375.10421</v>
      </c>
      <c r="T59" s="7" t="n">
        <v>1081316422.072</v>
      </c>
      <c r="U59" s="7" t="n">
        <v>864789224.130005</v>
      </c>
      <c r="V59" s="7" t="n">
        <v>80311985.2065148</v>
      </c>
      <c r="W59" s="7" t="n">
        <v>148404809.33053</v>
      </c>
      <c r="X59" s="7" t="n">
        <v>60364234.4598804</v>
      </c>
      <c r="Y59" s="7" t="n">
        <v>36632979.1715299</v>
      </c>
      <c r="Z59" s="7" t="n">
        <v>40925877.9421055</v>
      </c>
      <c r="AA59" s="7" t="n">
        <v>59486716.3560942</v>
      </c>
      <c r="AB59" s="7" t="n">
        <v>31073056.5817852</v>
      </c>
      <c r="AC59" s="7" t="n">
        <v>73072368.141376</v>
      </c>
      <c r="AD59" s="7" t="n">
        <v>240977791.272127</v>
      </c>
      <c r="AE59" s="7" t="n">
        <v>187156373.567651</v>
      </c>
      <c r="AF59" s="7" t="n">
        <v>165407456.153033</v>
      </c>
      <c r="AG59" s="7" t="n">
        <v>158848766.833742</v>
      </c>
      <c r="AH59" s="7" t="n">
        <v>140588261.321533</v>
      </c>
      <c r="AI59" s="7" t="n">
        <v>138839409.185621</v>
      </c>
      <c r="AJ59" s="7" t="n">
        <v>82779522.4786747</v>
      </c>
      <c r="AK59" s="7" t="n">
        <v>164982455.811078</v>
      </c>
      <c r="AL59" s="7" t="n">
        <v>49709892.4418</v>
      </c>
      <c r="AM59" s="7" t="n">
        <v>455364249.633655</v>
      </c>
      <c r="AN59" s="7" t="n">
        <v>104616868.713389</v>
      </c>
      <c r="AO59" s="7"/>
    </row>
    <row r="60">
      <c r="A60" t="str">
        <f>M60</f>
      </c>
      <c r="B60" t="str">
        <f>N60</f>
      </c>
      <c r="C60" s="7" t="str">
        <f>AI60</f>
      </c>
      <c r="D60" s="7" t="str">
        <f>AL60</f>
      </c>
      <c r="E60" s="7" t="str">
        <f>AM60</f>
      </c>
      <c r="F60" s="7"/>
      <c r="G60" s="2" t="str">
        <f>AM60/AL60-1</f>
      </c>
      <c r="H60" s="2" t="str">
        <f>AM60/AI60-1</f>
      </c>
      <c r="I60" s="2"/>
      <c r="J60" s="2" t="str">
        <f>AM60/Sum(AM$1:AM$64)</f>
      </c>
      <c r="K60" s="2"/>
      <c r="M60" t="s">
        <v>86</v>
      </c>
      <c r="N60" t="s">
        <v>74</v>
      </c>
      <c r="O60" s="7" t="n">
        <v>1536881857.0059</v>
      </c>
      <c r="P60" s="7" t="n">
        <v>1458448947.46427</v>
      </c>
      <c r="Q60" s="7" t="n">
        <v>2170186014.83019</v>
      </c>
      <c r="R60" s="7" t="n">
        <v>2704103162.99542</v>
      </c>
      <c r="S60" s="7" t="n">
        <v>2875051986.08494</v>
      </c>
      <c r="T60" s="7" t="n">
        <v>3976822661.81727</v>
      </c>
      <c r="U60" s="7" t="n">
        <v>4616616740.19535</v>
      </c>
      <c r="V60" s="7" t="n">
        <v>3033905159.54382</v>
      </c>
      <c r="W60" s="7" t="n">
        <v>3390577044.12623</v>
      </c>
      <c r="X60" s="7" t="n">
        <v>3798177894.43117</v>
      </c>
      <c r="Y60" s="7" t="n">
        <v>4410837518.78182</v>
      </c>
      <c r="Z60" s="7" t="n">
        <v>4296698766.26101</v>
      </c>
      <c r="AA60" s="7" t="n">
        <v>4231003488.47476</v>
      </c>
      <c r="AB60" s="7" t="n">
        <v>4469793345.95349</v>
      </c>
      <c r="AC60" s="7" t="n">
        <v>5009362244.81762</v>
      </c>
      <c r="AD60" s="7" t="n">
        <v>5364089126.55331</v>
      </c>
      <c r="AE60" s="7" t="n">
        <v>5547321612.59716</v>
      </c>
      <c r="AF60" s="7" t="n">
        <v>5565884778.54202</v>
      </c>
      <c r="AG60" s="7" t="n">
        <v>5851931835.17912</v>
      </c>
      <c r="AH60" s="7" t="n">
        <v>6993248777.40247</v>
      </c>
      <c r="AI60" s="7" t="n">
        <v>7837846525.97298</v>
      </c>
      <c r="AJ60" s="7" t="n">
        <v>8656681518.00552</v>
      </c>
      <c r="AK60" s="7" t="n">
        <v>8356191270.69022</v>
      </c>
      <c r="AL60" s="7" t="n">
        <v>9773375544.8909</v>
      </c>
      <c r="AM60" s="7" t="n">
        <v>10312717766.929</v>
      </c>
      <c r="AN60" s="7" t="n">
        <v>4331005890.08146</v>
      </c>
      <c r="AO60" s="7"/>
    </row>
    <row r="61">
      <c r="A61" t="str">
        <f>M61</f>
      </c>
      <c r="B61" t="str">
        <f>N61</f>
      </c>
      <c r="C61" s="7" t="str">
        <f>AI61</f>
      </c>
      <c r="D61" s="7" t="str">
        <f>AL61</f>
      </c>
      <c r="E61" s="7" t="str">
        <f>AM61</f>
      </c>
      <c r="F61" s="7"/>
      <c r="G61" s="2" t="str">
        <f>AM61/AL61-1</f>
      </c>
      <c r="H61" s="2" t="str">
        <f>AM61/AI61-1</f>
      </c>
      <c r="I61" s="2"/>
      <c r="J61" s="2" t="str">
        <f>AM61/Sum(AM$1:AM$64)</f>
      </c>
      <c r="K61" s="2"/>
      <c r="M61" t="s">
        <v>86</v>
      </c>
      <c r="N61" t="s">
        <v>75</v>
      </c>
      <c r="O61" s="7" t="n">
        <v>2655041902.96939</v>
      </c>
      <c r="P61" s="7" t="n">
        <v>4153646807.18915</v>
      </c>
      <c r="Q61" s="7" t="n">
        <v>7159740533.6541</v>
      </c>
      <c r="R61" s="7" t="n">
        <v>9907640381.78023</v>
      </c>
      <c r="S61" s="7" t="n">
        <v>8536947586.51359</v>
      </c>
      <c r="T61" s="7" t="n">
        <v>10395741097.5964</v>
      </c>
      <c r="U61" s="7" t="n">
        <v>12393331029.4075</v>
      </c>
      <c r="V61" s="7" t="n">
        <v>13604357507.6573</v>
      </c>
      <c r="W61" s="7" t="n">
        <v>19091698376.3995</v>
      </c>
      <c r="X61" s="7" t="n">
        <v>22360592738.0812</v>
      </c>
      <c r="Y61" s="7" t="n">
        <v>21574737930.8812</v>
      </c>
      <c r="Z61" s="7" t="n">
        <v>25660734668.4233</v>
      </c>
      <c r="AA61" s="7" t="n">
        <v>26060901445.5241</v>
      </c>
      <c r="AB61" s="7" t="n">
        <v>22809344763.1133</v>
      </c>
      <c r="AC61" s="7" t="n">
        <v>21610857475.9886</v>
      </c>
      <c r="AD61" s="7" t="n">
        <v>19029404092.221</v>
      </c>
      <c r="AE61" s="7" t="n">
        <v>18909839518.7668</v>
      </c>
      <c r="AF61" s="7" t="n">
        <v>19604515944.0326</v>
      </c>
      <c r="AG61" s="7" t="n">
        <v>20280498856.2922</v>
      </c>
      <c r="AH61" s="7" t="n">
        <v>21315509947.5133</v>
      </c>
      <c r="AI61" s="7" t="n">
        <v>21414149474.8838</v>
      </c>
      <c r="AJ61" s="7" t="n">
        <v>20203358948.3587</v>
      </c>
      <c r="AK61" s="7" t="n">
        <v>20736459004.2558</v>
      </c>
      <c r="AL61" s="7" t="n">
        <v>20595109889.373</v>
      </c>
      <c r="AM61" s="7" t="n">
        <v>20776490540.1721</v>
      </c>
      <c r="AN61" s="7" t="n">
        <v>10457321910.9304</v>
      </c>
      <c r="AO61" s="7"/>
    </row>
    <row r="62">
      <c r="A62" t="str">
        <f>M62</f>
      </c>
      <c r="B62" t="str">
        <f>N62</f>
      </c>
      <c r="C62" s="7" t="str">
        <f>AI62</f>
      </c>
      <c r="D62" s="7" t="str">
        <f>AL62</f>
      </c>
      <c r="E62" s="7" t="str">
        <f>AM62</f>
      </c>
      <c r="F62" s="7"/>
      <c r="G62" s="2" t="str">
        <f>AM62/AL62-1</f>
      </c>
      <c r="H62" s="2" t="str">
        <f>AM62/AI62-1</f>
      </c>
      <c r="I62" s="2"/>
      <c r="J62" s="2" t="str">
        <f>AM62/Sum(AM$1:AM$64)</f>
      </c>
      <c r="K62" s="2"/>
      <c r="M62" t="s">
        <v>86</v>
      </c>
      <c r="N62" t="s">
        <v>76</v>
      </c>
      <c r="O62" s="7" t="n">
        <v>119607407.077138</v>
      </c>
      <c r="P62" s="7" t="n">
        <v>66861368.0703486</v>
      </c>
      <c r="Q62" s="7" t="n">
        <v>53926339.0513416</v>
      </c>
      <c r="R62" s="7" t="n">
        <v>33817607.4899958</v>
      </c>
      <c r="S62" s="7" t="n">
        <v>31083657.3959328</v>
      </c>
      <c r="T62" s="7" t="n">
        <v>52076985.3779036</v>
      </c>
      <c r="U62" s="7" t="n">
        <v>36593534.5535057</v>
      </c>
      <c r="V62" s="7" t="n">
        <v>80913612.4015973</v>
      </c>
      <c r="W62" s="7" t="n">
        <v>140177899.754818</v>
      </c>
      <c r="X62" s="7" t="n">
        <v>164758536.389625</v>
      </c>
      <c r="Y62" s="7" t="n">
        <v>199210277.584961</v>
      </c>
      <c r="Z62" s="7" t="n">
        <v>197480310.290064</v>
      </c>
      <c r="AA62" s="7" t="n">
        <v>220024975.348223</v>
      </c>
      <c r="AB62" s="7" t="n">
        <v>133611098.988769</v>
      </c>
      <c r="AC62" s="7" t="n">
        <v>155840186.237152</v>
      </c>
      <c r="AD62" s="7" t="n">
        <v>140940174.44306</v>
      </c>
      <c r="AE62" s="7" t="n">
        <v>149915417.63614</v>
      </c>
      <c r="AF62" s="7" t="n">
        <v>166045382.64921</v>
      </c>
      <c r="AG62" s="7" t="n">
        <v>150616996.14393</v>
      </c>
      <c r="AH62" s="7" t="n">
        <v>120695859.497221</v>
      </c>
      <c r="AI62" s="7" t="n">
        <v>108148956.871747</v>
      </c>
      <c r="AJ62" s="7" t="n">
        <v>43286553.9127447</v>
      </c>
      <c r="AK62" s="7" t="n">
        <v>23968909.2107361</v>
      </c>
      <c r="AL62" s="7" t="n">
        <v>41916296.0175</v>
      </c>
      <c r="AM62" s="7" t="n">
        <v>58789141.5219836</v>
      </c>
      <c r="AN62" s="7" t="n">
        <v>3443253.7371171</v>
      </c>
      <c r="AO62" s="7"/>
    </row>
    <row r="63">
      <c r="A63" t="str">
        <f>M63</f>
      </c>
      <c r="B63" t="str">
        <f>N63</f>
      </c>
      <c r="C63" s="7" t="str">
        <f>AI63</f>
      </c>
      <c r="D63" s="7" t="str">
        <f>AL63</f>
      </c>
      <c r="E63" s="7" t="str">
        <f>AM63</f>
      </c>
      <c r="F63" s="7"/>
      <c r="G63" s="2" t="str">
        <f>AM63/AL63-1</f>
      </c>
      <c r="H63" s="2" t="str">
        <f>AM63/AI63-1</f>
      </c>
      <c r="I63" s="2"/>
      <c r="J63" s="2" t="str">
        <f>AM63/Sum(AM$1:AM$64)</f>
      </c>
      <c r="K63" s="2"/>
      <c r="M63" t="s">
        <v>86</v>
      </c>
      <c r="N63" t="s">
        <v>77</v>
      </c>
      <c r="O63" s="7" t="n">
        <v>1162309.48524937</v>
      </c>
      <c r="P63" s="7"/>
      <c r="Q63" s="7"/>
      <c r="R63" s="7" t="n">
        <v>907332.562876455</v>
      </c>
      <c r="S63" s="7" t="n">
        <v>5756039.18689376</v>
      </c>
      <c r="T63" s="7" t="n">
        <v>41525499.8537443</v>
      </c>
      <c r="U63" s="7" t="n">
        <v>14865463.5703899</v>
      </c>
      <c r="V63" s="7" t="n">
        <v>33592561.1589672</v>
      </c>
      <c r="W63" s="7" t="n">
        <v>21981889.9645791</v>
      </c>
      <c r="X63" s="7" t="n">
        <v>16609135.8887674</v>
      </c>
      <c r="Y63" s="7" t="n">
        <v>-12228731.2388445</v>
      </c>
      <c r="Z63" s="7" t="n">
        <v>197823583.461916</v>
      </c>
      <c r="AA63" s="7" t="n">
        <v>-27193771.4162552</v>
      </c>
      <c r="AB63" s="7" t="n">
        <v>-8986552.66904266</v>
      </c>
      <c r="AC63" s="7" t="n">
        <v>-4698997.3073363</v>
      </c>
      <c r="AD63" s="7" t="n">
        <v>-41576028.4271751</v>
      </c>
      <c r="AE63" s="7" t="n">
        <v>-39368261.6572363</v>
      </c>
      <c r="AF63" s="7" t="n">
        <v>6864009.41293001</v>
      </c>
      <c r="AG63" s="7" t="n">
        <v>-8283856.15473262</v>
      </c>
      <c r="AH63" s="7" t="n">
        <v>-1183093.11363944</v>
      </c>
      <c r="AI63" s="7" t="n">
        <v>73302463.4184323</v>
      </c>
      <c r="AJ63" s="7" t="n">
        <v>14003158.7126347</v>
      </c>
      <c r="AK63" s="7" t="n">
        <v>123010822.858383</v>
      </c>
      <c r="AL63" s="7" t="n">
        <v>-10543480.9415</v>
      </c>
      <c r="AM63" s="7" t="n">
        <v>-11703705.3844474</v>
      </c>
      <c r="AN63" s="7" t="n">
        <v>-1080042.62187276</v>
      </c>
      <c r="AO63" s="7"/>
    </row>
    <row r="64">
      <c r="A64" t="str">
        <f>M64</f>
      </c>
      <c r="B64" t="str">
        <f>N64</f>
      </c>
      <c r="C64" s="7" t="str">
        <f>AI64</f>
      </c>
      <c r="D64" s="7" t="str">
        <f>AL64</f>
      </c>
      <c r="E64" s="7" t="str">
        <f>AM64</f>
      </c>
      <c r="F64" s="7"/>
      <c r="G64" s="2" t="str">
        <f>AM64/AL64-1</f>
      </c>
      <c r="H64" s="2" t="str">
        <f>AM64/AI64-1</f>
      </c>
      <c r="I64" s="2"/>
      <c r="J64" s="2" t="str">
        <f>AM64/Sum(AM$1:AM$64)</f>
      </c>
      <c r="K64" s="2"/>
      <c r="M64" t="s">
        <v>86</v>
      </c>
      <c r="N64" t="s">
        <v>78</v>
      </c>
      <c r="O64" s="7" t="n">
        <v>3720606.51362931</v>
      </c>
      <c r="P64" s="7" t="n">
        <v>1027557.91390134</v>
      </c>
      <c r="Q64" s="7" t="n">
        <v>5264576.99761915</v>
      </c>
      <c r="R64" s="7" t="n">
        <v>492232.72744581</v>
      </c>
      <c r="S64" s="7" t="n">
        <v>3047967.39334632</v>
      </c>
      <c r="T64" s="7" t="n">
        <v>773056.107571707</v>
      </c>
      <c r="U64" s="7" t="n">
        <v>2260963.11091445</v>
      </c>
      <c r="V64" s="7"/>
      <c r="W64" s="7" t="n">
        <v>-81089.4593122326</v>
      </c>
      <c r="X64" s="7" t="n">
        <v>399808.000132244</v>
      </c>
      <c r="Y64" s="7" t="n">
        <v>-36863.7507732637</v>
      </c>
      <c r="Z64" s="7" t="n">
        <v>-37096.5632867472</v>
      </c>
      <c r="AA64" s="7"/>
      <c r="AB64" s="7"/>
      <c r="AC64" s="7"/>
      <c r="AD64" s="7"/>
      <c r="AE64" s="7" t="n">
        <v>-2875.70803051609</v>
      </c>
      <c r="AF64" s="7" t="n">
        <v>-299.071500057452</v>
      </c>
      <c r="AG64" s="7"/>
      <c r="AH64" s="7"/>
      <c r="AI64" s="7" t="n">
        <v>0</v>
      </c>
      <c r="AJ64" s="7"/>
      <c r="AK64" s="7" t="n">
        <v>16909.7121882836</v>
      </c>
      <c r="AL64" s="7" t="n">
        <v>1305673.2331</v>
      </c>
      <c r="AM64" s="7" t="n">
        <v>1218949.0707441</v>
      </c>
      <c r="AN64" s="7" t="n">
        <v>2307987.07803273</v>
      </c>
      <c r="AO64" s="7"/>
    </row>
    <row r="65">
      <c r="A65" t="str">
        <f>M65</f>
      </c>
      <c r="B65" t="str">
        <f>N65</f>
      </c>
      <c r="C65" s="7" t="str">
        <f>AI65</f>
      </c>
      <c r="D65" s="7" t="str">
        <f>AL65</f>
      </c>
      <c r="E65" s="7" t="str">
        <f>AM65</f>
      </c>
      <c r="F65" s="7"/>
      <c r="G65" s="2" t="str">
        <f>AM65/AL65-1</f>
      </c>
      <c r="H65" s="2" t="str">
        <f>AM65/AI65-1</f>
      </c>
      <c r="I65" s="2"/>
      <c r="J65" s="2" t="str">
        <f>Sum(J$1:J$64)</f>
      </c>
      <c r="K65" s="2"/>
      <c r="M65" t="s">
        <v>43</v>
      </c>
      <c r="N65" t="s">
        <v>57</v>
      </c>
      <c r="O65" s="7" t="str">
        <f>Sum(O2:O64)</f>
      </c>
      <c r="P65" s="7" t="str">
        <f>Sum(P2:P64)</f>
      </c>
      <c r="Q65" s="7" t="str">
        <f>Sum(Q2:Q64)</f>
      </c>
      <c r="R65" s="7" t="str">
        <f>Sum(R2:R64)</f>
      </c>
      <c r="S65" s="7" t="str">
        <f>Sum(S2:S64)</f>
      </c>
      <c r="T65" s="7" t="str">
        <f>Sum(T2:T64)</f>
      </c>
      <c r="U65" s="7" t="str">
        <f>Sum(U2:U64)</f>
      </c>
      <c r="V65" s="7" t="str">
        <f>Sum(V2:V64)</f>
      </c>
      <c r="W65" s="7" t="str">
        <f>Sum(W2:W64)</f>
      </c>
      <c r="X65" s="7" t="str">
        <f>Sum(X2:X64)</f>
      </c>
      <c r="Y65" s="7" t="str">
        <f>Sum(Y2:Y64)</f>
      </c>
      <c r="Z65" s="7" t="str">
        <f>Sum(Z2:Z64)</f>
      </c>
      <c r="AA65" s="7" t="str">
        <f>Sum(AA2:AA64)</f>
      </c>
      <c r="AB65" s="7" t="str">
        <f>Sum(AB2:AB64)</f>
      </c>
      <c r="AC65" s="7" t="str">
        <f>Sum(AC2:AC64)</f>
      </c>
      <c r="AD65" s="7" t="str">
        <f>Sum(AD2:AD64)</f>
      </c>
      <c r="AE65" s="7" t="str">
        <f>Sum(AE2:AE64)</f>
      </c>
      <c r="AF65" s="7" t="str">
        <f>Sum(AF2:AF64)</f>
      </c>
      <c r="AG65" s="7" t="str">
        <f>Sum(AG2:AG64)</f>
      </c>
      <c r="AH65" s="7" t="str">
        <f>Sum(AH2:AH64)</f>
      </c>
      <c r="AI65" s="7" t="str">
        <f>Sum(AI2:AI64)</f>
      </c>
      <c r="AJ65" s="7" t="str">
        <f>Sum(AJ2:AJ64)</f>
      </c>
      <c r="AK65" s="7" t="str">
        <f>Sum(AK2:AK64)</f>
      </c>
      <c r="AL65" s="7" t="str">
        <f>Sum(AL2:AL64)</f>
      </c>
      <c r="AM65" s="7" t="str">
        <f>Sum(AM2:AM64)</f>
      </c>
      <c r="AN65" s="7" t="str">
        <f>Sum(AN2:AN64)</f>
      </c>
      <c r="AO65" s="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C1" t="str">
        <f>AI1</f>
      </c>
      <c r="D1" t="str">
        <f>AL1</f>
      </c>
      <c r="E1" t="str">
        <f>AM1</f>
      </c>
      <c r="G1" t="str">
        <f>AL1&amp;"-"&amp;AM1</f>
      </c>
      <c r="H1" t="str">
        <f>AI1&amp;"-"&amp;AM1</f>
      </c>
      <c r="J1" t="str">
        <f>"Share "&amp;AM1</f>
      </c>
      <c r="M1" t="s">
        <v>87</v>
      </c>
      <c r="N1" t="s">
        <v>66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>
      <c r="A2" t="str">
        <f>M2</f>
      </c>
      <c r="B2" t="str">
        <f>N2</f>
      </c>
      <c r="C2" s="8" t="str">
        <f>AI2</f>
      </c>
      <c r="D2" s="8" t="str">
        <f>AL2</f>
      </c>
      <c r="E2" s="8" t="str">
        <f>AM2</f>
      </c>
      <c r="F2" s="8"/>
      <c r="G2" s="2" t="str">
        <f>AM2/AL2-1</f>
      </c>
      <c r="H2" s="2" t="str">
        <f>AM2/AI2-1</f>
      </c>
      <c r="I2" s="2"/>
      <c r="J2" s="2" t="str">
        <f>AM2/Sum(AM$1:AM$37)</f>
      </c>
      <c r="K2" s="2"/>
      <c r="M2" t="b">
        <v>0</v>
      </c>
      <c r="N2" t="s">
        <v>67</v>
      </c>
      <c r="O2" s="8" t="n">
        <v>59426731553.5431</v>
      </c>
      <c r="P2" s="8" t="n">
        <v>59207372693.3005</v>
      </c>
      <c r="Q2" s="8" t="n">
        <v>62045010271.6598</v>
      </c>
      <c r="R2" s="8" t="n">
        <v>74254668857.523</v>
      </c>
      <c r="S2" s="8" t="n">
        <v>68525978626.3481</v>
      </c>
      <c r="T2" s="8" t="n">
        <v>61154400057.1417</v>
      </c>
      <c r="U2" s="8" t="n">
        <v>69038730675.9501</v>
      </c>
      <c r="V2" s="8" t="n">
        <v>78706013395.8014</v>
      </c>
      <c r="W2" s="8" t="n">
        <v>80182202662.3829</v>
      </c>
      <c r="X2" s="8" t="n">
        <v>83197598984.7883</v>
      </c>
      <c r="Y2" s="8" t="n">
        <v>78897572821.6798</v>
      </c>
      <c r="Z2" s="8" t="n">
        <v>84116470836.3896</v>
      </c>
      <c r="AA2" s="8" t="n">
        <v>85837037529.0354</v>
      </c>
      <c r="AB2" s="8" t="n">
        <v>78360332992.4255</v>
      </c>
      <c r="AC2" s="8" t="n">
        <v>61465859856.6068</v>
      </c>
      <c r="AD2" s="8" t="n">
        <v>63997438251.5026</v>
      </c>
      <c r="AE2" s="8" t="n">
        <v>79021154133.0006</v>
      </c>
      <c r="AF2" s="8" t="n">
        <v>88781117676.052</v>
      </c>
      <c r="AG2" s="8" t="n">
        <v>79879152551.3725</v>
      </c>
      <c r="AH2" s="8" t="n">
        <v>84312517920.237</v>
      </c>
      <c r="AI2" s="8" t="n">
        <v>105278168937.557</v>
      </c>
      <c r="AJ2" s="8" t="n">
        <v>64106342888.1154</v>
      </c>
      <c r="AK2" s="8" t="n">
        <v>61704448422.8321</v>
      </c>
      <c r="AL2" s="8" t="n">
        <v>79242032423.2416</v>
      </c>
      <c r="AM2" s="8" t="n">
        <v>53105006422.2573</v>
      </c>
      <c r="AN2" s="8" t="n">
        <v>31730269831.0078</v>
      </c>
      <c r="AO2" s="8"/>
    </row>
    <row r="3">
      <c r="A3" t="str">
        <f>M3</f>
      </c>
      <c r="B3" t="str">
        <f>N3</f>
      </c>
      <c r="C3" s="8" t="str">
        <f>AI3</f>
      </c>
      <c r="D3" s="8" t="str">
        <f>AL3</f>
      </c>
      <c r="E3" s="8" t="str">
        <f>AM3</f>
      </c>
      <c r="F3" s="8"/>
      <c r="G3" s="2" t="str">
        <f>AM3/AL3-1</f>
      </c>
      <c r="H3" s="2" t="str">
        <f>AM3/AI3-1</f>
      </c>
      <c r="I3" s="2"/>
      <c r="J3" s="2" t="str">
        <f>AM3/Sum(AM$1:AM$37)</f>
      </c>
      <c r="K3" s="2"/>
      <c r="M3" t="b">
        <v>0</v>
      </c>
      <c r="N3" t="s">
        <v>68</v>
      </c>
      <c r="O3" s="8" t="n">
        <v>34771126301.9406</v>
      </c>
      <c r="P3" s="8" t="n">
        <v>36509167052.3939</v>
      </c>
      <c r="Q3" s="8" t="n">
        <v>41024371064.5888</v>
      </c>
      <c r="R3" s="8" t="n">
        <v>48645137906.4776</v>
      </c>
      <c r="S3" s="8" t="n">
        <v>55556887912.7682</v>
      </c>
      <c r="T3" s="8" t="n">
        <v>62001011789.5341</v>
      </c>
      <c r="U3" s="8" t="n">
        <v>63837582340.2896</v>
      </c>
      <c r="V3" s="8" t="n">
        <v>73922320132.5529</v>
      </c>
      <c r="W3" s="8" t="n">
        <v>78625875007.7466</v>
      </c>
      <c r="X3" s="8" t="n">
        <v>74220325254.1539</v>
      </c>
      <c r="Y3" s="8" t="n">
        <v>70239619941.7774</v>
      </c>
      <c r="Z3" s="8" t="n">
        <v>62804036663.9416</v>
      </c>
      <c r="AA3" s="8" t="n">
        <v>57255669532.0583</v>
      </c>
      <c r="AB3" s="8" t="n">
        <v>46105159527.7621</v>
      </c>
      <c r="AC3" s="8" t="n">
        <v>43775589959.9132</v>
      </c>
      <c r="AD3" s="8" t="n">
        <v>41022956656.6037</v>
      </c>
      <c r="AE3" s="8" t="n">
        <v>43034445514.835</v>
      </c>
      <c r="AF3" s="8" t="n">
        <v>43935471211.4317</v>
      </c>
      <c r="AG3" s="8" t="n">
        <v>47769851444.4385</v>
      </c>
      <c r="AH3" s="8" t="n">
        <v>50004854656.3458</v>
      </c>
      <c r="AI3" s="8" t="n">
        <v>48243487937.2402</v>
      </c>
      <c r="AJ3" s="8" t="n">
        <v>40333881966.6367</v>
      </c>
      <c r="AK3" s="8" t="n">
        <v>40877135393.7765</v>
      </c>
      <c r="AL3" s="8" t="n">
        <v>38808098965.2943</v>
      </c>
      <c r="AM3" s="8" t="n">
        <v>38614016504.3067</v>
      </c>
      <c r="AN3" s="8" t="n">
        <v>14825018739.4701</v>
      </c>
      <c r="AO3" s="8"/>
    </row>
    <row r="4">
      <c r="A4" t="str">
        <f>M4</f>
      </c>
      <c r="B4" t="str">
        <f>N4</f>
      </c>
      <c r="C4" s="8" t="str">
        <f>AI4</f>
      </c>
      <c r="D4" s="8" t="str">
        <f>AL4</f>
      </c>
      <c r="E4" s="8" t="str">
        <f>AM4</f>
      </c>
      <c r="F4" s="8"/>
      <c r="G4" s="2" t="str">
        <f>AM4/AL4-1</f>
      </c>
      <c r="H4" s="2" t="str">
        <f>AM4/AI4-1</f>
      </c>
      <c r="I4" s="2"/>
      <c r="J4" s="2" t="str">
        <f>AM4/Sum(AM$1:AM$37)</f>
      </c>
      <c r="K4" s="2"/>
      <c r="M4" t="b">
        <v>0</v>
      </c>
      <c r="N4" t="s">
        <v>69</v>
      </c>
      <c r="O4" s="8" t="n">
        <v>34845438461.4852</v>
      </c>
      <c r="P4" s="8" t="n">
        <v>37772643392.7719</v>
      </c>
      <c r="Q4" s="8" t="n">
        <v>42038900610.4878</v>
      </c>
      <c r="R4" s="8" t="n">
        <v>54521454611.9128</v>
      </c>
      <c r="S4" s="8" t="n">
        <v>54894963956.9048</v>
      </c>
      <c r="T4" s="8" t="n">
        <v>58851160101.8223</v>
      </c>
      <c r="U4" s="8" t="n">
        <v>65958036181.0022</v>
      </c>
      <c r="V4" s="8" t="n">
        <v>64734205703.5095</v>
      </c>
      <c r="W4" s="8" t="n">
        <v>78729955350.9303</v>
      </c>
      <c r="X4" s="8" t="n">
        <v>88874297656.3577</v>
      </c>
      <c r="Y4" s="8" t="n">
        <v>75130421725.8299</v>
      </c>
      <c r="Z4" s="8" t="n">
        <v>64467022726.2937</v>
      </c>
      <c r="AA4" s="8" t="n">
        <v>57390563324.5579</v>
      </c>
      <c r="AB4" s="8" t="n">
        <v>45678193888.0724</v>
      </c>
      <c r="AC4" s="8" t="n">
        <v>47653453663.9049</v>
      </c>
      <c r="AD4" s="8" t="n">
        <v>43166298907.5137</v>
      </c>
      <c r="AE4" s="8" t="n">
        <v>43584273533.1695</v>
      </c>
      <c r="AF4" s="8" t="n">
        <v>42908226483.8309</v>
      </c>
      <c r="AG4" s="8" t="n">
        <v>50676256466.0287</v>
      </c>
      <c r="AH4" s="8" t="n">
        <v>56704474770.2274</v>
      </c>
      <c r="AI4" s="8" t="n">
        <v>64657547869.4078</v>
      </c>
      <c r="AJ4" s="8" t="n">
        <v>52242335159.1677</v>
      </c>
      <c r="AK4" s="8" t="n">
        <v>53841359166.5133</v>
      </c>
      <c r="AL4" s="8" t="n">
        <v>58697995349.4477</v>
      </c>
      <c r="AM4" s="8" t="n">
        <v>57000769446.8614</v>
      </c>
      <c r="AN4" s="8" t="n">
        <v>16354929348.6708</v>
      </c>
      <c r="AO4" s="8"/>
    </row>
    <row r="5">
      <c r="A5" t="str">
        <f>M5</f>
      </c>
      <c r="B5" t="str">
        <f>N5</f>
      </c>
      <c r="C5" s="8" t="str">
        <f>AI5</f>
      </c>
      <c r="D5" s="8" t="str">
        <f>AL5</f>
      </c>
      <c r="E5" s="8" t="str">
        <f>AM5</f>
      </c>
      <c r="F5" s="8"/>
      <c r="G5" s="2" t="str">
        <f>AM5/AL5-1</f>
      </c>
      <c r="H5" s="2" t="str">
        <f>AM5/AI5-1</f>
      </c>
      <c r="I5" s="2"/>
      <c r="J5" s="2" t="str">
        <f>AM5/Sum(AM$1:AM$37)</f>
      </c>
      <c r="K5" s="2"/>
      <c r="M5" t="b">
        <v>0</v>
      </c>
      <c r="N5" t="s">
        <v>70</v>
      </c>
      <c r="O5" s="8" t="n">
        <v>5484877048.3322</v>
      </c>
      <c r="P5" s="8" t="n">
        <v>4501552552.14442</v>
      </c>
      <c r="Q5" s="8" t="n">
        <v>6737236668.35651</v>
      </c>
      <c r="R5" s="8" t="n">
        <v>14715023786.6748</v>
      </c>
      <c r="S5" s="8" t="n">
        <v>12366738209.6829</v>
      </c>
      <c r="T5" s="8" t="n">
        <v>22404590773.4612</v>
      </c>
      <c r="U5" s="8" t="n">
        <v>22899503764.6471</v>
      </c>
      <c r="V5" s="8" t="n">
        <v>39879407837.7119</v>
      </c>
      <c r="W5" s="8" t="n">
        <v>54903271970.0386</v>
      </c>
      <c r="X5" s="8" t="n">
        <v>39200973923.0873</v>
      </c>
      <c r="Y5" s="8" t="n">
        <v>33184595593.7348</v>
      </c>
      <c r="Z5" s="8" t="n">
        <v>23655865697.5791</v>
      </c>
      <c r="AA5" s="8" t="n">
        <v>12227082472.6054</v>
      </c>
      <c r="AB5" s="8" t="n">
        <v>8671960970.84816</v>
      </c>
      <c r="AC5" s="8" t="n">
        <v>6110183960.73852</v>
      </c>
      <c r="AD5" s="8" t="n">
        <v>7267216254.43568</v>
      </c>
      <c r="AE5" s="8" t="n">
        <v>7040082776.66579</v>
      </c>
      <c r="AF5" s="8" t="n">
        <v>7857497517.23927</v>
      </c>
      <c r="AG5" s="8" t="n">
        <v>12401102170.7699</v>
      </c>
      <c r="AH5" s="8" t="n">
        <v>12795776914.0541</v>
      </c>
      <c r="AI5" s="8" t="n">
        <v>11853014101.9721</v>
      </c>
      <c r="AJ5" s="8" t="n">
        <v>9618622148.16116</v>
      </c>
      <c r="AK5" s="8" t="n">
        <v>10318788446.0954</v>
      </c>
      <c r="AL5" s="8" t="n">
        <v>13236003811.8189</v>
      </c>
      <c r="AM5" s="8" t="n">
        <v>11944506110.5167</v>
      </c>
      <c r="AN5" s="8" t="n">
        <v>6228244800.1978</v>
      </c>
      <c r="AO5" s="8"/>
    </row>
    <row r="6">
      <c r="A6" t="str">
        <f>M6</f>
      </c>
      <c r="B6" t="str">
        <f>N6</f>
      </c>
      <c r="C6" s="8" t="str">
        <f>AI6</f>
      </c>
      <c r="D6" s="8" t="str">
        <f>AL6</f>
      </c>
      <c r="E6" s="8" t="str">
        <f>AM6</f>
      </c>
      <c r="F6" s="8"/>
      <c r="G6" s="2" t="str">
        <f>AM6/AL6-1</f>
      </c>
      <c r="H6" s="2" t="str">
        <f>AM6/AI6-1</f>
      </c>
      <c r="I6" s="2"/>
      <c r="J6" s="2" t="str">
        <f>AM6/Sum(AM$1:AM$37)</f>
      </c>
      <c r="K6" s="2"/>
      <c r="M6" t="b">
        <v>0</v>
      </c>
      <c r="N6" t="s">
        <v>71</v>
      </c>
      <c r="O6" s="8" t="n">
        <v>6242185284.46302</v>
      </c>
      <c r="P6" s="8" t="n">
        <v>6581859266.10932</v>
      </c>
      <c r="Q6" s="8" t="n">
        <v>9118687728.34233</v>
      </c>
      <c r="R6" s="8" t="n">
        <v>9236906370.26282</v>
      </c>
      <c r="S6" s="8" t="n">
        <v>10603364001.5308</v>
      </c>
      <c r="T6" s="8" t="n">
        <v>10877683208.8768</v>
      </c>
      <c r="U6" s="8" t="n">
        <v>11836663218.3413</v>
      </c>
      <c r="V6" s="8" t="n">
        <v>13589830638.5372</v>
      </c>
      <c r="W6" s="8" t="n">
        <v>14348412130.5525</v>
      </c>
      <c r="X6" s="8" t="n">
        <v>16765064031.0559</v>
      </c>
      <c r="Y6" s="8" t="n">
        <v>16710332811.6698</v>
      </c>
      <c r="Z6" s="8" t="n">
        <v>15567949950.2916</v>
      </c>
      <c r="AA6" s="8" t="n">
        <v>15893173462.1972</v>
      </c>
      <c r="AB6" s="8" t="n">
        <v>14818721461.2684</v>
      </c>
      <c r="AC6" s="8" t="n">
        <v>10910698559.2729</v>
      </c>
      <c r="AD6" s="8" t="n">
        <v>12006554533.9122</v>
      </c>
      <c r="AE6" s="8" t="n">
        <v>11844572293.5386</v>
      </c>
      <c r="AF6" s="8" t="n">
        <v>9248637368.66862</v>
      </c>
      <c r="AG6" s="8" t="n">
        <v>16798598574.7947</v>
      </c>
      <c r="AH6" s="8" t="n">
        <v>16702154460.1101</v>
      </c>
      <c r="AI6" s="8" t="n">
        <v>20883765495.6994</v>
      </c>
      <c r="AJ6" s="8" t="n">
        <v>12901984498.4124</v>
      </c>
      <c r="AK6" s="8" t="n">
        <v>13359952064.8424</v>
      </c>
      <c r="AL6" s="8" t="n">
        <v>10649900150.1909</v>
      </c>
      <c r="AM6" s="8" t="n">
        <v>10833213675.9292</v>
      </c>
      <c r="AN6" s="8" t="n">
        <v>4539149764.25574</v>
      </c>
      <c r="AO6" s="8"/>
    </row>
    <row r="7">
      <c r="A7" t="str">
        <f>M7</f>
      </c>
      <c r="B7" t="str">
        <f>N7</f>
      </c>
      <c r="C7" s="8" t="str">
        <f>AI7</f>
      </c>
      <c r="D7" s="8" t="str">
        <f>AL7</f>
      </c>
      <c r="E7" s="8" t="str">
        <f>AM7</f>
      </c>
      <c r="F7" s="8"/>
      <c r="G7" s="2" t="str">
        <f>AM7/AL7-1</f>
      </c>
      <c r="H7" s="2" t="str">
        <f>AM7/AI7-1</f>
      </c>
      <c r="I7" s="2"/>
      <c r="J7" s="2" t="str">
        <f>AM7/Sum(AM$1:AM$37)</f>
      </c>
      <c r="K7" s="2"/>
      <c r="M7" t="b">
        <v>0</v>
      </c>
      <c r="N7" t="s">
        <v>72</v>
      </c>
      <c r="O7" s="8" t="n">
        <v>12235781719.014</v>
      </c>
      <c r="P7" s="8" t="n">
        <v>12890674586.3613</v>
      </c>
      <c r="Q7" s="8" t="n">
        <v>17512782238.7248</v>
      </c>
      <c r="R7" s="8" t="n">
        <v>19472842701.5952</v>
      </c>
      <c r="S7" s="8" t="n">
        <v>19798407677.4099</v>
      </c>
      <c r="T7" s="8" t="n">
        <v>20663502844.4868</v>
      </c>
      <c r="U7" s="8" t="n">
        <v>19195159592.4692</v>
      </c>
      <c r="V7" s="8" t="n">
        <v>23038404034.1485</v>
      </c>
      <c r="W7" s="8" t="n">
        <v>23129182959.9949</v>
      </c>
      <c r="X7" s="8" t="n">
        <v>21176895442.5014</v>
      </c>
      <c r="Y7" s="8" t="n">
        <v>18303794501.1286</v>
      </c>
      <c r="Z7" s="8" t="n">
        <v>17531811535.489</v>
      </c>
      <c r="AA7" s="8" t="n">
        <v>17538892775.2602</v>
      </c>
      <c r="AB7" s="8" t="n">
        <v>14052413115.0885</v>
      </c>
      <c r="AC7" s="8" t="n">
        <v>13426130337.1516</v>
      </c>
      <c r="AD7" s="8" t="n">
        <v>13496687592.9923</v>
      </c>
      <c r="AE7" s="8" t="n">
        <v>17712391909.2519</v>
      </c>
      <c r="AF7" s="8" t="n">
        <v>19551072131.8694</v>
      </c>
      <c r="AG7" s="8" t="n">
        <v>21687663032.333</v>
      </c>
      <c r="AH7" s="8" t="n">
        <v>24645592837.4953</v>
      </c>
      <c r="AI7" s="8" t="n">
        <v>24273851094.4959</v>
      </c>
      <c r="AJ7" s="8" t="n">
        <v>21005105539.8837</v>
      </c>
      <c r="AK7" s="8" t="n">
        <v>18745458349.1808</v>
      </c>
      <c r="AL7" s="8" t="n">
        <v>30669805681.5875</v>
      </c>
      <c r="AM7" s="8" t="n">
        <v>29785771697.4375</v>
      </c>
      <c r="AN7" s="8" t="n">
        <v>9790104582.53849</v>
      </c>
      <c r="AO7" s="8"/>
    </row>
    <row r="8">
      <c r="A8" t="str">
        <f>M8</f>
      </c>
      <c r="B8" t="str">
        <f>N8</f>
      </c>
      <c r="C8" s="8" t="str">
        <f>AI8</f>
      </c>
      <c r="D8" s="8" t="str">
        <f>AL8</f>
      </c>
      <c r="E8" s="8" t="str">
        <f>AM8</f>
      </c>
      <c r="F8" s="8"/>
      <c r="G8" s="2" t="str">
        <f>AM8/AL8-1</f>
      </c>
      <c r="H8" s="2" t="str">
        <f>AM8/AI8-1</f>
      </c>
      <c r="I8" s="2"/>
      <c r="J8" s="2" t="str">
        <f>AM8/Sum(AM$1:AM$37)</f>
      </c>
      <c r="K8" s="2"/>
      <c r="M8" t="b">
        <v>0</v>
      </c>
      <c r="N8" t="s">
        <v>73</v>
      </c>
      <c r="O8" s="8" t="n">
        <v>13599844108.49</v>
      </c>
      <c r="P8" s="8" t="n">
        <v>15714137647.7536</v>
      </c>
      <c r="Q8" s="8" t="n">
        <v>19362539618.6816</v>
      </c>
      <c r="R8" s="8" t="n">
        <v>23329912347.2175</v>
      </c>
      <c r="S8" s="8" t="n">
        <v>27915106150.8594</v>
      </c>
      <c r="T8" s="8" t="n">
        <v>45352309278.6894</v>
      </c>
      <c r="U8" s="8" t="n">
        <v>49217710774.3226</v>
      </c>
      <c r="V8" s="8" t="n">
        <v>48447005805.0346</v>
      </c>
      <c r="W8" s="8" t="n">
        <v>51535285298.5913</v>
      </c>
      <c r="X8" s="8" t="n">
        <v>45003213345.7684</v>
      </c>
      <c r="Y8" s="8" t="n">
        <v>34855501734.3909</v>
      </c>
      <c r="Z8" s="8" t="n">
        <v>33400676985.8915</v>
      </c>
      <c r="AA8" s="8" t="n">
        <v>42248469013.5239</v>
      </c>
      <c r="AB8" s="8" t="n">
        <v>27901183172.3582</v>
      </c>
      <c r="AC8" s="8" t="n">
        <v>24456494954.2262</v>
      </c>
      <c r="AD8" s="8" t="n">
        <v>22328731628.435</v>
      </c>
      <c r="AE8" s="8" t="n">
        <v>21604022551.4103</v>
      </c>
      <c r="AF8" s="8" t="n">
        <v>23900429875.6891</v>
      </c>
      <c r="AG8" s="8" t="n">
        <v>27094232284.985</v>
      </c>
      <c r="AH8" s="8" t="n">
        <v>24563455974.9162</v>
      </c>
      <c r="AI8" s="8" t="n">
        <v>25806034950.9775</v>
      </c>
      <c r="AJ8" s="8" t="n">
        <v>49891497347.4171</v>
      </c>
      <c r="AK8" s="8" t="n">
        <v>59119070036.0197</v>
      </c>
      <c r="AL8" s="8" t="n">
        <v>29893946844.1105</v>
      </c>
      <c r="AM8" s="8" t="n">
        <v>28305553382.221</v>
      </c>
      <c r="AN8" s="8" t="n">
        <v>11405320620.0288</v>
      </c>
      <c r="AO8" s="8"/>
    </row>
    <row r="9">
      <c r="A9" t="str">
        <f>M9</f>
      </c>
      <c r="B9" t="str">
        <f>N9</f>
      </c>
      <c r="C9" s="8" t="str">
        <f>AI9</f>
      </c>
      <c r="D9" s="8" t="str">
        <f>AL9</f>
      </c>
      <c r="E9" s="8" t="str">
        <f>AM9</f>
      </c>
      <c r="F9" s="8"/>
      <c r="G9" s="2" t="str">
        <f>AM9/AL9-1</f>
      </c>
      <c r="H9" s="2" t="str">
        <f>AM9/AI9-1</f>
      </c>
      <c r="I9" s="2"/>
      <c r="J9" s="2" t="str">
        <f>AM9/Sum(AM$1:AM$37)</f>
      </c>
      <c r="K9" s="2"/>
      <c r="M9" t="b">
        <v>0</v>
      </c>
      <c r="N9" t="s">
        <v>74</v>
      </c>
      <c r="O9" s="8" t="n">
        <v>20778912291.9934</v>
      </c>
      <c r="P9" s="8" t="n">
        <v>20310769652.0002</v>
      </c>
      <c r="Q9" s="8" t="n">
        <v>25570813453.4588</v>
      </c>
      <c r="R9" s="8" t="n">
        <v>29013802955.8679</v>
      </c>
      <c r="S9" s="8" t="n">
        <v>31521536515.4385</v>
      </c>
      <c r="T9" s="8" t="n">
        <v>38045813744.8842</v>
      </c>
      <c r="U9" s="8" t="n">
        <v>41671259070.0978</v>
      </c>
      <c r="V9" s="8" t="n">
        <v>42705687860.9288</v>
      </c>
      <c r="W9" s="8" t="n">
        <v>46544680324.1546</v>
      </c>
      <c r="X9" s="8" t="n">
        <v>52078009358.5356</v>
      </c>
      <c r="Y9" s="8" t="n">
        <v>51511355762.3574</v>
      </c>
      <c r="Z9" s="8" t="n">
        <v>49434481147.9489</v>
      </c>
      <c r="AA9" s="8" t="n">
        <v>48485614313.7591</v>
      </c>
      <c r="AB9" s="8" t="n">
        <v>39911263855.6187</v>
      </c>
      <c r="AC9" s="8" t="n">
        <v>38206795281.9401</v>
      </c>
      <c r="AD9" s="8" t="n">
        <v>37059396104.0584</v>
      </c>
      <c r="AE9" s="8" t="n">
        <v>36344835848.993</v>
      </c>
      <c r="AF9" s="8" t="n">
        <v>37139540543.4989</v>
      </c>
      <c r="AG9" s="8" t="n">
        <v>40949171156.9278</v>
      </c>
      <c r="AH9" s="8" t="n">
        <v>43493735063.4101</v>
      </c>
      <c r="AI9" s="8" t="n">
        <v>44389279646.4737</v>
      </c>
      <c r="AJ9" s="8" t="n">
        <v>52315447720.6987</v>
      </c>
      <c r="AK9" s="8" t="n">
        <v>52123130390.5828</v>
      </c>
      <c r="AL9" s="8" t="n">
        <v>60321726688.2825</v>
      </c>
      <c r="AM9" s="8" t="n">
        <v>65896363084.6288</v>
      </c>
      <c r="AN9" s="8" t="n">
        <v>28491119896.4087</v>
      </c>
      <c r="AO9" s="8"/>
    </row>
    <row r="10">
      <c r="A10" t="str">
        <f>M10</f>
      </c>
      <c r="B10" t="str">
        <f>N10</f>
      </c>
      <c r="C10" s="8" t="str">
        <f>AI10</f>
      </c>
      <c r="D10" s="8" t="str">
        <f>AL10</f>
      </c>
      <c r="E10" s="8" t="str">
        <f>AM10</f>
      </c>
      <c r="F10" s="8"/>
      <c r="G10" s="2" t="str">
        <f>AM10/AL10-1</f>
      </c>
      <c r="H10" s="2" t="str">
        <f>AM10/AI10-1</f>
      </c>
      <c r="I10" s="2"/>
      <c r="J10" s="2" t="str">
        <f>AM10/Sum(AM$1:AM$37)</f>
      </c>
      <c r="K10" s="2"/>
      <c r="M10" t="b">
        <v>0</v>
      </c>
      <c r="N10" t="s">
        <v>75</v>
      </c>
      <c r="O10" s="8" t="n">
        <v>10939220871.4553</v>
      </c>
      <c r="P10" s="8" t="n">
        <v>12179783486.7693</v>
      </c>
      <c r="Q10" s="8" t="n">
        <v>17040037883.754</v>
      </c>
      <c r="R10" s="8" t="n">
        <v>25534021476.9967</v>
      </c>
      <c r="S10" s="8" t="n">
        <v>31137361158.4162</v>
      </c>
      <c r="T10" s="8" t="n">
        <v>33338045570.3652</v>
      </c>
      <c r="U10" s="8" t="n">
        <v>35249102232.9462</v>
      </c>
      <c r="V10" s="8" t="n">
        <v>34672632660.6526</v>
      </c>
      <c r="W10" s="8" t="n">
        <v>38070934927.9863</v>
      </c>
      <c r="X10" s="8" t="n">
        <v>42079352048.418</v>
      </c>
      <c r="Y10" s="8" t="n">
        <v>40692280550.7423</v>
      </c>
      <c r="Z10" s="8" t="n">
        <v>46439621427.3832</v>
      </c>
      <c r="AA10" s="8" t="n">
        <v>42363709085.0515</v>
      </c>
      <c r="AB10" s="8" t="n">
        <v>37922319290.558</v>
      </c>
      <c r="AC10" s="8" t="n">
        <v>30547927361.9092</v>
      </c>
      <c r="AD10" s="8" t="n">
        <v>26986169866.4088</v>
      </c>
      <c r="AE10" s="8" t="n">
        <v>27501357455.3932</v>
      </c>
      <c r="AF10" s="8" t="n">
        <v>29536959128.7033</v>
      </c>
      <c r="AG10" s="8" t="n">
        <v>30788147818.811</v>
      </c>
      <c r="AH10" s="8" t="n">
        <v>31915739869.8829</v>
      </c>
      <c r="AI10" s="8" t="n">
        <v>30991113193.9585</v>
      </c>
      <c r="AJ10" s="8" t="n">
        <v>29625358547.5831</v>
      </c>
      <c r="AK10" s="8" t="n">
        <v>29470340153.7995</v>
      </c>
      <c r="AL10" s="8" t="n">
        <v>29432074455.024</v>
      </c>
      <c r="AM10" s="8" t="n">
        <v>29176365886.6971</v>
      </c>
      <c r="AN10" s="8" t="n">
        <v>11949903976.3336</v>
      </c>
      <c r="AO10" s="8"/>
    </row>
    <row r="11">
      <c r="A11" t="str">
        <f>M11</f>
      </c>
      <c r="B11" t="str">
        <f>N11</f>
      </c>
      <c r="C11" s="8" t="str">
        <f>AI11</f>
      </c>
      <c r="D11" s="8" t="str">
        <f>AL11</f>
      </c>
      <c r="E11" s="8" t="str">
        <f>AM11</f>
      </c>
      <c r="F11" s="8"/>
      <c r="G11" s="2" t="str">
        <f>AM11/AL11-1</f>
      </c>
      <c r="H11" s="2" t="str">
        <f>AM11/AI11-1</f>
      </c>
      <c r="I11" s="2"/>
      <c r="J11" s="2" t="str">
        <f>AM11/Sum(AM$1:AM$37)</f>
      </c>
      <c r="K11" s="2"/>
      <c r="M11" t="b">
        <v>0</v>
      </c>
      <c r="N11" t="s">
        <v>76</v>
      </c>
      <c r="O11" s="8" t="n">
        <v>14029816529.6979</v>
      </c>
      <c r="P11" s="8" t="n">
        <v>19693077994.1455</v>
      </c>
      <c r="Q11" s="8" t="n">
        <v>20286025894.9121</v>
      </c>
      <c r="R11" s="8" t="n">
        <v>19606615461.5609</v>
      </c>
      <c r="S11" s="8" t="n">
        <v>22719496478.7213</v>
      </c>
      <c r="T11" s="8" t="n">
        <v>20824757419.5957</v>
      </c>
      <c r="U11" s="8" t="n">
        <v>24343095614.4519</v>
      </c>
      <c r="V11" s="8" t="n">
        <v>24277298679.3074</v>
      </c>
      <c r="W11" s="8" t="n">
        <v>26685281356.9179</v>
      </c>
      <c r="X11" s="8" t="n">
        <v>25465454385.6896</v>
      </c>
      <c r="Y11" s="8" t="n">
        <v>19177140414.6446</v>
      </c>
      <c r="Z11" s="8" t="n">
        <v>31675399297.2024</v>
      </c>
      <c r="AA11" s="8" t="n">
        <v>25730477747.0161</v>
      </c>
      <c r="AB11" s="8" t="n">
        <v>22749171424.9496</v>
      </c>
      <c r="AC11" s="8" t="n">
        <v>23779399848.5954</v>
      </c>
      <c r="AD11" s="8" t="n">
        <v>22941093680.3758</v>
      </c>
      <c r="AE11" s="8" t="n">
        <v>25919317375.2517</v>
      </c>
      <c r="AF11" s="8" t="n">
        <v>28868783044.8819</v>
      </c>
      <c r="AG11" s="8" t="n">
        <v>32489217106.0106</v>
      </c>
      <c r="AH11" s="8" t="n">
        <v>33185973326.1353</v>
      </c>
      <c r="AI11" s="8" t="n">
        <v>40366369417.3615</v>
      </c>
      <c r="AJ11" s="8" t="n">
        <v>32291321601.3202</v>
      </c>
      <c r="AK11" s="8" t="n">
        <v>31958420667.5304</v>
      </c>
      <c r="AL11" s="8" t="n">
        <v>33561506971.6759</v>
      </c>
      <c r="AM11" s="8" t="n">
        <v>33845173568.5824</v>
      </c>
      <c r="AN11" s="8" t="n">
        <v>19765037752.6541</v>
      </c>
      <c r="AO11" s="8"/>
    </row>
    <row r="12">
      <c r="A12" t="str">
        <f>M12</f>
      </c>
      <c r="B12" t="str">
        <f>N12</f>
      </c>
      <c r="C12" s="8" t="str">
        <f>AI12</f>
      </c>
      <c r="D12" s="8" t="str">
        <f>AL12</f>
      </c>
      <c r="E12" s="8" t="str">
        <f>AM12</f>
      </c>
      <c r="F12" s="8"/>
      <c r="G12" s="2" t="str">
        <f>AM12/AL12-1</f>
      </c>
      <c r="H12" s="2" t="str">
        <f>AM12/AI12-1</f>
      </c>
      <c r="I12" s="2"/>
      <c r="J12" s="2" t="str">
        <f>AM12/Sum(AM$1:AM$37)</f>
      </c>
      <c r="K12" s="2"/>
      <c r="M12" t="b">
        <v>0</v>
      </c>
      <c r="N12" t="s">
        <v>77</v>
      </c>
      <c r="O12" s="8" t="n">
        <v>5350758180.5355</v>
      </c>
      <c r="P12" s="8" t="n">
        <v>6813302852.76457</v>
      </c>
      <c r="Q12" s="8" t="n">
        <v>7261784219.33336</v>
      </c>
      <c r="R12" s="8" t="n">
        <v>8386638907.68866</v>
      </c>
      <c r="S12" s="8" t="n">
        <v>9710946895.17532</v>
      </c>
      <c r="T12" s="8" t="n">
        <v>9796685770.13352</v>
      </c>
      <c r="U12" s="8" t="n">
        <v>11653358920.3939</v>
      </c>
      <c r="V12" s="8" t="n">
        <v>11617955354.0289</v>
      </c>
      <c r="W12" s="8" t="n">
        <v>13248156902.2897</v>
      </c>
      <c r="X12" s="8" t="n">
        <v>14162002897.8013</v>
      </c>
      <c r="Y12" s="8" t="n">
        <v>12362455560.3851</v>
      </c>
      <c r="Z12" s="8" t="n">
        <v>13800046415.2263</v>
      </c>
      <c r="AA12" s="8" t="n">
        <v>13137925828.5575</v>
      </c>
      <c r="AB12" s="8" t="n">
        <v>9830736970.16679</v>
      </c>
      <c r="AC12" s="8" t="n">
        <v>9972789764.7535</v>
      </c>
      <c r="AD12" s="8" t="n">
        <v>7311619621.00115</v>
      </c>
      <c r="AE12" s="8" t="n">
        <v>7312176261.5533</v>
      </c>
      <c r="AF12" s="8" t="n">
        <v>7269030700.32058</v>
      </c>
      <c r="AG12" s="8" t="n">
        <v>6911777202.93168</v>
      </c>
      <c r="AH12" s="8" t="n">
        <v>8184758441.27763</v>
      </c>
      <c r="AI12" s="8" t="n">
        <v>8228330635.68521</v>
      </c>
      <c r="AJ12" s="8" t="n">
        <v>3962876714.97228</v>
      </c>
      <c r="AK12" s="8" t="n">
        <v>4738530757.3149</v>
      </c>
      <c r="AL12" s="8" t="n">
        <v>5025451521.5926</v>
      </c>
      <c r="AM12" s="8" t="n">
        <v>5654696503.01679</v>
      </c>
      <c r="AN12" s="8" t="n">
        <v>1427522990.38531</v>
      </c>
      <c r="AO12" s="8"/>
    </row>
    <row r="13">
      <c r="A13" t="str">
        <f>M13</f>
      </c>
      <c r="B13" t="str">
        <f>N13</f>
      </c>
      <c r="C13" s="8" t="str">
        <f>AI13</f>
      </c>
      <c r="D13" s="8" t="str">
        <f>AL13</f>
      </c>
      <c r="E13" s="8" t="str">
        <f>AM13</f>
      </c>
      <c r="F13" s="8"/>
      <c r="G13" s="2" t="str">
        <f>AM13/AL13-1</f>
      </c>
      <c r="H13" s="2" t="str">
        <f>AM13/AI13-1</f>
      </c>
      <c r="I13" s="2"/>
      <c r="J13" s="2" t="str">
        <f>AM13/Sum(AM$1:AM$37)</f>
      </c>
      <c r="K13" s="2"/>
      <c r="M13" t="b">
        <v>0</v>
      </c>
      <c r="N13" t="s">
        <v>78</v>
      </c>
      <c r="O13" s="8" t="n">
        <v>49452293.8135696</v>
      </c>
      <c r="P13" s="8" t="n">
        <v>15843052.929007</v>
      </c>
      <c r="Q13" s="8" t="n">
        <v>134821636.29748</v>
      </c>
      <c r="R13" s="8" t="n">
        <v>119967911.604038</v>
      </c>
      <c r="S13" s="8" t="n">
        <v>10934521.6829519</v>
      </c>
      <c r="T13" s="8" t="n">
        <v>5711674.55911476</v>
      </c>
      <c r="U13" s="8" t="n">
        <v>160410509.303506</v>
      </c>
      <c r="V13" s="8" t="n">
        <v>25551712.5387472</v>
      </c>
      <c r="W13" s="8" t="n">
        <v>647942.202028455</v>
      </c>
      <c r="X13" s="8" t="n">
        <v>1353970.82348517</v>
      </c>
      <c r="Y13" s="8" t="n">
        <v>-320199.707200513</v>
      </c>
      <c r="Z13" s="8" t="n">
        <v>-139337.836141756</v>
      </c>
      <c r="AA13" s="8" t="n">
        <v>-7077.20300901423</v>
      </c>
      <c r="AB13" s="8" t="n">
        <v>-117424.5440476</v>
      </c>
      <c r="AC13" s="8" t="n">
        <v>567671.010781381</v>
      </c>
      <c r="AD13" s="8" t="n">
        <v>0</v>
      </c>
      <c r="AE13" s="8" t="n">
        <v>4443615.1319988</v>
      </c>
      <c r="AF13" s="8" t="n">
        <v>-299.071500057452</v>
      </c>
      <c r="AG13" s="8" t="n">
        <v>0</v>
      </c>
      <c r="AH13" s="8" t="n">
        <v>546254.749528136</v>
      </c>
      <c r="AI13" s="8" t="n">
        <v>0</v>
      </c>
      <c r="AJ13" s="8" t="n">
        <v>421053.108340354</v>
      </c>
      <c r="AK13" s="8" t="n">
        <v>62577.4762279629</v>
      </c>
      <c r="AL13" s="8" t="n">
        <v>30637.5606</v>
      </c>
      <c r="AM13" s="8" t="n">
        <v>1321600.40543174</v>
      </c>
      <c r="AN13" s="8" t="n">
        <v>2035972.34396262</v>
      </c>
      <c r="AO13" s="8"/>
    </row>
    <row r="14">
      <c r="A14" t="str">
        <f>M14</f>
      </c>
      <c r="B14" t="str">
        <f>N14</f>
      </c>
      <c r="C14" s="8" t="str">
        <f>AI14</f>
      </c>
      <c r="D14" s="8" t="str">
        <f>AL14</f>
      </c>
      <c r="E14" s="8" t="str">
        <f>AM14</f>
      </c>
      <c r="F14" s="8"/>
      <c r="G14" s="2" t="str">
        <f>AM14/AL14-1</f>
      </c>
      <c r="H14" s="2" t="str">
        <f>AM14/AI14-1</f>
      </c>
      <c r="I14" s="2"/>
      <c r="J14" s="2" t="str">
        <f>AM14/Sum(AM$1:AM$37)</f>
      </c>
      <c r="K14" s="2"/>
      <c r="M14" t="b">
        <v>1</v>
      </c>
      <c r="N14" t="s">
        <v>67</v>
      </c>
      <c r="O14" s="8" t="n">
        <v>110099660.412558</v>
      </c>
      <c r="P14" s="8" t="n">
        <v>78664277.7731819</v>
      </c>
      <c r="Q14" s="8" t="n">
        <v>1019374504.72287</v>
      </c>
      <c r="R14" s="8" t="n">
        <v>3824757928.523</v>
      </c>
      <c r="S14" s="8" t="n">
        <v>5459072470.38202</v>
      </c>
      <c r="T14" s="8" t="n">
        <v>9865428810.02565</v>
      </c>
      <c r="U14" s="8" t="n">
        <v>9435454162.024</v>
      </c>
      <c r="V14" s="8" t="n">
        <v>6902793096.12996</v>
      </c>
      <c r="W14" s="8" t="n">
        <v>12363373778.1831</v>
      </c>
      <c r="X14" s="8" t="n">
        <v>6599301613.47337</v>
      </c>
      <c r="Y14" s="8" t="n">
        <v>5372500473.60587</v>
      </c>
      <c r="Z14" s="8" t="n">
        <v>5759251767.72626</v>
      </c>
      <c r="AA14" s="8" t="n">
        <v>9995721452.92388</v>
      </c>
      <c r="AB14" s="8" t="n">
        <v>8587093197.202</v>
      </c>
      <c r="AC14" s="8" t="n">
        <v>4886851210.22247</v>
      </c>
      <c r="AD14" s="8" t="n">
        <v>4873301854.35741</v>
      </c>
      <c r="AE14" s="8" t="n">
        <v>6205205695.54762</v>
      </c>
      <c r="AF14" s="8" t="n">
        <v>6222999700.24137</v>
      </c>
      <c r="AG14" s="8" t="n">
        <v>7031918661.93728</v>
      </c>
      <c r="AH14" s="8" t="n">
        <v>9062003055.95802</v>
      </c>
      <c r="AI14" s="8" t="n">
        <v>7098676717.90394</v>
      </c>
      <c r="AJ14" s="8" t="n">
        <v>6381358003.62473</v>
      </c>
      <c r="AK14" s="8" t="n">
        <v>6220189796.95123</v>
      </c>
      <c r="AL14" s="8" t="n">
        <v>8050011344.8766</v>
      </c>
      <c r="AM14" s="8" t="n">
        <v>6822200223.15678</v>
      </c>
      <c r="AN14" s="8" t="n">
        <v>4060793287.41111</v>
      </c>
      <c r="AO14" s="8"/>
    </row>
    <row r="15">
      <c r="A15" t="str">
        <f>M15</f>
      </c>
      <c r="B15" t="str">
        <f>N15</f>
      </c>
      <c r="C15" s="8" t="str">
        <f>AI15</f>
      </c>
      <c r="D15" s="8" t="str">
        <f>AL15</f>
      </c>
      <c r="E15" s="8" t="str">
        <f>AM15</f>
      </c>
      <c r="F15" s="8"/>
      <c r="G15" s="2" t="str">
        <f>AM15/AL15-1</f>
      </c>
      <c r="H15" s="2" t="str">
        <f>AM15/AI15-1</f>
      </c>
      <c r="I15" s="2"/>
      <c r="J15" s="2" t="str">
        <f>AM15/Sum(AM$1:AM$37)</f>
      </c>
      <c r="K15" s="2"/>
      <c r="M15" t="b">
        <v>1</v>
      </c>
      <c r="N15" t="s">
        <v>68</v>
      </c>
      <c r="O15" s="8" t="n">
        <v>117167358.741587</v>
      </c>
      <c r="P15" s="8" t="n">
        <v>236186060.154231</v>
      </c>
      <c r="Q15" s="8" t="n">
        <v>634464512.668636</v>
      </c>
      <c r="R15" s="8" t="n">
        <v>864023861.474285</v>
      </c>
      <c r="S15" s="8" t="n">
        <v>2049791362.45062</v>
      </c>
      <c r="T15" s="8" t="n">
        <v>1433805998.70756</v>
      </c>
      <c r="U15" s="8" t="n">
        <v>1804372908.85056</v>
      </c>
      <c r="V15" s="8" t="n">
        <v>335651403.425142</v>
      </c>
      <c r="W15" s="8" t="n">
        <v>324443752.859356</v>
      </c>
      <c r="X15" s="8" t="n">
        <v>567996028.749455</v>
      </c>
      <c r="Y15" s="8" t="n">
        <v>565262956.173926</v>
      </c>
      <c r="Z15" s="8" t="n">
        <v>903312897.563396</v>
      </c>
      <c r="AA15" s="8" t="n">
        <v>892824649.517915</v>
      </c>
      <c r="AB15" s="8" t="n">
        <v>1204769184.78708</v>
      </c>
      <c r="AC15" s="8" t="n">
        <v>1011935568.11819</v>
      </c>
      <c r="AD15" s="8" t="n">
        <v>985367747.541462</v>
      </c>
      <c r="AE15" s="8" t="n">
        <v>1480137091.00092</v>
      </c>
      <c r="AF15" s="8" t="n">
        <v>2131702483.56042</v>
      </c>
      <c r="AG15" s="8" t="n">
        <v>2385871297.09635</v>
      </c>
      <c r="AH15" s="8" t="n">
        <v>2365097529.21819</v>
      </c>
      <c r="AI15" s="8" t="n">
        <v>1911273965.04304</v>
      </c>
      <c r="AJ15" s="8" t="n">
        <v>2158224750.7391</v>
      </c>
      <c r="AK15" s="8" t="n">
        <v>1703567396.18451</v>
      </c>
      <c r="AL15" s="8" t="n">
        <v>2863452013.7883</v>
      </c>
      <c r="AM15" s="8" t="n">
        <v>2383106201.97727</v>
      </c>
      <c r="AN15" s="8" t="n">
        <v>1131960549.43875</v>
      </c>
      <c r="AO15" s="8"/>
    </row>
    <row r="16">
      <c r="A16" t="str">
        <f>M16</f>
      </c>
      <c r="B16" t="str">
        <f>N16</f>
      </c>
      <c r="C16" s="8" t="str">
        <f>AI16</f>
      </c>
      <c r="D16" s="8" t="str">
        <f>AL16</f>
      </c>
      <c r="E16" s="8" t="str">
        <f>AM16</f>
      </c>
      <c r="F16" s="8"/>
      <c r="G16" s="2" t="str">
        <f>AM16/AL16-1</f>
      </c>
      <c r="H16" s="2" t="str">
        <f>AM16/AI16-1</f>
      </c>
      <c r="I16" s="2"/>
      <c r="J16" s="2" t="str">
        <f>AM16/Sum(AM$1:AM$37)</f>
      </c>
      <c r="K16" s="2"/>
      <c r="M16" t="b">
        <v>1</v>
      </c>
      <c r="N16" t="s">
        <v>69</v>
      </c>
      <c r="O16" s="8" t="n">
        <v>122810538.8715</v>
      </c>
      <c r="P16" s="8" t="n">
        <v>88054801.3379279</v>
      </c>
      <c r="Q16" s="8" t="n">
        <v>77403630.2273528</v>
      </c>
      <c r="R16" s="8" t="n">
        <v>94785852.1900684</v>
      </c>
      <c r="S16" s="8" t="n">
        <v>231725349.862572</v>
      </c>
      <c r="T16" s="8" t="n">
        <v>284834141.780248</v>
      </c>
      <c r="U16" s="8" t="n">
        <v>291808323.554107</v>
      </c>
      <c r="V16" s="8" t="n">
        <v>663339717.442184</v>
      </c>
      <c r="W16" s="8" t="n">
        <v>704910597.061055</v>
      </c>
      <c r="X16" s="8" t="n">
        <v>692734819.128705</v>
      </c>
      <c r="Y16" s="8" t="n">
        <v>1623479142.05251</v>
      </c>
      <c r="Z16" s="8" t="n">
        <v>1888303559.23548</v>
      </c>
      <c r="AA16" s="8" t="n">
        <v>1669839421.5406</v>
      </c>
      <c r="AB16" s="8" t="n">
        <v>1647839885.06644</v>
      </c>
      <c r="AC16" s="8" t="n">
        <v>1960057497.21141</v>
      </c>
      <c r="AD16" s="8" t="n">
        <v>1530971794.98327</v>
      </c>
      <c r="AE16" s="8" t="n">
        <v>1193040050.01012</v>
      </c>
      <c r="AF16" s="8" t="n">
        <v>1120818010.42179</v>
      </c>
      <c r="AG16" s="8" t="n">
        <v>1134102843.39435</v>
      </c>
      <c r="AH16" s="8" t="n">
        <v>1126273647.888</v>
      </c>
      <c r="AI16" s="8" t="n">
        <v>1601165619.1139</v>
      </c>
      <c r="AJ16" s="8" t="n">
        <v>1953020650.15057</v>
      </c>
      <c r="AK16" s="8" t="n">
        <v>3005445877.57751</v>
      </c>
      <c r="AL16" s="8" t="n">
        <v>2397161104.8483</v>
      </c>
      <c r="AM16" s="8" t="n">
        <v>3478545721.74269</v>
      </c>
      <c r="AN16" s="8" t="n">
        <v>3315626064.63496</v>
      </c>
      <c r="AO16" s="8"/>
    </row>
    <row r="17">
      <c r="A17" t="str">
        <f>M17</f>
      </c>
      <c r="B17" t="str">
        <f>N17</f>
      </c>
      <c r="C17" s="8" t="str">
        <f>AI17</f>
      </c>
      <c r="D17" s="8" t="str">
        <f>AL17</f>
      </c>
      <c r="E17" s="8" t="str">
        <f>AM17</f>
      </c>
      <c r="F17" s="8"/>
      <c r="G17" s="2" t="str">
        <f>AM17/AL17-1</f>
      </c>
      <c r="H17" s="2" t="str">
        <f>AM17/AI17-1</f>
      </c>
      <c r="I17" s="2"/>
      <c r="J17" s="2" t="str">
        <f>AM17/Sum(AM$1:AM$37)</f>
      </c>
      <c r="K17" s="2"/>
      <c r="M17" t="b">
        <v>1</v>
      </c>
      <c r="N17" t="s">
        <v>70</v>
      </c>
      <c r="O17" s="8" t="n">
        <v>223312048.663891</v>
      </c>
      <c r="P17" s="8" t="n">
        <v>911363466.256188</v>
      </c>
      <c r="Q17" s="8" t="n">
        <v>994764781.322826</v>
      </c>
      <c r="R17" s="8" t="n">
        <v>571862227.634484</v>
      </c>
      <c r="S17" s="8" t="n">
        <v>849865107.155528</v>
      </c>
      <c r="T17" s="8" t="n">
        <v>518649498.643925</v>
      </c>
      <c r="U17" s="8" t="n">
        <v>446811488.845499</v>
      </c>
      <c r="V17" s="8" t="n">
        <v>-15993539.8353005</v>
      </c>
      <c r="W17" s="8" t="n">
        <v>152455436.865755</v>
      </c>
      <c r="X17" s="8" t="n">
        <v>218258523.182697</v>
      </c>
      <c r="Y17" s="8" t="n">
        <v>253114336.078972</v>
      </c>
      <c r="Z17" s="8" t="n">
        <v>378662643.214911</v>
      </c>
      <c r="AA17" s="8" t="n">
        <v>351556730.085745</v>
      </c>
      <c r="AB17" s="8" t="n">
        <v>127801010.859185</v>
      </c>
      <c r="AC17" s="8" t="n">
        <v>330231829.756293</v>
      </c>
      <c r="AD17" s="8" t="n">
        <v>1209450013.4581</v>
      </c>
      <c r="AE17" s="8" t="n">
        <v>1356476693.87461</v>
      </c>
      <c r="AF17" s="8" t="n">
        <v>1487999396.94026</v>
      </c>
      <c r="AG17" s="8" t="n">
        <v>1557257819.62244</v>
      </c>
      <c r="AH17" s="8" t="n">
        <v>1275753742.68361</v>
      </c>
      <c r="AI17" s="8" t="n">
        <v>798116188.799788</v>
      </c>
      <c r="AJ17" s="8" t="n">
        <v>431189707.690775</v>
      </c>
      <c r="AK17" s="8" t="n">
        <v>363849416.62953</v>
      </c>
      <c r="AL17" s="8" t="n">
        <v>447981790.9858</v>
      </c>
      <c r="AM17" s="8" t="n">
        <v>448847073.734998</v>
      </c>
      <c r="AN17" s="8" t="n">
        <v>28278306.6782032</v>
      </c>
      <c r="AO17" s="8"/>
    </row>
    <row r="18">
      <c r="A18" t="str">
        <f>M18</f>
      </c>
      <c r="B18" t="str">
        <f>N18</f>
      </c>
      <c r="C18" s="8" t="str">
        <f>AI18</f>
      </c>
      <c r="D18" s="8" t="str">
        <f>AL18</f>
      </c>
      <c r="E18" s="8" t="str">
        <f>AM18</f>
      </c>
      <c r="F18" s="8"/>
      <c r="G18" s="2" t="str">
        <f>AM18/AL18-1</f>
      </c>
      <c r="H18" s="2" t="str">
        <f>AM18/AI18-1</f>
      </c>
      <c r="I18" s="2"/>
      <c r="J18" s="2" t="str">
        <f>AM18/Sum(AM$1:AM$37)</f>
      </c>
      <c r="K18" s="2"/>
      <c r="M18" t="b">
        <v>1</v>
      </c>
      <c r="N18" t="s">
        <v>71</v>
      </c>
      <c r="O18" s="8"/>
      <c r="P18" s="8"/>
      <c r="Q18" s="8"/>
      <c r="R18" s="8"/>
      <c r="S18" s="8"/>
      <c r="T18" s="8" t="n">
        <v>0</v>
      </c>
      <c r="U18" s="8" t="n">
        <v>2181673.56151467</v>
      </c>
      <c r="V18" s="8" t="n">
        <v>0</v>
      </c>
      <c r="W18" s="8" t="n">
        <v>17357638.3002127</v>
      </c>
      <c r="X18" s="8" t="n">
        <v>46593781.2247896</v>
      </c>
      <c r="Y18" s="8" t="n">
        <v>171406125.142513</v>
      </c>
      <c r="Z18" s="8" t="n">
        <v>511242530.752466</v>
      </c>
      <c r="AA18" s="8" t="n">
        <v>556295725.053684</v>
      </c>
      <c r="AB18" s="8" t="n">
        <v>557107024.311866</v>
      </c>
      <c r="AC18" s="8" t="n">
        <v>549395262.454577</v>
      </c>
      <c r="AD18" s="8" t="n">
        <v>1064463057.72905</v>
      </c>
      <c r="AE18" s="8" t="n">
        <v>1367717842.89768</v>
      </c>
      <c r="AF18" s="8" t="n">
        <v>1206248700.03427</v>
      </c>
      <c r="AG18" s="8" t="n">
        <v>505536792.720784</v>
      </c>
      <c r="AH18" s="8" t="n">
        <v>637197681.004282</v>
      </c>
      <c r="AI18" s="8" t="n">
        <v>2396731374.02249</v>
      </c>
      <c r="AJ18" s="8" t="n">
        <v>1919761318.68285</v>
      </c>
      <c r="AK18" s="8" t="n">
        <v>2152178481.75253</v>
      </c>
      <c r="AL18" s="8" t="n">
        <v>3049779548.3753</v>
      </c>
      <c r="AM18" s="8" t="n">
        <v>2662830242.77053</v>
      </c>
      <c r="AN18" s="8" t="n">
        <v>1102092819.95602</v>
      </c>
      <c r="AO18" s="8"/>
    </row>
    <row r="19">
      <c r="A19" t="str">
        <f>M19</f>
      </c>
      <c r="B19" t="str">
        <f>N19</f>
      </c>
      <c r="C19" s="8" t="str">
        <f>AI19</f>
      </c>
      <c r="D19" s="8" t="str">
        <f>AL19</f>
      </c>
      <c r="E19" s="8" t="str">
        <f>AM19</f>
      </c>
      <c r="F19" s="8"/>
      <c r="G19" s="2" t="str">
        <f>AM19/AL19-1</f>
      </c>
      <c r="H19" s="2" t="str">
        <f>AM19/AI19-1</f>
      </c>
      <c r="I19" s="2"/>
      <c r="J19" s="2" t="str">
        <f>AM19/Sum(AM$1:AM$37)</f>
      </c>
      <c r="K19" s="2"/>
      <c r="M19" t="b">
        <v>1</v>
      </c>
      <c r="N19" t="s">
        <v>72</v>
      </c>
      <c r="O19" s="8" t="n">
        <v>1159344108.896</v>
      </c>
      <c r="P19" s="8" t="n">
        <v>1020054441.54575</v>
      </c>
      <c r="Q19" s="8" t="n">
        <v>977578556.004139</v>
      </c>
      <c r="R19" s="8" t="n">
        <v>790965833.805683</v>
      </c>
      <c r="S19" s="8" t="n">
        <v>684067938.376563</v>
      </c>
      <c r="T19" s="8" t="n">
        <v>502000602.18196</v>
      </c>
      <c r="U19" s="8" t="n">
        <v>664085965.851707</v>
      </c>
      <c r="V19" s="8" t="n">
        <v>543262630.470489</v>
      </c>
      <c r="W19" s="8" t="n">
        <v>1281765198.02638</v>
      </c>
      <c r="X19" s="8" t="n">
        <v>826451506.832779</v>
      </c>
      <c r="Y19" s="8" t="n">
        <v>1354545660.71035</v>
      </c>
      <c r="Z19" s="8" t="n">
        <v>915783263.850043</v>
      </c>
      <c r="AA19" s="8" t="n">
        <v>668425454.731949</v>
      </c>
      <c r="AB19" s="8" t="n">
        <v>790855043.916629</v>
      </c>
      <c r="AC19" s="8" t="n">
        <v>1039414966.10955</v>
      </c>
      <c r="AD19" s="8" t="n">
        <v>1140547773.58834</v>
      </c>
      <c r="AE19" s="8" t="n">
        <v>802937969.862841</v>
      </c>
      <c r="AF19" s="8" t="n">
        <v>1206832602.02104</v>
      </c>
      <c r="AG19" s="8" t="n">
        <v>1627199738.17848</v>
      </c>
      <c r="AH19" s="8" t="n">
        <v>1231321415.55383</v>
      </c>
      <c r="AI19" s="8" t="n">
        <v>1388323198.87179</v>
      </c>
      <c r="AJ19" s="8" t="n">
        <v>1405833852.84132</v>
      </c>
      <c r="AK19" s="8" t="n">
        <v>667482120.643857</v>
      </c>
      <c r="AL19" s="8" t="n">
        <v>1185801255.2339</v>
      </c>
      <c r="AM19" s="8" t="n">
        <v>3847133230.40442</v>
      </c>
      <c r="AN19" s="8" t="n">
        <v>2742453788.80891</v>
      </c>
      <c r="AO19" s="8"/>
    </row>
    <row r="20">
      <c r="A20" t="str">
        <f>M20</f>
      </c>
      <c r="B20" t="str">
        <f>N20</f>
      </c>
      <c r="C20" s="8" t="str">
        <f>AI20</f>
      </c>
      <c r="D20" s="8" t="str">
        <f>AL20</f>
      </c>
      <c r="E20" s="8" t="str">
        <f>AM20</f>
      </c>
      <c r="F20" s="8"/>
      <c r="G20" s="2" t="str">
        <f>AM20/AL20-1</f>
      </c>
      <c r="H20" s="2" t="str">
        <f>AM20/AI20-1</f>
      </c>
      <c r="I20" s="2"/>
      <c r="J20" s="2" t="str">
        <f>AM20/Sum(AM$1:AM$37)</f>
      </c>
      <c r="K20" s="2"/>
      <c r="M20" t="b">
        <v>1</v>
      </c>
      <c r="N20" t="s">
        <v>73</v>
      </c>
      <c r="O20" s="8" t="n">
        <v>920011377.240056</v>
      </c>
      <c r="P20" s="8" t="n">
        <v>1068804178.51338</v>
      </c>
      <c r="Q20" s="8" t="n">
        <v>2278313971.68038</v>
      </c>
      <c r="R20" s="8" t="n">
        <v>1314182313.45545</v>
      </c>
      <c r="S20" s="8" t="n">
        <v>432992232.292929</v>
      </c>
      <c r="T20" s="8" t="n">
        <v>2394157457.34838</v>
      </c>
      <c r="U20" s="8" t="n">
        <v>1143204740.6086</v>
      </c>
      <c r="V20" s="8" t="n">
        <v>103016588.539979</v>
      </c>
      <c r="W20" s="8" t="n">
        <v>2687277024.39891</v>
      </c>
      <c r="X20" s="8" t="n">
        <v>2747476959.29644</v>
      </c>
      <c r="Y20" s="8" t="n">
        <v>2126802365.57939</v>
      </c>
      <c r="Z20" s="8" t="n">
        <v>3622062856.37905</v>
      </c>
      <c r="AA20" s="8" t="n">
        <v>1595813446.43789</v>
      </c>
      <c r="AB20" s="8" t="n">
        <v>3790198396.21208</v>
      </c>
      <c r="AC20" s="8" t="n">
        <v>3938514518.88886</v>
      </c>
      <c r="AD20" s="8" t="n">
        <v>1694563845.67902</v>
      </c>
      <c r="AE20" s="8" t="n">
        <v>311068782.003638</v>
      </c>
      <c r="AF20" s="8" t="n">
        <v>210697538.159866</v>
      </c>
      <c r="AG20" s="8" t="n">
        <v>277824046.953821</v>
      </c>
      <c r="AH20" s="8" t="n">
        <v>395463695.14698</v>
      </c>
      <c r="AI20" s="8" t="n">
        <v>1670475382.11</v>
      </c>
      <c r="AJ20" s="8" t="n">
        <v>8042138772.59374</v>
      </c>
      <c r="AK20" s="8" t="n">
        <v>280268250.642302</v>
      </c>
      <c r="AL20" s="8" t="n">
        <v>273785968.064</v>
      </c>
      <c r="AM20" s="8" t="n">
        <v>220902656.418519</v>
      </c>
      <c r="AN20" s="8" t="n">
        <v>97042012.6740721</v>
      </c>
      <c r="AO20" s="8"/>
    </row>
    <row r="21">
      <c r="A21" t="str">
        <f>M21</f>
      </c>
      <c r="B21" t="str">
        <f>N21</f>
      </c>
      <c r="C21" s="8" t="str">
        <f>AI21</f>
      </c>
      <c r="D21" s="8" t="str">
        <f>AL21</f>
      </c>
      <c r="E21" s="8" t="str">
        <f>AM21</f>
      </c>
      <c r="F21" s="8"/>
      <c r="G21" s="2" t="str">
        <f>AM21/AL21-1</f>
      </c>
      <c r="H21" s="2" t="str">
        <f>AM21/AI21-1</f>
      </c>
      <c r="I21" s="2"/>
      <c r="J21" s="2" t="str">
        <f>AM21/Sum(AM$1:AM$37)</f>
      </c>
      <c r="K21" s="2"/>
      <c r="M21" t="b">
        <v>1</v>
      </c>
      <c r="N21" t="s">
        <v>74</v>
      </c>
      <c r="O21" s="8" t="n">
        <v>107842459.647253</v>
      </c>
      <c r="P21" s="8" t="n">
        <v>82556981.5931506</v>
      </c>
      <c r="Q21" s="8" t="n">
        <v>22481693.6368648</v>
      </c>
      <c r="R21" s="8" t="n">
        <v>200023152.012769</v>
      </c>
      <c r="S21" s="8" t="n">
        <v>266872614.610659</v>
      </c>
      <c r="T21" s="8" t="n">
        <v>141816686.702248</v>
      </c>
      <c r="U21" s="8" t="n">
        <v>108743826.524404</v>
      </c>
      <c r="V21" s="8" t="n">
        <v>186734670.666863</v>
      </c>
      <c r="W21" s="8" t="n">
        <v>322297421.466194</v>
      </c>
      <c r="X21" s="8" t="n">
        <v>415406866.659641</v>
      </c>
      <c r="Y21" s="8" t="n">
        <v>843276437.783588</v>
      </c>
      <c r="Z21" s="8" t="n">
        <v>850814445.729249</v>
      </c>
      <c r="AA21" s="8" t="n">
        <v>779688346.903826</v>
      </c>
      <c r="AB21" s="8" t="n">
        <v>844398972.100445</v>
      </c>
      <c r="AC21" s="8" t="n">
        <v>555036719.428672</v>
      </c>
      <c r="AD21" s="8" t="n">
        <v>640698318.276544</v>
      </c>
      <c r="AE21" s="8" t="n">
        <v>842025031.990868</v>
      </c>
      <c r="AF21" s="8" t="n">
        <v>1088755164.84438</v>
      </c>
      <c r="AG21" s="8" t="n">
        <v>812543374.117905</v>
      </c>
      <c r="AH21" s="8" t="n">
        <v>1251880863.41651</v>
      </c>
      <c r="AI21" s="8" t="n">
        <v>1437375637.05251</v>
      </c>
      <c r="AJ21" s="8" t="n">
        <v>1078632191.9023</v>
      </c>
      <c r="AK21" s="8" t="n">
        <v>1156823892.75744</v>
      </c>
      <c r="AL21" s="8" t="n">
        <v>1877083399.2531</v>
      </c>
      <c r="AM21" s="8" t="n">
        <v>2510052265.85861</v>
      </c>
      <c r="AN21" s="8" t="n">
        <v>1258890297.45609</v>
      </c>
      <c r="AO21" s="8"/>
    </row>
    <row r="22">
      <c r="A22" t="str">
        <f>M22</f>
      </c>
      <c r="B22" t="str">
        <f>N22</f>
      </c>
      <c r="C22" s="8" t="str">
        <f>AI22</f>
      </c>
      <c r="D22" s="8" t="str">
        <f>AL22</f>
      </c>
      <c r="E22" s="8" t="str">
        <f>AM22</f>
      </c>
      <c r="F22" s="8"/>
      <c r="G22" s="2" t="str">
        <f>AM22/AL22-1</f>
      </c>
      <c r="H22" s="2" t="str">
        <f>AM22/AI22-1</f>
      </c>
      <c r="I22" s="2"/>
      <c r="J22" s="2" t="str">
        <f>AM22/Sum(AM$1:AM$37)</f>
      </c>
      <c r="K22" s="2"/>
      <c r="M22" t="b">
        <v>1</v>
      </c>
      <c r="N22" t="s">
        <v>75</v>
      </c>
      <c r="O22" s="8"/>
      <c r="P22" s="8"/>
      <c r="Q22" s="8" t="n">
        <v>500949.16616074</v>
      </c>
      <c r="R22" s="8" t="n">
        <v>1421347.21043611</v>
      </c>
      <c r="S22" s="8" t="n">
        <v>5361383.98554956</v>
      </c>
      <c r="T22" s="8" t="n">
        <v>26297114.4989144</v>
      </c>
      <c r="U22" s="8" t="n">
        <v>12353385.0704913</v>
      </c>
      <c r="V22" s="8" t="n">
        <v>11072724.4866451</v>
      </c>
      <c r="W22" s="8" t="n">
        <v>22635387.9657976</v>
      </c>
      <c r="X22" s="8" t="n">
        <v>31649377.6907512</v>
      </c>
      <c r="Y22" s="8" t="n">
        <v>69082762.8801099</v>
      </c>
      <c r="Z22" s="8" t="n">
        <v>128686448.028648</v>
      </c>
      <c r="AA22" s="8" t="n">
        <v>325700106.449653</v>
      </c>
      <c r="AB22" s="8" t="n">
        <v>278518343.995549</v>
      </c>
      <c r="AC22" s="8" t="n">
        <v>144342756.273598</v>
      </c>
      <c r="AD22" s="8" t="n">
        <v>118176555.747178</v>
      </c>
      <c r="AE22" s="8" t="n">
        <v>94268987.2152988</v>
      </c>
      <c r="AF22" s="8" t="n">
        <v>118450997.881906</v>
      </c>
      <c r="AG22" s="8" t="n">
        <v>258271008.690276</v>
      </c>
      <c r="AH22" s="8" t="n">
        <v>100252105.438937</v>
      </c>
      <c r="AI22" s="8" t="n">
        <v>155878675.373882</v>
      </c>
      <c r="AJ22" s="8" t="n">
        <v>172199909.030885</v>
      </c>
      <c r="AK22" s="8" t="n">
        <v>267248658.837103</v>
      </c>
      <c r="AL22" s="8" t="n">
        <v>421984786.3603</v>
      </c>
      <c r="AM22" s="8" t="n">
        <v>568416187.283404</v>
      </c>
      <c r="AN22" s="8" t="n">
        <v>1710846144.19765</v>
      </c>
      <c r="AO22" s="8"/>
    </row>
    <row r="23">
      <c r="A23" t="str">
        <f>M23</f>
      </c>
      <c r="B23" t="str">
        <f>N23</f>
      </c>
      <c r="C23" s="8" t="str">
        <f>AI23</f>
      </c>
      <c r="D23" s="8" t="str">
        <f>AL23</f>
      </c>
      <c r="E23" s="8" t="str">
        <f>AM23</f>
      </c>
      <c r="F23" s="8"/>
      <c r="G23" s="2" t="str">
        <f>AM23/AL23-1</f>
      </c>
      <c r="H23" s="2" t="str">
        <f>AM23/AI23-1</f>
      </c>
      <c r="I23" s="2"/>
      <c r="J23" s="2" t="str">
        <f>AM23/Sum(AM$1:AM$37)</f>
      </c>
      <c r="K23" s="2"/>
      <c r="M23" t="b">
        <v>1</v>
      </c>
      <c r="N23" t="s">
        <v>76</v>
      </c>
      <c r="O23" s="8" t="n">
        <v>1698942072.72133</v>
      </c>
      <c r="P23" s="8" t="n">
        <v>667231689.746218</v>
      </c>
      <c r="Q23" s="8" t="n">
        <v>229541392.802605</v>
      </c>
      <c r="R23" s="8" t="n">
        <v>486241383.126826</v>
      </c>
      <c r="S23" s="8" t="n">
        <v>253193877.894965</v>
      </c>
      <c r="T23" s="8" t="n">
        <v>264367639.007765</v>
      </c>
      <c r="U23" s="8" t="n">
        <v>125002327.636753</v>
      </c>
      <c r="V23" s="8" t="n">
        <v>150089414.363696</v>
      </c>
      <c r="W23" s="8" t="n">
        <v>156376649.404194</v>
      </c>
      <c r="X23" s="8" t="n">
        <v>3982384804.1716</v>
      </c>
      <c r="Y23" s="8" t="n">
        <v>3740017137.83947</v>
      </c>
      <c r="Z23" s="8" t="n">
        <v>4790852418.31238</v>
      </c>
      <c r="AA23" s="8" t="n">
        <v>3969606632.14488</v>
      </c>
      <c r="AB23" s="8" t="n">
        <v>5419853706.45371</v>
      </c>
      <c r="AC23" s="8" t="n">
        <v>4333921620.52729</v>
      </c>
      <c r="AD23" s="8" t="n">
        <v>2022749776.43785</v>
      </c>
      <c r="AE23" s="8" t="n">
        <v>2856207839.20308</v>
      </c>
      <c r="AF23" s="8" t="n">
        <v>2595727619.61594</v>
      </c>
      <c r="AG23" s="8" t="n">
        <v>2650964655.02655</v>
      </c>
      <c r="AH23" s="8" t="n">
        <v>3886121208.37662</v>
      </c>
      <c r="AI23" s="8" t="n">
        <v>4550327551.66485</v>
      </c>
      <c r="AJ23" s="8" t="n">
        <v>1959694152.48941</v>
      </c>
      <c r="AK23" s="8" t="n">
        <v>2288199726.80749</v>
      </c>
      <c r="AL23" s="8" t="n">
        <v>5334484717.2432</v>
      </c>
      <c r="AM23" s="8" t="n">
        <v>3387993668.69963</v>
      </c>
      <c r="AN23" s="8" t="n">
        <v>283674362.288088</v>
      </c>
      <c r="AO23" s="8"/>
    </row>
    <row r="24">
      <c r="A24" t="str">
        <f>M24</f>
      </c>
      <c r="B24" t="str">
        <f>N24</f>
      </c>
      <c r="C24" s="8" t="str">
        <f>AI24</f>
      </c>
      <c r="D24" s="8" t="str">
        <f>AL24</f>
      </c>
      <c r="E24" s="8" t="str">
        <f>AM24</f>
      </c>
      <c r="F24" s="8"/>
      <c r="G24" s="2" t="str">
        <f>AM24/AL24-1</f>
      </c>
      <c r="H24" s="2" t="str">
        <f>AM24/AI24-1</f>
      </c>
      <c r="I24" s="2"/>
      <c r="J24" s="2" t="str">
        <f>AM24/Sum(AM$1:AM$37)</f>
      </c>
      <c r="K24" s="2"/>
      <c r="M24" t="b">
        <v>1</v>
      </c>
      <c r="N24" t="s">
        <v>77</v>
      </c>
      <c r="O24" s="8"/>
      <c r="P24" s="8" t="n">
        <v>5539683.33692797</v>
      </c>
      <c r="Q24" s="8"/>
      <c r="R24" s="8"/>
      <c r="S24" s="8" t="n">
        <v>6825742.08321724</v>
      </c>
      <c r="T24" s="8"/>
      <c r="U24" s="8"/>
      <c r="V24" s="8" t="n">
        <v>6314582.84521379</v>
      </c>
      <c r="W24" s="8" t="n">
        <v>35852222.5157703</v>
      </c>
      <c r="X24" s="8" t="n">
        <v>86097755.4160805</v>
      </c>
      <c r="Y24" s="8" t="n">
        <v>116282955.062365</v>
      </c>
      <c r="Z24" s="8" t="n">
        <v>75802957.0740951</v>
      </c>
      <c r="AA24" s="8" t="n">
        <v>48354566.1771713</v>
      </c>
      <c r="AB24" s="8" t="n">
        <v>45255637.3320717</v>
      </c>
      <c r="AC24" s="8" t="n">
        <v>73344359.0465036</v>
      </c>
      <c r="AD24" s="8" t="n">
        <v>128823164.231799</v>
      </c>
      <c r="AE24" s="8" t="n">
        <v>101663404.477039</v>
      </c>
      <c r="AF24" s="8" t="n">
        <v>61233996.4865837</v>
      </c>
      <c r="AG24" s="8" t="n">
        <v>70540909.5795387</v>
      </c>
      <c r="AH24" s="8" t="n">
        <v>235407366.37952</v>
      </c>
      <c r="AI24" s="8" t="n">
        <v>238596057.455663</v>
      </c>
      <c r="AJ24" s="8" t="n">
        <v>92717804.1751225</v>
      </c>
      <c r="AK24" s="8" t="n">
        <v>106478973.986811</v>
      </c>
      <c r="AL24" s="8" t="n">
        <v>96650467.02</v>
      </c>
      <c r="AM24" s="8" t="n">
        <v>108506514.905025</v>
      </c>
      <c r="AN24" s="8" t="n">
        <v>60777328.5503928</v>
      </c>
      <c r="AO24" s="8"/>
    </row>
    <row r="25">
      <c r="A25" t="str">
        <f>M25</f>
      </c>
      <c r="B25" t="str">
        <f>N25</f>
      </c>
      <c r="C25" s="8" t="str">
        <f>AI25</f>
      </c>
      <c r="D25" s="8" t="str">
        <f>AL25</f>
      </c>
      <c r="E25" s="8" t="str">
        <f>AM25</f>
      </c>
      <c r="F25" s="8"/>
      <c r="G25" s="2" t="str">
        <f>AM25/AL25-1</f>
      </c>
      <c r="H25" s="2" t="str">
        <f>AM25/AI25-1</f>
      </c>
      <c r="I25" s="2"/>
      <c r="J25" s="2" t="str">
        <f>AM25/Sum(AM$1:AM$37)</f>
      </c>
      <c r="K25" s="2"/>
      <c r="M25" t="b">
        <v>1</v>
      </c>
      <c r="N25" t="s">
        <v>78</v>
      </c>
      <c r="O25" s="8" t="n">
        <v>0</v>
      </c>
      <c r="P25" s="8"/>
      <c r="Q25" s="8" t="n">
        <v>459601.468371854</v>
      </c>
      <c r="R25" s="8"/>
      <c r="S25" s="8"/>
      <c r="T25" s="8"/>
      <c r="U25" s="8"/>
      <c r="V25" s="8"/>
      <c r="W25" s="8" t="n">
        <v>-137465.716340228</v>
      </c>
      <c r="X25" s="8"/>
      <c r="Y25" s="8"/>
      <c r="Z25" s="8"/>
      <c r="AA25" s="8"/>
      <c r="AB25" s="8"/>
      <c r="AC25" s="8"/>
      <c r="AD25" s="8"/>
      <c r="AE25" s="8"/>
      <c r="AF25" s="8" t="n">
        <v>24414.0000046899</v>
      </c>
      <c r="AG25" s="8" t="n">
        <v>-278246.133397523</v>
      </c>
      <c r="AH25" s="8"/>
      <c r="AI25" s="8" t="n">
        <v>0</v>
      </c>
      <c r="AJ25" s="8"/>
      <c r="AK25" s="8"/>
      <c r="AL25" s="8"/>
      <c r="AM25" s="8"/>
      <c r="AN25" s="8"/>
      <c r="AO25" s="8"/>
    </row>
    <row r="26">
      <c r="A26" t="str">
        <f>M26</f>
      </c>
      <c r="B26" t="str">
        <f>N26</f>
      </c>
      <c r="C26" s="8" t="str">
        <f>AI26</f>
      </c>
      <c r="D26" s="8" t="str">
        <f>AL26</f>
      </c>
      <c r="E26" s="8" t="str">
        <f>AM26</f>
      </c>
      <c r="F26" s="8"/>
      <c r="G26" s="2" t="str">
        <f>AM26/AL26-1</f>
      </c>
      <c r="H26" s="2" t="str">
        <f>AM26/AI26-1</f>
      </c>
      <c r="I26" s="2"/>
      <c r="J26" s="2" t="str">
        <f>AM26/Sum(AM$1:AM$37)</f>
      </c>
      <c r="K26" s="2"/>
      <c r="M26"/>
      <c r="N26" t="s">
        <v>67</v>
      </c>
      <c r="O26" s="8"/>
      <c r="P26" s="8"/>
      <c r="Q26" s="8" t="n">
        <v>88782.6066519482</v>
      </c>
      <c r="R26" s="8" t="n">
        <v>58740.4359506725</v>
      </c>
      <c r="S26" s="8" t="n">
        <v>58473.3408545705</v>
      </c>
      <c r="T26" s="8" t="n">
        <v>65540.7904377821</v>
      </c>
      <c r="U26" s="8" t="n">
        <v>2388344.07964428</v>
      </c>
      <c r="V26" s="8" t="n">
        <v>1028052.52982161</v>
      </c>
      <c r="W26" s="8" t="n">
        <v>5732552.80509495</v>
      </c>
      <c r="X26" s="8" t="n">
        <v>612129733.259339</v>
      </c>
      <c r="Y26" s="8" t="n">
        <v>2318968011.19063</v>
      </c>
      <c r="Z26" s="8" t="n">
        <v>4076750592.61849</v>
      </c>
      <c r="AA26" s="8" t="n">
        <v>6670603950.47668</v>
      </c>
      <c r="AB26" s="8" t="n">
        <v>7821264699.9224</v>
      </c>
      <c r="AC26" s="8" t="n">
        <v>7277773811.608</v>
      </c>
      <c r="AD26" s="8" t="n">
        <v>8380857741.18316</v>
      </c>
      <c r="AE26" s="8" t="n">
        <v>8440205419.39423</v>
      </c>
      <c r="AF26" s="8" t="n">
        <v>10411164560.6222</v>
      </c>
      <c r="AG26" s="8" t="n">
        <v>13392921395.1827</v>
      </c>
      <c r="AH26" s="8" t="n">
        <v>12011183679.1893</v>
      </c>
      <c r="AI26" s="8" t="n">
        <v>9484667615.94311</v>
      </c>
      <c r="AJ26" s="8" t="n">
        <v>10399942839.8864</v>
      </c>
      <c r="AK26" s="8" t="n">
        <v>10706072466.7282</v>
      </c>
      <c r="AL26" s="8" t="n">
        <v>9795854757.5009</v>
      </c>
      <c r="AM26" s="8" t="n">
        <v>9035025810.69976</v>
      </c>
      <c r="AN26" s="8" t="n">
        <v>3652730759.92046</v>
      </c>
      <c r="AO26" s="8"/>
    </row>
    <row r="27">
      <c r="A27" t="str">
        <f>M27</f>
      </c>
      <c r="B27" t="str">
        <f>N27</f>
      </c>
      <c r="C27" s="8" t="str">
        <f>AI27</f>
      </c>
      <c r="D27" s="8" t="str">
        <f>AL27</f>
      </c>
      <c r="E27" s="8" t="str">
        <f>AM27</f>
      </c>
      <c r="F27" s="8"/>
      <c r="G27" s="2" t="str">
        <f>AM27/AL27-1</f>
      </c>
      <c r="H27" s="2" t="str">
        <f>AM27/AI27-1</f>
      </c>
      <c r="I27" s="2"/>
      <c r="J27" s="2" t="str">
        <f>AM27/Sum(AM$1:AM$37)</f>
      </c>
      <c r="K27" s="2"/>
      <c r="M27"/>
      <c r="N27" t="s">
        <v>68</v>
      </c>
      <c r="O27" s="8" t="n">
        <v>145437.973517091</v>
      </c>
      <c r="P27" s="8" t="n">
        <v>155279.178702142</v>
      </c>
      <c r="Q27" s="8" t="n">
        <v>38954903.1404768</v>
      </c>
      <c r="R27" s="8" t="n">
        <v>402926282.031692</v>
      </c>
      <c r="S27" s="8" t="n">
        <v>483048973.994917</v>
      </c>
      <c r="T27" s="8" t="n">
        <v>734028.719876197</v>
      </c>
      <c r="U27" s="8" t="n">
        <v>115586018.055071</v>
      </c>
      <c r="V27" s="8" t="n">
        <v>4491438.38425146</v>
      </c>
      <c r="W27" s="8" t="n">
        <v>39356243.9823034</v>
      </c>
      <c r="X27" s="8" t="n">
        <v>1191034548.19221</v>
      </c>
      <c r="Y27" s="8" t="n">
        <v>5555809808.48171</v>
      </c>
      <c r="Z27" s="8" t="n">
        <v>6186463589.22512</v>
      </c>
      <c r="AA27" s="8" t="n">
        <v>6824042603.59371</v>
      </c>
      <c r="AB27" s="8" t="n">
        <v>6133756397.47405</v>
      </c>
      <c r="AC27" s="8" t="n">
        <v>6894480805.34583</v>
      </c>
      <c r="AD27" s="8" t="n">
        <v>7487588617.94671</v>
      </c>
      <c r="AE27" s="8" t="n">
        <v>9270381746.47456</v>
      </c>
      <c r="AF27" s="8" t="n">
        <v>9921042332.12479</v>
      </c>
      <c r="AG27" s="8" t="n">
        <v>10703205168.1216</v>
      </c>
      <c r="AH27" s="8" t="n">
        <v>12040556023.3793</v>
      </c>
      <c r="AI27" s="8" t="n">
        <v>13940942616.7875</v>
      </c>
      <c r="AJ27" s="8" t="n">
        <v>13084964739.3081</v>
      </c>
      <c r="AK27" s="8" t="n">
        <v>13471649139.9741</v>
      </c>
      <c r="AL27" s="8" t="n">
        <v>14731739363.6245</v>
      </c>
      <c r="AM27" s="8" t="n">
        <v>15637244663.2922</v>
      </c>
      <c r="AN27" s="8" t="n">
        <v>6083200632.08281</v>
      </c>
      <c r="AO27" s="8"/>
    </row>
    <row r="28">
      <c r="A28" t="str">
        <f>M28</f>
      </c>
      <c r="B28" t="str">
        <f>N28</f>
      </c>
      <c r="C28" s="8" t="str">
        <f>AI28</f>
      </c>
      <c r="D28" s="8" t="str">
        <f>AL28</f>
      </c>
      <c r="E28" s="8" t="str">
        <f>AM28</f>
      </c>
      <c r="F28" s="8"/>
      <c r="G28" s="2" t="str">
        <f>AM28/AL28-1</f>
      </c>
      <c r="H28" s="2" t="str">
        <f>AM28/AI28-1</f>
      </c>
      <c r="I28" s="2"/>
      <c r="J28" s="2" t="str">
        <f>AM28/Sum(AM$1:AM$37)</f>
      </c>
      <c r="K28" s="2"/>
      <c r="M28"/>
      <c r="N28" t="s">
        <v>69</v>
      </c>
      <c r="O28" s="8" t="n">
        <v>39537.1635171595</v>
      </c>
      <c r="P28" s="8" t="n">
        <v>11857.3844225089</v>
      </c>
      <c r="Q28" s="8" t="n">
        <v>213090.524371351</v>
      </c>
      <c r="R28" s="8" t="n">
        <v>331823.614890983</v>
      </c>
      <c r="S28" s="8" t="n">
        <v>132363217.067109</v>
      </c>
      <c r="T28" s="8" t="n">
        <v>284576013.958602</v>
      </c>
      <c r="U28" s="8" t="n">
        <v>14145804.3736527</v>
      </c>
      <c r="V28" s="8" t="n">
        <v>8062053.05149742</v>
      </c>
      <c r="W28" s="8" t="n">
        <v>26186628.4393063</v>
      </c>
      <c r="X28" s="8" t="n">
        <v>1548408015.46493</v>
      </c>
      <c r="Y28" s="8" t="n">
        <v>6598927083.21803</v>
      </c>
      <c r="Z28" s="8" t="n">
        <v>6477280270.17443</v>
      </c>
      <c r="AA28" s="8" t="n">
        <v>5169838757.68609</v>
      </c>
      <c r="AB28" s="8" t="n">
        <v>3545290374.48946</v>
      </c>
      <c r="AC28" s="8" t="n">
        <v>3732209852.71179</v>
      </c>
      <c r="AD28" s="8" t="n">
        <v>2968510391.98226</v>
      </c>
      <c r="AE28" s="8" t="n">
        <v>3069482805.19286</v>
      </c>
      <c r="AF28" s="8" t="n">
        <v>2943554861.02692</v>
      </c>
      <c r="AG28" s="8" t="n">
        <v>4266043907.10691</v>
      </c>
      <c r="AH28" s="8" t="n">
        <v>3229243493.37511</v>
      </c>
      <c r="AI28" s="8" t="n">
        <v>3415348469.60875</v>
      </c>
      <c r="AJ28" s="8" t="n">
        <v>3177209868.73729</v>
      </c>
      <c r="AK28" s="8" t="n">
        <v>3112836300.52813</v>
      </c>
      <c r="AL28" s="8" t="n">
        <v>3820140326.9983</v>
      </c>
      <c r="AM28" s="8" t="n">
        <v>3966102865.24403</v>
      </c>
      <c r="AN28" s="8" t="n">
        <v>1293959597.07545</v>
      </c>
      <c r="AO28" s="8"/>
    </row>
    <row r="29">
      <c r="A29" t="str">
        <f>M29</f>
      </c>
      <c r="B29" t="str">
        <f>N29</f>
      </c>
      <c r="C29" s="8" t="str">
        <f>AI29</f>
      </c>
      <c r="D29" s="8" t="str">
        <f>AL29</f>
      </c>
      <c r="E29" s="8" t="str">
        <f>AM29</f>
      </c>
      <c r="F29" s="8"/>
      <c r="G29" s="2" t="str">
        <f>AM29/AL29-1</f>
      </c>
      <c r="H29" s="2" t="str">
        <f>AM29/AI29-1</f>
      </c>
      <c r="I29" s="2"/>
      <c r="J29" s="2" t="str">
        <f>AM29/Sum(AM$1:AM$37)</f>
      </c>
      <c r="K29" s="2"/>
      <c r="M29"/>
      <c r="N29" t="s">
        <v>70</v>
      </c>
      <c r="O29" s="8"/>
      <c r="P29" s="8" t="n">
        <v>35220.0114371892</v>
      </c>
      <c r="Q29" s="8"/>
      <c r="R29" s="8" t="n">
        <v>27016.2520611204</v>
      </c>
      <c r="S29" s="8" t="n">
        <v>9566940.02907213</v>
      </c>
      <c r="T29" s="8" t="n">
        <v>404096.625943742</v>
      </c>
      <c r="U29" s="8" t="n">
        <v>121714664.32103</v>
      </c>
      <c r="V29" s="8" t="n">
        <v>60068899.9211299</v>
      </c>
      <c r="W29" s="8" t="n">
        <v>87589971.6893026</v>
      </c>
      <c r="X29" s="8" t="n">
        <v>170288877.503332</v>
      </c>
      <c r="Y29" s="8" t="n">
        <v>1043831364.74256</v>
      </c>
      <c r="Z29" s="8" t="n">
        <v>2086900076.54075</v>
      </c>
      <c r="AA29" s="8" t="n">
        <v>1613503047.77283</v>
      </c>
      <c r="AB29" s="8" t="n">
        <v>771094724.499151</v>
      </c>
      <c r="AC29" s="8" t="n">
        <v>924076708.160585</v>
      </c>
      <c r="AD29" s="8" t="n">
        <v>899766469.155505</v>
      </c>
      <c r="AE29" s="8" t="n">
        <v>730015167.50895</v>
      </c>
      <c r="AF29" s="8" t="n">
        <v>736483620.173521</v>
      </c>
      <c r="AG29" s="8" t="n">
        <v>1166917842.84256</v>
      </c>
      <c r="AH29" s="8" t="n">
        <v>1076582428.13781</v>
      </c>
      <c r="AI29" s="8" t="n">
        <v>952417435.136571</v>
      </c>
      <c r="AJ29" s="8" t="n">
        <v>783959347.661858</v>
      </c>
      <c r="AK29" s="8" t="n">
        <v>632603439.691242</v>
      </c>
      <c r="AL29" s="8" t="n">
        <v>850550957.5697</v>
      </c>
      <c r="AM29" s="8" t="n">
        <v>962822463.419002</v>
      </c>
      <c r="AN29" s="8" t="n">
        <v>452069625.350301</v>
      </c>
      <c r="AO29" s="8"/>
    </row>
    <row r="30">
      <c r="A30" t="str">
        <f>M30</f>
      </c>
      <c r="B30" t="str">
        <f>N30</f>
      </c>
      <c r="C30" s="8" t="str">
        <f>AI30</f>
      </c>
      <c r="D30" s="8" t="str">
        <f>AL30</f>
      </c>
      <c r="E30" s="8" t="str">
        <f>AM30</f>
      </c>
      <c r="F30" s="8"/>
      <c r="G30" s="2" t="str">
        <f>AM30/AL30-1</f>
      </c>
      <c r="H30" s="2" t="str">
        <f>AM30/AI30-1</f>
      </c>
      <c r="I30" s="2"/>
      <c r="J30" s="2" t="str">
        <f>AM30/Sum(AM$1:AM$37)</f>
      </c>
      <c r="K30" s="2"/>
      <c r="M30"/>
      <c r="N30" t="s">
        <v>71</v>
      </c>
      <c r="O30" s="8"/>
      <c r="P30" s="8"/>
      <c r="Q30" s="8"/>
      <c r="R30" s="8"/>
      <c r="S30" s="8"/>
      <c r="T30" s="8"/>
      <c r="U30" s="8"/>
      <c r="V30" s="8"/>
      <c r="W30" s="8" t="n">
        <v>20801.6656045795</v>
      </c>
      <c r="X30" s="8" t="n">
        <v>4400725.49478217</v>
      </c>
      <c r="Y30" s="8" t="n">
        <v>11614310.434608</v>
      </c>
      <c r="Z30" s="8" t="n">
        <v>43832767.4114487</v>
      </c>
      <c r="AA30" s="8" t="n">
        <v>164536516.797135</v>
      </c>
      <c r="AB30" s="8" t="n">
        <v>199574588.045384</v>
      </c>
      <c r="AC30" s="8" t="n">
        <v>288630586.92036</v>
      </c>
      <c r="AD30" s="8" t="n">
        <v>286961404.806785</v>
      </c>
      <c r="AE30" s="8" t="n">
        <v>411578771.264705</v>
      </c>
      <c r="AF30" s="8" t="n">
        <v>327861277.654908</v>
      </c>
      <c r="AG30" s="8" t="n">
        <v>317004985.149519</v>
      </c>
      <c r="AH30" s="8" t="n">
        <v>344387163.035312</v>
      </c>
      <c r="AI30" s="8" t="n">
        <v>304942056.146895</v>
      </c>
      <c r="AJ30" s="8" t="n">
        <v>256624320.069541</v>
      </c>
      <c r="AK30" s="8" t="n">
        <v>211027486.424933</v>
      </c>
      <c r="AL30" s="8" t="n">
        <v>188918140.2719</v>
      </c>
      <c r="AM30" s="8" t="n">
        <v>166075123.202651</v>
      </c>
      <c r="AN30" s="8" t="n">
        <v>63199299.806175</v>
      </c>
      <c r="AO30" s="8"/>
    </row>
    <row r="31">
      <c r="A31" t="str">
        <f>M31</f>
      </c>
      <c r="B31" t="str">
        <f>N31</f>
      </c>
      <c r="C31" s="8" t="str">
        <f>AI31</f>
      </c>
      <c r="D31" s="8" t="str">
        <f>AL31</f>
      </c>
      <c r="E31" s="8" t="str">
        <f>AM31</f>
      </c>
      <c r="F31" s="8"/>
      <c r="G31" s="2" t="str">
        <f>AM31/AL31-1</f>
      </c>
      <c r="H31" s="2" t="str">
        <f>AM31/AI31-1</f>
      </c>
      <c r="I31" s="2"/>
      <c r="J31" s="2" t="str">
        <f>AM31/Sum(AM$1:AM$37)</f>
      </c>
      <c r="K31" s="2"/>
      <c r="M31"/>
      <c r="N31" t="s">
        <v>72</v>
      </c>
      <c r="O31" s="8"/>
      <c r="P31" s="8" t="n">
        <v>22404.9414960198</v>
      </c>
      <c r="Q31" s="8" t="n">
        <v>130795.241740486</v>
      </c>
      <c r="R31" s="8" t="n">
        <v>3183326.83939643</v>
      </c>
      <c r="S31" s="8" t="n">
        <v>2184070.18723811</v>
      </c>
      <c r="T31" s="8"/>
      <c r="U31" s="8" t="n">
        <v>-8172.94364349171</v>
      </c>
      <c r="V31" s="8" t="n">
        <v>80537.6009239422</v>
      </c>
      <c r="W31" s="8" t="n">
        <v>14627579.714907</v>
      </c>
      <c r="X31" s="8" t="n">
        <v>193582582.699971</v>
      </c>
      <c r="Y31" s="8" t="n">
        <v>507758880.301954</v>
      </c>
      <c r="Z31" s="8" t="n">
        <v>571631861.773611</v>
      </c>
      <c r="AA31" s="8" t="n">
        <v>642712489.834648</v>
      </c>
      <c r="AB31" s="8" t="n">
        <v>362084868.597734</v>
      </c>
      <c r="AC31" s="8" t="n">
        <v>439492144.357964</v>
      </c>
      <c r="AD31" s="8" t="n">
        <v>451120818.162013</v>
      </c>
      <c r="AE31" s="8" t="n">
        <v>699922268.611195</v>
      </c>
      <c r="AF31" s="8" t="n">
        <v>1011787137.89621</v>
      </c>
      <c r="AG31" s="8" t="n">
        <v>979222844.170597</v>
      </c>
      <c r="AH31" s="8" t="n">
        <v>972593933.03517</v>
      </c>
      <c r="AI31" s="8" t="n">
        <v>789076313.403293</v>
      </c>
      <c r="AJ31" s="8" t="n">
        <v>565669398.810554</v>
      </c>
      <c r="AK31" s="8" t="n">
        <v>542893805.408047</v>
      </c>
      <c r="AL31" s="8" t="n">
        <v>763427387.7644</v>
      </c>
      <c r="AM31" s="8" t="n">
        <v>930424715.658715</v>
      </c>
      <c r="AN31" s="8" t="n">
        <v>466403396.378161</v>
      </c>
      <c r="AO31" s="8"/>
    </row>
    <row r="32">
      <c r="A32" t="str">
        <f>M32</f>
      </c>
      <c r="B32" t="str">
        <f>N32</f>
      </c>
      <c r="C32" s="8" t="str">
        <f>AI32</f>
      </c>
      <c r="D32" s="8" t="str">
        <f>AL32</f>
      </c>
      <c r="E32" s="8" t="str">
        <f>AM32</f>
      </c>
      <c r="F32" s="8"/>
      <c r="G32" s="2" t="str">
        <f>AM32/AL32-1</f>
      </c>
      <c r="H32" s="2" t="str">
        <f>AM32/AI32-1</f>
      </c>
      <c r="I32" s="2"/>
      <c r="J32" s="2" t="str">
        <f>AM32/Sum(AM$1:AM$37)</f>
      </c>
      <c r="K32" s="2"/>
      <c r="M32"/>
      <c r="N32" t="s">
        <v>73</v>
      </c>
      <c r="O32" s="8" t="n">
        <v>44356.2300636898</v>
      </c>
      <c r="P32" s="8" t="n">
        <v>24834.1952259912</v>
      </c>
      <c r="Q32" s="8" t="n">
        <v>1977.94122380886</v>
      </c>
      <c r="R32" s="8" t="n">
        <v>85721.7270623411</v>
      </c>
      <c r="S32" s="8" t="n">
        <v>1162156.23717478</v>
      </c>
      <c r="T32" s="8" t="n">
        <v>825135.011793281</v>
      </c>
      <c r="U32" s="8" t="n">
        <v>3322219.55643157</v>
      </c>
      <c r="V32" s="8" t="n">
        <v>101593.614081384</v>
      </c>
      <c r="W32" s="8" t="n">
        <v>9341551.93753385</v>
      </c>
      <c r="X32" s="8" t="n">
        <v>1152622966.21203</v>
      </c>
      <c r="Y32" s="8" t="n">
        <v>3089459771.45978</v>
      </c>
      <c r="Z32" s="8" t="n">
        <v>2992576365.31739</v>
      </c>
      <c r="AA32" s="8" t="n">
        <v>2490260083.25664</v>
      </c>
      <c r="AB32" s="8" t="n">
        <v>2627214528.33038</v>
      </c>
      <c r="AC32" s="8" t="n">
        <v>2375365289.51395</v>
      </c>
      <c r="AD32" s="8" t="n">
        <v>2334358852.05757</v>
      </c>
      <c r="AE32" s="8" t="n">
        <v>2171279379.85143</v>
      </c>
      <c r="AF32" s="8" t="n">
        <v>2246334891.77873</v>
      </c>
      <c r="AG32" s="8" t="n">
        <v>2920947359.9992</v>
      </c>
      <c r="AH32" s="8" t="n">
        <v>2259628303.4988</v>
      </c>
      <c r="AI32" s="8" t="n">
        <v>2149588359.06835</v>
      </c>
      <c r="AJ32" s="8" t="n">
        <v>1786912021.66764</v>
      </c>
      <c r="AK32" s="8" t="n">
        <v>1826342652.01732</v>
      </c>
      <c r="AL32" s="8" t="n">
        <v>2668752516.6622</v>
      </c>
      <c r="AM32" s="8" t="n">
        <v>2952311395.05324</v>
      </c>
      <c r="AN32" s="8" t="n">
        <v>1356817176.33665</v>
      </c>
      <c r="AO32" s="8"/>
    </row>
    <row r="33">
      <c r="A33" t="str">
        <f>M33</f>
      </c>
      <c r="B33" t="str">
        <f>N33</f>
      </c>
      <c r="C33" s="8" t="str">
        <f>AI33</f>
      </c>
      <c r="D33" s="8" t="str">
        <f>AL33</f>
      </c>
      <c r="E33" s="8" t="str">
        <f>AM33</f>
      </c>
      <c r="F33" s="8"/>
      <c r="G33" s="2" t="str">
        <f>AM33/AL33-1</f>
      </c>
      <c r="H33" s="2" t="str">
        <f>AM33/AI33-1</f>
      </c>
      <c r="I33" s="2"/>
      <c r="J33" s="2" t="str">
        <f>AM33/Sum(AM$1:AM$37)</f>
      </c>
      <c r="K33" s="2"/>
      <c r="M33"/>
      <c r="N33" t="s">
        <v>74</v>
      </c>
      <c r="O33" s="8" t="n">
        <v>34094.1963771208</v>
      </c>
      <c r="P33" s="8" t="n">
        <v>43297.6233035028</v>
      </c>
      <c r="Q33" s="8" t="n">
        <v>3231.93010426284</v>
      </c>
      <c r="R33" s="8" t="n">
        <v>109639.440117756</v>
      </c>
      <c r="S33" s="8" t="n">
        <v>89702.1806809532</v>
      </c>
      <c r="T33" s="8" t="n">
        <v>2102905.86921693</v>
      </c>
      <c r="U33" s="8" t="n">
        <v>2792969.62922841</v>
      </c>
      <c r="V33" s="8" t="n">
        <v>774194.50053328</v>
      </c>
      <c r="W33" s="8" t="n">
        <v>4568091.23544807</v>
      </c>
      <c r="X33" s="8" t="n">
        <v>392529038.810235</v>
      </c>
      <c r="Y33" s="8" t="n">
        <v>2039932625.66931</v>
      </c>
      <c r="Z33" s="8" t="n">
        <v>2730828412.90593</v>
      </c>
      <c r="AA33" s="8" t="n">
        <v>3108485908.58297</v>
      </c>
      <c r="AB33" s="8" t="n">
        <v>2922572734.81412</v>
      </c>
      <c r="AC33" s="8" t="n">
        <v>3357266614.81199</v>
      </c>
      <c r="AD33" s="8" t="n">
        <v>3644447219.26342</v>
      </c>
      <c r="AE33" s="8" t="n">
        <v>4103342882.19611</v>
      </c>
      <c r="AF33" s="8" t="n">
        <v>4488156131.34911</v>
      </c>
      <c r="AG33" s="8" t="n">
        <v>4440682046.89809</v>
      </c>
      <c r="AH33" s="8" t="n">
        <v>4926597318.07426</v>
      </c>
      <c r="AI33" s="8" t="n">
        <v>5200381243.5878</v>
      </c>
      <c r="AJ33" s="8" t="n">
        <v>5000336429.40146</v>
      </c>
      <c r="AK33" s="8" t="n">
        <v>4253561930.54444</v>
      </c>
      <c r="AL33" s="8" t="n">
        <v>5295570897.407</v>
      </c>
      <c r="AM33" s="8" t="n">
        <v>5858745767.75138</v>
      </c>
      <c r="AN33" s="8" t="n">
        <v>2320670326.00846</v>
      </c>
      <c r="AO33" s="8"/>
    </row>
    <row r="34">
      <c r="A34" t="str">
        <f>M34</f>
      </c>
      <c r="B34" t="str">
        <f>N34</f>
      </c>
      <c r="C34" s="8" t="str">
        <f>AI34</f>
      </c>
      <c r="D34" s="8" t="str">
        <f>AL34</f>
      </c>
      <c r="E34" s="8" t="str">
        <f>AM34</f>
      </c>
      <c r="F34" s="8"/>
      <c r="G34" s="2" t="str">
        <f>AM34/AL34-1</f>
      </c>
      <c r="H34" s="2" t="str">
        <f>AM34/AI34-1</f>
      </c>
      <c r="I34" s="2"/>
      <c r="J34" s="2" t="str">
        <f>AM34/Sum(AM$1:AM$37)</f>
      </c>
      <c r="K34" s="2"/>
      <c r="M34"/>
      <c r="N34" t="s">
        <v>75</v>
      </c>
      <c r="O34" s="8"/>
      <c r="P34" s="8" t="n">
        <v>0</v>
      </c>
      <c r="Q34" s="8"/>
      <c r="R34" s="8" t="n">
        <v>78650.4033403514</v>
      </c>
      <c r="S34" s="8" t="n">
        <v>1335628.77350029</v>
      </c>
      <c r="T34" s="8" t="n">
        <v>311256.255400325</v>
      </c>
      <c r="U34" s="8" t="n">
        <v>540073.903630718</v>
      </c>
      <c r="V34" s="8" t="n">
        <v>321444.048514667</v>
      </c>
      <c r="W34" s="8" t="n">
        <v>4625463.0535637</v>
      </c>
      <c r="X34" s="8" t="n">
        <v>71395653.1341205</v>
      </c>
      <c r="Y34" s="8" t="n">
        <v>4190230205.71772</v>
      </c>
      <c r="Z34" s="8" t="n">
        <v>2527296847.08869</v>
      </c>
      <c r="AA34" s="8" t="n">
        <v>1693208879.71518</v>
      </c>
      <c r="AB34" s="8" t="n">
        <v>1343758410.90484</v>
      </c>
      <c r="AC34" s="8" t="n">
        <v>1771120728.78647</v>
      </c>
      <c r="AD34" s="8" t="n">
        <v>1711477102.60389</v>
      </c>
      <c r="AE34" s="8" t="n">
        <v>2039620819.62018</v>
      </c>
      <c r="AF34" s="8" t="n">
        <v>2553379881.7047</v>
      </c>
      <c r="AG34" s="8" t="n">
        <v>2929682504.42939</v>
      </c>
      <c r="AH34" s="8" t="n">
        <v>2810757292.14763</v>
      </c>
      <c r="AI34" s="8" t="n">
        <v>3082907198.95944</v>
      </c>
      <c r="AJ34" s="8" t="n">
        <v>2452463438.51511</v>
      </c>
      <c r="AK34" s="8" t="n">
        <v>2341511250.42265</v>
      </c>
      <c r="AL34" s="8" t="n">
        <v>2243291556.5842</v>
      </c>
      <c r="AM34" s="8" t="n">
        <v>2248750462.64988</v>
      </c>
      <c r="AN34" s="8" t="n">
        <v>868135433.188183</v>
      </c>
      <c r="AO34" s="8"/>
    </row>
    <row r="35">
      <c r="A35" t="str">
        <f>M35</f>
      </c>
      <c r="B35" t="str">
        <f>N35</f>
      </c>
      <c r="C35" s="8" t="str">
        <f>AI35</f>
      </c>
      <c r="D35" s="8" t="str">
        <f>AL35</f>
      </c>
      <c r="E35" s="8" t="str">
        <f>AM35</f>
      </c>
      <c r="F35" s="8"/>
      <c r="G35" s="2" t="str">
        <f>AM35/AL35-1</f>
      </c>
      <c r="H35" s="2" t="str">
        <f>AM35/AI35-1</f>
      </c>
      <c r="I35" s="2"/>
      <c r="J35" s="2" t="str">
        <f>AM35/Sum(AM$1:AM$37)</f>
      </c>
      <c r="K35" s="2"/>
      <c r="M35"/>
      <c r="N35" t="s">
        <v>76</v>
      </c>
      <c r="O35" s="8"/>
      <c r="P35" s="8"/>
      <c r="Q35" s="8"/>
      <c r="R35" s="8"/>
      <c r="S35" s="8" t="n">
        <v>90762.380376701</v>
      </c>
      <c r="T35" s="8" t="n">
        <v>38174.0993192643</v>
      </c>
      <c r="U35" s="8" t="n">
        <v>25296.8726105354</v>
      </c>
      <c r="V35" s="8" t="n">
        <v>28327.7295718474</v>
      </c>
      <c r="W35" s="8" t="n">
        <v>1939708.65196236</v>
      </c>
      <c r="X35" s="8" t="n">
        <v>74074441.6395529</v>
      </c>
      <c r="Y35" s="8" t="n">
        <v>985630260.607567</v>
      </c>
      <c r="Z35" s="8" t="n">
        <v>1415271534.38099</v>
      </c>
      <c r="AA35" s="8" t="n">
        <v>1522250815.1873</v>
      </c>
      <c r="AB35" s="8" t="n">
        <v>1628914962.62887</v>
      </c>
      <c r="AC35" s="8" t="n">
        <v>2008659093.25125</v>
      </c>
      <c r="AD35" s="8" t="n">
        <v>1917772119.72213</v>
      </c>
      <c r="AE35" s="8" t="n">
        <v>1825390493.61181</v>
      </c>
      <c r="AF35" s="8" t="n">
        <v>1763806186.66812</v>
      </c>
      <c r="AG35" s="8" t="n">
        <v>2258095166.53768</v>
      </c>
      <c r="AH35" s="8" t="n">
        <v>1999817659.41256</v>
      </c>
      <c r="AI35" s="8" t="n">
        <v>1490967995.10165</v>
      </c>
      <c r="AJ35" s="8" t="n">
        <v>1573752516.0556</v>
      </c>
      <c r="AK35" s="8" t="n">
        <v>1706837004.6061</v>
      </c>
      <c r="AL35" s="8" t="n">
        <v>1176141343.8869</v>
      </c>
      <c r="AM35" s="8" t="n">
        <v>898252882.019813</v>
      </c>
      <c r="AN35" s="8" t="n">
        <v>285811125.099538</v>
      </c>
      <c r="AO35" s="8"/>
    </row>
    <row r="36">
      <c r="A36" t="str">
        <f>M36</f>
      </c>
      <c r="B36" t="str">
        <f>N36</f>
      </c>
      <c r="C36" s="8" t="str">
        <f>AI36</f>
      </c>
      <c r="D36" s="8" t="str">
        <f>AL36</f>
      </c>
      <c r="E36" s="8" t="str">
        <f>AM36</f>
      </c>
      <c r="F36" s="8"/>
      <c r="G36" s="2" t="str">
        <f>AM36/AL36-1</f>
      </c>
      <c r="H36" s="2" t="str">
        <f>AM36/AI36-1</f>
      </c>
      <c r="I36" s="2"/>
      <c r="J36" s="2" t="str">
        <f>AM36/Sum(AM$1:AM$37)</f>
      </c>
      <c r="K36" s="2"/>
      <c r="M36"/>
      <c r="N36" t="s">
        <v>77</v>
      </c>
      <c r="O36" s="8"/>
      <c r="P36" s="8"/>
      <c r="Q36" s="8"/>
      <c r="R36" s="8"/>
      <c r="S36" s="8"/>
      <c r="T36" s="8"/>
      <c r="U36" s="8" t="n">
        <v>78048.5698650646</v>
      </c>
      <c r="V36" s="8" t="n">
        <v>0</v>
      </c>
      <c r="W36" s="8" t="n">
        <v>8681.10354153822</v>
      </c>
      <c r="X36" s="8" t="n">
        <v>4660614.02116119</v>
      </c>
      <c r="Y36" s="8" t="n">
        <v>48781465.3749677</v>
      </c>
      <c r="Z36" s="8" t="n">
        <v>43375404.0815239</v>
      </c>
      <c r="AA36" s="8" t="n">
        <v>60444442.2066983</v>
      </c>
      <c r="AB36" s="8" t="n">
        <v>81108748.8727496</v>
      </c>
      <c r="AC36" s="8" t="n">
        <v>73215923.2150877</v>
      </c>
      <c r="AD36" s="8" t="n">
        <v>44068841.4941145</v>
      </c>
      <c r="AE36" s="8" t="n">
        <v>51188952.636197</v>
      </c>
      <c r="AF36" s="8" t="n">
        <v>31923929.0268809</v>
      </c>
      <c r="AG36" s="8" t="n">
        <v>13801966.4366398</v>
      </c>
      <c r="AH36" s="8" t="n">
        <v>37055967.4699244</v>
      </c>
      <c r="AI36" s="8" t="n">
        <v>8673963.82882223</v>
      </c>
      <c r="AJ36" s="8" t="n">
        <v>1859473.97152523</v>
      </c>
      <c r="AK36" s="8" t="n">
        <v>5150671.77558636</v>
      </c>
      <c r="AL36" s="8" t="n">
        <v>9293934.405</v>
      </c>
      <c r="AM36" s="8" t="n">
        <v>9551632.74064785</v>
      </c>
      <c r="AN36" s="8" t="n">
        <v>190349.332221345</v>
      </c>
      <c r="AO36" s="8"/>
    </row>
    <row r="37">
      <c r="A37" t="str">
        <f>M37</f>
      </c>
      <c r="B37" t="str">
        <f>N37</f>
      </c>
      <c r="C37" s="8" t="str">
        <f>AI37</f>
      </c>
      <c r="D37" s="8" t="str">
        <f>AL37</f>
      </c>
      <c r="E37" s="8" t="str">
        <f>AM37</f>
      </c>
      <c r="F37" s="8"/>
      <c r="G37" s="2" t="str">
        <f>AM37/AL37-1</f>
      </c>
      <c r="H37" s="2" t="str">
        <f>AM37/AI37-1</f>
      </c>
      <c r="I37" s="2"/>
      <c r="J37" s="2" t="str">
        <f>AM37/Sum(AM$1:AM$37)</f>
      </c>
      <c r="K37" s="2"/>
      <c r="M37"/>
      <c r="N37" t="s">
        <v>78</v>
      </c>
      <c r="O37" s="8" t="n">
        <v>147956.539710947</v>
      </c>
      <c r="P37" s="8" t="n">
        <v>283964.77516436</v>
      </c>
      <c r="Q37" s="8" t="n">
        <v>579975.513087649</v>
      </c>
      <c r="R37" s="8" t="n">
        <v>121760.900734853</v>
      </c>
      <c r="S37" s="8" t="n">
        <v>20662.2860412155</v>
      </c>
      <c r="T37" s="8"/>
      <c r="U37" s="8" t="n">
        <v>0</v>
      </c>
      <c r="V37" s="8"/>
      <c r="W37" s="8"/>
      <c r="X37" s="8"/>
      <c r="Y37" s="8" t="n">
        <v>-25428.8904879254</v>
      </c>
      <c r="Z37" s="8" t="n">
        <v>-48577.7752125464</v>
      </c>
      <c r="AA37" s="8" t="n">
        <v>-1412.65160243094</v>
      </c>
      <c r="AB37" s="8" t="n">
        <v>-10944.1296577568</v>
      </c>
      <c r="AC37" s="8"/>
      <c r="AD37" s="8" t="n">
        <v>37536.9003683804</v>
      </c>
      <c r="AE37" s="8" t="n">
        <v>2157.67476297287</v>
      </c>
      <c r="AF37" s="8" t="n">
        <v>14648.400002814</v>
      </c>
      <c r="AG37" s="8" t="n">
        <v>24128.2425049737</v>
      </c>
      <c r="AH37" s="8" t="n">
        <v>0</v>
      </c>
      <c r="AI37" s="8" t="n">
        <v>11573.9072704938</v>
      </c>
      <c r="AJ37" s="8" t="n">
        <v>11188.817598517</v>
      </c>
      <c r="AK37" s="8" t="n">
        <v>963216.022693404</v>
      </c>
      <c r="AL37" s="8" t="n">
        <v>2440814.9725</v>
      </c>
      <c r="AM37" s="8" t="n">
        <v>1139720.52727523</v>
      </c>
      <c r="AN37" s="8" t="n">
        <v>674593.635898849</v>
      </c>
      <c r="AO37" s="8"/>
    </row>
    <row r="38">
      <c r="A38" t="str">
        <f>M38</f>
      </c>
      <c r="B38" t="str">
        <f>N38</f>
      </c>
      <c r="C38" s="8" t="str">
        <f>AI38</f>
      </c>
      <c r="D38" s="8" t="str">
        <f>AL38</f>
      </c>
      <c r="E38" s="8" t="str">
        <f>AM38</f>
      </c>
      <c r="F38" s="8"/>
      <c r="G38" s="2" t="str">
        <f>AM38/AL38-1</f>
      </c>
      <c r="H38" s="2" t="str">
        <f>AM38/AI38-1</f>
      </c>
      <c r="I38" s="2"/>
      <c r="J38" s="2" t="str">
        <f>Sum(J$1:J$37)</f>
      </c>
      <c r="K38" s="2"/>
      <c r="M38" t="s">
        <v>43</v>
      </c>
      <c r="N38" t="s">
        <v>57</v>
      </c>
      <c r="O38" s="8" t="str">
        <f>Sum(O2:O37)</f>
      </c>
      <c r="P38" s="8" t="str">
        <f>Sum(P2:P37)</f>
      </c>
      <c r="Q38" s="8" t="str">
        <f>Sum(Q2:Q37)</f>
      </c>
      <c r="R38" s="8" t="str">
        <f>Sum(R2:R37)</f>
      </c>
      <c r="S38" s="8" t="str">
        <f>Sum(S2:S37)</f>
      </c>
      <c r="T38" s="8" t="str">
        <f>Sum(T2:T37)</f>
      </c>
      <c r="U38" s="8" t="str">
        <f>Sum(U2:U37)</f>
      </c>
      <c r="V38" s="8" t="str">
        <f>Sum(V2:V37)</f>
      </c>
      <c r="W38" s="8" t="str">
        <f>Sum(W2:W37)</f>
      </c>
      <c r="X38" s="8" t="str">
        <f>Sum(X2:X37)</f>
      </c>
      <c r="Y38" s="8" t="str">
        <f>Sum(Y2:Y37)</f>
      </c>
      <c r="Z38" s="8" t="str">
        <f>Sum(Z2:Z37)</f>
      </c>
      <c r="AA38" s="8" t="str">
        <f>Sum(AA2:AA37)</f>
      </c>
      <c r="AB38" s="8" t="str">
        <f>Sum(AB2:AB37)</f>
      </c>
      <c r="AC38" s="8" t="str">
        <f>Sum(AC2:AC37)</f>
      </c>
      <c r="AD38" s="8" t="str">
        <f>Sum(AD2:AD37)</f>
      </c>
      <c r="AE38" s="8" t="str">
        <f>Sum(AE2:AE37)</f>
      </c>
      <c r="AF38" s="8" t="str">
        <f>Sum(AF2:AF37)</f>
      </c>
      <c r="AG38" s="8" t="str">
        <f>Sum(AG2:AG37)</f>
      </c>
      <c r="AH38" s="8" t="str">
        <f>Sum(AH2:AH37)</f>
      </c>
      <c r="AI38" s="8" t="str">
        <f>Sum(AI2:AI37)</f>
      </c>
      <c r="AJ38" s="8" t="str">
        <f>Sum(AJ2:AJ37)</f>
      </c>
      <c r="AK38" s="8" t="str">
        <f>Sum(AK2:AK37)</f>
      </c>
      <c r="AL38" s="8" t="str">
        <f>Sum(AL2:AL37)</f>
      </c>
      <c r="AM38" s="8" t="str">
        <f>Sum(AM2:AM37)</f>
      </c>
      <c r="AN38" s="8" t="str">
        <f>Sum(AN2:AN37)</f>
      </c>
      <c r="AO38" s="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79</v>
      </c>
      <c r="N1" t="s">
        <v>88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</row>
    <row r="2">
      <c r="A2" t="str">
        <f>M2</f>
      </c>
      <c r="B2" t="str">
        <f>N2</f>
      </c>
      <c r="M2" t="s">
        <v>80</v>
      </c>
      <c r="N2" t="s">
        <v>80</v>
      </c>
      <c r="O2" s="9" t="n">
        <v>42111675000</v>
      </c>
      <c r="P2" s="9" t="n">
        <v>43815582000</v>
      </c>
      <c r="Q2" s="9" t="n">
        <v>39545885055</v>
      </c>
      <c r="R2" s="9" t="n">
        <v>39957971414</v>
      </c>
      <c r="S2" s="9" t="n">
        <v>44026483825</v>
      </c>
      <c r="T2" s="9" t="n">
        <v>37789260369</v>
      </c>
      <c r="U2" s="9" t="n">
        <v>39393811712.51</v>
      </c>
      <c r="V2" s="9" t="n">
        <v>43071214393</v>
      </c>
      <c r="W2" s="9" t="n">
        <v>41278050273</v>
      </c>
      <c r="X2" s="9" t="n">
        <v>45233341240.67</v>
      </c>
      <c r="Y2" s="9" t="n">
        <v>37958921676.9792</v>
      </c>
      <c r="Z2" s="9" t="n">
        <v>40633046619.5646</v>
      </c>
      <c r="AA2" s="9" t="n">
        <v>47413884724.7769</v>
      </c>
      <c r="AB2" s="9" t="n">
        <v>55557135024.1209</v>
      </c>
      <c r="AC2" s="9" t="n">
        <v>55056695772.8358</v>
      </c>
      <c r="AD2" s="9" t="n">
        <v>55580069095.4808</v>
      </c>
      <c r="AE2" s="9" t="n">
        <v>63139443613.8063</v>
      </c>
      <c r="AF2" s="9" t="n">
        <v>69877137081.497</v>
      </c>
      <c r="AG2" s="9" t="n">
        <v>63650832496.9106</v>
      </c>
      <c r="AH2" s="9" t="n">
        <v>67807653951.5052</v>
      </c>
      <c r="AI2" s="9" t="n">
        <v>64907616713.9148</v>
      </c>
      <c r="AJ2" s="9" t="n">
        <v>65476225770.1632</v>
      </c>
      <c r="AK2" s="9" t="n">
        <v>71494774005.5241</v>
      </c>
      <c r="AL2" s="9" t="n">
        <v>55167411498.5824</v>
      </c>
      <c r="AM2" s="9" t="n">
        <v>55803091071.5235</v>
      </c>
      <c r="AN2" s="9" t="n">
        <v>52855821371.6358</v>
      </c>
      <c r="AO2" s="9" t="n">
        <v>65049835659.9361</v>
      </c>
      <c r="AP2" s="9" t="n">
        <v>61419004040.2801</v>
      </c>
      <c r="AQ2" s="9" t="n">
        <v>71868165429.6598</v>
      </c>
      <c r="AR2" s="9" t="n">
        <v>75814473840.6195</v>
      </c>
      <c r="AS2" s="9" t="n">
        <v>77957034535.1725</v>
      </c>
      <c r="AT2" s="9" t="n">
        <v>79169767074.4894</v>
      </c>
      <c r="AU2" s="9" t="n">
        <v>78801239912.0811</v>
      </c>
      <c r="AV2" s="9" t="n">
        <v>92753103729.3151</v>
      </c>
      <c r="AW2" s="9" t="n">
        <v>99859354794.5536</v>
      </c>
      <c r="AX2" s="9" t="n">
        <v>43817022708.15</v>
      </c>
      <c r="AY2" s="9"/>
    </row>
    <row r="3">
      <c r="A3" t="str">
        <f>M3</f>
      </c>
      <c r="B3" t="str">
        <f>N3</f>
      </c>
      <c r="M3" t="s">
        <v>81</v>
      </c>
      <c r="N3" t="s">
        <v>81</v>
      </c>
      <c r="O3" s="9" t="n">
        <v>23216088134.53</v>
      </c>
      <c r="P3" s="9" t="n">
        <v>35268260000</v>
      </c>
      <c r="Q3" s="9" t="n">
        <v>31428914998</v>
      </c>
      <c r="R3" s="9" t="n">
        <v>30957822464</v>
      </c>
      <c r="S3" s="9" t="n">
        <v>20798814908</v>
      </c>
      <c r="T3" s="9" t="n">
        <v>29761242814</v>
      </c>
      <c r="U3" s="9" t="n">
        <v>32029210551</v>
      </c>
      <c r="V3" s="9" t="n">
        <v>37067947798.21</v>
      </c>
      <c r="W3" s="9" t="n">
        <v>37638355362</v>
      </c>
      <c r="X3" s="9" t="n">
        <v>43607320822.52</v>
      </c>
      <c r="Y3" s="9" t="n">
        <v>36832500828.7767</v>
      </c>
      <c r="Z3" s="9" t="n">
        <v>40556105509.793</v>
      </c>
      <c r="AA3" s="9" t="n">
        <v>46178863972.4357</v>
      </c>
      <c r="AB3" s="9" t="n">
        <v>64206590729.1569</v>
      </c>
      <c r="AC3" s="9" t="n">
        <v>76070511906.1153</v>
      </c>
      <c r="AD3" s="9" t="n">
        <v>95626896372.1701</v>
      </c>
      <c r="AE3" s="9" t="n">
        <v>101677927943.316</v>
      </c>
      <c r="AF3" s="9" t="n">
        <v>118362647693.621</v>
      </c>
      <c r="AG3" s="9" t="n">
        <v>153115860209.798</v>
      </c>
      <c r="AH3" s="9" t="n">
        <v>147184981503.3</v>
      </c>
      <c r="AI3" s="9" t="n">
        <v>141175890062.267</v>
      </c>
      <c r="AJ3" s="9" t="n">
        <v>125525303444.975</v>
      </c>
      <c r="AK3" s="9" t="n">
        <v>109148363145.393</v>
      </c>
      <c r="AL3" s="9" t="n">
        <v>87698991049.4181</v>
      </c>
      <c r="AM3" s="9" t="n">
        <v>75373911966.1924</v>
      </c>
      <c r="AN3" s="9" t="n">
        <v>72930300832.5493</v>
      </c>
      <c r="AO3" s="9" t="n">
        <v>74197001335.8838</v>
      </c>
      <c r="AP3" s="9" t="n">
        <v>78622025175.0228</v>
      </c>
      <c r="AQ3" s="9" t="n">
        <v>91452191508.7047</v>
      </c>
      <c r="AR3" s="9" t="n">
        <v>95041873715.44</v>
      </c>
      <c r="AS3" s="9" t="n">
        <v>100479498328.397</v>
      </c>
      <c r="AT3" s="9" t="n">
        <v>109800145451.404</v>
      </c>
      <c r="AU3" s="9" t="n">
        <v>112550602092.505</v>
      </c>
      <c r="AV3" s="9" t="n">
        <v>112002715187.04</v>
      </c>
      <c r="AW3" s="9" t="n">
        <v>104162099843.392</v>
      </c>
      <c r="AX3" s="9" t="n">
        <v>37568543072.68</v>
      </c>
      <c r="AY3" s="9"/>
    </row>
    <row r="4">
      <c r="A4" t="str">
        <f>M4</f>
      </c>
      <c r="B4" t="str">
        <f>N4</f>
      </c>
      <c r="M4" t="s">
        <v>82</v>
      </c>
      <c r="N4" t="s">
        <v>86</v>
      </c>
      <c r="O4" s="9" t="n">
        <v>9209787000</v>
      </c>
      <c r="P4" s="9" t="n">
        <v>11713307000</v>
      </c>
      <c r="Q4" s="9" t="n">
        <v>6907467039</v>
      </c>
      <c r="R4" s="9" t="n">
        <v>7931460004</v>
      </c>
      <c r="S4" s="9" t="n">
        <v>6692479944</v>
      </c>
      <c r="T4" s="9" t="n">
        <v>6644824451</v>
      </c>
      <c r="U4" s="9" t="n">
        <v>7292808729</v>
      </c>
      <c r="V4" s="9" t="n">
        <v>8059156410</v>
      </c>
      <c r="W4" s="9" t="n">
        <v>7839796546</v>
      </c>
      <c r="X4" s="9" t="n">
        <v>9009714445</v>
      </c>
      <c r="Y4" s="9" t="n">
        <v>9580614163.6178</v>
      </c>
      <c r="Z4" s="9" t="n">
        <v>11426471526.7901</v>
      </c>
      <c r="AA4" s="9" t="n">
        <v>14591296027.8973</v>
      </c>
      <c r="AB4" s="9" t="n">
        <v>17678992692.3501</v>
      </c>
      <c r="AC4" s="9" t="n">
        <v>19619731983.3795</v>
      </c>
      <c r="AD4" s="9" t="n">
        <v>27914804283.873</v>
      </c>
      <c r="AE4" s="9" t="n">
        <v>32598809893.9357</v>
      </c>
      <c r="AF4" s="9" t="n">
        <v>30639765053.0485</v>
      </c>
      <c r="AG4" s="9" t="n">
        <v>35718777232.1062</v>
      </c>
      <c r="AH4" s="9" t="n">
        <v>38025569516.8371</v>
      </c>
      <c r="AI4" s="9" t="n">
        <v>35241646622.4366</v>
      </c>
      <c r="AJ4" s="9" t="n">
        <v>36127582505.7791</v>
      </c>
      <c r="AK4" s="9" t="n">
        <v>43150233026.2016</v>
      </c>
      <c r="AL4" s="9" t="n">
        <v>34083497069.3136</v>
      </c>
      <c r="AM4" s="9" t="n">
        <v>32346366353.5999</v>
      </c>
      <c r="AN4" s="9" t="n">
        <v>30903691696.1845</v>
      </c>
      <c r="AO4" s="9" t="n">
        <v>30228927986.5049</v>
      </c>
      <c r="AP4" s="9" t="n">
        <v>35610979879.0438</v>
      </c>
      <c r="AQ4" s="9" t="n">
        <v>45449940778.5474</v>
      </c>
      <c r="AR4" s="9" t="n">
        <v>44237628561.7852</v>
      </c>
      <c r="AS4" s="9" t="n">
        <v>42123895255.2061</v>
      </c>
      <c r="AT4" s="9" t="n">
        <v>39109571324.1429</v>
      </c>
      <c r="AU4" s="9" t="n">
        <v>48305520445.4362</v>
      </c>
      <c r="AV4" s="9" t="n">
        <v>50533052995.1319</v>
      </c>
      <c r="AW4" s="9" t="n">
        <v>53061881381.01</v>
      </c>
      <c r="AX4" s="9" t="n">
        <v>23566620091.08</v>
      </c>
      <c r="AY4" s="9"/>
    </row>
    <row r="5">
      <c r="A5" t="str">
        <f>M5</f>
      </c>
      <c r="B5" t="str">
        <f>N5</f>
      </c>
      <c r="M5" t="s">
        <v>83</v>
      </c>
      <c r="N5" t="s">
        <v>85</v>
      </c>
      <c r="O5" s="9"/>
      <c r="P5" s="9"/>
      <c r="Q5" s="9"/>
      <c r="R5" s="9"/>
      <c r="S5" s="9"/>
      <c r="T5" s="9"/>
      <c r="U5" s="9"/>
      <c r="V5" s="9" t="n">
        <v>101268812</v>
      </c>
      <c r="W5" s="9" t="n">
        <v>651152375</v>
      </c>
      <c r="X5" s="9" t="n">
        <v>695421838</v>
      </c>
      <c r="Y5" s="9" t="n">
        <v>178031456</v>
      </c>
      <c r="Z5" s="9" t="n">
        <v>268635741</v>
      </c>
      <c r="AA5" s="9" t="n">
        <v>6554622</v>
      </c>
      <c r="AB5" s="9" t="n">
        <v>239927692</v>
      </c>
      <c r="AC5" s="9" t="n">
        <v>196180520.0938</v>
      </c>
      <c r="AD5" s="9" t="n">
        <v>297828365</v>
      </c>
      <c r="AE5" s="9" t="n">
        <v>634208177</v>
      </c>
      <c r="AF5" s="9" t="n">
        <v>1065862779.7227</v>
      </c>
      <c r="AG5" s="9" t="n">
        <v>2725377093.3307</v>
      </c>
      <c r="AH5" s="9" t="n">
        <v>3681464083.0004</v>
      </c>
      <c r="AI5" s="9" t="n">
        <v>1874856013.4357</v>
      </c>
      <c r="AJ5" s="9" t="n">
        <v>4877655064.5174</v>
      </c>
      <c r="AK5" s="9" t="n">
        <v>4691798600.1318</v>
      </c>
      <c r="AL5" s="9" t="n">
        <v>12181359822.95</v>
      </c>
      <c r="AM5" s="9" t="n">
        <v>3796342018.2</v>
      </c>
      <c r="AN5" s="9" t="n">
        <v>11232863388.03</v>
      </c>
      <c r="AO5" s="9" t="n">
        <v>10403767371.5552</v>
      </c>
      <c r="AP5" s="9" t="n">
        <v>24164351660.1826</v>
      </c>
      <c r="AQ5" s="9" t="n">
        <v>15993414873.2521</v>
      </c>
      <c r="AR5" s="9" t="n">
        <v>17024265421.013</v>
      </c>
      <c r="AS5" s="9" t="n">
        <v>35959135989.5885</v>
      </c>
      <c r="AT5" s="9" t="n">
        <v>9846932188.5915</v>
      </c>
      <c r="AU5" s="9" t="n">
        <v>20737931626.8508</v>
      </c>
      <c r="AV5" s="9" t="n">
        <v>36167250027.113</v>
      </c>
      <c r="AW5" s="9" t="n">
        <v>12517289790.01</v>
      </c>
      <c r="AX5" s="9" t="n">
        <v>13779869218.89</v>
      </c>
      <c r="AY5" s="9"/>
    </row>
    <row r="6">
      <c r="A6" t="str">
        <f>M6</f>
      </c>
      <c r="B6" t="str">
        <f>N6</f>
      </c>
      <c r="M6" t="s">
        <v>84</v>
      </c>
      <c r="N6" t="s">
        <v>86</v>
      </c>
      <c r="O6" s="9" t="n">
        <v>74831000</v>
      </c>
      <c r="P6" s="9" t="n">
        <v>68100000</v>
      </c>
      <c r="Q6" s="9" t="n">
        <v>1661000</v>
      </c>
      <c r="R6" s="9"/>
      <c r="S6" s="9" t="n">
        <v>343747860</v>
      </c>
      <c r="T6" s="9" t="n">
        <v>251594273</v>
      </c>
      <c r="U6" s="9" t="n">
        <v>310476090</v>
      </c>
      <c r="V6" s="9" t="n">
        <v>431242526</v>
      </c>
      <c r="W6" s="9" t="n">
        <v>747389215</v>
      </c>
      <c r="X6" s="9" t="n">
        <v>945575248.63</v>
      </c>
      <c r="Y6" s="9" t="n">
        <v>1373879916</v>
      </c>
      <c r="Z6" s="9" t="n">
        <v>1673010916</v>
      </c>
      <c r="AA6" s="9" t="n">
        <v>2485964875.825</v>
      </c>
      <c r="AB6" s="9" t="n">
        <v>2671495076.0938</v>
      </c>
      <c r="AC6" s="9" t="n">
        <v>3382922964.5797</v>
      </c>
      <c r="AD6" s="9" t="n">
        <v>3841746261.1375</v>
      </c>
      <c r="AE6" s="9" t="n">
        <v>3492627141.4845</v>
      </c>
      <c r="AF6" s="9" t="n">
        <v>4929029621.6667</v>
      </c>
      <c r="AG6" s="9" t="n">
        <v>5760262873.5729</v>
      </c>
      <c r="AH6" s="9" t="n">
        <v>5673422751.5254</v>
      </c>
      <c r="AI6" s="9" t="n">
        <v>5356951769.0357</v>
      </c>
      <c r="AJ6" s="9" t="n">
        <v>5382146529.484</v>
      </c>
      <c r="AK6" s="9" t="n">
        <v>6877002431.1045</v>
      </c>
      <c r="AL6" s="9" t="n">
        <v>7706159819.8678</v>
      </c>
      <c r="AM6" s="9" t="n">
        <v>6050847486.8864</v>
      </c>
      <c r="AN6" s="9" t="n">
        <v>4690777698.051</v>
      </c>
      <c r="AO6" s="9" t="n">
        <v>6589241607.8602</v>
      </c>
      <c r="AP6" s="9" t="n">
        <v>5412284919.1813</v>
      </c>
      <c r="AQ6" s="9" t="n">
        <v>8293301633.6555</v>
      </c>
      <c r="AR6" s="9" t="n">
        <v>8819106629.0813</v>
      </c>
      <c r="AS6" s="9" t="n">
        <v>12327823652.2867</v>
      </c>
      <c r="AT6" s="9" t="n">
        <v>8817318506.7272</v>
      </c>
      <c r="AU6" s="9" t="n">
        <v>9841769591.9764</v>
      </c>
      <c r="AV6" s="9" t="n">
        <v>7078919042.8608</v>
      </c>
      <c r="AW6" s="9" t="n">
        <v>8459332539.52</v>
      </c>
      <c r="AX6" s="9" t="n">
        <v>4080439773.84</v>
      </c>
      <c r="AY6" s="9"/>
    </row>
    <row r="7">
      <c r="A7" t="str">
        <f>M7</f>
      </c>
      <c r="B7" t="str">
        <f>N7</f>
      </c>
      <c r="M7" t="s">
        <v>85</v>
      </c>
      <c r="N7" t="s">
        <v>85</v>
      </c>
      <c r="O7" s="9" t="n">
        <v>44416973487.56</v>
      </c>
      <c r="P7" s="9" t="n">
        <v>42246069844</v>
      </c>
      <c r="Q7" s="9" t="n">
        <v>41220475613</v>
      </c>
      <c r="R7" s="9" t="n">
        <v>38245449962</v>
      </c>
      <c r="S7" s="9" t="n">
        <v>41252757153.16</v>
      </c>
      <c r="T7" s="9" t="n">
        <v>39421018145</v>
      </c>
      <c r="U7" s="9" t="n">
        <v>36936668644</v>
      </c>
      <c r="V7" s="9" t="n">
        <v>45447574678</v>
      </c>
      <c r="W7" s="9" t="n">
        <v>48153173352.09</v>
      </c>
      <c r="X7" s="9" t="n">
        <v>49423055067.05</v>
      </c>
      <c r="Y7" s="9" t="n">
        <v>40297993522.9593</v>
      </c>
      <c r="Z7" s="9" t="n">
        <v>41940611224.7212</v>
      </c>
      <c r="AA7" s="9" t="n">
        <v>47787997916.3768</v>
      </c>
      <c r="AB7" s="9" t="n">
        <v>56619600367.3633</v>
      </c>
      <c r="AC7" s="9" t="n">
        <v>60624157330.322</v>
      </c>
      <c r="AD7" s="9" t="n">
        <v>65286569811.1077</v>
      </c>
      <c r="AE7" s="9" t="n">
        <v>74295888295.115</v>
      </c>
      <c r="AF7" s="9" t="n">
        <v>84706463044.1103</v>
      </c>
      <c r="AG7" s="9" t="n">
        <v>93702135950.2294</v>
      </c>
      <c r="AH7" s="9" t="n">
        <v>92071694336.7673</v>
      </c>
      <c r="AI7" s="9" t="n">
        <v>86215459919.6005</v>
      </c>
      <c r="AJ7" s="9" t="n">
        <v>99202069231.0295</v>
      </c>
      <c r="AK7" s="9" t="n">
        <v>89920968627.0367</v>
      </c>
      <c r="AL7" s="9" t="n">
        <v>82197957231.9337</v>
      </c>
      <c r="AM7" s="9" t="n">
        <v>80328218894.056</v>
      </c>
      <c r="AN7" s="9" t="n">
        <v>73506011252.4841</v>
      </c>
      <c r="AO7" s="9" t="n">
        <v>82806908395.2001</v>
      </c>
      <c r="AP7" s="9" t="n">
        <v>85448502706.427</v>
      </c>
      <c r="AQ7" s="9" t="n">
        <v>92309015189.5638</v>
      </c>
      <c r="AR7" s="9" t="n">
        <v>104803457437.478</v>
      </c>
      <c r="AS7" s="9" t="n">
        <v>114380922838.22</v>
      </c>
      <c r="AT7" s="9" t="n">
        <v>101942241454.525</v>
      </c>
      <c r="AU7" s="9" t="n">
        <v>103254240851.706</v>
      </c>
      <c r="AV7" s="9" t="n">
        <v>115660194539.842</v>
      </c>
      <c r="AW7" s="9" t="n">
        <v>122029893223.152</v>
      </c>
      <c r="AX7" s="9" t="n">
        <v>54513915433.12</v>
      </c>
      <c r="AY7" s="9"/>
    </row>
    <row r="8">
      <c r="A8" t="str">
        <f>M8</f>
      </c>
      <c r="B8" t="str">
        <f>N8</f>
      </c>
      <c r="M8" t="s">
        <v>86</v>
      </c>
      <c r="N8" t="s">
        <v>86</v>
      </c>
      <c r="O8" s="9" t="n">
        <v>3335887000</v>
      </c>
      <c r="P8" s="9" t="n">
        <v>4015324000</v>
      </c>
      <c r="Q8" s="9" t="n">
        <v>6148282864</v>
      </c>
      <c r="R8" s="9" t="n">
        <v>5964388298</v>
      </c>
      <c r="S8" s="9" t="n">
        <v>5823333448</v>
      </c>
      <c r="T8" s="9" t="n">
        <v>4520245942</v>
      </c>
      <c r="U8" s="9" t="n">
        <v>4743335584</v>
      </c>
      <c r="V8" s="9" t="n">
        <v>5644509758</v>
      </c>
      <c r="W8" s="9" t="n">
        <v>7004011243.32</v>
      </c>
      <c r="X8" s="9" t="n">
        <v>7686591749.53</v>
      </c>
      <c r="Y8" s="9" t="n">
        <v>5956028175.0544</v>
      </c>
      <c r="Z8" s="9" t="n">
        <v>7495657034.3578</v>
      </c>
      <c r="AA8" s="9" t="n">
        <v>11345958996.1904</v>
      </c>
      <c r="AB8" s="9" t="n">
        <v>14559345718.7002</v>
      </c>
      <c r="AC8" s="9" t="n">
        <v>14824923355.3426</v>
      </c>
      <c r="AD8" s="9" t="n">
        <v>17116563570.2447</v>
      </c>
      <c r="AE8" s="9" t="n">
        <v>19296642324.7179</v>
      </c>
      <c r="AF8" s="9" t="n">
        <v>18557538546.5454</v>
      </c>
      <c r="AG8" s="9" t="n">
        <v>23312286688.3719</v>
      </c>
      <c r="AH8" s="9" t="n">
        <v>27101376297.008</v>
      </c>
      <c r="AI8" s="9" t="n">
        <v>27923078096.5896</v>
      </c>
      <c r="AJ8" s="9" t="n">
        <v>32019518639.1978</v>
      </c>
      <c r="AK8" s="9" t="n">
        <v>32506745707.4143</v>
      </c>
      <c r="AL8" s="9" t="n">
        <v>29165300997.5759</v>
      </c>
      <c r="AM8" s="9" t="n">
        <v>29697467386.1097</v>
      </c>
      <c r="AN8" s="9" t="n">
        <v>28104624235.2971</v>
      </c>
      <c r="AO8" s="9" t="n">
        <v>29076175060.0733</v>
      </c>
      <c r="AP8" s="9" t="n">
        <v>31197266828.3478</v>
      </c>
      <c r="AQ8" s="9" t="n">
        <v>33995574095.4882</v>
      </c>
      <c r="AR8" s="9" t="n">
        <v>37867570834.5594</v>
      </c>
      <c r="AS8" s="9" t="n">
        <v>39306434422.25</v>
      </c>
      <c r="AT8" s="9" t="n">
        <v>38287999340.9711</v>
      </c>
      <c r="AU8" s="9" t="n">
        <v>40861139922.4935</v>
      </c>
      <c r="AV8" s="9" t="n">
        <v>42926421135.422</v>
      </c>
      <c r="AW8" s="9" t="n">
        <v>45199750340.83</v>
      </c>
      <c r="AX8" s="9" t="n">
        <v>21307017233.53</v>
      </c>
      <c r="AY8" s="9"/>
    </row>
    <row r="9">
      <c r="A9" t="str">
        <f>M9</f>
      </c>
      <c r="B9" t="str">
        <f>N9</f>
      </c>
      <c r="M9" t="s">
        <v>43</v>
      </c>
      <c r="N9" t="s">
        <v>57</v>
      </c>
      <c r="O9" s="9" t="str">
        <f>Sum(O2:O8)</f>
      </c>
      <c r="P9" s="9" t="str">
        <f>Sum(P2:P8)</f>
      </c>
      <c r="Q9" s="9" t="str">
        <f>Sum(Q2:Q8)</f>
      </c>
      <c r="R9" s="9" t="str">
        <f>Sum(R2:R8)</f>
      </c>
      <c r="S9" s="9" t="str">
        <f>Sum(S2:S8)</f>
      </c>
      <c r="T9" s="9" t="str">
        <f>Sum(T2:T8)</f>
      </c>
      <c r="U9" s="9" t="str">
        <f>Sum(U2:U8)</f>
      </c>
      <c r="V9" s="9" t="str">
        <f>Sum(V2:V8)</f>
      </c>
      <c r="W9" s="9" t="str">
        <f>Sum(W2:W8)</f>
      </c>
      <c r="X9" s="9" t="str">
        <f>Sum(X2:X8)</f>
      </c>
      <c r="Y9" s="9" t="str">
        <f>Sum(Y2:Y8)</f>
      </c>
      <c r="Z9" s="9" t="str">
        <f>Sum(Z2:Z8)</f>
      </c>
      <c r="AA9" s="9" t="str">
        <f>Sum(AA2:AA8)</f>
      </c>
      <c r="AB9" s="9" t="str">
        <f>Sum(AB2:AB8)</f>
      </c>
      <c r="AC9" s="9" t="str">
        <f>Sum(AC2:AC8)</f>
      </c>
      <c r="AD9" s="9" t="str">
        <f>Sum(AD2:AD8)</f>
      </c>
      <c r="AE9" s="9" t="str">
        <f>Sum(AE2:AE8)</f>
      </c>
      <c r="AF9" s="9" t="str">
        <f>Sum(AF2:AF8)</f>
      </c>
      <c r="AG9" s="9" t="str">
        <f>Sum(AG2:AG8)</f>
      </c>
      <c r="AH9" s="9" t="str">
        <f>Sum(AH2:AH8)</f>
      </c>
      <c r="AI9" s="9" t="str">
        <f>Sum(AI2:AI8)</f>
      </c>
      <c r="AJ9" s="9" t="str">
        <f>Sum(AJ2:AJ8)</f>
      </c>
      <c r="AK9" s="9" t="str">
        <f>Sum(AK2:AK8)</f>
      </c>
      <c r="AL9" s="9" t="str">
        <f>Sum(AL2:AL8)</f>
      </c>
      <c r="AM9" s="9" t="str">
        <f>Sum(AM2:AM8)</f>
      </c>
      <c r="AN9" s="9" t="str">
        <f>Sum(AN2:AN8)</f>
      </c>
      <c r="AO9" s="9" t="str">
        <f>Sum(AO2:AO8)</f>
      </c>
      <c r="AP9" s="9" t="str">
        <f>Sum(AP2:AP8)</f>
      </c>
      <c r="AQ9" s="9" t="str">
        <f>Sum(AQ2:AQ8)</f>
      </c>
      <c r="AR9" s="9" t="str">
        <f>Sum(AR2:AR8)</f>
      </c>
      <c r="AS9" s="9" t="str">
        <f>Sum(AS2:AS8)</f>
      </c>
      <c r="AT9" s="9" t="str">
        <f>Sum(AT2:AT8)</f>
      </c>
      <c r="AU9" s="9" t="str">
        <f>Sum(AU2:AU8)</f>
      </c>
      <c r="AV9" s="9" t="str">
        <f>Sum(AV2:AV8)</f>
      </c>
      <c r="AW9" s="9" t="str">
        <f>Sum(AW2:AW8)</f>
      </c>
      <c r="AX9" s="9" t="str">
        <f>Sum(AX2:AX8)</f>
      </c>
      <c r="AY9" s="9"/>
    </row>
    <row r="12">
      <c r="A12" t="str">
        <f>M12</f>
      </c>
      <c r="B12" t="str">
        <f>N12</f>
      </c>
      <c r="C12" t="str">
        <f>AS12</f>
      </c>
      <c r="D12" t="str">
        <f>AV12</f>
      </c>
      <c r="E12" t="str">
        <f>AW12</f>
      </c>
      <c r="G12" t="str">
        <f>AV12&amp;"-"&amp;AW12</f>
      </c>
      <c r="H12" t="str">
        <f>AS12&amp;"-"&amp;AW12</f>
      </c>
      <c r="J12" t="str">
        <f>"Share "&amp;AW12</f>
      </c>
      <c r="M12" t="s">
        <v>79</v>
      </c>
      <c r="N12" t="s">
        <v>88</v>
      </c>
      <c r="O12" t="s">
        <v>1</v>
      </c>
      <c r="P12" t="s">
        <v>2</v>
      </c>
      <c r="Q12" t="s">
        <v>3</v>
      </c>
      <c r="R12" t="s">
        <v>4</v>
      </c>
      <c r="S12" t="s">
        <v>5</v>
      </c>
      <c r="T12" t="s">
        <v>6</v>
      </c>
      <c r="U12" t="s">
        <v>7</v>
      </c>
      <c r="V12" t="s">
        <v>8</v>
      </c>
      <c r="W12" t="s">
        <v>9</v>
      </c>
      <c r="X12" t="s">
        <v>10</v>
      </c>
      <c r="Y12" t="s">
        <v>11</v>
      </c>
      <c r="Z12" t="s">
        <v>12</v>
      </c>
      <c r="AA12" t="s">
        <v>13</v>
      </c>
      <c r="AB12" t="s">
        <v>14</v>
      </c>
      <c r="AC12" t="s">
        <v>15</v>
      </c>
      <c r="AD12" t="s">
        <v>16</v>
      </c>
      <c r="AE12" t="s">
        <v>17</v>
      </c>
      <c r="AF12" t="s">
        <v>18</v>
      </c>
      <c r="AG12" t="s">
        <v>19</v>
      </c>
      <c r="AH12" t="s">
        <v>20</v>
      </c>
      <c r="AI12" t="s">
        <v>21</v>
      </c>
      <c r="AJ12" t="s">
        <v>22</v>
      </c>
      <c r="AK12" t="s">
        <v>23</v>
      </c>
      <c r="AL12" t="s">
        <v>24</v>
      </c>
      <c r="AM12" t="s">
        <v>25</v>
      </c>
      <c r="AN12" t="s">
        <v>26</v>
      </c>
      <c r="AO12" t="s">
        <v>27</v>
      </c>
      <c r="AP12" t="s">
        <v>28</v>
      </c>
      <c r="AQ12" t="s">
        <v>29</v>
      </c>
      <c r="AR12" t="s">
        <v>30</v>
      </c>
      <c r="AS12" t="s">
        <v>31</v>
      </c>
      <c r="AT12" t="s">
        <v>32</v>
      </c>
      <c r="AU12" t="s">
        <v>33</v>
      </c>
      <c r="AV12" t="s">
        <v>34</v>
      </c>
      <c r="AW12" t="s">
        <v>35</v>
      </c>
      <c r="AX12" t="s">
        <v>36</v>
      </c>
    </row>
    <row r="13">
      <c r="A13" t="str">
        <f>M13</f>
      </c>
      <c r="B13" t="str">
        <f>N13</f>
      </c>
      <c r="C13" s="9" t="str">
        <f>AS13</f>
      </c>
      <c r="D13" s="9" t="str">
        <f>AV13</f>
      </c>
      <c r="E13" s="9" t="str">
        <f>AW13</f>
      </c>
      <c r="F13" s="9"/>
      <c r="G13" s="2" t="str">
        <f>AW13/AV13-1</f>
      </c>
      <c r="H13" s="2" t="str">
        <f>AW13/AS13-1</f>
      </c>
      <c r="I13" s="2"/>
      <c r="J13" s="2" t="str">
        <f>AW13/Sum(AW$12:AW$19)</f>
      </c>
      <c r="K13" s="2"/>
      <c r="M13" t="s">
        <v>80</v>
      </c>
      <c r="N13" t="s">
        <v>80</v>
      </c>
      <c r="O13" s="9" t="n">
        <v>87098816748.7271</v>
      </c>
      <c r="P13" s="9" t="n">
        <v>87494979464.3834</v>
      </c>
      <c r="Q13" s="9" t="n">
        <v>77040635004.8672</v>
      </c>
      <c r="R13" s="9" t="n">
        <v>76059091995.068</v>
      </c>
      <c r="S13" s="9" t="n">
        <v>82013015156.3103</v>
      </c>
      <c r="T13" s="9" t="n">
        <v>68932083334.7083</v>
      </c>
      <c r="U13" s="9" t="n">
        <v>70530985543.9256</v>
      </c>
      <c r="V13" s="9" t="n">
        <v>75770329196.7893</v>
      </c>
      <c r="W13" s="9" t="n">
        <v>71716646753.1509</v>
      </c>
      <c r="X13" s="9" t="n">
        <v>77627357830.4787</v>
      </c>
      <c r="Y13" s="9" t="n">
        <v>63815529088.6921</v>
      </c>
      <c r="Z13" s="9" t="n">
        <v>66694581122.0798</v>
      </c>
      <c r="AA13" s="9" t="n">
        <v>76619180701.0273</v>
      </c>
      <c r="AB13" s="9" t="n">
        <v>88087536928.2891</v>
      </c>
      <c r="AC13" s="9" t="n">
        <v>85213273149.2519</v>
      </c>
      <c r="AD13" s="9" t="n">
        <v>83482946205.8806</v>
      </c>
      <c r="AE13" s="9" t="n">
        <v>91853555939.114</v>
      </c>
      <c r="AF13" s="9" t="n">
        <v>98931827019.0245</v>
      </c>
      <c r="AG13" s="9" t="n">
        <v>88283798656.4391</v>
      </c>
      <c r="AH13" s="9" t="n">
        <v>93097292915.4981</v>
      </c>
      <c r="AI13" s="9" t="n">
        <v>88350499212.3494</v>
      </c>
      <c r="AJ13" s="9" t="n">
        <v>87370822965.4406</v>
      </c>
      <c r="AK13" s="9" t="n">
        <v>93701600453.0657</v>
      </c>
      <c r="AL13" s="9" t="n">
        <v>71014298421.691</v>
      </c>
      <c r="AM13" s="9" t="n">
        <v>70545601980.441</v>
      </c>
      <c r="AN13" s="9" t="n">
        <v>66134790023.8668</v>
      </c>
      <c r="AO13" s="9" t="n">
        <v>80746730144.4438</v>
      </c>
      <c r="AP13" s="9" t="n">
        <v>74974178246.3725</v>
      </c>
      <c r="AQ13" s="9" t="n">
        <v>85824172872.2855</v>
      </c>
      <c r="AR13" s="9" t="n">
        <v>88893217035.1375</v>
      </c>
      <c r="AS13" s="9" t="n">
        <v>90226748879.2771</v>
      </c>
      <c r="AT13" s="9" t="n">
        <v>88581608311.3542</v>
      </c>
      <c r="AU13" s="9" t="n">
        <v>82406128297.6647</v>
      </c>
      <c r="AV13" s="9" t="n">
        <v>92753103729.3151</v>
      </c>
      <c r="AW13" s="9" t="n">
        <v>97261880189.3591</v>
      </c>
      <c r="AX13" s="9" t="n">
        <v>41760961603.5563</v>
      </c>
      <c r="AY13" s="9"/>
    </row>
    <row r="14">
      <c r="A14" t="str">
        <f>M14</f>
      </c>
      <c r="B14" t="str">
        <f>N14</f>
      </c>
      <c r="C14" s="9" t="str">
        <f>AS14</f>
      </c>
      <c r="D14" s="9" t="str">
        <f>AV14</f>
      </c>
      <c r="E14" s="9" t="str">
        <f>AW14</f>
      </c>
      <c r="F14" s="9"/>
      <c r="G14" s="2" t="str">
        <f>AW14/AV14-1</f>
      </c>
      <c r="H14" s="2" t="str">
        <f>AW14/AS14-1</f>
      </c>
      <c r="I14" s="2"/>
      <c r="J14" s="2" t="str">
        <f>AW14/Sum(AW$12:AW$19)</f>
      </c>
      <c r="K14" s="2"/>
      <c r="M14" t="s">
        <v>81</v>
      </c>
      <c r="N14" t="s">
        <v>81</v>
      </c>
      <c r="O14" s="9" t="n">
        <v>48017415741.6376</v>
      </c>
      <c r="P14" s="9" t="n">
        <v>70426901654.4053</v>
      </c>
      <c r="Q14" s="9" t="n">
        <v>61227699559.4457</v>
      </c>
      <c r="R14" s="9" t="n">
        <v>58927512669.7591</v>
      </c>
      <c r="S14" s="9" t="n">
        <v>38744259683.8608</v>
      </c>
      <c r="T14" s="9" t="n">
        <v>54288029185.1932</v>
      </c>
      <c r="U14" s="9" t="n">
        <v>57345346595.0983</v>
      </c>
      <c r="V14" s="9" t="n">
        <v>65209459424.3955</v>
      </c>
      <c r="W14" s="9" t="n">
        <v>65393026512.0039</v>
      </c>
      <c r="X14" s="9" t="n">
        <v>74836857164.8788</v>
      </c>
      <c r="Y14" s="9" t="n">
        <v>61921820331.202</v>
      </c>
      <c r="Z14" s="9" t="n">
        <v>66568290934.309</v>
      </c>
      <c r="AA14" s="9" t="n">
        <v>74623430326.5868</v>
      </c>
      <c r="AB14" s="9" t="n">
        <v>101801513512.866</v>
      </c>
      <c r="AC14" s="9" t="n">
        <v>117737129311.299</v>
      </c>
      <c r="AD14" s="9" t="n">
        <v>143634493004.297</v>
      </c>
      <c r="AE14" s="9" t="n">
        <v>147918301264.099</v>
      </c>
      <c r="AF14" s="9" t="n">
        <v>167577457752.483</v>
      </c>
      <c r="AG14" s="9" t="n">
        <v>212371924193.221</v>
      </c>
      <c r="AH14" s="9" t="n">
        <v>202079301336.317</v>
      </c>
      <c r="AI14" s="9" t="n">
        <v>192164818171.102</v>
      </c>
      <c r="AJ14" s="9" t="n">
        <v>167499713613.178</v>
      </c>
      <c r="AK14" s="9" t="n">
        <v>143050683855.096</v>
      </c>
      <c r="AL14" s="9" t="n">
        <v>112890602485.937</v>
      </c>
      <c r="AM14" s="9" t="n">
        <v>95286800268.1171</v>
      </c>
      <c r="AN14" s="9" t="n">
        <v>91252581206.2471</v>
      </c>
      <c r="AO14" s="9" t="n">
        <v>92101158805.6245</v>
      </c>
      <c r="AP14" s="9" t="n">
        <v>95973906149.5869</v>
      </c>
      <c r="AQ14" s="9" t="n">
        <v>109211201464.08</v>
      </c>
      <c r="AR14" s="9" t="n">
        <v>111437532698.225</v>
      </c>
      <c r="AS14" s="9" t="n">
        <v>116294039623.86</v>
      </c>
      <c r="AT14" s="9" t="n">
        <v>122853379974.641</v>
      </c>
      <c r="AU14" s="9" t="n">
        <v>117699408871.769</v>
      </c>
      <c r="AV14" s="9" t="n">
        <v>112002715187.04</v>
      </c>
      <c r="AW14" s="9" t="n">
        <v>101452705117.945</v>
      </c>
      <c r="AX14" s="9" t="n">
        <v>35805684361.752</v>
      </c>
      <c r="AY14" s="9"/>
    </row>
    <row r="15">
      <c r="A15" t="str">
        <f>M15</f>
      </c>
      <c r="B15" t="str">
        <f>N15</f>
      </c>
      <c r="C15" s="9" t="str">
        <f>AS15</f>
      </c>
      <c r="D15" s="9" t="str">
        <f>AV15</f>
      </c>
      <c r="E15" s="9" t="str">
        <f>AW15</f>
      </c>
      <c r="F15" s="9"/>
      <c r="G15" s="2" t="str">
        <f>AW15/AV15-1</f>
      </c>
      <c r="H15" s="2" t="str">
        <f>AW15/AS15-1</f>
      </c>
      <c r="I15" s="2"/>
      <c r="J15" s="2" t="str">
        <f>AW15/Sum(AW$12:AW$19)</f>
      </c>
      <c r="K15" s="2"/>
      <c r="M15" t="s">
        <v>82</v>
      </c>
      <c r="N15" t="s">
        <v>86</v>
      </c>
      <c r="O15" s="9" t="n">
        <v>19048436097.7759</v>
      </c>
      <c r="P15" s="9" t="n">
        <v>23390207516.2443</v>
      </c>
      <c r="Q15" s="9" t="n">
        <v>13456662968.0846</v>
      </c>
      <c r="R15" s="9" t="n">
        <v>15097354163.682</v>
      </c>
      <c r="S15" s="9" t="n">
        <v>12466824769.8878</v>
      </c>
      <c r="T15" s="9" t="n">
        <v>12120946224.6207</v>
      </c>
      <c r="U15" s="9" t="n">
        <v>13057101221.7223</v>
      </c>
      <c r="V15" s="9" t="n">
        <v>14177564826.994</v>
      </c>
      <c r="W15" s="9" t="n">
        <v>13620893326.7814</v>
      </c>
      <c r="X15" s="9" t="n">
        <v>15462053166.7381</v>
      </c>
      <c r="Y15" s="9" t="n">
        <v>16106673604.9216</v>
      </c>
      <c r="Z15" s="9" t="n">
        <v>18755269308.6936</v>
      </c>
      <c r="AA15" s="9" t="n">
        <v>23579024446.386</v>
      </c>
      <c r="AB15" s="9" t="n">
        <v>28030583667.8983</v>
      </c>
      <c r="AC15" s="9" t="n">
        <v>30366180845.8855</v>
      </c>
      <c r="AD15" s="9" t="n">
        <v>41928881023.4268</v>
      </c>
      <c r="AE15" s="9" t="n">
        <v>47423867502.7921</v>
      </c>
      <c r="AF15" s="9" t="n">
        <v>43379681291.1272</v>
      </c>
      <c r="AG15" s="9" t="n">
        <v>49541996761.2603</v>
      </c>
      <c r="AH15" s="9" t="n">
        <v>52207639953.4397</v>
      </c>
      <c r="AI15" s="9" t="n">
        <v>47969979946.7447</v>
      </c>
      <c r="AJ15" s="9" t="n">
        <v>48208285956.5213</v>
      </c>
      <c r="AK15" s="9" t="n">
        <v>56553027136.8564</v>
      </c>
      <c r="AL15" s="9" t="n">
        <v>43874011239.3576</v>
      </c>
      <c r="AM15" s="9" t="n">
        <v>40891890439.7223</v>
      </c>
      <c r="AN15" s="9" t="n">
        <v>38667626540.4941</v>
      </c>
      <c r="AO15" s="9" t="n">
        <v>37523339850.4259</v>
      </c>
      <c r="AP15" s="9" t="n">
        <v>43470323146.6994</v>
      </c>
      <c r="AQ15" s="9" t="n">
        <v>54275819496.6165</v>
      </c>
      <c r="AR15" s="9" t="n">
        <v>51869055045.2079</v>
      </c>
      <c r="AS15" s="9" t="n">
        <v>48753805755.575</v>
      </c>
      <c r="AT15" s="9" t="n">
        <v>43758985990.2028</v>
      </c>
      <c r="AU15" s="9" t="n">
        <v>50515333511.9261</v>
      </c>
      <c r="AV15" s="9" t="n">
        <v>50533052995.1319</v>
      </c>
      <c r="AW15" s="9" t="n">
        <v>51681671287.7786</v>
      </c>
      <c r="AX15" s="9" t="n">
        <v>22460784780.0242</v>
      </c>
      <c r="AY15" s="9"/>
    </row>
    <row r="16">
      <c r="A16" t="str">
        <f>M16</f>
      </c>
      <c r="B16" t="str">
        <f>N16</f>
      </c>
      <c r="C16" s="9" t="str">
        <f>AS16</f>
      </c>
      <c r="D16" s="9" t="str">
        <f>AV16</f>
      </c>
      <c r="E16" s="9" t="str">
        <f>AW16</f>
      </c>
      <c r="F16" s="9"/>
      <c r="G16" s="2" t="str">
        <f>AW16/AV16-1</f>
      </c>
      <c r="H16" s="2" t="str">
        <f>AW16/AS16-1</f>
      </c>
      <c r="I16" s="2"/>
      <c r="J16" s="2" t="str">
        <f>AW16/Sum(AW$12:AW$19)</f>
      </c>
      <c r="K16" s="2"/>
      <c r="M16" t="s">
        <v>83</v>
      </c>
      <c r="N16" t="s">
        <v>85</v>
      </c>
      <c r="O16" s="9"/>
      <c r="P16" s="9"/>
      <c r="Q16" s="9"/>
      <c r="R16" s="9"/>
      <c r="S16" s="9"/>
      <c r="T16" s="9"/>
      <c r="U16" s="9"/>
      <c r="V16" s="9" t="n">
        <v>178150798.177978</v>
      </c>
      <c r="W16" s="9" t="n">
        <v>1131314695.13461</v>
      </c>
      <c r="X16" s="9" t="n">
        <v>1193450635.76726</v>
      </c>
      <c r="Y16" s="9" t="n">
        <v>299301746.655263</v>
      </c>
      <c r="Z16" s="9" t="n">
        <v>440935389.072888</v>
      </c>
      <c r="AA16" s="9" t="n">
        <v>10592040.0819318</v>
      </c>
      <c r="AB16" s="9" t="n">
        <v>380412694.426977</v>
      </c>
      <c r="AC16" s="9" t="n">
        <v>303635806.883335</v>
      </c>
      <c r="AD16" s="9" t="n">
        <v>447347219.57915</v>
      </c>
      <c r="AE16" s="9" t="n">
        <v>922628913.542959</v>
      </c>
      <c r="AF16" s="9" t="n">
        <v>1509045111.94499</v>
      </c>
      <c r="AG16" s="9" t="n">
        <v>3780102052.58756</v>
      </c>
      <c r="AH16" s="9" t="n">
        <v>5054508158.29863</v>
      </c>
      <c r="AI16" s="9" t="n">
        <v>2552003495.49745</v>
      </c>
      <c r="AJ16" s="9" t="n">
        <v>6508694295.00063</v>
      </c>
      <c r="AK16" s="9" t="n">
        <v>6149107315.19809</v>
      </c>
      <c r="AL16" s="9" t="n">
        <v>15680466024.2433</v>
      </c>
      <c r="AM16" s="9" t="n">
        <v>4799290287.59893</v>
      </c>
      <c r="AN16" s="9" t="n">
        <v>14054895794.937</v>
      </c>
      <c r="AO16" s="9" t="n">
        <v>12914255476.8041</v>
      </c>
      <c r="AP16" s="9" t="n">
        <v>29497424077.2514</v>
      </c>
      <c r="AQ16" s="9" t="n">
        <v>19099160173.2704</v>
      </c>
      <c r="AR16" s="9" t="n">
        <v>19961118824.2935</v>
      </c>
      <c r="AS16" s="9" t="n">
        <v>41618770547.0575</v>
      </c>
      <c r="AT16" s="9" t="n">
        <v>11017552816.3117</v>
      </c>
      <c r="AU16" s="9" t="n">
        <v>21686621380.287</v>
      </c>
      <c r="AV16" s="9" t="n">
        <v>36167250027.113</v>
      </c>
      <c r="AW16" s="9" t="n">
        <v>12191698437.8297</v>
      </c>
      <c r="AX16" s="9" t="n">
        <v>13133265424.8335</v>
      </c>
      <c r="AY16" s="9"/>
    </row>
    <row r="17">
      <c r="A17" t="str">
        <f>M17</f>
      </c>
      <c r="B17" t="str">
        <f>N17</f>
      </c>
      <c r="C17" s="9" t="str">
        <f>AS17</f>
      </c>
      <c r="D17" s="9" t="str">
        <f>AV17</f>
      </c>
      <c r="E17" s="9" t="str">
        <f>AW17</f>
      </c>
      <c r="F17" s="9"/>
      <c r="G17" s="2" t="str">
        <f>AW17/AV17-1</f>
      </c>
      <c r="H17" s="2" t="str">
        <f>AW17/AS17-1</f>
      </c>
      <c r="I17" s="2"/>
      <c r="J17" s="2" t="str">
        <f>AW17/Sum(AW$12:AW$19)</f>
      </c>
      <c r="K17" s="2"/>
      <c r="M17" t="s">
        <v>84</v>
      </c>
      <c r="N17" t="s">
        <v>86</v>
      </c>
      <c r="O17" s="9" t="n">
        <v>154771605.644373</v>
      </c>
      <c r="P17" s="9" t="n">
        <v>135988336.330315</v>
      </c>
      <c r="Q17" s="9" t="n">
        <v>3235848.54821463</v>
      </c>
      <c r="R17" s="9"/>
      <c r="S17" s="9" t="n">
        <v>640337269.816692</v>
      </c>
      <c r="T17" s="9" t="n">
        <v>458937730.551573</v>
      </c>
      <c r="U17" s="9" t="n">
        <v>555878795.769603</v>
      </c>
      <c r="V17" s="9" t="n">
        <v>758636333.318371</v>
      </c>
      <c r="W17" s="9" t="n">
        <v>1298516959.129</v>
      </c>
      <c r="X17" s="9" t="n">
        <v>1622752292.1753</v>
      </c>
      <c r="Y17" s="9" t="n">
        <v>2309730357.72614</v>
      </c>
      <c r="Z17" s="9" t="n">
        <v>2746059464.84853</v>
      </c>
      <c r="AA17" s="9" t="n">
        <v>4017232360.15943</v>
      </c>
      <c r="AB17" s="9" t="n">
        <v>4235737157.19836</v>
      </c>
      <c r="AC17" s="9" t="n">
        <v>5235874303.33651</v>
      </c>
      <c r="AD17" s="9" t="n">
        <v>5770419174.97836</v>
      </c>
      <c r="AE17" s="9" t="n">
        <v>5080979561.31918</v>
      </c>
      <c r="AF17" s="9" t="n">
        <v>6978504361.64336</v>
      </c>
      <c r="AG17" s="9" t="n">
        <v>7989493110.92442</v>
      </c>
      <c r="AH17" s="9" t="n">
        <v>7789390562.16214</v>
      </c>
      <c r="AI17" s="9" t="n">
        <v>7291738427.81566</v>
      </c>
      <c r="AJ17" s="9" t="n">
        <v>7181882676.80957</v>
      </c>
      <c r="AK17" s="9" t="n">
        <v>9013052255.60019</v>
      </c>
      <c r="AL17" s="9" t="n">
        <v>9919760928.92085</v>
      </c>
      <c r="AM17" s="9" t="n">
        <v>7649409204.00139</v>
      </c>
      <c r="AN17" s="9" t="n">
        <v>5869241836.73204</v>
      </c>
      <c r="AO17" s="9" t="n">
        <v>8179262999.95439</v>
      </c>
      <c r="AP17" s="9" t="n">
        <v>6606776202.11377</v>
      </c>
      <c r="AQ17" s="9" t="n">
        <v>9903769615.28941</v>
      </c>
      <c r="AR17" s="9" t="n">
        <v>10340489354.0911</v>
      </c>
      <c r="AS17" s="9" t="n">
        <v>14268108779.8567</v>
      </c>
      <c r="AT17" s="9" t="n">
        <v>9865536847.97993</v>
      </c>
      <c r="AU17" s="9" t="n">
        <v>10291997036.8147</v>
      </c>
      <c r="AV17" s="9" t="n">
        <v>7078919042.8608</v>
      </c>
      <c r="AW17" s="9" t="n">
        <v>8239294051.45341</v>
      </c>
      <c r="AX17" s="9" t="n">
        <v>3888970043.81042</v>
      </c>
      <c r="AY17" s="9"/>
    </row>
    <row r="18">
      <c r="A18" t="str">
        <f>M18</f>
      </c>
      <c r="B18" t="str">
        <f>N18</f>
      </c>
      <c r="C18" s="9" t="str">
        <f>AS18</f>
      </c>
      <c r="D18" s="9" t="str">
        <f>AV18</f>
      </c>
      <c r="E18" s="9" t="str">
        <f>AW18</f>
      </c>
      <c r="F18" s="9"/>
      <c r="G18" s="2" t="str">
        <f>AW18/AV18-1</f>
      </c>
      <c r="H18" s="2" t="str">
        <f>AW18/AS18-1</f>
      </c>
      <c r="I18" s="2"/>
      <c r="J18" s="2" t="str">
        <f>AW18/Sum(AW$12:AW$19)</f>
      </c>
      <c r="K18" s="2"/>
      <c r="M18" t="s">
        <v>85</v>
      </c>
      <c r="N18" t="s">
        <v>85</v>
      </c>
      <c r="O18" s="9" t="n">
        <v>91866823970.4561</v>
      </c>
      <c r="P18" s="9" t="n">
        <v>84360833400.5853</v>
      </c>
      <c r="Q18" s="9" t="n">
        <v>80302959764.6254</v>
      </c>
      <c r="R18" s="9" t="n">
        <v>72799346265.9452</v>
      </c>
      <c r="S18" s="9" t="n">
        <v>76846086802.8836</v>
      </c>
      <c r="T18" s="9" t="n">
        <v>71908602639.3719</v>
      </c>
      <c r="U18" s="9" t="n">
        <v>66131697566.6873</v>
      </c>
      <c r="V18" s="9" t="n">
        <v>79950791800.9245</v>
      </c>
      <c r="W18" s="9" t="n">
        <v>83661512607.681</v>
      </c>
      <c r="X18" s="9" t="n">
        <v>84817549965.0203</v>
      </c>
      <c r="Y18" s="9" t="n">
        <v>67747914436.6723</v>
      </c>
      <c r="Z18" s="9" t="n">
        <v>68840801523.6037</v>
      </c>
      <c r="AA18" s="9" t="n">
        <v>77223734544.194</v>
      </c>
      <c r="AB18" s="9" t="n">
        <v>89772108228.0377</v>
      </c>
      <c r="AC18" s="9" t="n">
        <v>93830238184.7763</v>
      </c>
      <c r="AD18" s="9" t="n">
        <v>98062404099.2841</v>
      </c>
      <c r="AE18" s="9" t="n">
        <v>108083650107.89</v>
      </c>
      <c r="AF18" s="9" t="n">
        <v>119927139251.564</v>
      </c>
      <c r="AG18" s="9" t="n">
        <v>129965000918.25</v>
      </c>
      <c r="AH18" s="9" t="n">
        <v>126410884279.03</v>
      </c>
      <c r="AI18" s="9" t="n">
        <v>117354161335.06</v>
      </c>
      <c r="AJ18" s="9" t="n">
        <v>132374252282.258</v>
      </c>
      <c r="AK18" s="9" t="n">
        <v>117851112781.925</v>
      </c>
      <c r="AL18" s="9" t="n">
        <v>105809391921.024</v>
      </c>
      <c r="AM18" s="9" t="n">
        <v>101549975979.549</v>
      </c>
      <c r="AN18" s="9" t="n">
        <v>91972927362.0514</v>
      </c>
      <c r="AO18" s="9" t="n">
        <v>102788685297.187</v>
      </c>
      <c r="AP18" s="9" t="n">
        <v>104306987273.773</v>
      </c>
      <c r="AQ18" s="9" t="n">
        <v>110234410881.873</v>
      </c>
      <c r="AR18" s="9" t="n">
        <v>122883085723.284</v>
      </c>
      <c r="AS18" s="9" t="n">
        <v>132383419444.307</v>
      </c>
      <c r="AT18" s="9" t="n">
        <v>114061314521.866</v>
      </c>
      <c r="AU18" s="9" t="n">
        <v>107977770760.929</v>
      </c>
      <c r="AV18" s="9" t="n">
        <v>115660194539.842</v>
      </c>
      <c r="AW18" s="9" t="n">
        <v>118855733432.375</v>
      </c>
      <c r="AX18" s="9" t="n">
        <v>51955915499.4481</v>
      </c>
      <c r="AY18" s="9"/>
    </row>
    <row r="19">
      <c r="A19" t="str">
        <f>M19</f>
      </c>
      <c r="B19" t="str">
        <f>N19</f>
      </c>
      <c r="C19" s="9" t="str">
        <f>AS19</f>
      </c>
      <c r="D19" s="9" t="str">
        <f>AV19</f>
      </c>
      <c r="E19" s="9" t="str">
        <f>AW19</f>
      </c>
      <c r="F19" s="9"/>
      <c r="G19" s="2" t="str">
        <f>AW19/AV19-1</f>
      </c>
      <c r="H19" s="2" t="str">
        <f>AW19/AS19-1</f>
      </c>
      <c r="I19" s="2"/>
      <c r="J19" s="2" t="str">
        <f>AW19/Sum(AW$12:AW$19)</f>
      </c>
      <c r="K19" s="2"/>
      <c r="M19" t="s">
        <v>86</v>
      </c>
      <c r="N19" t="s">
        <v>86</v>
      </c>
      <c r="O19" s="9" t="n">
        <v>6899554826.71874</v>
      </c>
      <c r="P19" s="9" t="n">
        <v>8018167850.03211</v>
      </c>
      <c r="Q19" s="9" t="n">
        <v>11977671390.4198</v>
      </c>
      <c r="R19" s="9" t="n">
        <v>11353077801.4658</v>
      </c>
      <c r="S19" s="9" t="n">
        <v>10847769179.7835</v>
      </c>
      <c r="T19" s="9" t="n">
        <v>8245463576.81375</v>
      </c>
      <c r="U19" s="9" t="n">
        <v>8492504760.55991</v>
      </c>
      <c r="V19" s="9" t="n">
        <v>9929749335.9662</v>
      </c>
      <c r="W19" s="9" t="n">
        <v>12168796657.5504</v>
      </c>
      <c r="X19" s="9" t="n">
        <v>13191371494.3763</v>
      </c>
      <c r="Y19" s="9" t="n">
        <v>10013116086.1918</v>
      </c>
      <c r="Z19" s="9" t="n">
        <v>12303278925.2026</v>
      </c>
      <c r="AA19" s="9" t="n">
        <v>18334673220.7598</v>
      </c>
      <c r="AB19" s="9" t="n">
        <v>23084287969.3296</v>
      </c>
      <c r="AC19" s="9" t="n">
        <v>22945079169.0775</v>
      </c>
      <c r="AD19" s="9" t="n">
        <v>25709596605.7455</v>
      </c>
      <c r="AE19" s="9" t="n">
        <v>28072233674.5929</v>
      </c>
      <c r="AF19" s="9" t="n">
        <v>26273703675.7027</v>
      </c>
      <c r="AG19" s="9" t="n">
        <v>32334176058.3776</v>
      </c>
      <c r="AH19" s="9" t="n">
        <v>37209144108.4238</v>
      </c>
      <c r="AI19" s="9" t="n">
        <v>38008141636.9465</v>
      </c>
      <c r="AJ19" s="9" t="n">
        <v>42726526484.3472</v>
      </c>
      <c r="AK19" s="9" t="n">
        <v>42603590831.271</v>
      </c>
      <c r="AL19" s="9" t="n">
        <v>37543059069.4566</v>
      </c>
      <c r="AM19" s="9" t="n">
        <v>37543183967.3971</v>
      </c>
      <c r="AN19" s="9" t="n">
        <v>35165349327.0372</v>
      </c>
      <c r="AO19" s="9" t="n">
        <v>36092421101.2934</v>
      </c>
      <c r="AP19" s="9" t="n">
        <v>38082503624.6798</v>
      </c>
      <c r="AQ19" s="9" t="n">
        <v>40597140759.3447</v>
      </c>
      <c r="AR19" s="9" t="n">
        <v>44400099641.4806</v>
      </c>
      <c r="AS19" s="9" t="n">
        <v>45492902713.6868</v>
      </c>
      <c r="AT19" s="9" t="n">
        <v>42839744083.8267</v>
      </c>
      <c r="AU19" s="9" t="n">
        <v>42730397930.2691</v>
      </c>
      <c r="AV19" s="9" t="n">
        <v>42926421135.422</v>
      </c>
      <c r="AW19" s="9" t="n">
        <v>44024044730.5446</v>
      </c>
      <c r="AX19" s="9" t="n">
        <v>20307211069.5977</v>
      </c>
      <c r="AY19" s="9"/>
    </row>
    <row r="20">
      <c r="A20" t="str">
        <f>M20</f>
      </c>
      <c r="B20" t="str">
        <f>N20</f>
      </c>
      <c r="C20" s="9" t="str">
        <f>AS20</f>
      </c>
      <c r="D20" s="9" t="str">
        <f>AV20</f>
      </c>
      <c r="E20" s="9" t="str">
        <f>AW20</f>
      </c>
      <c r="F20" s="9"/>
      <c r="G20" s="2" t="str">
        <f>AW20/AV20-1</f>
      </c>
      <c r="H20" s="2" t="str">
        <f>AW20/AS20-1</f>
      </c>
      <c r="I20" s="2"/>
      <c r="J20" s="2" t="str">
        <f>Sum(J$12:J$19)</f>
      </c>
      <c r="K20" s="2"/>
      <c r="M20" t="s">
        <v>43</v>
      </c>
      <c r="N20" t="s">
        <v>57</v>
      </c>
      <c r="O20" s="9" t="str">
        <f>Sum(O13:O19)</f>
      </c>
      <c r="P20" s="9" t="str">
        <f>Sum(P13:P19)</f>
      </c>
      <c r="Q20" s="9" t="str">
        <f>Sum(Q13:Q19)</f>
      </c>
      <c r="R20" s="9" t="str">
        <f>Sum(R13:R19)</f>
      </c>
      <c r="S20" s="9" t="str">
        <f>Sum(S13:S19)</f>
      </c>
      <c r="T20" s="9" t="str">
        <f>Sum(T13:T19)</f>
      </c>
      <c r="U20" s="9" t="str">
        <f>Sum(U13:U19)</f>
      </c>
      <c r="V20" s="9" t="str">
        <f>Sum(V13:V19)</f>
      </c>
      <c r="W20" s="9" t="str">
        <f>Sum(W13:W19)</f>
      </c>
      <c r="X20" s="9" t="str">
        <f>Sum(X13:X19)</f>
      </c>
      <c r="Y20" s="9" t="str">
        <f>Sum(Y13:Y19)</f>
      </c>
      <c r="Z20" s="9" t="str">
        <f>Sum(Z13:Z19)</f>
      </c>
      <c r="AA20" s="9" t="str">
        <f>Sum(AA13:AA19)</f>
      </c>
      <c r="AB20" s="9" t="str">
        <f>Sum(AB13:AB19)</f>
      </c>
      <c r="AC20" s="9" t="str">
        <f>Sum(AC13:AC19)</f>
      </c>
      <c r="AD20" s="9" t="str">
        <f>Sum(AD13:AD19)</f>
      </c>
      <c r="AE20" s="9" t="str">
        <f>Sum(AE13:AE19)</f>
      </c>
      <c r="AF20" s="9" t="str">
        <f>Sum(AF13:AF19)</f>
      </c>
      <c r="AG20" s="9" t="str">
        <f>Sum(AG13:AG19)</f>
      </c>
      <c r="AH20" s="9" t="str">
        <f>Sum(AH13:AH19)</f>
      </c>
      <c r="AI20" s="9" t="str">
        <f>Sum(AI13:AI19)</f>
      </c>
      <c r="AJ20" s="9" t="str">
        <f>Sum(AJ13:AJ19)</f>
      </c>
      <c r="AK20" s="9" t="str">
        <f>Sum(AK13:AK19)</f>
      </c>
      <c r="AL20" s="9" t="str">
        <f>Sum(AL13:AL19)</f>
      </c>
      <c r="AM20" s="9" t="str">
        <f>Sum(AM13:AM19)</f>
      </c>
      <c r="AN20" s="9" t="str">
        <f>Sum(AN13:AN19)</f>
      </c>
      <c r="AO20" s="9" t="str">
        <f>Sum(AO13:AO19)</f>
      </c>
      <c r="AP20" s="9" t="str">
        <f>Sum(AP13:AP19)</f>
      </c>
      <c r="AQ20" s="9" t="str">
        <f>Sum(AQ13:AQ19)</f>
      </c>
      <c r="AR20" s="9" t="str">
        <f>Sum(AR13:AR19)</f>
      </c>
      <c r="AS20" s="9" t="str">
        <f>Sum(AS13:AS19)</f>
      </c>
      <c r="AT20" s="9" t="str">
        <f>Sum(AT13:AT19)</f>
      </c>
      <c r="AU20" s="9" t="str">
        <f>Sum(AU13:AU19)</f>
      </c>
      <c r="AV20" s="9" t="str">
        <f>Sum(AV13:AV19)</f>
      </c>
      <c r="AW20" s="9" t="str">
        <f>Sum(AW13:AW19)</f>
      </c>
      <c r="AX20" s="9" t="str">
        <f>Sum(AX13:AX19)</f>
      </c>
      <c r="AY20" s="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89</v>
      </c>
      <c r="N1" t="s">
        <v>90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>
      <c r="A2" t="str">
        <f>M2</f>
      </c>
      <c r="B2" t="str">
        <f>N2</f>
      </c>
      <c r="M2" t="s">
        <v>91</v>
      </c>
      <c r="N2" t="s">
        <v>92</v>
      </c>
      <c r="O2" s="10" t="n">
        <v>5224643.8135</v>
      </c>
      <c r="P2" s="10" t="n">
        <v>206279071.1</v>
      </c>
      <c r="Q2" s="10" t="n">
        <v>65968128.7305</v>
      </c>
      <c r="R2" s="10" t="n">
        <v>202574519.3573</v>
      </c>
      <c r="S2" s="10" t="n">
        <v>494081498.2477</v>
      </c>
      <c r="T2" s="10" t="n">
        <v>1040686933.0404</v>
      </c>
      <c r="U2" s="10" t="n">
        <v>3811455291.5949</v>
      </c>
      <c r="V2" s="10" t="n">
        <v>18969812886.1547</v>
      </c>
      <c r="W2" s="10" t="n">
        <v>27067059852.2499</v>
      </c>
      <c r="X2" s="10" t="n">
        <v>33810739807.464</v>
      </c>
      <c r="Y2" s="10" t="n">
        <v>562755522.7399</v>
      </c>
      <c r="Z2" s="10" t="n">
        <v>236360613.8196</v>
      </c>
      <c r="AA2" s="10" t="n">
        <v>-3098707.2809</v>
      </c>
      <c r="AB2" s="10" t="n">
        <v>-29000677.0889</v>
      </c>
      <c r="AC2" s="10" t="n">
        <v>-28158395.0213</v>
      </c>
      <c r="AD2" s="10" t="n">
        <v>186433.53</v>
      </c>
      <c r="AE2" s="10" t="n">
        <v>0</v>
      </c>
      <c r="AF2" s="10" t="n">
        <v>0</v>
      </c>
      <c r="AG2" s="10" t="n">
        <v>0</v>
      </c>
      <c r="AH2" s="10" t="n">
        <v>0</v>
      </c>
      <c r="AI2" s="10" t="n">
        <v>62886.3819</v>
      </c>
      <c r="AJ2" s="10" t="n">
        <v>0</v>
      </c>
      <c r="AK2" s="10" t="n">
        <v>467462</v>
      </c>
      <c r="AL2" s="10"/>
      <c r="AM2" s="10" t="n">
        <v>0</v>
      </c>
      <c r="AN2" s="10" t="n">
        <v>0</v>
      </c>
      <c r="AO2" s="10"/>
    </row>
    <row r="3">
      <c r="A3" t="str">
        <f>M3</f>
      </c>
      <c r="B3" t="str">
        <f>N3</f>
      </c>
      <c r="M3" t="s">
        <v>93</v>
      </c>
      <c r="N3" t="s">
        <v>94</v>
      </c>
      <c r="O3" s="10" t="n">
        <v>59182646176.378</v>
      </c>
      <c r="P3" s="10" t="n">
        <v>68029133134.3996</v>
      </c>
      <c r="Q3" s="10" t="n">
        <v>84172927043.2771</v>
      </c>
      <c r="R3" s="10" t="n">
        <v>109191257121.053</v>
      </c>
      <c r="S3" s="10" t="n">
        <v>109917888362.608</v>
      </c>
      <c r="T3" s="10" t="n">
        <v>128056315356.532</v>
      </c>
      <c r="U3" s="10" t="n">
        <v>145648256648.198</v>
      </c>
      <c r="V3" s="10" t="n">
        <v>166848058226.033</v>
      </c>
      <c r="W3" s="10" t="n">
        <v>193684056293.58</v>
      </c>
      <c r="X3" s="10" t="n">
        <v>188836443117.397</v>
      </c>
      <c r="Y3" s="10" t="n">
        <v>190320219217.446</v>
      </c>
      <c r="Z3" s="10" t="n">
        <v>185296473795.482</v>
      </c>
      <c r="AA3" s="10" t="n">
        <v>172059689512.301</v>
      </c>
      <c r="AB3" s="10" t="n">
        <v>147082159954.008</v>
      </c>
      <c r="AC3" s="10" t="n">
        <v>145158362806.064</v>
      </c>
      <c r="AD3" s="10" t="n">
        <v>141026775293.836</v>
      </c>
      <c r="AE3" s="10" t="n">
        <v>151033551960.284</v>
      </c>
      <c r="AF3" s="10" t="n">
        <v>156837575662.513</v>
      </c>
      <c r="AG3" s="10" t="n">
        <v>179959118012.43</v>
      </c>
      <c r="AH3" s="10" t="n">
        <v>194408303039.076</v>
      </c>
      <c r="AI3" s="10" t="n">
        <v>214195288774.101</v>
      </c>
      <c r="AJ3" s="10" t="n">
        <v>211967396615.629</v>
      </c>
      <c r="AK3" s="10" t="n">
        <v>221239289151.061</v>
      </c>
      <c r="AL3" s="10" t="n">
        <v>229620345220.999</v>
      </c>
      <c r="AM3" s="10" t="n">
        <v>223438670719.693</v>
      </c>
      <c r="AN3" s="10" t="n">
        <v>92263804875.83</v>
      </c>
      <c r="AO3" s="10"/>
    </row>
    <row r="4">
      <c r="A4" t="str">
        <f>M4</f>
      </c>
      <c r="B4" t="str">
        <f>N4</f>
      </c>
      <c r="M4" t="s">
        <v>95</v>
      </c>
      <c r="N4" t="s">
        <v>95</v>
      </c>
      <c r="O4" s="10" t="n">
        <v>5611054282</v>
      </c>
      <c r="P4" s="10" t="n">
        <v>7006359729</v>
      </c>
      <c r="Q4" s="10" t="n">
        <v>10061864831</v>
      </c>
      <c r="R4" s="10" t="n">
        <v>11178620983.05</v>
      </c>
      <c r="S4" s="10" t="n">
        <v>13105483376.1</v>
      </c>
      <c r="T4" s="10" t="n">
        <v>17077930669.2951</v>
      </c>
      <c r="U4" s="10" t="n">
        <v>20374961655.0847</v>
      </c>
      <c r="V4" s="10" t="n">
        <v>18685945723.6571</v>
      </c>
      <c r="W4" s="10" t="n">
        <v>22778606116.9706</v>
      </c>
      <c r="X4" s="10" t="n">
        <v>23364130340.8021</v>
      </c>
      <c r="Y4" s="10" t="n">
        <v>32499771671.836</v>
      </c>
      <c r="Z4" s="10" t="n">
        <v>50206965238.8835</v>
      </c>
      <c r="AA4" s="10" t="n">
        <v>41831109489.074</v>
      </c>
      <c r="AB4" s="10" t="n">
        <v>44838078691.3659</v>
      </c>
      <c r="AC4" s="10" t="n">
        <v>41023078963.3686</v>
      </c>
      <c r="AD4" s="10" t="n">
        <v>41284508341.3415</v>
      </c>
      <c r="AE4" s="10" t="n">
        <v>41212668320.6087</v>
      </c>
      <c r="AF4" s="10" t="n">
        <v>39159231887.2116</v>
      </c>
      <c r="AG4" s="10" t="n">
        <v>51094613957.6616</v>
      </c>
      <c r="AH4" s="10" t="n">
        <v>60806420846.779</v>
      </c>
      <c r="AI4" s="10" t="n">
        <v>60072398603.4895</v>
      </c>
      <c r="AJ4" s="10" t="n">
        <v>53449759515.1976</v>
      </c>
      <c r="AK4" s="10" t="n">
        <v>55593373088.2529</v>
      </c>
      <c r="AL4" s="10" t="n">
        <v>77919806442.7057</v>
      </c>
      <c r="AM4" s="10" t="n">
        <v>56946758519.94</v>
      </c>
      <c r="AN4" s="10" t="n">
        <v>26510868625.35</v>
      </c>
      <c r="AO4" s="10"/>
    </row>
    <row r="5">
      <c r="A5" t="str">
        <f>M5</f>
      </c>
      <c r="B5" t="str">
        <f>N5</f>
      </c>
      <c r="M5" t="s">
        <v>96</v>
      </c>
      <c r="N5" t="s">
        <v>97</v>
      </c>
      <c r="O5" s="10" t="n">
        <v>33924545141.8018</v>
      </c>
      <c r="P5" s="10" t="n">
        <v>37080635922.5582</v>
      </c>
      <c r="Q5" s="10" t="n">
        <v>41092995084.2003</v>
      </c>
      <c r="R5" s="10" t="n">
        <v>51897803585.7665</v>
      </c>
      <c r="S5" s="10" t="n">
        <v>61337356704.7292</v>
      </c>
      <c r="T5" s="10" t="n">
        <v>63247941068.5688</v>
      </c>
      <c r="U5" s="10" t="n">
        <v>68417078975.8138</v>
      </c>
      <c r="V5" s="10" t="n">
        <v>67883864687.3156</v>
      </c>
      <c r="W5" s="10" t="n">
        <v>68191630703.7562</v>
      </c>
      <c r="X5" s="10" t="n">
        <v>73096520087.5024</v>
      </c>
      <c r="Y5" s="10" t="n">
        <v>78965902425.9485</v>
      </c>
      <c r="Z5" s="10" t="n">
        <v>83296976873.8411</v>
      </c>
      <c r="AA5" s="10" t="n">
        <v>79816344142.0822</v>
      </c>
      <c r="AB5" s="10" t="n">
        <v>75490440720.3392</v>
      </c>
      <c r="AC5" s="10" t="n">
        <v>72378302933.9859</v>
      </c>
      <c r="AD5" s="10" t="n">
        <v>70233249952.4623</v>
      </c>
      <c r="AE5" s="10" t="n">
        <v>69261253104.6503</v>
      </c>
      <c r="AF5" s="10" t="n">
        <v>74934460952.7941</v>
      </c>
      <c r="AG5" s="10" t="n">
        <v>74379648593.8542</v>
      </c>
      <c r="AH5" s="10" t="n">
        <v>82249035206.2671</v>
      </c>
      <c r="AI5" s="10" t="n">
        <v>81325731118.9868</v>
      </c>
      <c r="AJ5" s="10" t="n">
        <v>83106634317.603</v>
      </c>
      <c r="AK5" s="10" t="n">
        <v>87932462103.3317</v>
      </c>
      <c r="AL5" s="10" t="n">
        <v>93829120323.6396</v>
      </c>
      <c r="AM5" s="10" t="n">
        <v>100996518605.14</v>
      </c>
      <c r="AN5" s="10" t="n">
        <v>47631959089.62</v>
      </c>
      <c r="AO5" s="10"/>
    </row>
    <row r="6">
      <c r="A6" t="str">
        <f>M6</f>
      </c>
      <c r="B6" t="str">
        <f>N6</f>
      </c>
      <c r="M6" t="s">
        <v>98</v>
      </c>
      <c r="N6" t="s">
        <v>94</v>
      </c>
      <c r="O6" s="10" t="n">
        <v>6839801062</v>
      </c>
      <c r="P6" s="10" t="n">
        <v>9925767376.54</v>
      </c>
      <c r="Q6" s="10" t="n">
        <v>10322283139.64</v>
      </c>
      <c r="R6" s="10" t="n">
        <v>11572384339.7196</v>
      </c>
      <c r="S6" s="10" t="n">
        <v>13814245847.7306</v>
      </c>
      <c r="T6" s="10" t="n">
        <v>24568467349.4617</v>
      </c>
      <c r="U6" s="10" t="n">
        <v>21856197845.2591</v>
      </c>
      <c r="V6" s="10" t="n">
        <v>19020832849.1161</v>
      </c>
      <c r="W6" s="10" t="n">
        <v>25399668368.9787</v>
      </c>
      <c r="X6" s="10" t="n">
        <v>26114943518.5739</v>
      </c>
      <c r="Y6" s="10" t="n">
        <v>18996712347.7542</v>
      </c>
      <c r="Z6" s="10" t="n">
        <v>21554808995.1127</v>
      </c>
      <c r="AA6" s="10" t="n">
        <v>28337105757.8865</v>
      </c>
      <c r="AB6" s="10" t="n">
        <v>18960756509.7747</v>
      </c>
      <c r="AC6" s="10" t="n">
        <v>12329925891.914</v>
      </c>
      <c r="AD6" s="10" t="n">
        <v>9520513433.5626</v>
      </c>
      <c r="AE6" s="10" t="n">
        <v>7934101445.811</v>
      </c>
      <c r="AF6" s="10" t="n">
        <v>9697599565.249</v>
      </c>
      <c r="AG6" s="10" t="n">
        <v>10925092204.724</v>
      </c>
      <c r="AH6" s="10" t="n">
        <v>10533360472.3646</v>
      </c>
      <c r="AI6" s="10" t="n">
        <v>10010599380.4709</v>
      </c>
      <c r="AJ6" s="10" t="n">
        <v>11288954329.1592</v>
      </c>
      <c r="AK6" s="10" t="n">
        <v>18507282624.9304</v>
      </c>
      <c r="AL6" s="10" t="n">
        <v>18574769196.1874</v>
      </c>
      <c r="AM6" s="10" t="n">
        <v>19078537124.26</v>
      </c>
      <c r="AN6" s="10" t="n">
        <v>6762118249.55</v>
      </c>
      <c r="AO6" s="10"/>
    </row>
    <row r="7">
      <c r="A7" t="str">
        <f>M7</f>
      </c>
      <c r="B7" t="str">
        <f>N7</f>
      </c>
      <c r="M7" t="s">
        <v>99</v>
      </c>
      <c r="N7" t="s">
        <v>97</v>
      </c>
      <c r="O7" s="10" t="n">
        <v>5171873907.0695</v>
      </c>
      <c r="P7" s="10" t="n">
        <v>4864781904.9802</v>
      </c>
      <c r="Q7" s="10" t="n">
        <v>6141425432.5808</v>
      </c>
      <c r="R7" s="10" t="n">
        <v>8168326712.3817</v>
      </c>
      <c r="S7" s="10" t="n">
        <v>9868043371.4774</v>
      </c>
      <c r="T7" s="10" t="n">
        <v>11498643858.9029</v>
      </c>
      <c r="U7" s="10" t="n">
        <v>14174741719.903</v>
      </c>
      <c r="V7" s="10" t="n">
        <v>15507117308.7404</v>
      </c>
      <c r="W7" s="10" t="n">
        <v>17350040982.9547</v>
      </c>
      <c r="X7" s="10" t="n">
        <v>16369367019.7665</v>
      </c>
      <c r="Y7" s="10" t="n">
        <v>16069735416.3557</v>
      </c>
      <c r="Z7" s="10" t="n">
        <v>11384884465.8982</v>
      </c>
      <c r="AA7" s="10" t="n">
        <v>8346936490.8459</v>
      </c>
      <c r="AB7" s="10" t="n">
        <v>4941359843.6485</v>
      </c>
      <c r="AC7" s="10" t="n">
        <v>2993290039.9096</v>
      </c>
      <c r="AD7" s="10" t="n">
        <v>2742170691.7362</v>
      </c>
      <c r="AE7" s="10" t="n">
        <v>2871120677.4901</v>
      </c>
      <c r="AF7" s="10" t="n">
        <v>3263876553.9397</v>
      </c>
      <c r="AG7" s="10" t="n">
        <v>4610726379.3604</v>
      </c>
      <c r="AH7" s="10" t="n">
        <v>4279946314.9364</v>
      </c>
      <c r="AI7" s="10" t="n">
        <v>4368895952.9749</v>
      </c>
      <c r="AJ7" s="10" t="n">
        <v>3814271767.9249</v>
      </c>
      <c r="AK7" s="10" t="n">
        <v>3783874789.7655</v>
      </c>
      <c r="AL7" s="10" t="n">
        <v>4973962502.1594</v>
      </c>
      <c r="AM7" s="10" t="n">
        <v>5420499565.09</v>
      </c>
      <c r="AN7" s="10" t="n">
        <v>2406888275.45</v>
      </c>
      <c r="AO7" s="10"/>
    </row>
    <row r="8">
      <c r="A8" t="str">
        <f>M8</f>
      </c>
      <c r="B8" t="str">
        <f>N8</f>
      </c>
      <c r="M8" t="s">
        <v>100</v>
      </c>
      <c r="N8" t="s">
        <v>92</v>
      </c>
      <c r="O8" s="10" t="n">
        <v>9177040538</v>
      </c>
      <c r="P8" s="10" t="n">
        <v>10462176940.88</v>
      </c>
      <c r="Q8" s="10" t="n">
        <v>9443306424.72</v>
      </c>
      <c r="R8" s="10" t="n">
        <v>10237292526.1225</v>
      </c>
      <c r="S8" s="10" t="n">
        <v>11967828533.2791</v>
      </c>
      <c r="T8" s="10" t="n">
        <v>12763901576.2956</v>
      </c>
      <c r="U8" s="10" t="n">
        <v>16140443552.2936</v>
      </c>
      <c r="V8" s="10" t="n">
        <v>20403028189.6652</v>
      </c>
      <c r="W8" s="10" t="n">
        <v>17381494286.5692</v>
      </c>
      <c r="X8" s="10" t="n">
        <v>16642775320.3249</v>
      </c>
      <c r="Y8" s="10" t="n">
        <v>24121035777.5306</v>
      </c>
      <c r="Z8" s="10" t="n">
        <v>15054628189.178</v>
      </c>
      <c r="AA8" s="10" t="n">
        <v>23677468079.7059</v>
      </c>
      <c r="AB8" s="10" t="n">
        <v>16419236120.949</v>
      </c>
      <c r="AC8" s="10" t="n">
        <v>8934126890.2047</v>
      </c>
      <c r="AD8" s="10" t="n">
        <v>9006415910.8101</v>
      </c>
      <c r="AE8" s="10" t="n">
        <v>25497944158.4669</v>
      </c>
      <c r="AF8" s="10" t="n">
        <v>37601443387.8127</v>
      </c>
      <c r="AG8" s="10" t="n">
        <v>38392384156.1316</v>
      </c>
      <c r="AH8" s="10" t="n">
        <v>31331259656.9938</v>
      </c>
      <c r="AI8" s="10" t="n">
        <v>52561758304.7162</v>
      </c>
      <c r="AJ8" s="10" t="n">
        <v>23346948795.3375</v>
      </c>
      <c r="AK8" s="10" t="n">
        <v>27295695223.7072</v>
      </c>
      <c r="AL8" s="10" t="n">
        <v>32203682295.9831</v>
      </c>
      <c r="AM8" s="10" t="n">
        <v>39408607378.3444</v>
      </c>
      <c r="AN8" s="10" t="n">
        <v>23057788415.49</v>
      </c>
      <c r="AO8" s="10"/>
    </row>
    <row r="9">
      <c r="A9" t="str">
        <f>M9</f>
      </c>
      <c r="B9" t="str">
        <f>N9</f>
      </c>
      <c r="M9"/>
      <c r="N9" t="s">
        <v>92</v>
      </c>
      <c r="O9" s="10" t="n">
        <v>12265783988.3246</v>
      </c>
      <c r="P9" s="10" t="n">
        <v>6418404492.7687</v>
      </c>
      <c r="Q9" s="10" t="n">
        <v>8509751051.3534</v>
      </c>
      <c r="R9" s="10" t="n">
        <v>9084827512.3348</v>
      </c>
      <c r="S9" s="10" t="n">
        <v>9270196138.4963</v>
      </c>
      <c r="T9" s="10" t="n">
        <v>7410590946.917</v>
      </c>
      <c r="U9" s="10" t="n">
        <v>4712411701.228</v>
      </c>
      <c r="V9" s="10" t="n">
        <v>819783949.53</v>
      </c>
      <c r="W9" s="10" t="n">
        <v>6132975939.2611</v>
      </c>
      <c r="X9" s="10" t="n">
        <v>3311243228.1131</v>
      </c>
      <c r="Y9" s="10" t="n">
        <v>1159366817.6687</v>
      </c>
      <c r="Z9" s="10" t="n">
        <v>1579403012.9308</v>
      </c>
      <c r="AA9" s="10" t="n">
        <v>3724330778.1915</v>
      </c>
      <c r="AB9" s="10" t="n">
        <v>497646326.6455</v>
      </c>
      <c r="AC9" s="10" t="n">
        <v>607316046.1428</v>
      </c>
      <c r="AD9" s="10" t="n">
        <v>410270416.9526</v>
      </c>
      <c r="AE9" s="10" t="n">
        <v>541217749.7023</v>
      </c>
      <c r="AF9" s="10" t="n">
        <v>380227198.9651</v>
      </c>
      <c r="AG9" s="10" t="n">
        <v>20204.71</v>
      </c>
      <c r="AH9" s="10" t="n">
        <v>50903.56</v>
      </c>
      <c r="AI9" s="10" t="n">
        <v>10000</v>
      </c>
      <c r="AJ9" s="10" t="n">
        <v>10000</v>
      </c>
      <c r="AK9" s="10" t="n">
        <v>0</v>
      </c>
      <c r="AL9" s="10" t="n">
        <v>-29324.9492</v>
      </c>
      <c r="AM9" s="10" t="n">
        <v>10000</v>
      </c>
      <c r="AN9" s="10" t="n">
        <v>0</v>
      </c>
      <c r="AO9" s="10"/>
    </row>
    <row r="10">
      <c r="A10" t="str">
        <f>M10</f>
      </c>
      <c r="B10" t="str">
        <f>N10</f>
      </c>
      <c r="M10" t="s">
        <v>43</v>
      </c>
      <c r="N10" t="s">
        <v>57</v>
      </c>
      <c r="O10" s="10" t="str">
        <f>Sum(O2:O9)</f>
      </c>
      <c r="P10" s="10" t="str">
        <f>Sum(P2:P9)</f>
      </c>
      <c r="Q10" s="10" t="str">
        <f>Sum(Q2:Q9)</f>
      </c>
      <c r="R10" s="10" t="str">
        <f>Sum(R2:R9)</f>
      </c>
      <c r="S10" s="10" t="str">
        <f>Sum(S2:S9)</f>
      </c>
      <c r="T10" s="10" t="str">
        <f>Sum(T2:T9)</f>
      </c>
      <c r="U10" s="10" t="str">
        <f>Sum(U2:U9)</f>
      </c>
      <c r="V10" s="10" t="str">
        <f>Sum(V2:V9)</f>
      </c>
      <c r="W10" s="10" t="str">
        <f>Sum(W2:W9)</f>
      </c>
      <c r="X10" s="10" t="str">
        <f>Sum(X2:X9)</f>
      </c>
      <c r="Y10" s="10" t="str">
        <f>Sum(Y2:Y9)</f>
      </c>
      <c r="Z10" s="10" t="str">
        <f>Sum(Z2:Z9)</f>
      </c>
      <c r="AA10" s="10" t="str">
        <f>Sum(AA2:AA9)</f>
      </c>
      <c r="AB10" s="10" t="str">
        <f>Sum(AB2:AB9)</f>
      </c>
      <c r="AC10" s="10" t="str">
        <f>Sum(AC2:AC9)</f>
      </c>
      <c r="AD10" s="10" t="str">
        <f>Sum(AD2:AD9)</f>
      </c>
      <c r="AE10" s="10" t="str">
        <f>Sum(AE2:AE9)</f>
      </c>
      <c r="AF10" s="10" t="str">
        <f>Sum(AF2:AF9)</f>
      </c>
      <c r="AG10" s="10" t="str">
        <f>Sum(AG2:AG9)</f>
      </c>
      <c r="AH10" s="10" t="str">
        <f>Sum(AH2:AH9)</f>
      </c>
      <c r="AI10" s="10" t="str">
        <f>Sum(AI2:AI9)</f>
      </c>
      <c r="AJ10" s="10" t="str">
        <f>Sum(AJ2:AJ9)</f>
      </c>
      <c r="AK10" s="10" t="str">
        <f>Sum(AK2:AK9)</f>
      </c>
      <c r="AL10" s="10" t="str">
        <f>Sum(AL2:AL9)</f>
      </c>
      <c r="AM10" s="10" t="str">
        <f>Sum(AM2:AM9)</f>
      </c>
      <c r="AN10" s="10" t="str">
        <f>Sum(AN2:AN9)</f>
      </c>
      <c r="AO10" s="10"/>
    </row>
    <row r="13">
      <c r="A13" t="str">
        <f>M13</f>
      </c>
      <c r="B13" t="str">
        <f>N13</f>
      </c>
      <c r="M13" t="s">
        <v>89</v>
      </c>
      <c r="N13" t="s">
        <v>90</v>
      </c>
      <c r="O13" t="s">
        <v>11</v>
      </c>
      <c r="P13" t="s">
        <v>12</v>
      </c>
      <c r="Q13" t="s">
        <v>13</v>
      </c>
      <c r="R13" t="s">
        <v>14</v>
      </c>
      <c r="S13" t="s">
        <v>15</v>
      </c>
      <c r="T13" t="s">
        <v>16</v>
      </c>
      <c r="U13" t="s">
        <v>17</v>
      </c>
      <c r="V13" t="s">
        <v>18</v>
      </c>
      <c r="W13" t="s">
        <v>19</v>
      </c>
      <c r="X13" t="s">
        <v>20</v>
      </c>
      <c r="Y13" t="s">
        <v>21</v>
      </c>
      <c r="Z13" t="s">
        <v>22</v>
      </c>
      <c r="AA13" t="s">
        <v>23</v>
      </c>
      <c r="AB13" t="s">
        <v>24</v>
      </c>
      <c r="AC13" t="s">
        <v>25</v>
      </c>
      <c r="AD13" t="s">
        <v>26</v>
      </c>
      <c r="AE13" t="s">
        <v>27</v>
      </c>
      <c r="AF13" t="s">
        <v>28</v>
      </c>
      <c r="AG13" t="s">
        <v>29</v>
      </c>
      <c r="AH13" t="s">
        <v>30</v>
      </c>
      <c r="AI13" t="s">
        <v>31</v>
      </c>
      <c r="AJ13" t="s">
        <v>32</v>
      </c>
      <c r="AK13" t="s">
        <v>33</v>
      </c>
      <c r="AL13" t="s">
        <v>34</v>
      </c>
      <c r="AM13" t="s">
        <v>35</v>
      </c>
      <c r="AN13" t="s">
        <v>36</v>
      </c>
    </row>
    <row r="14">
      <c r="A14" t="str">
        <f>M14</f>
      </c>
      <c r="B14" t="str">
        <f>N14</f>
      </c>
      <c r="M14" t="s">
        <v>91</v>
      </c>
      <c r="N14" t="s">
        <v>92</v>
      </c>
      <c r="O14" s="10" t="n">
        <v>8783532.15867742</v>
      </c>
      <c r="P14" s="10" t="n">
        <v>338583920.868045</v>
      </c>
      <c r="Q14" s="10" t="n">
        <v>106602190.582995</v>
      </c>
      <c r="R14" s="10" t="n">
        <v>321188096.666058</v>
      </c>
      <c r="S14" s="10" t="n">
        <v>764708108.199722</v>
      </c>
      <c r="T14" s="10" t="n">
        <v>1563143275.31555</v>
      </c>
      <c r="U14" s="10" t="n">
        <v>5544802136.32087</v>
      </c>
      <c r="V14" s="10" t="n">
        <v>26857400366.1243</v>
      </c>
      <c r="W14" s="10" t="n">
        <v>37542051980.7624</v>
      </c>
      <c r="X14" s="10" t="n">
        <v>46420841366.9102</v>
      </c>
      <c r="Y14" s="10" t="n">
        <v>766007656.508485</v>
      </c>
      <c r="Z14" s="10" t="n">
        <v>315397246.91104</v>
      </c>
      <c r="AA14" s="10" t="n">
        <v>-4061189.5847585</v>
      </c>
      <c r="AB14" s="10" t="n">
        <v>-37331146.7998669</v>
      </c>
      <c r="AC14" s="10" t="n">
        <v>-35597507.0455255</v>
      </c>
      <c r="AD14" s="10" t="n">
        <v>233271.228031182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72784.1152687462</v>
      </c>
      <c r="AJ14" s="10" t="n">
        <v>0</v>
      </c>
      <c r="AK14" s="10" t="n">
        <v>488846.794660361</v>
      </c>
      <c r="AL14" s="10"/>
      <c r="AM14" s="10" t="n">
        <v>0</v>
      </c>
      <c r="AN14" s="10" t="n">
        <v>0</v>
      </c>
      <c r="AO14" s="10"/>
    </row>
    <row r="15">
      <c r="A15" t="str">
        <f>M15</f>
      </c>
      <c r="B15" t="str">
        <f>N15</f>
      </c>
      <c r="M15" t="s">
        <v>93</v>
      </c>
      <c r="N15" t="s">
        <v>94</v>
      </c>
      <c r="O15" s="10" t="n">
        <v>99496289982.9925</v>
      </c>
      <c r="P15" s="10" t="n">
        <v>111662179333.419</v>
      </c>
      <c r="Q15" s="10" t="n">
        <v>136020508437.544</v>
      </c>
      <c r="R15" s="10" t="n">
        <v>173126078040.581</v>
      </c>
      <c r="S15" s="10" t="n">
        <v>170123958831.057</v>
      </c>
      <c r="T15" s="10" t="n">
        <v>192344461966.527</v>
      </c>
      <c r="U15" s="10" t="n">
        <v>211885146966.109</v>
      </c>
      <c r="V15" s="10" t="n">
        <v>236222946793.406</v>
      </c>
      <c r="W15" s="10" t="n">
        <v>268640072062.133</v>
      </c>
      <c r="X15" s="10" t="n">
        <v>259265151255.551</v>
      </c>
      <c r="Y15" s="10" t="n">
        <v>259058755032.988</v>
      </c>
      <c r="Z15" s="10" t="n">
        <v>247257767497.693</v>
      </c>
      <c r="AA15" s="10" t="n">
        <v>225502751844.694</v>
      </c>
      <c r="AB15" s="10" t="n">
        <v>189331638294.271</v>
      </c>
      <c r="AC15" s="10" t="n">
        <v>183507470464.744</v>
      </c>
      <c r="AD15" s="10" t="n">
        <v>176456933782.624</v>
      </c>
      <c r="AE15" s="10" t="n">
        <v>187478805121.794</v>
      </c>
      <c r="AF15" s="10" t="n">
        <v>191451628648.008</v>
      </c>
      <c r="AG15" s="10" t="n">
        <v>214905199846.228</v>
      </c>
      <c r="AH15" s="10" t="n">
        <v>227945649425.932</v>
      </c>
      <c r="AI15" s="10" t="n">
        <v>247907641004.809</v>
      </c>
      <c r="AJ15" s="10" t="n">
        <v>237166453756.48</v>
      </c>
      <c r="AK15" s="10" t="n">
        <v>231360233247.693</v>
      </c>
      <c r="AL15" s="10" t="n">
        <v>229620345220.999</v>
      </c>
      <c r="AM15" s="10" t="n">
        <v>217626733778.914</v>
      </c>
      <c r="AN15" s="10" t="n">
        <v>87934436770.8689</v>
      </c>
      <c r="AO15" s="10"/>
    </row>
    <row r="16">
      <c r="A16" t="str">
        <f>M16</f>
      </c>
      <c r="B16" t="str">
        <f>N16</f>
      </c>
      <c r="M16" t="s">
        <v>95</v>
      </c>
      <c r="N16" t="s">
        <v>95</v>
      </c>
      <c r="O16" s="10" t="n">
        <v>9433155156.46905</v>
      </c>
      <c r="P16" s="10" t="n">
        <v>11500152368.3747</v>
      </c>
      <c r="Q16" s="10" t="n">
        <v>16259621926.1662</v>
      </c>
      <c r="R16" s="10" t="n">
        <v>17724045493.423</v>
      </c>
      <c r="S16" s="10" t="n">
        <v>20283838668.5672</v>
      </c>
      <c r="T16" s="10" t="n">
        <v>25651568819.0903</v>
      </c>
      <c r="U16" s="10" t="n">
        <v>29640943489.9327</v>
      </c>
      <c r="V16" s="10" t="n">
        <v>26455502146.055</v>
      </c>
      <c r="W16" s="10" t="n">
        <v>31593960317.8414</v>
      </c>
      <c r="X16" s="10" t="n">
        <v>32078049590.2298</v>
      </c>
      <c r="Y16" s="10" t="n">
        <v>44237813632.1022</v>
      </c>
      <c r="Z16" s="10" t="n">
        <v>66995673924.7096</v>
      </c>
      <c r="AA16" s="10" t="n">
        <v>54824173687.8671</v>
      </c>
      <c r="AB16" s="10" t="n">
        <v>57717855783.8579</v>
      </c>
      <c r="AC16" s="10" t="n">
        <v>51860887004.4982</v>
      </c>
      <c r="AD16" s="10" t="n">
        <v>51656415878.8835</v>
      </c>
      <c r="AE16" s="10" t="n">
        <v>51157519056.8272</v>
      </c>
      <c r="AF16" s="10" t="n">
        <v>47801674373.9019</v>
      </c>
      <c r="AG16" s="10" t="n">
        <v>61016626136.6023</v>
      </c>
      <c r="AH16" s="10" t="n">
        <v>71296127133.0043</v>
      </c>
      <c r="AI16" s="10" t="n">
        <v>69527237095.293</v>
      </c>
      <c r="AJ16" s="10" t="n">
        <v>59803960990.0147</v>
      </c>
      <c r="AK16" s="10" t="n">
        <v>58136580595.9629</v>
      </c>
      <c r="AL16" s="10" t="n">
        <v>77919806442.7057</v>
      </c>
      <c r="AM16" s="10" t="n">
        <v>55465497606.4482</v>
      </c>
      <c r="AN16" s="10" t="n">
        <v>25266877992.0148</v>
      </c>
      <c r="AO16" s="10"/>
    </row>
    <row r="17">
      <c r="A17" t="str">
        <f>M17</f>
      </c>
      <c r="B17" t="str">
        <f>N17</f>
      </c>
      <c r="M17" t="s">
        <v>96</v>
      </c>
      <c r="N17" t="s">
        <v>97</v>
      </c>
      <c r="O17" s="10" t="n">
        <v>57033042606.957</v>
      </c>
      <c r="P17" s="10" t="n">
        <v>60863698057.1521</v>
      </c>
      <c r="Q17" s="10" t="n">
        <v>66404843943.4759</v>
      </c>
      <c r="R17" s="10" t="n">
        <v>82285555003.3943</v>
      </c>
      <c r="S17" s="10" t="n">
        <v>94934083089.5267</v>
      </c>
      <c r="T17" s="10" t="n">
        <v>95000322018.1199</v>
      </c>
      <c r="U17" s="10" t="n">
        <v>99531317211.6951</v>
      </c>
      <c r="V17" s="10" t="n">
        <v>96109758343.3579</v>
      </c>
      <c r="W17" s="10" t="n">
        <v>94581892474.0201</v>
      </c>
      <c r="X17" s="10" t="n">
        <v>100358702080.398</v>
      </c>
      <c r="Y17" s="10" t="n">
        <v>107486258983.078</v>
      </c>
      <c r="Z17" s="10" t="n">
        <v>111150655591.348</v>
      </c>
      <c r="AA17" s="10" t="n">
        <v>104607914249.06</v>
      </c>
      <c r="AB17" s="10" t="n">
        <v>97175135459.0363</v>
      </c>
      <c r="AC17" s="10" t="n">
        <v>91499787068.3609</v>
      </c>
      <c r="AD17" s="10" t="n">
        <v>87877950200.4378</v>
      </c>
      <c r="AE17" s="10" t="n">
        <v>85974386517.1929</v>
      </c>
      <c r="AF17" s="10" t="n">
        <v>91472496502.6476</v>
      </c>
      <c r="AG17" s="10" t="n">
        <v>88823358449.9474</v>
      </c>
      <c r="AH17" s="10" t="n">
        <v>96437803590.0067</v>
      </c>
      <c r="AI17" s="10" t="n">
        <v>94125647067.6268</v>
      </c>
      <c r="AJ17" s="10" t="n">
        <v>92986497260.6317</v>
      </c>
      <c r="AK17" s="10" t="n">
        <v>91955072809.7843</v>
      </c>
      <c r="AL17" s="10" t="n">
        <v>93829120323.6396</v>
      </c>
      <c r="AM17" s="10" t="n">
        <v>98369464857.0999</v>
      </c>
      <c r="AN17" s="10" t="n">
        <v>45396886682.44</v>
      </c>
      <c r="AO17" s="10"/>
    </row>
    <row r="18">
      <c r="A18" t="str">
        <f>M18</f>
      </c>
      <c r="B18" t="str">
        <f>N18</f>
      </c>
      <c r="M18" t="s">
        <v>98</v>
      </c>
      <c r="N18" t="s">
        <v>94</v>
      </c>
      <c r="O18" s="10" t="n">
        <v>11498891547.7449</v>
      </c>
      <c r="P18" s="10" t="n">
        <v>16292032042.0865</v>
      </c>
      <c r="Q18" s="10" t="n">
        <v>16680448811.8636</v>
      </c>
      <c r="R18" s="10" t="n">
        <v>18348369339.6145</v>
      </c>
      <c r="S18" s="10" t="n">
        <v>21380816415.6916</v>
      </c>
      <c r="T18" s="10" t="n">
        <v>36902581653.3721</v>
      </c>
      <c r="U18" s="10" t="n">
        <v>31795805862.2624</v>
      </c>
      <c r="V18" s="10" t="n">
        <v>26929634266.3817</v>
      </c>
      <c r="W18" s="10" t="n">
        <v>35229377531.4891</v>
      </c>
      <c r="X18" s="10" t="n">
        <v>35854809959.3467</v>
      </c>
      <c r="Y18" s="10" t="n">
        <v>25857813062.4488</v>
      </c>
      <c r="Z18" s="10" t="n">
        <v>28762522253.1391</v>
      </c>
      <c r="AA18" s="10" t="n">
        <v>37138828657.8343</v>
      </c>
      <c r="AB18" s="10" t="n">
        <v>24407250304.299</v>
      </c>
      <c r="AC18" s="10" t="n">
        <v>15587345211.8349</v>
      </c>
      <c r="AD18" s="10" t="n">
        <v>11912352140.3822</v>
      </c>
      <c r="AE18" s="10" t="n">
        <v>9848645148.50908</v>
      </c>
      <c r="AF18" s="10" t="n">
        <v>11837859791.5735</v>
      </c>
      <c r="AG18" s="10" t="n">
        <v>13046624975.3042</v>
      </c>
      <c r="AH18" s="10" t="n">
        <v>12350468863.606</v>
      </c>
      <c r="AI18" s="10" t="n">
        <v>11586174895.1633</v>
      </c>
      <c r="AJ18" s="10" t="n">
        <v>12631005086.6952</v>
      </c>
      <c r="AK18" s="10" t="n">
        <v>19353927782.5163</v>
      </c>
      <c r="AL18" s="10" t="n">
        <v>18574769196.1874</v>
      </c>
      <c r="AM18" s="10" t="n">
        <v>18582279004.1622</v>
      </c>
      <c r="AN18" s="10" t="n">
        <v>6444813981.52229</v>
      </c>
      <c r="AO18" s="10"/>
    </row>
    <row r="19">
      <c r="A19" t="str">
        <f>M19</f>
      </c>
      <c r="B19" t="str">
        <f>N19</f>
      </c>
      <c r="M19" t="s">
        <v>99</v>
      </c>
      <c r="N19" t="s">
        <v>97</v>
      </c>
      <c r="O19" s="10" t="n">
        <v>8694816796.12103</v>
      </c>
      <c r="P19" s="10" t="n">
        <v>7984992964.98001</v>
      </c>
      <c r="Q19" s="10" t="n">
        <v>9924328869.32166</v>
      </c>
      <c r="R19" s="10" t="n">
        <v>12951131850.245</v>
      </c>
      <c r="S19" s="10" t="n">
        <v>15273133693.5271</v>
      </c>
      <c r="T19" s="10" t="n">
        <v>17271311143.2858</v>
      </c>
      <c r="U19" s="10" t="n">
        <v>20621031117.3363</v>
      </c>
      <c r="V19" s="10" t="n">
        <v>21954927050.9289</v>
      </c>
      <c r="W19" s="10" t="n">
        <v>24064532461.4487</v>
      </c>
      <c r="X19" s="10" t="n">
        <v>22474509402.2924</v>
      </c>
      <c r="Y19" s="10" t="n">
        <v>21873690918.3269</v>
      </c>
      <c r="Z19" s="10" t="n">
        <v>15191876340.6376</v>
      </c>
      <c r="AA19" s="10" t="n">
        <v>10939559134.9366</v>
      </c>
      <c r="AB19" s="10" t="n">
        <v>6360769755.43491</v>
      </c>
      <c r="AC19" s="10" t="n">
        <v>3784081557.36087</v>
      </c>
      <c r="AD19" s="10" t="n">
        <v>3431086268.29315</v>
      </c>
      <c r="AE19" s="10" t="n">
        <v>3563938389.78153</v>
      </c>
      <c r="AF19" s="10" t="n">
        <v>3984214110.15956</v>
      </c>
      <c r="AG19" s="10" t="n">
        <v>5506078741.30769</v>
      </c>
      <c r="AH19" s="10" t="n">
        <v>5018279193.92007</v>
      </c>
      <c r="AI19" s="10" t="n">
        <v>5056519663.41673</v>
      </c>
      <c r="AJ19" s="10" t="n">
        <v>4267719108.24849</v>
      </c>
      <c r="AK19" s="10" t="n">
        <v>3956974176.23895</v>
      </c>
      <c r="AL19" s="10" t="n">
        <v>4973962502.1594</v>
      </c>
      <c r="AM19" s="10" t="n">
        <v>5279505163.54639</v>
      </c>
      <c r="AN19" s="10" t="n">
        <v>2293947937.18884</v>
      </c>
      <c r="AO19" s="10"/>
    </row>
    <row r="20">
      <c r="A20" t="str">
        <f>M20</f>
      </c>
      <c r="B20" t="str">
        <f>N20</f>
      </c>
      <c r="M20" t="s">
        <v>100</v>
      </c>
      <c r="N20" t="s">
        <v>92</v>
      </c>
      <c r="O20" s="10" t="n">
        <v>15428196364.0715</v>
      </c>
      <c r="P20" s="10" t="n">
        <v>17172488079.2252</v>
      </c>
      <c r="Q20" s="10" t="n">
        <v>15260053158.9156</v>
      </c>
      <c r="R20" s="10" t="n">
        <v>16231540432.1874</v>
      </c>
      <c r="S20" s="10" t="n">
        <v>18523048422.9838</v>
      </c>
      <c r="T20" s="10" t="n">
        <v>19171766534.5198</v>
      </c>
      <c r="U20" s="10" t="n">
        <v>23480681011.0777</v>
      </c>
      <c r="V20" s="10" t="n">
        <v>28886542005.4355</v>
      </c>
      <c r="W20" s="10" t="n">
        <v>24108158240.0042</v>
      </c>
      <c r="X20" s="10" t="n">
        <v>22849888451.1063</v>
      </c>
      <c r="Y20" s="10" t="n">
        <v>32832904062.0422</v>
      </c>
      <c r="Z20" s="10" t="n">
        <v>20088745783.0012</v>
      </c>
      <c r="AA20" s="10" t="n">
        <v>31031871694.194</v>
      </c>
      <c r="AB20" s="10" t="n">
        <v>21135675973.8354</v>
      </c>
      <c r="AC20" s="10" t="n">
        <v>11294416627.0524</v>
      </c>
      <c r="AD20" s="10" t="n">
        <v>11269097890.6758</v>
      </c>
      <c r="AE20" s="10" t="n">
        <v>31650742777.662</v>
      </c>
      <c r="AF20" s="10" t="n">
        <v>45900081952.3204</v>
      </c>
      <c r="AG20" s="10" t="n">
        <v>45847762985.1283</v>
      </c>
      <c r="AH20" s="10" t="n">
        <v>36736210430.3254</v>
      </c>
      <c r="AI20" s="10" t="n">
        <v>60834491659.2894</v>
      </c>
      <c r="AJ20" s="10" t="n">
        <v>26122475155.2949</v>
      </c>
      <c r="AK20" s="10" t="n">
        <v>28544380330.6694</v>
      </c>
      <c r="AL20" s="10" t="n">
        <v>32203682295.9831</v>
      </c>
      <c r="AM20" s="10" t="n">
        <v>38383537097.2283</v>
      </c>
      <c r="AN20" s="10" t="n">
        <v>21975829418.9874</v>
      </c>
      <c r="AO20" s="10"/>
    </row>
    <row r="21">
      <c r="A21" t="str">
        <f>M21</f>
      </c>
      <c r="B21" t="str">
        <f>N21</f>
      </c>
      <c r="M21"/>
      <c r="N21" t="s">
        <v>92</v>
      </c>
      <c r="O21" s="10" t="n">
        <v>20620909665.5465</v>
      </c>
      <c r="P21" s="10" t="n">
        <v>10535089901.705</v>
      </c>
      <c r="Q21" s="10" t="n">
        <v>13751460301.3257</v>
      </c>
      <c r="R21" s="10" t="n">
        <v>14404271901.9346</v>
      </c>
      <c r="S21" s="10" t="n">
        <v>14347823540.9574</v>
      </c>
      <c r="T21" s="10" t="n">
        <v>11130931922.9609</v>
      </c>
      <c r="U21" s="10" t="n">
        <v>6855489168.61587</v>
      </c>
      <c r="V21" s="10" t="n">
        <v>1160647491.80101</v>
      </c>
      <c r="W21" s="10" t="n">
        <v>8506446683.36101</v>
      </c>
      <c r="X21" s="10" t="n">
        <v>4546209207.3348</v>
      </c>
      <c r="Y21" s="10" t="n">
        <v>1578098878.02125</v>
      </c>
      <c r="Z21" s="10" t="n">
        <v>2107539636.11541</v>
      </c>
      <c r="AA21" s="10" t="n">
        <v>4881136550.01121</v>
      </c>
      <c r="AB21" s="10" t="n">
        <v>640595666.696633</v>
      </c>
      <c r="AC21" s="10" t="n">
        <v>767761700.021458</v>
      </c>
      <c r="AD21" s="10" t="n">
        <v>513342658.841454</v>
      </c>
      <c r="AE21" s="10" t="n">
        <v>671816663.965999</v>
      </c>
      <c r="AF21" s="10" t="n">
        <v>464143341.86586</v>
      </c>
      <c r="AG21" s="10" t="n">
        <v>24128.2425049737</v>
      </c>
      <c r="AH21" s="10" t="n">
        <v>59684.9252881944</v>
      </c>
      <c r="AI21" s="10" t="n">
        <v>11573.9072704938</v>
      </c>
      <c r="AJ21" s="10" t="n">
        <v>11188.817598517</v>
      </c>
      <c r="AK21" s="10" t="n">
        <v>0</v>
      </c>
      <c r="AL21" s="10" t="n">
        <v>-29324.9492</v>
      </c>
      <c r="AM21" s="10" t="n">
        <v>9739.88670259903</v>
      </c>
      <c r="AN21" s="10" t="n">
        <v>0</v>
      </c>
      <c r="AO21" s="10"/>
    </row>
    <row r="22">
      <c r="A22" t="str">
        <f>M22</f>
      </c>
      <c r="B22" t="str">
        <f>N22</f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101</v>
      </c>
      <c r="N1" t="s">
        <v>102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</row>
    <row r="2">
      <c r="A2" t="str">
        <f>M2</f>
      </c>
      <c r="B2" t="str">
        <f>N2</f>
      </c>
      <c r="M2" t="s">
        <v>103</v>
      </c>
      <c r="N2" t="s">
        <v>104</v>
      </c>
      <c r="O2" s="11" t="n">
        <v>1009532000</v>
      </c>
      <c r="P2" s="11" t="n">
        <v>2509530963</v>
      </c>
      <c r="Q2" s="11" t="n">
        <v>1989253008</v>
      </c>
      <c r="R2" s="11" t="n">
        <v>1633619184</v>
      </c>
      <c r="S2" s="11" t="n">
        <v>1150419801</v>
      </c>
      <c r="T2" s="11" t="n">
        <v>1216542123</v>
      </c>
      <c r="U2" s="11" t="n">
        <v>1191928415</v>
      </c>
      <c r="V2" s="11" t="n">
        <v>1402531501</v>
      </c>
      <c r="W2" s="11" t="n">
        <v>2128158767</v>
      </c>
      <c r="X2" s="11" t="n">
        <v>2677680651.43</v>
      </c>
      <c r="Y2" s="11" t="n">
        <v>4127998230.6992</v>
      </c>
      <c r="Z2" s="11" t="n">
        <v>4005947027.0862</v>
      </c>
      <c r="AA2" s="11" t="n">
        <v>4198338355.6865</v>
      </c>
      <c r="AB2" s="11" t="n">
        <v>9116056360.1495</v>
      </c>
      <c r="AC2" s="11" t="n">
        <v>7112342707.9887</v>
      </c>
      <c r="AD2" s="11" t="n">
        <v>13188745696.0968</v>
      </c>
      <c r="AE2" s="11" t="n">
        <v>14717065283.5622</v>
      </c>
      <c r="AF2" s="11" t="n">
        <v>14855647289.915</v>
      </c>
      <c r="AG2" s="11" t="n">
        <v>20755894794.5109</v>
      </c>
      <c r="AH2" s="11" t="n">
        <v>14854230274.3331</v>
      </c>
      <c r="AI2" s="11" t="n">
        <v>15086315050.4773</v>
      </c>
      <c r="AJ2" s="11" t="n">
        <v>14404068241.7925</v>
      </c>
      <c r="AK2" s="11" t="n">
        <v>11053489567.1217</v>
      </c>
      <c r="AL2" s="11" t="n">
        <v>7699419912.9185</v>
      </c>
      <c r="AM2" s="11" t="n">
        <v>7881505727.9289</v>
      </c>
      <c r="AN2" s="11" t="n">
        <v>7855315958.2894</v>
      </c>
      <c r="AO2" s="11" t="n">
        <v>7631323305.628</v>
      </c>
      <c r="AP2" s="11" t="n">
        <v>7620387571.4925</v>
      </c>
      <c r="AQ2" s="11" t="n">
        <v>9956576622.6668</v>
      </c>
      <c r="AR2" s="11" t="n">
        <v>13043031628.9719</v>
      </c>
      <c r="AS2" s="11" t="n">
        <v>12775754742.8031</v>
      </c>
      <c r="AT2" s="11" t="n">
        <v>14631659664.5941</v>
      </c>
      <c r="AU2" s="11" t="n">
        <v>18838709723.9542</v>
      </c>
      <c r="AV2" s="11" t="n">
        <v>14877603739.3023</v>
      </c>
      <c r="AW2" s="11" t="n">
        <v>15445102357.2818</v>
      </c>
      <c r="AX2" s="11" t="n">
        <v>5267683453.19</v>
      </c>
      <c r="AY2" s="11"/>
    </row>
    <row r="3">
      <c r="A3" t="str">
        <f>M3</f>
      </c>
      <c r="B3" t="str">
        <f>N3</f>
      </c>
      <c r="M3" t="s">
        <v>103</v>
      </c>
      <c r="N3" t="s">
        <v>105</v>
      </c>
      <c r="O3" s="11" t="n">
        <v>16761530083</v>
      </c>
      <c r="P3" s="11" t="n">
        <v>30428356735</v>
      </c>
      <c r="Q3" s="11" t="n">
        <v>25626517084</v>
      </c>
      <c r="R3" s="11" t="n">
        <v>22759073250</v>
      </c>
      <c r="S3" s="11" t="n">
        <v>19631850730</v>
      </c>
      <c r="T3" s="11" t="n">
        <v>17837551372</v>
      </c>
      <c r="U3" s="11" t="n">
        <v>21121418974</v>
      </c>
      <c r="V3" s="11" t="n">
        <v>22670814002</v>
      </c>
      <c r="W3" s="11" t="n">
        <v>22413422099</v>
      </c>
      <c r="X3" s="11" t="n">
        <v>23871207421.67</v>
      </c>
      <c r="Y3" s="11" t="n">
        <v>23518182216.8142</v>
      </c>
      <c r="Z3" s="11" t="n">
        <v>25645165826.9764</v>
      </c>
      <c r="AA3" s="11" t="n">
        <v>32331703484.6833</v>
      </c>
      <c r="AB3" s="11" t="n">
        <v>35804208204.7546</v>
      </c>
      <c r="AC3" s="11" t="n">
        <v>40548487721.81</v>
      </c>
      <c r="AD3" s="11" t="n">
        <v>51040986398.6238</v>
      </c>
      <c r="AE3" s="11" t="n">
        <v>54142999457.2783</v>
      </c>
      <c r="AF3" s="11" t="n">
        <v>60262763349.0727</v>
      </c>
      <c r="AG3" s="11" t="n">
        <v>67957850000.2758</v>
      </c>
      <c r="AH3" s="11" t="n">
        <v>65137261354.4687</v>
      </c>
      <c r="AI3" s="11" t="n">
        <v>55772015125.0506</v>
      </c>
      <c r="AJ3" s="11" t="n">
        <v>57940214562.4119</v>
      </c>
      <c r="AK3" s="11" t="n">
        <v>60583779017.7405</v>
      </c>
      <c r="AL3" s="11" t="n">
        <v>49367553093.6063</v>
      </c>
      <c r="AM3" s="11" t="n">
        <v>48029453465.2463</v>
      </c>
      <c r="AN3" s="11" t="n">
        <v>43750365338.7294</v>
      </c>
      <c r="AO3" s="11" t="n">
        <v>47501536605.3259</v>
      </c>
      <c r="AP3" s="11" t="n">
        <v>51433589856.6864</v>
      </c>
      <c r="AQ3" s="11" t="n">
        <v>59842330545.3771</v>
      </c>
      <c r="AR3" s="11" t="n">
        <v>58578007657.5716</v>
      </c>
      <c r="AS3" s="11" t="n">
        <v>52572695729.3254</v>
      </c>
      <c r="AT3" s="11" t="n">
        <v>52684095408.6443</v>
      </c>
      <c r="AU3" s="11" t="n">
        <v>78515773306.5085</v>
      </c>
      <c r="AV3" s="11" t="n">
        <v>71030161035.8108</v>
      </c>
      <c r="AW3" s="11" t="n">
        <v>69844799829.5232</v>
      </c>
      <c r="AX3" s="11" t="n">
        <v>29001992407.57</v>
      </c>
      <c r="AY3" s="11"/>
    </row>
    <row r="4">
      <c r="A4" t="str">
        <f>M4</f>
      </c>
      <c r="B4" t="str">
        <f>N4</f>
      </c>
      <c r="M4" t="s">
        <v>103</v>
      </c>
      <c r="N4" t="s">
        <v>106</v>
      </c>
      <c r="O4" s="11" t="n">
        <v>26987815032</v>
      </c>
      <c r="P4" s="11" t="n">
        <v>39515213482</v>
      </c>
      <c r="Q4" s="11" t="n">
        <v>31095445785</v>
      </c>
      <c r="R4" s="11" t="n">
        <v>35350645851</v>
      </c>
      <c r="S4" s="11" t="n">
        <v>30235982865</v>
      </c>
      <c r="T4" s="11" t="n">
        <v>30513563462</v>
      </c>
      <c r="U4" s="11" t="n">
        <v>30161389628.51</v>
      </c>
      <c r="V4" s="11" t="n">
        <v>36703906207.2</v>
      </c>
      <c r="W4" s="11" t="n">
        <v>36208215607</v>
      </c>
      <c r="X4" s="11" t="n">
        <v>39054855097.01</v>
      </c>
      <c r="Y4" s="11" t="n">
        <v>31079163259</v>
      </c>
      <c r="Z4" s="11" t="n">
        <v>34577711149.2002</v>
      </c>
      <c r="AA4" s="11" t="n">
        <v>38020050765.7823</v>
      </c>
      <c r="AB4" s="11" t="n">
        <v>48290049168.0226</v>
      </c>
      <c r="AC4" s="11" t="n">
        <v>54389410148.2793</v>
      </c>
      <c r="AD4" s="11" t="n">
        <v>57559212609.4856</v>
      </c>
      <c r="AE4" s="11" t="n">
        <v>66536037016.8033</v>
      </c>
      <c r="AF4" s="11" t="n">
        <v>83049967826.2744</v>
      </c>
      <c r="AG4" s="11" t="n">
        <v>100657223536.644</v>
      </c>
      <c r="AH4" s="11" t="n">
        <v>93189203983.0833</v>
      </c>
      <c r="AI4" s="11" t="n">
        <v>90172338051.5633</v>
      </c>
      <c r="AJ4" s="11" t="n">
        <v>100259484553.063</v>
      </c>
      <c r="AK4" s="11" t="n">
        <v>99593947550.4865</v>
      </c>
      <c r="AL4" s="11" t="n">
        <v>91082457584.0688</v>
      </c>
      <c r="AM4" s="11" t="n">
        <v>73082567294.5243</v>
      </c>
      <c r="AN4" s="11" t="n">
        <v>78218627096.3782</v>
      </c>
      <c r="AO4" s="11" t="n">
        <v>92827895195.8491</v>
      </c>
      <c r="AP4" s="11" t="n">
        <v>104593906183.157</v>
      </c>
      <c r="AQ4" s="11" t="n">
        <v>113438133971.128</v>
      </c>
      <c r="AR4" s="11" t="n">
        <v>120712294953.103</v>
      </c>
      <c r="AS4" s="11" t="n">
        <v>152558056806.629</v>
      </c>
      <c r="AT4" s="11" t="n">
        <v>126281864848.977</v>
      </c>
      <c r="AU4" s="11" t="n">
        <v>111906395592.909</v>
      </c>
      <c r="AV4" s="11" t="n">
        <v>140463895471.442</v>
      </c>
      <c r="AW4" s="11" t="n">
        <v>119167565830.86</v>
      </c>
      <c r="AX4" s="11" t="n">
        <v>64697317861.67</v>
      </c>
      <c r="AY4" s="11"/>
    </row>
    <row r="5">
      <c r="A5" t="str">
        <f>M5</f>
      </c>
      <c r="B5" t="str">
        <f>N5</f>
      </c>
      <c r="M5" t="s">
        <v>103</v>
      </c>
      <c r="N5" t="s">
        <v>78</v>
      </c>
      <c r="O5" s="11" t="n">
        <v>24553165000</v>
      </c>
      <c r="P5" s="11" t="n">
        <v>1387947498</v>
      </c>
      <c r="Q5" s="11" t="n">
        <v>2066535211</v>
      </c>
      <c r="R5" s="11" t="n">
        <v>1082792249</v>
      </c>
      <c r="S5" s="11" t="n">
        <v>794044689</v>
      </c>
      <c r="T5" s="11" t="n">
        <v>555628810</v>
      </c>
      <c r="U5" s="11" t="n">
        <v>613107550</v>
      </c>
      <c r="V5" s="11" t="n">
        <v>1806089974</v>
      </c>
      <c r="W5" s="11" t="n">
        <v>2621366114</v>
      </c>
      <c r="X5" s="11" t="n">
        <v>3049420784</v>
      </c>
      <c r="Y5" s="11" t="n">
        <v>868562554</v>
      </c>
      <c r="Z5" s="11" t="n">
        <v>803115554.49</v>
      </c>
      <c r="AA5" s="11" t="n">
        <v>2318927098.98</v>
      </c>
      <c r="AB5" s="11" t="n">
        <v>1660213795.7695</v>
      </c>
      <c r="AC5" s="11" t="n">
        <v>1806058937.449</v>
      </c>
      <c r="AD5" s="11" t="n">
        <v>1555362775.8041</v>
      </c>
      <c r="AE5" s="11" t="n">
        <v>850687557.1362</v>
      </c>
      <c r="AF5" s="11" t="n">
        <v>328216031.8223</v>
      </c>
      <c r="AG5" s="11" t="n">
        <v>635983000.2434</v>
      </c>
      <c r="AH5" s="11" t="n">
        <v>480177627.977</v>
      </c>
      <c r="AI5" s="11" t="n">
        <v>1266382926.9994</v>
      </c>
      <c r="AJ5" s="11" t="n">
        <v>499222382.8466</v>
      </c>
      <c r="AK5" s="11" t="n">
        <v>441894729.9866</v>
      </c>
      <c r="AL5" s="11" t="n">
        <v>249212836.4453</v>
      </c>
      <c r="AM5" s="11" t="n">
        <v>284002335.9253</v>
      </c>
      <c r="AN5" s="11" t="n">
        <v>199866154.7692</v>
      </c>
      <c r="AO5" s="11" t="n">
        <v>281356030.7396</v>
      </c>
      <c r="AP5" s="11" t="n">
        <v>317831472.8295</v>
      </c>
      <c r="AQ5" s="11" t="n">
        <v>447409152.8535</v>
      </c>
      <c r="AR5" s="11" t="n">
        <v>356874123.1987</v>
      </c>
      <c r="AS5" s="11" t="n">
        <v>349189625.4677</v>
      </c>
      <c r="AT5" s="11" t="n">
        <v>303328987.4681</v>
      </c>
      <c r="AU5" s="11" t="n">
        <v>358083493.283</v>
      </c>
      <c r="AV5" s="11" t="n">
        <v>475401013.4331</v>
      </c>
      <c r="AW5" s="11" t="n">
        <v>229361162.88</v>
      </c>
      <c r="AX5" s="11" t="n">
        <v>35082269.97</v>
      </c>
      <c r="AY5" s="11"/>
    </row>
    <row r="6">
      <c r="A6" t="str">
        <f>M6</f>
      </c>
      <c r="B6" t="str">
        <f>N6</f>
      </c>
      <c r="M6" t="s">
        <v>107</v>
      </c>
      <c r="N6" t="s">
        <v>104</v>
      </c>
      <c r="O6" s="11" t="n">
        <v>946289000</v>
      </c>
      <c r="P6" s="11" t="n">
        <v>1192426851</v>
      </c>
      <c r="Q6" s="11" t="n">
        <v>1179545361</v>
      </c>
      <c r="R6" s="11" t="n">
        <v>1214491299</v>
      </c>
      <c r="S6" s="11" t="n">
        <v>970162321</v>
      </c>
      <c r="T6" s="11" t="n">
        <v>1164470352</v>
      </c>
      <c r="U6" s="11" t="n">
        <v>1441700423</v>
      </c>
      <c r="V6" s="11" t="n">
        <v>1815835157</v>
      </c>
      <c r="W6" s="11" t="n">
        <v>2002199198</v>
      </c>
      <c r="X6" s="11" t="n">
        <v>2461766582.4</v>
      </c>
      <c r="Y6" s="11" t="n">
        <v>2675911548.663</v>
      </c>
      <c r="Z6" s="11" t="n">
        <v>2741441509.8295</v>
      </c>
      <c r="AA6" s="11" t="n">
        <v>3108083133.84</v>
      </c>
      <c r="AB6" s="11" t="n">
        <v>3626506170.1216</v>
      </c>
      <c r="AC6" s="11" t="n">
        <v>3727945351.2358</v>
      </c>
      <c r="AD6" s="11" t="n">
        <v>3148821914.3663</v>
      </c>
      <c r="AE6" s="11" t="n">
        <v>3455792438.2018</v>
      </c>
      <c r="AF6" s="11" t="n">
        <v>4449745743.3962</v>
      </c>
      <c r="AG6" s="11" t="n">
        <v>4536898587.1798</v>
      </c>
      <c r="AH6" s="11" t="n">
        <v>5029662589.7171</v>
      </c>
      <c r="AI6" s="11" t="n">
        <v>5557315221.6122</v>
      </c>
      <c r="AJ6" s="11" t="n">
        <v>5116030704.9389</v>
      </c>
      <c r="AK6" s="11" t="n">
        <v>5098531099.6113</v>
      </c>
      <c r="AL6" s="11" t="n">
        <v>4255954232.0679</v>
      </c>
      <c r="AM6" s="11" t="n">
        <v>4255861594.6336</v>
      </c>
      <c r="AN6" s="11" t="n">
        <v>3981235355.3358</v>
      </c>
      <c r="AO6" s="11" t="n">
        <v>4463563467.3867</v>
      </c>
      <c r="AP6" s="11" t="n">
        <v>4653090121.7752</v>
      </c>
      <c r="AQ6" s="11" t="n">
        <v>5798778049.9984</v>
      </c>
      <c r="AR6" s="11" t="n">
        <v>6782076525.5949</v>
      </c>
      <c r="AS6" s="11" t="n">
        <v>6331809285.5889</v>
      </c>
      <c r="AT6" s="11" t="n">
        <v>6125196218.3977</v>
      </c>
      <c r="AU6" s="11" t="n">
        <v>6043823645.8648</v>
      </c>
      <c r="AV6" s="11" t="n">
        <v>7482775912.0105</v>
      </c>
      <c r="AW6" s="11" t="n">
        <v>7884479827.1</v>
      </c>
      <c r="AX6" s="11" t="n">
        <v>2941594509.2</v>
      </c>
      <c r="AY6" s="11"/>
    </row>
    <row r="7">
      <c r="A7" t="str">
        <f>M7</f>
      </c>
      <c r="B7" t="str">
        <f>N7</f>
      </c>
      <c r="M7" t="s">
        <v>107</v>
      </c>
      <c r="N7" t="s">
        <v>105</v>
      </c>
      <c r="O7" s="11" t="n">
        <v>9162062764</v>
      </c>
      <c r="P7" s="11" t="n">
        <v>9158633762</v>
      </c>
      <c r="Q7" s="11" t="n">
        <v>10996628898</v>
      </c>
      <c r="R7" s="11" t="n">
        <v>11328758256</v>
      </c>
      <c r="S7" s="11" t="n">
        <v>10301769266</v>
      </c>
      <c r="T7" s="11" t="n">
        <v>10926800931</v>
      </c>
      <c r="U7" s="11" t="n">
        <v>10510961696</v>
      </c>
      <c r="V7" s="11" t="n">
        <v>13682695894</v>
      </c>
      <c r="W7" s="11" t="n">
        <v>12426776216</v>
      </c>
      <c r="X7" s="11" t="n">
        <v>13846901685</v>
      </c>
      <c r="Y7" s="11" t="n">
        <v>10804445626.54</v>
      </c>
      <c r="Z7" s="11" t="n">
        <v>9822124882.4702</v>
      </c>
      <c r="AA7" s="11" t="n">
        <v>10740862363.3795</v>
      </c>
      <c r="AB7" s="11" t="n">
        <v>13425416314.6297</v>
      </c>
      <c r="AC7" s="11" t="n">
        <v>14358505299.9353</v>
      </c>
      <c r="AD7" s="11" t="n">
        <v>17275667810.5072</v>
      </c>
      <c r="AE7" s="11" t="n">
        <v>18214603827.0771</v>
      </c>
      <c r="AF7" s="11" t="n">
        <v>19678369508.182</v>
      </c>
      <c r="AG7" s="11" t="n">
        <v>19152734380.9301</v>
      </c>
      <c r="AH7" s="11" t="n">
        <v>20297325462.7884</v>
      </c>
      <c r="AI7" s="11" t="n">
        <v>19414928632.6957</v>
      </c>
      <c r="AJ7" s="11" t="n">
        <v>18111121525.7398</v>
      </c>
      <c r="AK7" s="11" t="n">
        <v>16055541804.0858</v>
      </c>
      <c r="AL7" s="11" t="n">
        <v>14289126354.9959</v>
      </c>
      <c r="AM7" s="11" t="n">
        <v>12446079372.3416</v>
      </c>
      <c r="AN7" s="11" t="n">
        <v>11026029909.5049</v>
      </c>
      <c r="AO7" s="11" t="n">
        <v>10564575547.7877</v>
      </c>
      <c r="AP7" s="11" t="n">
        <v>10462227379.6448</v>
      </c>
      <c r="AQ7" s="11" t="n">
        <v>10804446859.0875</v>
      </c>
      <c r="AR7" s="11" t="n">
        <v>12316822070.5433</v>
      </c>
      <c r="AS7" s="11" t="n">
        <v>12656341404.6495</v>
      </c>
      <c r="AT7" s="11" t="n">
        <v>12545288656.6974</v>
      </c>
      <c r="AU7" s="11" t="n">
        <v>13252789061.823</v>
      </c>
      <c r="AV7" s="11" t="n">
        <v>15500983742.6147</v>
      </c>
      <c r="AW7" s="11" t="n">
        <v>17244637822.97</v>
      </c>
      <c r="AX7" s="11" t="n">
        <v>7310238189.23</v>
      </c>
      <c r="AY7" s="11"/>
    </row>
    <row r="8">
      <c r="A8" t="str">
        <f>M8</f>
      </c>
      <c r="B8" t="str">
        <f>N8</f>
      </c>
      <c r="M8" t="s">
        <v>107</v>
      </c>
      <c r="N8" t="s">
        <v>106</v>
      </c>
      <c r="O8" s="11" t="n">
        <v>7499350000</v>
      </c>
      <c r="P8" s="11" t="n">
        <v>8397192886</v>
      </c>
      <c r="Q8" s="11" t="n">
        <v>8871112544</v>
      </c>
      <c r="R8" s="11" t="n">
        <v>10324046742</v>
      </c>
      <c r="S8" s="11" t="n">
        <v>12199810437</v>
      </c>
      <c r="T8" s="11" t="n">
        <v>10625284140</v>
      </c>
      <c r="U8" s="11" t="n">
        <v>9924518957</v>
      </c>
      <c r="V8" s="11" t="n">
        <v>11000879399</v>
      </c>
      <c r="W8" s="11" t="n">
        <v>10441343248</v>
      </c>
      <c r="X8" s="11" t="n">
        <v>9414307760.63</v>
      </c>
      <c r="Y8" s="11" t="n">
        <v>6579376372</v>
      </c>
      <c r="Z8" s="11" t="n">
        <v>9222027978.69</v>
      </c>
      <c r="AA8" s="11" t="n">
        <v>11985220760.4004</v>
      </c>
      <c r="AB8" s="11" t="n">
        <v>12441487714.82</v>
      </c>
      <c r="AC8" s="11" t="n">
        <v>12955924678.3713</v>
      </c>
      <c r="AD8" s="11" t="n">
        <v>15083052932.4134</v>
      </c>
      <c r="AE8" s="11" t="n">
        <v>17547834074.4635</v>
      </c>
      <c r="AF8" s="11" t="n">
        <v>18095299866.5422</v>
      </c>
      <c r="AG8" s="11" t="n">
        <v>17437029152.7226</v>
      </c>
      <c r="AH8" s="11" t="n">
        <v>18369934215.6873</v>
      </c>
      <c r="AI8" s="11" t="n">
        <v>16493974813.1517</v>
      </c>
      <c r="AJ8" s="11" t="n">
        <v>15778434702.805</v>
      </c>
      <c r="AK8" s="11" t="n">
        <v>13779535921.9655</v>
      </c>
      <c r="AL8" s="11" t="n">
        <v>9440953269.9598</v>
      </c>
      <c r="AM8" s="11" t="n">
        <v>9090220642.1364</v>
      </c>
      <c r="AN8" s="11" t="n">
        <v>8770709348.6721</v>
      </c>
      <c r="AO8" s="11" t="n">
        <v>9584728781.3945</v>
      </c>
      <c r="AP8" s="11" t="n">
        <v>10599616951.1709</v>
      </c>
      <c r="AQ8" s="11" t="n">
        <v>10485002656.9986</v>
      </c>
      <c r="AR8" s="11" t="n">
        <v>11806696492.501</v>
      </c>
      <c r="AS8" s="11" t="n">
        <v>12533025058.559</v>
      </c>
      <c r="AT8" s="11" t="n">
        <v>14043174385.4005</v>
      </c>
      <c r="AU8" s="11" t="n">
        <v>15735050838.8342</v>
      </c>
      <c r="AV8" s="11" t="n">
        <v>19694346601.4942</v>
      </c>
      <c r="AW8" s="11" t="n">
        <v>19121392668.69</v>
      </c>
      <c r="AX8" s="11" t="n">
        <v>7609009562.04</v>
      </c>
      <c r="AY8" s="11"/>
    </row>
    <row r="9">
      <c r="A9" t="str">
        <f>M9</f>
      </c>
      <c r="B9" t="str">
        <f>N9</f>
      </c>
      <c r="M9" t="s">
        <v>107</v>
      </c>
      <c r="N9" t="s">
        <v>78</v>
      </c>
      <c r="O9" s="11" t="n">
        <v>4219842000</v>
      </c>
      <c r="P9" s="11" t="n">
        <v>2677636000</v>
      </c>
      <c r="Q9" s="11" t="n">
        <v>1654956641</v>
      </c>
      <c r="R9" s="11" t="n">
        <v>690008931</v>
      </c>
      <c r="S9" s="11" t="n">
        <v>388430357</v>
      </c>
      <c r="T9" s="11" t="n">
        <v>748143139</v>
      </c>
      <c r="U9" s="11" t="n">
        <v>32590846</v>
      </c>
      <c r="V9" s="11" t="n">
        <v>51390122</v>
      </c>
      <c r="W9" s="11" t="n">
        <v>37403465</v>
      </c>
      <c r="X9" s="11" t="n">
        <v>22153346</v>
      </c>
      <c r="Y9" s="11" t="n">
        <v>18566142</v>
      </c>
      <c r="Z9" s="11" t="n">
        <v>13989351.4</v>
      </c>
      <c r="AA9" s="11" t="n">
        <v>89896823</v>
      </c>
      <c r="AB9" s="11" t="n">
        <v>110113412</v>
      </c>
      <c r="AC9" s="11" t="n">
        <v>238159513.5625</v>
      </c>
      <c r="AD9" s="11" t="n">
        <v>272042558.1688</v>
      </c>
      <c r="AE9" s="11" t="n">
        <v>110559218.5317</v>
      </c>
      <c r="AF9" s="11" t="n">
        <v>31797222.1747</v>
      </c>
      <c r="AG9" s="11" t="n">
        <v>26563869.453</v>
      </c>
      <c r="AH9" s="11" t="n">
        <v>68859404.8135</v>
      </c>
      <c r="AI9" s="11" t="n">
        <v>1401969.3217</v>
      </c>
      <c r="AJ9" s="11" t="n">
        <v>28552001.9534</v>
      </c>
      <c r="AK9" s="11" t="n">
        <v>35471227.538</v>
      </c>
      <c r="AL9" s="11" t="n">
        <v>35227144.35</v>
      </c>
      <c r="AM9" s="11" t="n">
        <v>53853587.6807</v>
      </c>
      <c r="AN9" s="11" t="n">
        <v>52187729.7375</v>
      </c>
      <c r="AO9" s="11" t="n">
        <v>47929983.481</v>
      </c>
      <c r="AP9" s="11" t="n">
        <v>43909693.5638</v>
      </c>
      <c r="AQ9" s="11" t="n">
        <v>47103169.9935</v>
      </c>
      <c r="AR9" s="11" t="n">
        <v>38794142.7439</v>
      </c>
      <c r="AS9" s="11" t="n">
        <v>10951658.8251</v>
      </c>
      <c r="AT9" s="11" t="n">
        <v>24000727.387</v>
      </c>
      <c r="AU9" s="11" t="n">
        <v>122707793.7051</v>
      </c>
      <c r="AV9" s="11" t="n">
        <v>349738181.1471</v>
      </c>
      <c r="AW9" s="11" t="n">
        <v>326723633.05</v>
      </c>
      <c r="AX9" s="11" t="n">
        <v>192843840.41</v>
      </c>
      <c r="AY9" s="11"/>
    </row>
    <row r="10">
      <c r="A10" t="str">
        <f>M10</f>
      </c>
      <c r="B10" t="str">
        <f>N10</f>
      </c>
      <c r="M10" t="s">
        <v>108</v>
      </c>
      <c r="N10" t="s">
        <v>104</v>
      </c>
      <c r="O10" s="11" t="n">
        <v>2223732000</v>
      </c>
      <c r="P10" s="11" t="n">
        <v>2042171817</v>
      </c>
      <c r="Q10" s="11" t="n">
        <v>2054984822</v>
      </c>
      <c r="R10" s="11" t="n">
        <v>1999704124</v>
      </c>
      <c r="S10" s="11" t="n">
        <v>2302556375</v>
      </c>
      <c r="T10" s="11" t="n">
        <v>2610334607</v>
      </c>
      <c r="U10" s="11" t="n">
        <v>2756642319</v>
      </c>
      <c r="V10" s="11" t="n">
        <v>2940882626</v>
      </c>
      <c r="W10" s="11" t="n">
        <v>3574710105.82</v>
      </c>
      <c r="X10" s="11" t="n">
        <v>4820691406.14</v>
      </c>
      <c r="Y10" s="11" t="n">
        <v>3930276869.8305</v>
      </c>
      <c r="Z10" s="11" t="n">
        <v>5128311973.2779</v>
      </c>
      <c r="AA10" s="11" t="n">
        <v>5736688555.8201</v>
      </c>
      <c r="AB10" s="11" t="n">
        <v>7840413123.5486</v>
      </c>
      <c r="AC10" s="11" t="n">
        <v>8119291831.1294</v>
      </c>
      <c r="AD10" s="11" t="n">
        <v>13036777896.2365</v>
      </c>
      <c r="AE10" s="11" t="n">
        <v>16032352512.1874</v>
      </c>
      <c r="AF10" s="11" t="n">
        <v>16051423372.5073</v>
      </c>
      <c r="AG10" s="11" t="n">
        <v>17871001182.316</v>
      </c>
      <c r="AH10" s="11" t="n">
        <v>20258148685.7887</v>
      </c>
      <c r="AI10" s="11" t="n">
        <v>20001164986.0404</v>
      </c>
      <c r="AJ10" s="11" t="n">
        <v>17094470205.3738</v>
      </c>
      <c r="AK10" s="11" t="n">
        <v>13516047990.3203</v>
      </c>
      <c r="AL10" s="11" t="n">
        <v>10677820365.6426</v>
      </c>
      <c r="AM10" s="11" t="n">
        <v>9167555581.011</v>
      </c>
      <c r="AN10" s="11" t="n">
        <v>8273454302.9001</v>
      </c>
      <c r="AO10" s="11" t="n">
        <v>8160598973.747</v>
      </c>
      <c r="AP10" s="11" t="n">
        <v>9083436983.9414</v>
      </c>
      <c r="AQ10" s="11" t="n">
        <v>11762520059.9943</v>
      </c>
      <c r="AR10" s="11" t="n">
        <v>13422389258.7451</v>
      </c>
      <c r="AS10" s="11" t="n">
        <v>15875611258.6918</v>
      </c>
      <c r="AT10" s="11" t="n">
        <v>13890658492.84</v>
      </c>
      <c r="AU10" s="11" t="n">
        <v>14368177975.1791</v>
      </c>
      <c r="AV10" s="11" t="n">
        <v>17887202193.8823</v>
      </c>
      <c r="AW10" s="11" t="n">
        <v>19219884131.9452</v>
      </c>
      <c r="AX10" s="11" t="n">
        <v>7804146135.61</v>
      </c>
      <c r="AY10" s="11"/>
    </row>
    <row r="11">
      <c r="A11" t="str">
        <f>M11</f>
      </c>
      <c r="B11" t="str">
        <f>N11</f>
      </c>
      <c r="M11" t="s">
        <v>108</v>
      </c>
      <c r="N11" t="s">
        <v>105</v>
      </c>
      <c r="O11" s="11" t="n">
        <v>17980014825</v>
      </c>
      <c r="P11" s="11" t="n">
        <v>26291115852</v>
      </c>
      <c r="Q11" s="11" t="n">
        <v>25416076807</v>
      </c>
      <c r="R11" s="11" t="n">
        <v>24281148901</v>
      </c>
      <c r="S11" s="11" t="n">
        <v>28649504411</v>
      </c>
      <c r="T11" s="11" t="n">
        <v>29326010516</v>
      </c>
      <c r="U11" s="11" t="n">
        <v>30064024059</v>
      </c>
      <c r="V11" s="11" t="n">
        <v>32625231464.06</v>
      </c>
      <c r="W11" s="11" t="n">
        <v>34296478178.57</v>
      </c>
      <c r="X11" s="11" t="n">
        <v>39404084100.88</v>
      </c>
      <c r="Y11" s="11" t="n">
        <v>36226896258.6527</v>
      </c>
      <c r="Z11" s="11" t="n">
        <v>38466305980.0433</v>
      </c>
      <c r="AA11" s="11" t="n">
        <v>44100735100.5439</v>
      </c>
      <c r="AB11" s="11" t="n">
        <v>54784793550.5499</v>
      </c>
      <c r="AC11" s="11" t="n">
        <v>63223825517.4383</v>
      </c>
      <c r="AD11" s="11" t="n">
        <v>67381595421.7195</v>
      </c>
      <c r="AE11" s="11" t="n">
        <v>75469535222.3749</v>
      </c>
      <c r="AF11" s="11" t="n">
        <v>83779130762.5031</v>
      </c>
      <c r="AG11" s="11" t="n">
        <v>97920258239.4607</v>
      </c>
      <c r="AH11" s="11" t="n">
        <v>109173765815.683</v>
      </c>
      <c r="AI11" s="11" t="n">
        <v>105962428028.535</v>
      </c>
      <c r="AJ11" s="11" t="n">
        <v>105228620376.154</v>
      </c>
      <c r="AK11" s="11" t="n">
        <v>101056533281.599</v>
      </c>
      <c r="AL11" s="11" t="n">
        <v>87603753615.0721</v>
      </c>
      <c r="AM11" s="11" t="n">
        <v>84013339720.5301</v>
      </c>
      <c r="AN11" s="11" t="n">
        <v>77587721412.1911</v>
      </c>
      <c r="AO11" s="11" t="n">
        <v>79498416708.0148</v>
      </c>
      <c r="AP11" s="11" t="n">
        <v>84541291147.7838</v>
      </c>
      <c r="AQ11" s="11" t="n">
        <v>95087850184.8584</v>
      </c>
      <c r="AR11" s="11" t="n">
        <v>102797444997.992</v>
      </c>
      <c r="AS11" s="11" t="n">
        <v>110663922912.236</v>
      </c>
      <c r="AT11" s="11" t="n">
        <v>100219786517.937</v>
      </c>
      <c r="AU11" s="11" t="n">
        <v>107888206698.939</v>
      </c>
      <c r="AV11" s="11" t="n">
        <v>118198510289.3</v>
      </c>
      <c r="AW11" s="11" t="n">
        <v>122254450487.496</v>
      </c>
      <c r="AX11" s="11" t="n">
        <v>48789645210.13</v>
      </c>
      <c r="AY11" s="11"/>
    </row>
    <row r="12">
      <c r="A12" t="str">
        <f>M12</f>
      </c>
      <c r="B12" t="str">
        <f>N12</f>
      </c>
      <c r="M12" t="s">
        <v>108</v>
      </c>
      <c r="N12" t="s">
        <v>106</v>
      </c>
      <c r="O12" s="11" t="n">
        <v>9877706918.09</v>
      </c>
      <c r="P12" s="11" t="n">
        <v>13210771868</v>
      </c>
      <c r="Q12" s="11" t="n">
        <v>14115400574</v>
      </c>
      <c r="R12" s="11" t="n">
        <v>12340972816</v>
      </c>
      <c r="S12" s="11" t="n">
        <v>12182324980.16</v>
      </c>
      <c r="T12" s="11" t="n">
        <v>12341695514</v>
      </c>
      <c r="U12" s="11" t="n">
        <v>12695703051</v>
      </c>
      <c r="V12" s="11" t="n">
        <v>14388874268</v>
      </c>
      <c r="W12" s="11" t="n">
        <v>14957435577.02</v>
      </c>
      <c r="X12" s="11" t="n">
        <v>15201825280</v>
      </c>
      <c r="Y12" s="11" t="n">
        <v>11440889930.2429</v>
      </c>
      <c r="Z12" s="11" t="n">
        <v>12170907062.1811</v>
      </c>
      <c r="AA12" s="11" t="n">
        <v>14158425597.3306</v>
      </c>
      <c r="AB12" s="11" t="n">
        <v>19649816183.9484</v>
      </c>
      <c r="AC12" s="11" t="n">
        <v>18369924399.3657</v>
      </c>
      <c r="AD12" s="11" t="n">
        <v>20249883761.6995</v>
      </c>
      <c r="AE12" s="11" t="n">
        <v>22896634202.849</v>
      </c>
      <c r="AF12" s="11" t="n">
        <v>26716620027.9296</v>
      </c>
      <c r="AG12" s="11" t="n">
        <v>29993634774.7168</v>
      </c>
      <c r="AH12" s="11" t="n">
        <v>33721765665.0032</v>
      </c>
      <c r="AI12" s="11" t="n">
        <v>31603242661.7915</v>
      </c>
      <c r="AJ12" s="11" t="n">
        <v>32923580371.6777</v>
      </c>
      <c r="AK12" s="11" t="n">
        <v>35394252352.3808</v>
      </c>
      <c r="AL12" s="11" t="n">
        <v>32471893683.7589</v>
      </c>
      <c r="AM12" s="11" t="n">
        <v>34131252143.4567</v>
      </c>
      <c r="AN12" s="11" t="n">
        <v>33652264660.6592</v>
      </c>
      <c r="AO12" s="11" t="n">
        <v>37106287471.6726</v>
      </c>
      <c r="AP12" s="11" t="n">
        <v>37801424297.6767</v>
      </c>
      <c r="AQ12" s="11" t="n">
        <v>40626837808.9429</v>
      </c>
      <c r="AR12" s="11" t="n">
        <v>42963709016.9418</v>
      </c>
      <c r="AS12" s="11" t="n">
        <v>45343044854.2732</v>
      </c>
      <c r="AT12" s="11" t="n">
        <v>45428082892.4783</v>
      </c>
      <c r="AU12" s="11" t="n">
        <v>46806030664.9094</v>
      </c>
      <c r="AV12" s="11" t="n">
        <v>50651019207.2194</v>
      </c>
      <c r="AW12" s="11" t="n">
        <v>53424903457.8331</v>
      </c>
      <c r="AX12" s="11" t="n">
        <v>24553695101.48</v>
      </c>
      <c r="AY12" s="11"/>
    </row>
    <row r="13">
      <c r="A13" t="str">
        <f>M13</f>
      </c>
      <c r="B13" t="str">
        <f>N13</f>
      </c>
      <c r="M13" t="s">
        <v>108</v>
      </c>
      <c r="N13" t="s">
        <v>78</v>
      </c>
      <c r="O13" s="11" t="n">
        <v>1144202000</v>
      </c>
      <c r="P13" s="11" t="n">
        <v>315645130</v>
      </c>
      <c r="Q13" s="11" t="n">
        <v>186229834</v>
      </c>
      <c r="R13" s="11" t="n">
        <v>51830539</v>
      </c>
      <c r="S13" s="11" t="n">
        <v>130760906</v>
      </c>
      <c r="T13" s="11" t="n">
        <v>517387831</v>
      </c>
      <c r="U13" s="11" t="n">
        <v>191937556</v>
      </c>
      <c r="V13" s="11" t="n">
        <v>699730151</v>
      </c>
      <c r="W13" s="11" t="n">
        <v>2204406471</v>
      </c>
      <c r="X13" s="11" t="n">
        <v>2744523140.24</v>
      </c>
      <c r="Y13" s="11" t="n">
        <v>878193572.4063</v>
      </c>
      <c r="Z13" s="11" t="n">
        <v>1386651700.6396</v>
      </c>
      <c r="AA13" s="11" t="n">
        <v>2937505233.7608</v>
      </c>
      <c r="AB13" s="11" t="n">
        <v>4708272300.2907</v>
      </c>
      <c r="AC13" s="11" t="n">
        <v>4918169530.3174</v>
      </c>
      <c r="AD13" s="11" t="n">
        <v>5868525348.1623</v>
      </c>
      <c r="AE13" s="11" t="n">
        <v>5051181600.9713</v>
      </c>
      <c r="AF13" s="11" t="n">
        <v>821551682.238</v>
      </c>
      <c r="AG13" s="11" t="n">
        <v>1040092981.4508</v>
      </c>
      <c r="AH13" s="11" t="n">
        <v>969108769.0787</v>
      </c>
      <c r="AI13" s="11" t="n">
        <v>1364317429.2081</v>
      </c>
      <c r="AJ13" s="11" t="n">
        <v>1226842384.3795</v>
      </c>
      <c r="AK13" s="11" t="n">
        <v>1180978870.2444</v>
      </c>
      <c r="AL13" s="11" t="n">
        <v>1027454566.8248</v>
      </c>
      <c r="AM13" s="11" t="n">
        <v>964120655.8301</v>
      </c>
      <c r="AN13" s="11" t="n">
        <v>858546598.4108</v>
      </c>
      <c r="AO13" s="11" t="n">
        <v>680369820.6209</v>
      </c>
      <c r="AP13" s="11" t="n">
        <v>700461132.0753</v>
      </c>
      <c r="AQ13" s="11" t="n">
        <v>1064657033.9938</v>
      </c>
      <c r="AR13" s="11" t="n">
        <v>789904218.0864</v>
      </c>
      <c r="AS13" s="11" t="n">
        <v>864359977.1094</v>
      </c>
      <c r="AT13" s="11" t="n">
        <v>792474445.4644</v>
      </c>
      <c r="AU13" s="11" t="n">
        <v>490131461.3968</v>
      </c>
      <c r="AV13" s="11" t="n">
        <v>471224505.8669</v>
      </c>
      <c r="AW13" s="11" t="n">
        <v>674167054.4691</v>
      </c>
      <c r="AX13" s="11" t="n">
        <v>251708401.4</v>
      </c>
      <c r="AY13" s="11"/>
    </row>
    <row r="14">
      <c r="A14" t="str">
        <f>M14</f>
      </c>
      <c r="B14" t="str">
        <f>N14</f>
      </c>
      <c r="M14" t="s">
        <v>78</v>
      </c>
      <c r="N14" t="s">
        <v>104</v>
      </c>
      <c r="O14" s="11"/>
      <c r="P14" s="11"/>
      <c r="Q14" s="11"/>
      <c r="R14" s="11"/>
      <c r="S14" s="11"/>
      <c r="T14" s="11" t="n">
        <v>4773197</v>
      </c>
      <c r="U14" s="11" t="n">
        <v>24338</v>
      </c>
      <c r="V14" s="11"/>
      <c r="W14" s="11"/>
      <c r="X14" s="11" t="n">
        <v>154412.99</v>
      </c>
      <c r="Y14" s="11" t="n">
        <v>3690942.75</v>
      </c>
      <c r="Z14" s="11" t="n">
        <v>2761274.6702</v>
      </c>
      <c r="AA14" s="11" t="n">
        <v>13905673.16</v>
      </c>
      <c r="AB14" s="11" t="n">
        <v>8206522.4525</v>
      </c>
      <c r="AC14" s="11" t="n">
        <v>1890145.0456</v>
      </c>
      <c r="AD14" s="11" t="n">
        <v>50821.49</v>
      </c>
      <c r="AE14" s="11" t="n">
        <v>3322815.68</v>
      </c>
      <c r="AF14" s="11" t="n">
        <v>0</v>
      </c>
      <c r="AG14" s="11" t="n">
        <v>-26383.2223</v>
      </c>
      <c r="AH14" s="11" t="n">
        <v>259216.3589</v>
      </c>
      <c r="AI14" s="11" t="n">
        <v>-8900.7299</v>
      </c>
      <c r="AJ14" s="11" t="n">
        <v>-28718.12</v>
      </c>
      <c r="AK14" s="11"/>
      <c r="AL14" s="11" t="n">
        <v>-52150.8511</v>
      </c>
      <c r="AM14" s="11" t="n">
        <v>449040</v>
      </c>
      <c r="AN14" s="11"/>
      <c r="AO14" s="11" t="n">
        <v>-2315.61</v>
      </c>
      <c r="AP14" s="11" t="n">
        <v>0</v>
      </c>
      <c r="AQ14" s="11" t="n">
        <v>-233000.08</v>
      </c>
      <c r="AR14" s="11" t="n">
        <v>465885</v>
      </c>
      <c r="AS14" s="11" t="n">
        <v>0</v>
      </c>
      <c r="AT14" s="11" t="n">
        <v>376316</v>
      </c>
      <c r="AU14" s="11"/>
      <c r="AV14" s="11"/>
      <c r="AW14" s="11" t="n">
        <v>-1323.75</v>
      </c>
      <c r="AX14" s="11" t="n">
        <v>12941</v>
      </c>
      <c r="AY14" s="11"/>
    </row>
    <row r="15">
      <c r="A15" t="str">
        <f>M15</f>
      </c>
      <c r="B15" t="str">
        <f>N15</f>
      </c>
      <c r="M15" t="s">
        <v>78</v>
      </c>
      <c r="N15" t="s">
        <v>105</v>
      </c>
      <c r="O15" s="11"/>
      <c r="P15" s="11"/>
      <c r="Q15" s="11"/>
      <c r="R15" s="11"/>
      <c r="S15" s="11"/>
      <c r="T15" s="11"/>
      <c r="U15" s="11"/>
      <c r="V15" s="11" t="n">
        <v>180311</v>
      </c>
      <c r="W15" s="11" t="n">
        <v>0</v>
      </c>
      <c r="X15" s="11" t="n">
        <v>21611787.11</v>
      </c>
      <c r="Y15" s="11" t="n">
        <v>24110602.1631</v>
      </c>
      <c r="Z15" s="11" t="n">
        <v>4805608.8671</v>
      </c>
      <c r="AA15" s="11" t="n">
        <v>64265531.7549</v>
      </c>
      <c r="AB15" s="11" t="n">
        <v>17332735.8476</v>
      </c>
      <c r="AC15" s="11" t="n">
        <v>1199337.0013</v>
      </c>
      <c r="AD15" s="11" t="n">
        <v>2094492.12</v>
      </c>
      <c r="AE15" s="11" t="n">
        <v>14310763.2668</v>
      </c>
      <c r="AF15" s="11" t="n">
        <v>696872.27</v>
      </c>
      <c r="AG15" s="11" t="n">
        <v>-111723.4505</v>
      </c>
      <c r="AH15" s="11" t="n">
        <v>-984.48</v>
      </c>
      <c r="AI15" s="11" t="n">
        <v>-43658.4911</v>
      </c>
      <c r="AJ15" s="11" t="n">
        <v>-34955.66</v>
      </c>
      <c r="AK15" s="11" t="n">
        <v>-3330.9501</v>
      </c>
      <c r="AL15" s="11" t="n">
        <v>-47572.2695</v>
      </c>
      <c r="AM15" s="11"/>
      <c r="AN15" s="11"/>
      <c r="AO15" s="11" t="n">
        <v>1400386</v>
      </c>
      <c r="AP15" s="11" t="n">
        <v>-245</v>
      </c>
      <c r="AQ15" s="11"/>
      <c r="AR15" s="11"/>
      <c r="AS15" s="11"/>
      <c r="AT15" s="11"/>
      <c r="AU15" s="11"/>
      <c r="AV15" s="11"/>
      <c r="AW15" s="11" t="n">
        <v>981666.4</v>
      </c>
      <c r="AX15" s="11" t="n">
        <v>2255595</v>
      </c>
      <c r="AY15" s="11"/>
    </row>
    <row r="16">
      <c r="A16" t="str">
        <f>M16</f>
      </c>
      <c r="B16" t="str">
        <f>N16</f>
      </c>
      <c r="M16" t="s">
        <v>78</v>
      </c>
      <c r="N16" t="s">
        <v>106</v>
      </c>
      <c r="O16" s="11"/>
      <c r="P16" s="11"/>
      <c r="Q16" s="11"/>
      <c r="R16" s="11"/>
      <c r="S16" s="11"/>
      <c r="T16" s="11" t="n">
        <v>0</v>
      </c>
      <c r="U16" s="11" t="n">
        <v>363498</v>
      </c>
      <c r="V16" s="11" t="n">
        <v>33713298.95</v>
      </c>
      <c r="W16" s="11" t="n">
        <v>0</v>
      </c>
      <c r="X16" s="11" t="n">
        <v>251493</v>
      </c>
      <c r="Y16" s="11" t="n">
        <v>895487.53</v>
      </c>
      <c r="Z16" s="11" t="n">
        <v>1203155.625</v>
      </c>
      <c r="AA16" s="11" t="n">
        <v>3982472.26</v>
      </c>
      <c r="AB16" s="11" t="n">
        <v>45489964</v>
      </c>
      <c r="AC16" s="11" t="n">
        <v>3795649.6791</v>
      </c>
      <c r="AD16" s="11" t="n">
        <v>1556401.43</v>
      </c>
      <c r="AE16" s="11" t="n">
        <v>89339046.7109</v>
      </c>
      <c r="AF16" s="11" t="n">
        <v>16779375.35</v>
      </c>
      <c r="AG16" s="11" t="n">
        <v>78291.87</v>
      </c>
      <c r="AH16" s="11" t="n">
        <v>487022.9704</v>
      </c>
      <c r="AI16" s="11" t="n">
        <v>-180973.7676</v>
      </c>
      <c r="AJ16" s="11" t="n">
        <v>-11070.22</v>
      </c>
      <c r="AK16" s="11"/>
      <c r="AL16" s="11"/>
      <c r="AM16" s="11"/>
      <c r="AN16" s="11"/>
      <c r="AO16" s="11" t="n">
        <v>2181720.8109</v>
      </c>
      <c r="AP16" s="11"/>
      <c r="AQ16" s="11"/>
      <c r="AR16" s="11"/>
      <c r="AS16" s="11" t="n">
        <v>0</v>
      </c>
      <c r="AT16" s="11" t="n">
        <v>0</v>
      </c>
      <c r="AU16" s="11" t="n">
        <v>0</v>
      </c>
      <c r="AV16" s="11"/>
      <c r="AW16" s="11" t="n">
        <v>123813.78</v>
      </c>
      <c r="AX16" s="11" t="n">
        <v>101514.95</v>
      </c>
      <c r="AY16" s="11"/>
    </row>
    <row r="17">
      <c r="A17" t="str">
        <f>M17</f>
      </c>
      <c r="B17" t="str">
        <f>N17</f>
      </c>
      <c r="M17" t="s">
        <v>78</v>
      </c>
      <c r="N17" t="s">
        <v>78</v>
      </c>
      <c r="O17" s="11"/>
      <c r="P17" s="11"/>
      <c r="Q17" s="11"/>
      <c r="R17" s="11"/>
      <c r="S17" s="11" t="n">
        <v>0</v>
      </c>
      <c r="T17" s="11"/>
      <c r="U17" s="11"/>
      <c r="V17" s="11" t="n">
        <v>0</v>
      </c>
      <c r="W17" s="11" t="n">
        <v>13320</v>
      </c>
      <c r="X17" s="11" t="n">
        <v>9585462.9</v>
      </c>
      <c r="Y17" s="11" t="n">
        <v>810126.0955</v>
      </c>
      <c r="Z17" s="11" t="n">
        <v>1068536.78</v>
      </c>
      <c r="AA17" s="11" t="n">
        <v>1930185.1198</v>
      </c>
      <c r="AB17" s="11" t="n">
        <v>4711777.88</v>
      </c>
      <c r="AC17" s="11" t="n">
        <v>193064.06</v>
      </c>
      <c r="AD17" s="11" t="n">
        <v>100921.08</v>
      </c>
      <c r="AE17" s="11" t="n">
        <v>3292352.1505</v>
      </c>
      <c r="AF17" s="11" t="n">
        <v>571337</v>
      </c>
      <c r="AG17" s="11" t="n">
        <v>427858.02</v>
      </c>
      <c r="AH17" s="11" t="n">
        <v>240913.3</v>
      </c>
      <c r="AI17" s="11" t="n">
        <v>-20386.6694</v>
      </c>
      <c r="AJ17" s="11" t="n">
        <v>-66081.1013</v>
      </c>
      <c r="AK17" s="11" t="n">
        <v>-3146.85</v>
      </c>
      <c r="AL17" s="11"/>
      <c r="AM17" s="11"/>
      <c r="AN17" s="11" t="n">
        <v>30000</v>
      </c>
      <c r="AO17" s="11" t="n">
        <v>1738.23</v>
      </c>
      <c r="AP17" s="11" t="n">
        <v>32000</v>
      </c>
      <c r="AQ17" s="11" t="n">
        <v>20204.71</v>
      </c>
      <c r="AR17" s="11" t="n">
        <v>0</v>
      </c>
      <c r="AS17" s="11" t="n">
        <v>10000</v>
      </c>
      <c r="AT17" s="11" t="n">
        <v>10000</v>
      </c>
      <c r="AU17" s="11"/>
      <c r="AV17" s="11" t="n">
        <v>10000</v>
      </c>
      <c r="AW17" s="11" t="n">
        <v>10000</v>
      </c>
      <c r="AX17" s="11" t="n">
        <v>0</v>
      </c>
      <c r="AY17" s="11"/>
    </row>
    <row r="18">
      <c r="A18" t="str">
        <f>M18</f>
      </c>
      <c r="B18" t="str">
        <f>N18</f>
      </c>
      <c r="M18" t="s">
        <v>43</v>
      </c>
      <c r="N18" t="s">
        <v>57</v>
      </c>
      <c r="O18" s="11" t="str">
        <f>Sum(O2:O17)</f>
      </c>
      <c r="P18" s="11" t="str">
        <f>Sum(P2:P17)</f>
      </c>
      <c r="Q18" s="11" t="str">
        <f>Sum(Q2:Q17)</f>
      </c>
      <c r="R18" s="11" t="str">
        <f>Sum(R2:R17)</f>
      </c>
      <c r="S18" s="11" t="str">
        <f>Sum(S2:S17)</f>
      </c>
      <c r="T18" s="11" t="str">
        <f>Sum(T2:T17)</f>
      </c>
      <c r="U18" s="11" t="str">
        <f>Sum(U2:U17)</f>
      </c>
      <c r="V18" s="11" t="str">
        <f>Sum(V2:V17)</f>
      </c>
      <c r="W18" s="11" t="str">
        <f>Sum(W2:W17)</f>
      </c>
      <c r="X18" s="11" t="str">
        <f>Sum(X2:X17)</f>
      </c>
      <c r="Y18" s="11" t="str">
        <f>Sum(Y2:Y17)</f>
      </c>
      <c r="Z18" s="11" t="str">
        <f>Sum(Z2:Z17)</f>
      </c>
      <c r="AA18" s="11" t="str">
        <f>Sum(AA2:AA17)</f>
      </c>
      <c r="AB18" s="11" t="str">
        <f>Sum(AB2:AB17)</f>
      </c>
      <c r="AC18" s="11" t="str">
        <f>Sum(AC2:AC17)</f>
      </c>
      <c r="AD18" s="11" t="str">
        <f>Sum(AD2:AD17)</f>
      </c>
      <c r="AE18" s="11" t="str">
        <f>Sum(AE2:AE17)</f>
      </c>
      <c r="AF18" s="11" t="str">
        <f>Sum(AF2:AF17)</f>
      </c>
      <c r="AG18" s="11" t="str">
        <f>Sum(AG2:AG17)</f>
      </c>
      <c r="AH18" s="11" t="str">
        <f>Sum(AH2:AH17)</f>
      </c>
      <c r="AI18" s="11" t="str">
        <f>Sum(AI2:AI17)</f>
      </c>
      <c r="AJ18" s="11" t="str">
        <f>Sum(AJ2:AJ17)</f>
      </c>
      <c r="AK18" s="11" t="str">
        <f>Sum(AK2:AK17)</f>
      </c>
      <c r="AL18" s="11" t="str">
        <f>Sum(AL2:AL17)</f>
      </c>
      <c r="AM18" s="11" t="str">
        <f>Sum(AM2:AM17)</f>
      </c>
      <c r="AN18" s="11" t="str">
        <f>Sum(AN2:AN17)</f>
      </c>
      <c r="AO18" s="11" t="str">
        <f>Sum(AO2:AO17)</f>
      </c>
      <c r="AP18" s="11" t="str">
        <f>Sum(AP2:AP17)</f>
      </c>
      <c r="AQ18" s="11" t="str">
        <f>Sum(AQ2:AQ17)</f>
      </c>
      <c r="AR18" s="11" t="str">
        <f>Sum(AR2:AR17)</f>
      </c>
      <c r="AS18" s="11" t="str">
        <f>Sum(AS2:AS17)</f>
      </c>
      <c r="AT18" s="11" t="str">
        <f>Sum(AT2:AT17)</f>
      </c>
      <c r="AU18" s="11" t="str">
        <f>Sum(AU2:AU17)</f>
      </c>
      <c r="AV18" s="11" t="str">
        <f>Sum(AV2:AV17)</f>
      </c>
      <c r="AW18" s="11" t="str">
        <f>Sum(AW2:AW17)</f>
      </c>
      <c r="AX18" s="11" t="str">
        <f>Sum(AX2:AX17)</f>
      </c>
      <c r="AY18" s="11"/>
    </row>
    <row r="21">
      <c r="A21" t="str">
        <f>M21</f>
      </c>
      <c r="B21" t="str">
        <f>N21</f>
      </c>
      <c r="C21" t="str">
        <f>AS21</f>
      </c>
      <c r="D21" t="str">
        <f>AV21</f>
      </c>
      <c r="E21" t="str">
        <f>AW21</f>
      </c>
      <c r="G21" t="str">
        <f>AV21&amp;"-"&amp;AW21</f>
      </c>
      <c r="H21" t="str">
        <f>AS21&amp;"-"&amp;AW21</f>
      </c>
      <c r="J21" t="str">
        <f>"Share "&amp;AW21</f>
      </c>
      <c r="M21" t="s">
        <v>101</v>
      </c>
      <c r="N21" t="s">
        <v>102</v>
      </c>
      <c r="O21" t="s">
        <v>1</v>
      </c>
      <c r="P21" t="s">
        <v>2</v>
      </c>
      <c r="Q21" t="s">
        <v>3</v>
      </c>
      <c r="R21" t="s">
        <v>4</v>
      </c>
      <c r="S21" t="s">
        <v>5</v>
      </c>
      <c r="T21" t="s">
        <v>6</v>
      </c>
      <c r="U21" t="s">
        <v>7</v>
      </c>
      <c r="V21" t="s">
        <v>8</v>
      </c>
      <c r="W21" t="s">
        <v>9</v>
      </c>
      <c r="X21" t="s">
        <v>10</v>
      </c>
      <c r="Y21" t="s">
        <v>11</v>
      </c>
      <c r="Z21" t="s">
        <v>12</v>
      </c>
      <c r="AA21" t="s">
        <v>13</v>
      </c>
      <c r="AB21" t="s">
        <v>14</v>
      </c>
      <c r="AC21" t="s">
        <v>15</v>
      </c>
      <c r="AD21" t="s">
        <v>16</v>
      </c>
      <c r="AE21" t="s">
        <v>17</v>
      </c>
      <c r="AF21" t="s">
        <v>18</v>
      </c>
      <c r="AG21" t="s">
        <v>19</v>
      </c>
      <c r="AH21" t="s">
        <v>20</v>
      </c>
      <c r="AI21" t="s">
        <v>21</v>
      </c>
      <c r="AJ21" t="s">
        <v>22</v>
      </c>
      <c r="AK21" t="s">
        <v>23</v>
      </c>
      <c r="AL21" t="s">
        <v>24</v>
      </c>
      <c r="AM21" t="s">
        <v>25</v>
      </c>
      <c r="AN21" t="s">
        <v>26</v>
      </c>
      <c r="AO21" t="s">
        <v>27</v>
      </c>
      <c r="AP21" t="s">
        <v>28</v>
      </c>
      <c r="AQ21" t="s">
        <v>29</v>
      </c>
      <c r="AR21" t="s">
        <v>30</v>
      </c>
      <c r="AS21" t="s">
        <v>31</v>
      </c>
      <c r="AT21" t="s">
        <v>32</v>
      </c>
      <c r="AU21" t="s">
        <v>33</v>
      </c>
      <c r="AV21" t="s">
        <v>34</v>
      </c>
      <c r="AW21" t="s">
        <v>35</v>
      </c>
      <c r="AX21" t="s">
        <v>36</v>
      </c>
    </row>
    <row r="22">
      <c r="A22" t="str">
        <f>M22</f>
      </c>
      <c r="B22" t="str">
        <f>N22</f>
      </c>
      <c r="C22" s="11" t="str">
        <f>AS22</f>
      </c>
      <c r="D22" s="11" t="str">
        <f>AV22</f>
      </c>
      <c r="E22" s="11" t="str">
        <f>AW22</f>
      </c>
      <c r="F22" s="11"/>
      <c r="G22" s="2" t="str">
        <f>AW22/AV22-1</f>
      </c>
      <c r="H22" s="2" t="str">
        <f>AW22/AS22-1</f>
      </c>
      <c r="I22" s="2"/>
      <c r="J22" s="2" t="str">
        <f>AW22/Sum(AW$21:AW$37)</f>
      </c>
      <c r="K22" s="2"/>
      <c r="M22" t="s">
        <v>103</v>
      </c>
      <c r="N22" t="s">
        <v>104</v>
      </c>
      <c r="O22" s="11" t="n">
        <v>2087996800.64913</v>
      </c>
      <c r="P22" s="11" t="n">
        <v>5011261976.91313</v>
      </c>
      <c r="Q22" s="11" t="n">
        <v>3875328993.35845</v>
      </c>
      <c r="R22" s="11" t="n">
        <v>3109557052.16882</v>
      </c>
      <c r="S22" s="11" t="n">
        <v>2143014576.19373</v>
      </c>
      <c r="T22" s="11" t="n">
        <v>2219116812.13035</v>
      </c>
      <c r="U22" s="11" t="n">
        <v>2134037864.1517</v>
      </c>
      <c r="V22" s="11" t="n">
        <v>2467315468.98079</v>
      </c>
      <c r="W22" s="11" t="n">
        <v>3697471404.73328</v>
      </c>
      <c r="X22" s="11" t="n">
        <v>4595311077.69272</v>
      </c>
      <c r="Y22" s="11" t="n">
        <v>6939880785.10185</v>
      </c>
      <c r="Z22" s="11" t="n">
        <v>6575311998.3898</v>
      </c>
      <c r="AA22" s="11" t="n">
        <v>6784368059.81228</v>
      </c>
      <c r="AB22" s="11" t="n">
        <v>14453786195.3536</v>
      </c>
      <c r="AC22" s="11" t="n">
        <v>11008034416.151</v>
      </c>
      <c r="AD22" s="11" t="n">
        <v>19809895262.6133</v>
      </c>
      <c r="AE22" s="11" t="n">
        <v>21409988778.9901</v>
      </c>
      <c r="AF22" s="11" t="n">
        <v>21032577883.4845</v>
      </c>
      <c r="AG22" s="11" t="n">
        <v>28788456726.9685</v>
      </c>
      <c r="AH22" s="11" t="n">
        <v>20394285103.4614</v>
      </c>
      <c r="AI22" s="11" t="n">
        <v>20535085610.3566</v>
      </c>
      <c r="AJ22" s="11" t="n">
        <v>19220645074.3418</v>
      </c>
      <c r="AK22" s="11" t="n">
        <v>14486788404.2901</v>
      </c>
      <c r="AL22" s="11" t="n">
        <v>9911084977.83976</v>
      </c>
      <c r="AM22" s="11" t="n">
        <v>9963705511.87566</v>
      </c>
      <c r="AN22" s="11" t="n">
        <v>9828807082.94859</v>
      </c>
      <c r="AO22" s="11" t="n">
        <v>9472804924.918</v>
      </c>
      <c r="AP22" s="11" t="n">
        <v>9302207110.30785</v>
      </c>
      <c r="AQ22" s="11" t="n">
        <v>11890034317.2981</v>
      </c>
      <c r="AR22" s="11" t="n">
        <v>15293083004.5432</v>
      </c>
      <c r="AS22" s="11" t="n">
        <v>14786540070.3775</v>
      </c>
      <c r="AT22" s="11" t="n">
        <v>16371097115.0723</v>
      </c>
      <c r="AU22" s="11" t="n">
        <v>19700516542.7179</v>
      </c>
      <c r="AV22" s="11" t="n">
        <v>14877603739.3023</v>
      </c>
      <c r="AW22" s="11" t="n">
        <v>15043354706.997</v>
      </c>
      <c r="AX22" s="11" t="n">
        <v>5020503741.0595</v>
      </c>
      <c r="AY22" s="11"/>
    </row>
    <row r="23">
      <c r="A23" t="str">
        <f>M23</f>
      </c>
      <c r="B23" t="str">
        <f>N23</f>
      </c>
      <c r="C23" s="11" t="str">
        <f>AS23</f>
      </c>
      <c r="D23" s="11" t="str">
        <f>AV23</f>
      </c>
      <c r="E23" s="11" t="str">
        <f>AW23</f>
      </c>
      <c r="F23" s="11"/>
      <c r="G23" s="2" t="str">
        <f>AW23/AV23-1</f>
      </c>
      <c r="H23" s="2" t="str">
        <f>AW23/AS23-1</f>
      </c>
      <c r="I23" s="2"/>
      <c r="J23" s="2" t="str">
        <f>AW23/Sum(AW$21:AW$37)</f>
      </c>
      <c r="K23" s="2"/>
      <c r="M23" t="s">
        <v>103</v>
      </c>
      <c r="N23" t="s">
        <v>105</v>
      </c>
      <c r="O23" s="11" t="n">
        <v>34667569910.8975</v>
      </c>
      <c r="P23" s="11" t="n">
        <v>60762138174.1262</v>
      </c>
      <c r="Q23" s="11" t="n">
        <v>49923857978.3617</v>
      </c>
      <c r="R23" s="11" t="n">
        <v>43321379559.2672</v>
      </c>
      <c r="S23" s="11" t="n">
        <v>36570426061.4074</v>
      </c>
      <c r="T23" s="11" t="n">
        <v>32537804806.3231</v>
      </c>
      <c r="U23" s="11" t="n">
        <v>37815952088.9752</v>
      </c>
      <c r="V23" s="11" t="n">
        <v>39882205883.8884</v>
      </c>
      <c r="W23" s="11" t="n">
        <v>38941167632.0056</v>
      </c>
      <c r="X23" s="11" t="n">
        <v>40966656663.9</v>
      </c>
      <c r="Y23" s="11" t="n">
        <v>39538142156.4582</v>
      </c>
      <c r="Z23" s="11" t="n">
        <v>42093658608.7277</v>
      </c>
      <c r="AA23" s="11" t="n">
        <v>52246902907.1239</v>
      </c>
      <c r="AB23" s="11" t="n">
        <v>56768667265.7825</v>
      </c>
      <c r="AC23" s="11" t="n">
        <v>62758385906.1237</v>
      </c>
      <c r="AD23" s="11" t="n">
        <v>76665106595.8797</v>
      </c>
      <c r="AE23" s="11" t="n">
        <v>78765772149.9634</v>
      </c>
      <c r="AF23" s="11" t="n">
        <v>85319827462.1005</v>
      </c>
      <c r="AG23" s="11" t="n">
        <v>94257638293.1054</v>
      </c>
      <c r="AH23" s="11" t="n">
        <v>89430946901.1752</v>
      </c>
      <c r="AI23" s="11" t="n">
        <v>75915364449.371</v>
      </c>
      <c r="AJ23" s="11" t="n">
        <v>77314844732.8338</v>
      </c>
      <c r="AK23" s="11" t="n">
        <v>79401566539.9337</v>
      </c>
      <c r="AL23" s="11" t="n">
        <v>63548425646.6903</v>
      </c>
      <c r="AM23" s="11" t="n">
        <v>60718262061.0496</v>
      </c>
      <c r="AN23" s="11" t="n">
        <v>54741770160.0043</v>
      </c>
      <c r="AO23" s="11" t="n">
        <v>58963926946.229</v>
      </c>
      <c r="AP23" s="11" t="n">
        <v>62784983150.1181</v>
      </c>
      <c r="AQ23" s="11" t="n">
        <v>71463053093.1476</v>
      </c>
      <c r="AR23" s="11" t="n">
        <v>68683290728.0638</v>
      </c>
      <c r="AS23" s="11" t="n">
        <v>60847150533.1099</v>
      </c>
      <c r="AT23" s="11" t="n">
        <v>58947273387.0191</v>
      </c>
      <c r="AU23" s="11" t="n">
        <v>82107602566.9813</v>
      </c>
      <c r="AV23" s="11" t="n">
        <v>71030161035.8108</v>
      </c>
      <c r="AW23" s="11" t="n">
        <v>68028043710.5264</v>
      </c>
      <c r="AX23" s="11" t="n">
        <v>27641108786.104</v>
      </c>
      <c r="AY23" s="11"/>
    </row>
    <row r="24">
      <c r="A24" t="str">
        <f>M24</f>
      </c>
      <c r="B24" t="str">
        <f>N24</f>
      </c>
      <c r="C24" s="11" t="str">
        <f>AS24</f>
      </c>
      <c r="D24" s="11" t="str">
        <f>AV24</f>
      </c>
      <c r="E24" s="11" t="str">
        <f>AW24</f>
      </c>
      <c r="F24" s="11"/>
      <c r="G24" s="2" t="str">
        <f>AW24/AV24-1</f>
      </c>
      <c r="H24" s="2" t="str">
        <f>AW24/AS24-1</f>
      </c>
      <c r="I24" s="2"/>
      <c r="J24" s="2" t="str">
        <f>AW24/Sum(AW$21:AW$37)</f>
      </c>
      <c r="K24" s="2"/>
      <c r="M24" t="s">
        <v>103</v>
      </c>
      <c r="N24" t="s">
        <v>106</v>
      </c>
      <c r="O24" s="11" t="n">
        <v>55818410355.8149</v>
      </c>
      <c r="P24" s="11" t="n">
        <v>78907608533.8388</v>
      </c>
      <c r="Q24" s="11" t="n">
        <v>60578057254.3522</v>
      </c>
      <c r="R24" s="11" t="n">
        <v>67289152319.7854</v>
      </c>
      <c r="S24" s="11" t="n">
        <v>56323919276.1763</v>
      </c>
      <c r="T24" s="11" t="n">
        <v>55660351085.5419</v>
      </c>
      <c r="U24" s="11" t="n">
        <v>54001185551.6279</v>
      </c>
      <c r="V24" s="11" t="n">
        <v>64569042115.9708</v>
      </c>
      <c r="W24" s="11" t="n">
        <v>62908296081.6991</v>
      </c>
      <c r="X24" s="11" t="n">
        <v>67024127081.4462</v>
      </c>
      <c r="Y24" s="11" t="n">
        <v>52249462297.2851</v>
      </c>
      <c r="Z24" s="11" t="n">
        <v>56755428231.8023</v>
      </c>
      <c r="AA24" s="11" t="n">
        <v>61439073317.7666</v>
      </c>
      <c r="AB24" s="11" t="n">
        <v>76565350022.2836</v>
      </c>
      <c r="AC24" s="11" t="n">
        <v>84180490643.9502</v>
      </c>
      <c r="AD24" s="11" t="n">
        <v>86455679673.1517</v>
      </c>
      <c r="AE24" s="11" t="n">
        <v>96794828213.4296</v>
      </c>
      <c r="AF24" s="11" t="n">
        <v>117581878624.219</v>
      </c>
      <c r="AG24" s="11" t="n">
        <v>139611717670.096</v>
      </c>
      <c r="AH24" s="11" t="n">
        <v>127945181910.878</v>
      </c>
      <c r="AI24" s="11" t="n">
        <v>122740157247.099</v>
      </c>
      <c r="AJ24" s="11" t="n">
        <v>133785256747.094</v>
      </c>
      <c r="AK24" s="11" t="n">
        <v>130528593323.453</v>
      </c>
      <c r="AL24" s="11" t="n">
        <v>117245972724.718</v>
      </c>
      <c r="AM24" s="11" t="n">
        <v>92390109670.8109</v>
      </c>
      <c r="AN24" s="11" t="n">
        <v>97869493742.2749</v>
      </c>
      <c r="AO24" s="11" t="n">
        <v>115227793079.152</v>
      </c>
      <c r="AP24" s="11" t="n">
        <v>127677781302.306</v>
      </c>
      <c r="AQ24" s="11" t="n">
        <v>135466572188.715</v>
      </c>
      <c r="AR24" s="11" t="n">
        <v>141536354346.188</v>
      </c>
      <c r="AS24" s="11" t="n">
        <v>176569280284.665</v>
      </c>
      <c r="AT24" s="11" t="n">
        <v>141294475179.579</v>
      </c>
      <c r="AU24" s="11" t="n">
        <v>117025732118.521</v>
      </c>
      <c r="AV24" s="11" t="n">
        <v>140463895471.442</v>
      </c>
      <c r="AW24" s="11" t="n">
        <v>116067858981.709</v>
      </c>
      <c r="AX24" s="11" t="n">
        <v>61661474013.654</v>
      </c>
      <c r="AY24" s="11"/>
    </row>
    <row r="25">
      <c r="A25" t="str">
        <f>M25</f>
      </c>
      <c r="B25" t="str">
        <f>N25</f>
      </c>
      <c r="C25" s="11" t="str">
        <f>AS25</f>
      </c>
      <c r="D25" s="11" t="str">
        <f>AV25</f>
      </c>
      <c r="E25" s="11" t="str">
        <f>AW25</f>
      </c>
      <c r="F25" s="11"/>
      <c r="G25" s="2" t="str">
        <f>AW25/AV25-1</f>
      </c>
      <c r="H25" s="2" t="str">
        <f>AW25/AS25-1</f>
      </c>
      <c r="I25" s="2"/>
      <c r="J25" s="2" t="str">
        <f>AW25/Sum(AW$21:AW$37)</f>
      </c>
      <c r="K25" s="2"/>
      <c r="M25" t="s">
        <v>103</v>
      </c>
      <c r="N25" t="s">
        <v>78</v>
      </c>
      <c r="O25" s="11" t="n">
        <v>50782867671.1686</v>
      </c>
      <c r="P25" s="11" t="n">
        <v>2771581074.40299</v>
      </c>
      <c r="Q25" s="11" t="n">
        <v>4025884986.3629</v>
      </c>
      <c r="R25" s="11" t="n">
        <v>2061070478.9028</v>
      </c>
      <c r="S25" s="11" t="n">
        <v>1479155123.37067</v>
      </c>
      <c r="T25" s="11" t="n">
        <v>1013532709.03138</v>
      </c>
      <c r="U25" s="11" t="n">
        <v>1097712505.24075</v>
      </c>
      <c r="V25" s="11" t="n">
        <v>3177250370.52221</v>
      </c>
      <c r="W25" s="11" t="n">
        <v>4554371787.54991</v>
      </c>
      <c r="X25" s="11" t="n">
        <v>5233274215.04803</v>
      </c>
      <c r="Y25" s="11" t="n">
        <v>1460204254.53104</v>
      </c>
      <c r="Z25" s="11" t="n">
        <v>1318223956.98842</v>
      </c>
      <c r="AA25" s="11" t="n">
        <v>3747305150.39218</v>
      </c>
      <c r="AB25" s="11" t="n">
        <v>2632319754.7931</v>
      </c>
      <c r="AC25" s="11" t="n">
        <v>2795303848.15468</v>
      </c>
      <c r="AD25" s="11" t="n">
        <v>2336201970.53048</v>
      </c>
      <c r="AE25" s="11" t="n">
        <v>1237557264.42658</v>
      </c>
      <c r="AF25" s="11" t="n">
        <v>464687207.308505</v>
      </c>
      <c r="AG25" s="11" t="n">
        <v>882109360.394172</v>
      </c>
      <c r="AH25" s="11" t="n">
        <v>659265358.379966</v>
      </c>
      <c r="AI25" s="11" t="n">
        <v>1723766322.95001</v>
      </c>
      <c r="AJ25" s="11" t="n">
        <v>666157371.153053</v>
      </c>
      <c r="AK25" s="11" t="n">
        <v>579150630.342862</v>
      </c>
      <c r="AL25" s="11" t="n">
        <v>320799440.414154</v>
      </c>
      <c r="AM25" s="11" t="n">
        <v>359032364.82048</v>
      </c>
      <c r="AN25" s="11" t="n">
        <v>250078531.286092</v>
      </c>
      <c r="AO25" s="11" t="n">
        <v>349248837.57446</v>
      </c>
      <c r="AP25" s="11" t="n">
        <v>387976878.957501</v>
      </c>
      <c r="AQ25" s="11" t="n">
        <v>534291090.492963</v>
      </c>
      <c r="AR25" s="11" t="n">
        <v>418438423.175202</v>
      </c>
      <c r="AS25" s="11" t="n">
        <v>404148834.498163</v>
      </c>
      <c r="AT25" s="11" t="n">
        <v>339389271.312343</v>
      </c>
      <c r="AU25" s="11" t="n">
        <v>374464593.725649</v>
      </c>
      <c r="AV25" s="11" t="n">
        <v>475401013.4331</v>
      </c>
      <c r="AW25" s="11" t="n">
        <v>223395174.042756</v>
      </c>
      <c r="AX25" s="11" t="n">
        <v>33436076.6348979</v>
      </c>
      <c r="AY25" s="11"/>
    </row>
    <row r="26">
      <c r="A26" t="str">
        <f>M26</f>
      </c>
      <c r="B26" t="str">
        <f>N26</f>
      </c>
      <c r="C26" s="11" t="str">
        <f>AS26</f>
      </c>
      <c r="D26" s="11" t="str">
        <f>AV26</f>
      </c>
      <c r="E26" s="11" t="str">
        <f>AW26</f>
      </c>
      <c r="F26" s="11"/>
      <c r="G26" s="2" t="str">
        <f>AW26/AV26-1</f>
      </c>
      <c r="H26" s="2" t="str">
        <f>AW26/AS26-1</f>
      </c>
      <c r="I26" s="2"/>
      <c r="J26" s="2" t="str">
        <f>AW26/Sum(AW$21:AW$37)</f>
      </c>
      <c r="K26" s="2"/>
      <c r="M26" t="s">
        <v>107</v>
      </c>
      <c r="N26" t="s">
        <v>104</v>
      </c>
      <c r="O26" s="11" t="n">
        <v>1957192446.0933</v>
      </c>
      <c r="P26" s="11" t="n">
        <v>2381147484.03945</v>
      </c>
      <c r="Q26" s="11" t="n">
        <v>2297910983.71171</v>
      </c>
      <c r="R26" s="11" t="n">
        <v>2311756632.50728</v>
      </c>
      <c r="S26" s="11" t="n">
        <v>1807228972.73648</v>
      </c>
      <c r="T26" s="11" t="n">
        <v>2124131739.04587</v>
      </c>
      <c r="U26" s="11" t="n">
        <v>2581231601.43432</v>
      </c>
      <c r="V26" s="11" t="n">
        <v>3194393971.75099</v>
      </c>
      <c r="W26" s="11" t="n">
        <v>3478628754.57398</v>
      </c>
      <c r="X26" s="11" t="n">
        <v>4224769387.92348</v>
      </c>
      <c r="Y26" s="11" t="n">
        <v>4498671293.29002</v>
      </c>
      <c r="Z26" s="11" t="n">
        <v>4499768252.19708</v>
      </c>
      <c r="AA26" s="11" t="n">
        <v>5022553723.40454</v>
      </c>
      <c r="AB26" s="11" t="n">
        <v>5749936458.0726</v>
      </c>
      <c r="AC26" s="11" t="n">
        <v>5769878141.81675</v>
      </c>
      <c r="AD26" s="11" t="n">
        <v>4729625831.11135</v>
      </c>
      <c r="AE26" s="11" t="n">
        <v>5027393430.60867</v>
      </c>
      <c r="AF26" s="11" t="n">
        <v>6299935780.8676</v>
      </c>
      <c r="AG26" s="11" t="n">
        <v>6292685039.34658</v>
      </c>
      <c r="AH26" s="11" t="n">
        <v>6905532695.70273</v>
      </c>
      <c r="AI26" s="11" t="n">
        <v>7564467761.52495</v>
      </c>
      <c r="AJ26" s="11" t="n">
        <v>6826780373.32238</v>
      </c>
      <c r="AK26" s="11" t="n">
        <v>6682174055.91624</v>
      </c>
      <c r="AL26" s="11" t="n">
        <v>5478480785.94181</v>
      </c>
      <c r="AM26" s="11" t="n">
        <v>5380209453.88232</v>
      </c>
      <c r="AN26" s="11" t="n">
        <v>4981441162.54378</v>
      </c>
      <c r="AO26" s="11" t="n">
        <v>5540646661.55109</v>
      </c>
      <c r="AP26" s="11" t="n">
        <v>5680027112.74212</v>
      </c>
      <c r="AQ26" s="11" t="n">
        <v>6924836982.21254</v>
      </c>
      <c r="AR26" s="11" t="n">
        <v>7952051501.48533</v>
      </c>
      <c r="AS26" s="11" t="n">
        <v>7328377352.58577</v>
      </c>
      <c r="AT26" s="11" t="n">
        <v>6853370324.27783</v>
      </c>
      <c r="AU26" s="11" t="n">
        <v>6320307996.74306</v>
      </c>
      <c r="AV26" s="11" t="n">
        <v>7482775912.0105</v>
      </c>
      <c r="AW26" s="11" t="n">
        <v>7679394022.48816</v>
      </c>
      <c r="AX26" s="11" t="n">
        <v>2803563723.85575</v>
      </c>
      <c r="AY26" s="11"/>
    </row>
    <row r="27">
      <c r="A27" t="str">
        <f>M27</f>
      </c>
      <c r="B27" t="str">
        <f>N27</f>
      </c>
      <c r="C27" s="11" t="str">
        <f>AS27</f>
      </c>
      <c r="D27" s="11" t="str">
        <f>AV27</f>
      </c>
      <c r="E27" s="11" t="str">
        <f>AW27</f>
      </c>
      <c r="F27" s="11"/>
      <c r="G27" s="2" t="str">
        <f>AW27/AV27-1</f>
      </c>
      <c r="H27" s="2" t="str">
        <f>AW27/AS27-1</f>
      </c>
      <c r="I27" s="2"/>
      <c r="J27" s="2" t="str">
        <f>AW27/Sum(AW$21:AW$37)</f>
      </c>
      <c r="K27" s="2"/>
      <c r="M27" t="s">
        <v>107</v>
      </c>
      <c r="N27" t="s">
        <v>105</v>
      </c>
      <c r="O27" s="11" t="n">
        <v>18949728922.4893</v>
      </c>
      <c r="P27" s="11" t="n">
        <v>18288801297.4014</v>
      </c>
      <c r="Q27" s="11" t="n">
        <v>21422893229.8907</v>
      </c>
      <c r="R27" s="11" t="n">
        <v>21564034306.3335</v>
      </c>
      <c r="S27" s="11" t="n">
        <v>19190248358.41</v>
      </c>
      <c r="T27" s="11" t="n">
        <v>19931778103.1604</v>
      </c>
      <c r="U27" s="11" t="n">
        <v>18818907214.2493</v>
      </c>
      <c r="V27" s="11" t="n">
        <v>24070423525.2868</v>
      </c>
      <c r="W27" s="11" t="n">
        <v>21590329830.7253</v>
      </c>
      <c r="X27" s="11" t="n">
        <v>23763409079.7276</v>
      </c>
      <c r="Y27" s="11" t="n">
        <v>18164146495.9161</v>
      </c>
      <c r="Z27" s="11" t="n">
        <v>16121914531.7469</v>
      </c>
      <c r="AA27" s="11" t="n">
        <v>17356858208.975</v>
      </c>
      <c r="AB27" s="11" t="n">
        <v>21286408215.2392</v>
      </c>
      <c r="AC27" s="11" t="n">
        <v>22223186788.8818</v>
      </c>
      <c r="AD27" s="11" t="n">
        <v>25948575990.7503</v>
      </c>
      <c r="AE27" s="11" t="n">
        <v>26498113315.2302</v>
      </c>
      <c r="AF27" s="11" t="n">
        <v>27860572563.6606</v>
      </c>
      <c r="AG27" s="11" t="n">
        <v>26564870866.1958</v>
      </c>
      <c r="AH27" s="11" t="n">
        <v>27867444807.364</v>
      </c>
      <c r="AI27" s="11" t="n">
        <v>26427077802.4588</v>
      </c>
      <c r="AJ27" s="11" t="n">
        <v>24167300022.5384</v>
      </c>
      <c r="AK27" s="11" t="n">
        <v>21042516521.1054</v>
      </c>
      <c r="AL27" s="11" t="n">
        <v>18393690325.4017</v>
      </c>
      <c r="AM27" s="11" t="n">
        <v>15734185056.0361</v>
      </c>
      <c r="AN27" s="11" t="n">
        <v>13796099539.0623</v>
      </c>
      <c r="AO27" s="11" t="n">
        <v>13113867578.5033</v>
      </c>
      <c r="AP27" s="11" t="n">
        <v>12771240964.7858</v>
      </c>
      <c r="AQ27" s="11" t="n">
        <v>12902551630.1973</v>
      </c>
      <c r="AR27" s="11" t="n">
        <v>14441595147.1441</v>
      </c>
      <c r="AS27" s="11" t="n">
        <v>14648332180.1125</v>
      </c>
      <c r="AT27" s="11" t="n">
        <v>14036694650.0532</v>
      </c>
      <c r="AU27" s="11" t="n">
        <v>13859059031.9257</v>
      </c>
      <c r="AV27" s="11" t="n">
        <v>15500983742.6147</v>
      </c>
      <c r="AW27" s="11" t="n">
        <v>16796081862.3082</v>
      </c>
      <c r="AX27" s="11" t="n">
        <v>6967214052.0972</v>
      </c>
      <c r="AY27" s="11"/>
    </row>
    <row r="28">
      <c r="A28" t="str">
        <f>M28</f>
      </c>
      <c r="B28" t="str">
        <f>N28</f>
      </c>
      <c r="C28" s="11" t="str">
        <f>AS28</f>
      </c>
      <c r="D28" s="11" t="str">
        <f>AV28</f>
      </c>
      <c r="E28" s="11" t="str">
        <f>AW28</f>
      </c>
      <c r="F28" s="11"/>
      <c r="G28" s="2" t="str">
        <f>AW28/AV28-1</f>
      </c>
      <c r="H28" s="2" t="str">
        <f>AW28/AS28-1</f>
      </c>
      <c r="I28" s="2"/>
      <c r="J28" s="2" t="str">
        <f>AW28/Sum(AW$21:AW$37)</f>
      </c>
      <c r="K28" s="2"/>
      <c r="M28" t="s">
        <v>107</v>
      </c>
      <c r="N28" t="s">
        <v>106</v>
      </c>
      <c r="O28" s="11" t="n">
        <v>15510770145.9172</v>
      </c>
      <c r="P28" s="11" t="n">
        <v>16768286202.8179</v>
      </c>
      <c r="Q28" s="11" t="n">
        <v>17282105145.4251</v>
      </c>
      <c r="R28" s="11" t="n">
        <v>19651588734.9586</v>
      </c>
      <c r="S28" s="11" t="n">
        <v>22725940192.0633</v>
      </c>
      <c r="T28" s="11" t="n">
        <v>19381775791.364</v>
      </c>
      <c r="U28" s="11" t="n">
        <v>17768935593.1072</v>
      </c>
      <c r="V28" s="11" t="n">
        <v>19352606265.3083</v>
      </c>
      <c r="W28" s="11" t="n">
        <v>18140830790.0389</v>
      </c>
      <c r="X28" s="11" t="n">
        <v>16156397409.8733</v>
      </c>
      <c r="Y28" s="11" t="n">
        <v>11061072488.4594</v>
      </c>
      <c r="Z28" s="11" t="n">
        <v>15136922881.8467</v>
      </c>
      <c r="AA28" s="11" t="n">
        <v>19367697890.887</v>
      </c>
      <c r="AB28" s="11" t="n">
        <v>19726359324.4368</v>
      </c>
      <c r="AC28" s="11" t="n">
        <v>20052361171.0075</v>
      </c>
      <c r="AD28" s="11" t="n">
        <v>22655202072.7786</v>
      </c>
      <c r="AE28" s="11" t="n">
        <v>25528114701.609</v>
      </c>
      <c r="AF28" s="11" t="n">
        <v>25619267632.0759</v>
      </c>
      <c r="AG28" s="11" t="n">
        <v>24185185181.3586</v>
      </c>
      <c r="AH28" s="11" t="n">
        <v>25221210982.1609</v>
      </c>
      <c r="AI28" s="11" t="n">
        <v>22451154155.9262</v>
      </c>
      <c r="AJ28" s="11" t="n">
        <v>21054585979.4921</v>
      </c>
      <c r="AK28" s="11" t="n">
        <v>18059565714.3963</v>
      </c>
      <c r="AL28" s="11" t="n">
        <v>12152875306.02</v>
      </c>
      <c r="AM28" s="11" t="n">
        <v>11491748485.9864</v>
      </c>
      <c r="AN28" s="11" t="n">
        <v>10974174766.0376</v>
      </c>
      <c r="AO28" s="11" t="n">
        <v>11897578227.0209</v>
      </c>
      <c r="AP28" s="11" t="n">
        <v>12938952414.7799</v>
      </c>
      <c r="AQ28" s="11" t="n">
        <v>12521074876.7666</v>
      </c>
      <c r="AR28" s="11" t="n">
        <v>13843467884.2759</v>
      </c>
      <c r="AS28" s="11" t="n">
        <v>14505606984.6537</v>
      </c>
      <c r="AT28" s="11" t="n">
        <v>15712651670.2413</v>
      </c>
      <c r="AU28" s="11" t="n">
        <v>16454875832.4354</v>
      </c>
      <c r="AV28" s="11" t="n">
        <v>19694346601.4942</v>
      </c>
      <c r="AW28" s="11" t="n">
        <v>18624019818.8948</v>
      </c>
      <c r="AX28" s="11" t="n">
        <v>7251965937.4835</v>
      </c>
      <c r="AY28" s="11"/>
    </row>
    <row r="29">
      <c r="A29" t="str">
        <f>M29</f>
      </c>
      <c r="B29" t="str">
        <f>N29</f>
      </c>
      <c r="C29" s="11" t="str">
        <f>AS29</f>
      </c>
      <c r="D29" s="11" t="str">
        <f>AV29</f>
      </c>
      <c r="E29" s="11" t="str">
        <f>AW29</f>
      </c>
      <c r="F29" s="11"/>
      <c r="G29" s="2" t="str">
        <f>AW29/AV29-1</f>
      </c>
      <c r="H29" s="2" t="str">
        <f>AW29/AS29-1</f>
      </c>
      <c r="I29" s="2"/>
      <c r="J29" s="2" t="str">
        <f>AW29/Sum(AW$21:AW$37)</f>
      </c>
      <c r="K29" s="2"/>
      <c r="M29" t="s">
        <v>107</v>
      </c>
      <c r="N29" t="s">
        <v>78</v>
      </c>
      <c r="O29" s="11" t="n">
        <v>8727822986.53715</v>
      </c>
      <c r="P29" s="11" t="n">
        <v>5346949558.56329</v>
      </c>
      <c r="Q29" s="11" t="n">
        <v>3224075282.44312</v>
      </c>
      <c r="R29" s="11" t="n">
        <v>1313416344.80372</v>
      </c>
      <c r="S29" s="11" t="n">
        <v>723572313.483793</v>
      </c>
      <c r="T29" s="11" t="n">
        <v>1364701629.51758</v>
      </c>
      <c r="U29" s="11" t="n">
        <v>58350903.0521242</v>
      </c>
      <c r="V29" s="11" t="n">
        <v>90404845.005624</v>
      </c>
      <c r="W29" s="11" t="n">
        <v>64984927.074025</v>
      </c>
      <c r="X29" s="11" t="n">
        <v>38018542.7367499</v>
      </c>
      <c r="Y29" s="11" t="n">
        <v>31212903.9109226</v>
      </c>
      <c r="Z29" s="11" t="n">
        <v>22961948.6948178</v>
      </c>
      <c r="AA29" s="11" t="n">
        <v>145270124.265644</v>
      </c>
      <c r="AB29" s="11" t="n">
        <v>174588182.807459</v>
      </c>
      <c r="AC29" s="11" t="n">
        <v>368608239.150945</v>
      </c>
      <c r="AD29" s="11" t="n">
        <v>408616157.174995</v>
      </c>
      <c r="AE29" s="11" t="n">
        <v>160838562.754862</v>
      </c>
      <c r="AF29" s="11" t="n">
        <v>45018405.3792021</v>
      </c>
      <c r="AG29" s="11" t="n">
        <v>36844126.1540202</v>
      </c>
      <c r="AH29" s="11" t="n">
        <v>94541306.2733895</v>
      </c>
      <c r="AI29" s="11" t="n">
        <v>1908322.87061989</v>
      </c>
      <c r="AJ29" s="11" t="n">
        <v>38099506.7848916</v>
      </c>
      <c r="AK29" s="11" t="n">
        <v>46488863.5089419</v>
      </c>
      <c r="AL29" s="11" t="n">
        <v>45346172.1958655</v>
      </c>
      <c r="AM29" s="11" t="n">
        <v>68081063.0520816</v>
      </c>
      <c r="AN29" s="11" t="n">
        <v>65298853.7202833</v>
      </c>
      <c r="AO29" s="11" t="n">
        <v>59495760.4843203</v>
      </c>
      <c r="AP29" s="11" t="n">
        <v>53600562.9436273</v>
      </c>
      <c r="AQ29" s="11" t="n">
        <v>56250087.6457106</v>
      </c>
      <c r="AR29" s="11" t="n">
        <v>45486514.3280592</v>
      </c>
      <c r="AS29" s="11" t="n">
        <v>12675348.3699793</v>
      </c>
      <c r="AT29" s="11" t="n">
        <v>26853976.0964876</v>
      </c>
      <c r="AU29" s="11" t="n">
        <v>128321257.412545</v>
      </c>
      <c r="AV29" s="11" t="n">
        <v>349738181.1471</v>
      </c>
      <c r="AW29" s="11" t="n">
        <v>318225116.896854</v>
      </c>
      <c r="AX29" s="11" t="n">
        <v>183794875.075947</v>
      </c>
      <c r="AY29" s="11"/>
    </row>
    <row r="30">
      <c r="A30" t="str">
        <f>M30</f>
      </c>
      <c r="B30" t="str">
        <f>N30</f>
      </c>
      <c r="C30" s="11" t="str">
        <f>AS30</f>
      </c>
      <c r="D30" s="11" t="str">
        <f>AV30</f>
      </c>
      <c r="E30" s="11" t="str">
        <f>AW30</f>
      </c>
      <c r="F30" s="11"/>
      <c r="G30" s="2" t="str">
        <f>AW30/AV30-1</f>
      </c>
      <c r="H30" s="2" t="str">
        <f>AW30/AS30-1</f>
      </c>
      <c r="I30" s="2"/>
      <c r="J30" s="2" t="str">
        <f>AW30/Sum(AW$21:AW$37)</f>
      </c>
      <c r="K30" s="2"/>
      <c r="M30" t="s">
        <v>108</v>
      </c>
      <c r="N30" t="s">
        <v>104</v>
      </c>
      <c r="O30" s="11" t="n">
        <v>4599304728.82592</v>
      </c>
      <c r="P30" s="11" t="n">
        <v>4077996298.01009</v>
      </c>
      <c r="Q30" s="11" t="n">
        <v>4003383294.92583</v>
      </c>
      <c r="R30" s="11" t="n">
        <v>3806391429.49442</v>
      </c>
      <c r="S30" s="11" t="n">
        <v>4289227175.89142</v>
      </c>
      <c r="T30" s="11" t="n">
        <v>4761559260.59895</v>
      </c>
      <c r="U30" s="11" t="n">
        <v>4935513754.54788</v>
      </c>
      <c r="V30" s="11" t="n">
        <v>5173563082.47843</v>
      </c>
      <c r="W30" s="11" t="n">
        <v>6210715385.25891</v>
      </c>
      <c r="X30" s="11" t="n">
        <v>8273046529.63107</v>
      </c>
      <c r="Y30" s="11" t="n">
        <v>6607476894.30259</v>
      </c>
      <c r="Z30" s="11" t="n">
        <v>8417547965.9069</v>
      </c>
      <c r="AA30" s="11" t="n">
        <v>9270288221.16755</v>
      </c>
      <c r="AB30" s="11" t="n">
        <v>12431214825.1305</v>
      </c>
      <c r="AC30" s="11" t="n">
        <v>12566526611.7528</v>
      </c>
      <c r="AD30" s="11" t="n">
        <v>19581635027.1147</v>
      </c>
      <c r="AE30" s="11" t="n">
        <v>23323433087.5825</v>
      </c>
      <c r="AF30" s="11" t="n">
        <v>22725553833.8091</v>
      </c>
      <c r="AG30" s="11" t="n">
        <v>24787105027.1832</v>
      </c>
      <c r="AH30" s="11" t="n">
        <v>27813656603.9492</v>
      </c>
      <c r="AI30" s="11" t="n">
        <v>27225046932.9958</v>
      </c>
      <c r="AJ30" s="11" t="n">
        <v>22810690635.1696</v>
      </c>
      <c r="AK30" s="11" t="n">
        <v>17714236405.5252</v>
      </c>
      <c r="AL30" s="11" t="n">
        <v>13745033550.4402</v>
      </c>
      <c r="AM30" s="11" t="n">
        <v>11589514393.0764</v>
      </c>
      <c r="AN30" s="11" t="n">
        <v>10351994329.0103</v>
      </c>
      <c r="AO30" s="11" t="n">
        <v>10129797815.2467</v>
      </c>
      <c r="AP30" s="11" t="n">
        <v>11088151528.4273</v>
      </c>
      <c r="AQ30" s="11" t="n">
        <v>14046672111.4611</v>
      </c>
      <c r="AR30" s="11" t="n">
        <v>15737883560.5459</v>
      </c>
      <c r="AS30" s="11" t="n">
        <v>18374285257.0507</v>
      </c>
      <c r="AT30" s="11" t="n">
        <v>15542004419.9678</v>
      </c>
      <c r="AU30" s="11" t="n">
        <v>15025473189.8548</v>
      </c>
      <c r="AV30" s="11" t="n">
        <v>17887202193.8823</v>
      </c>
      <c r="AW30" s="11" t="n">
        <v>18719949388.2227</v>
      </c>
      <c r="AX30" s="11" t="n">
        <v>7437945961.97272</v>
      </c>
      <c r="AY30" s="11"/>
    </row>
    <row r="31">
      <c r="A31" t="str">
        <f>M31</f>
      </c>
      <c r="B31" t="str">
        <f>N31</f>
      </c>
      <c r="C31" s="11" t="str">
        <f>AS31</f>
      </c>
      <c r="D31" s="11" t="str">
        <f>AV31</f>
      </c>
      <c r="E31" s="11" t="str">
        <f>AW31</f>
      </c>
      <c r="F31" s="11"/>
      <c r="G31" s="2" t="str">
        <f>AW31/AV31-1</f>
      </c>
      <c r="H31" s="2" t="str">
        <f>AW31/AS31-1</f>
      </c>
      <c r="I31" s="2"/>
      <c r="J31" s="2" t="str">
        <f>AW31/Sum(AW$21:AW$37)</f>
      </c>
      <c r="K31" s="2"/>
      <c r="M31" t="s">
        <v>108</v>
      </c>
      <c r="N31" t="s">
        <v>105</v>
      </c>
      <c r="O31" s="11" t="n">
        <v>37187739893.5585</v>
      </c>
      <c r="P31" s="11" t="n">
        <v>52500515491.6455</v>
      </c>
      <c r="Q31" s="11" t="n">
        <v>49513892376.4254</v>
      </c>
      <c r="R31" s="11" t="n">
        <v>46218616027.14</v>
      </c>
      <c r="S31" s="11" t="n">
        <v>53368609876.2651</v>
      </c>
      <c r="T31" s="11" t="n">
        <v>53494113963.1767</v>
      </c>
      <c r="U31" s="11" t="n">
        <v>53826861482.0075</v>
      </c>
      <c r="V31" s="11" t="n">
        <v>57393889700.8447</v>
      </c>
      <c r="W31" s="11" t="n">
        <v>59586835961.0603</v>
      </c>
      <c r="X31" s="11" t="n">
        <v>67623457666.0245</v>
      </c>
      <c r="Y31" s="11" t="n">
        <v>60903694042.2134</v>
      </c>
      <c r="Z31" s="11" t="n">
        <v>63138119783.9463</v>
      </c>
      <c r="AA31" s="11" t="n">
        <v>71265246695.7844</v>
      </c>
      <c r="AB31" s="11" t="n">
        <v>86862965898.0354</v>
      </c>
      <c r="AC31" s="11" t="n">
        <v>97853840259.2666</v>
      </c>
      <c r="AD31" s="11" t="n">
        <v>101209195983.443</v>
      </c>
      <c r="AE31" s="11" t="n">
        <v>109791039934.529</v>
      </c>
      <c r="AF31" s="11" t="n">
        <v>118614225175.446</v>
      </c>
      <c r="AG31" s="11" t="n">
        <v>135815542761.655</v>
      </c>
      <c r="AH31" s="11" t="n">
        <v>149891368636.637</v>
      </c>
      <c r="AI31" s="11" t="n">
        <v>144233202327.19</v>
      </c>
      <c r="AJ31" s="11" t="n">
        <v>140416022054.406</v>
      </c>
      <c r="AK31" s="11" t="n">
        <v>132445469426.796</v>
      </c>
      <c r="AL31" s="11" t="n">
        <v>112768008015.763</v>
      </c>
      <c r="AM31" s="11" t="n">
        <v>106208661763.48</v>
      </c>
      <c r="AN31" s="11" t="n">
        <v>97080085615.3024</v>
      </c>
      <c r="AO31" s="11" t="n">
        <v>98681835791.1117</v>
      </c>
      <c r="AP31" s="11" t="n">
        <v>103199554123.924</v>
      </c>
      <c r="AQ31" s="11" t="n">
        <v>113552865076.354</v>
      </c>
      <c r="AR31" s="11" t="n">
        <v>120531016387.114</v>
      </c>
      <c r="AS31" s="11" t="n">
        <v>128081398197.53</v>
      </c>
      <c r="AT31" s="11" t="n">
        <v>112134091111.151</v>
      </c>
      <c r="AU31" s="11" t="n">
        <v>112823724765.716</v>
      </c>
      <c r="AV31" s="11" t="n">
        <v>118198510289.3</v>
      </c>
      <c r="AW31" s="11" t="n">
        <v>119074449663.671</v>
      </c>
      <c r="AX31" s="11" t="n">
        <v>46500249773.7573</v>
      </c>
      <c r="AY31" s="11"/>
    </row>
    <row r="32">
      <c r="A32" t="str">
        <f>M32</f>
      </c>
      <c r="B32" t="str">
        <f>N32</f>
      </c>
      <c r="C32" s="11" t="str">
        <f>AS32</f>
      </c>
      <c r="D32" s="11" t="str">
        <f>AV32</f>
      </c>
      <c r="E32" s="11" t="str">
        <f>AW32</f>
      </c>
      <c r="F32" s="11"/>
      <c r="G32" s="2" t="str">
        <f>AW32/AV32-1</f>
      </c>
      <c r="H32" s="2" t="str">
        <f>AW32/AS32-1</f>
      </c>
      <c r="I32" s="2"/>
      <c r="J32" s="2" t="str">
        <f>AW32/Sum(AW$21:AW$37)</f>
      </c>
      <c r="K32" s="2"/>
      <c r="M32" t="s">
        <v>108</v>
      </c>
      <c r="N32" t="s">
        <v>106</v>
      </c>
      <c r="O32" s="11" t="n">
        <v>20429882799.8733</v>
      </c>
      <c r="P32" s="11" t="n">
        <v>26380482936.3972</v>
      </c>
      <c r="Q32" s="11" t="n">
        <v>27498674566.4334</v>
      </c>
      <c r="R32" s="11" t="n">
        <v>23490761755.5356</v>
      </c>
      <c r="S32" s="11" t="n">
        <v>22693368091.9943</v>
      </c>
      <c r="T32" s="11" t="n">
        <v>22512713277.6734</v>
      </c>
      <c r="U32" s="11" t="n">
        <v>22730485054.2222</v>
      </c>
      <c r="V32" s="11" t="n">
        <v>25312723484.1737</v>
      </c>
      <c r="W32" s="11" t="n">
        <v>25987107349.2007</v>
      </c>
      <c r="X32" s="11" t="n">
        <v>26088665977.7843</v>
      </c>
      <c r="Y32" s="11" t="n">
        <v>19234119724.3947</v>
      </c>
      <c r="Z32" s="11" t="n">
        <v>19977176606.7151</v>
      </c>
      <c r="AA32" s="11" t="n">
        <v>22879520958.4892</v>
      </c>
      <c r="AB32" s="11" t="n">
        <v>31155384596.1667</v>
      </c>
      <c r="AC32" s="11" t="n">
        <v>28431807677.5429</v>
      </c>
      <c r="AD32" s="11" t="n">
        <v>30415938379.8022</v>
      </c>
      <c r="AE32" s="11" t="n">
        <v>33309404552.7658</v>
      </c>
      <c r="AF32" s="11" t="n">
        <v>37825305121.6664</v>
      </c>
      <c r="AG32" s="11" t="n">
        <v>41601215719.4392</v>
      </c>
      <c r="AH32" s="11" t="n">
        <v>46298683301.8561</v>
      </c>
      <c r="AI32" s="11" t="n">
        <v>43017482496.7764</v>
      </c>
      <c r="AJ32" s="11" t="n">
        <v>43932897447.9944</v>
      </c>
      <c r="AK32" s="11" t="n">
        <v>46387979238.8953</v>
      </c>
      <c r="AL32" s="11" t="n">
        <v>41799473379.9525</v>
      </c>
      <c r="AM32" s="11" t="n">
        <v>43148321760.8905</v>
      </c>
      <c r="AN32" s="11" t="n">
        <v>42106723524.5844</v>
      </c>
      <c r="AO32" s="11" t="n">
        <v>46060245206.4711</v>
      </c>
      <c r="AP32" s="11" t="n">
        <v>46144198649.0382</v>
      </c>
      <c r="AQ32" s="11" t="n">
        <v>48516122966.5957</v>
      </c>
      <c r="AR32" s="11" t="n">
        <v>50375371836.0738</v>
      </c>
      <c r="AS32" s="11" t="n">
        <v>52479619650.52</v>
      </c>
      <c r="AT32" s="11" t="n">
        <v>50828653333.4252</v>
      </c>
      <c r="AU32" s="11" t="n">
        <v>48947247180.1249</v>
      </c>
      <c r="AV32" s="11" t="n">
        <v>50651019207.2194</v>
      </c>
      <c r="AW32" s="11" t="n">
        <v>52035250677.6586</v>
      </c>
      <c r="AX32" s="11" t="n">
        <v>23401542482.4291</v>
      </c>
      <c r="AY32" s="11"/>
    </row>
    <row r="33">
      <c r="A33" t="str">
        <f>M33</f>
      </c>
      <c r="B33" t="str">
        <f>N33</f>
      </c>
      <c r="C33" s="11" t="str">
        <f>AS33</f>
      </c>
      <c r="D33" s="11" t="str">
        <f>AV33</f>
      </c>
      <c r="E33" s="11" t="str">
        <f>AW33</f>
      </c>
      <c r="F33" s="11"/>
      <c r="G33" s="2" t="str">
        <f>AW33/AV33-1</f>
      </c>
      <c r="H33" s="2" t="str">
        <f>AW33/AS33-1</f>
      </c>
      <c r="I33" s="2"/>
      <c r="J33" s="2" t="str">
        <f>AW33/Sum(AW$21:AW$37)</f>
      </c>
      <c r="K33" s="2"/>
      <c r="M33" t="s">
        <v>108</v>
      </c>
      <c r="N33" t="s">
        <v>78</v>
      </c>
      <c r="O33" s="11" t="n">
        <v>2366532329.13502</v>
      </c>
      <c r="P33" s="11" t="n">
        <v>630309193.824759</v>
      </c>
      <c r="Q33" s="11" t="n">
        <v>362800444.300513</v>
      </c>
      <c r="R33" s="11" t="n">
        <v>98658255.0227698</v>
      </c>
      <c r="S33" s="11" t="n">
        <v>243582844.550064</v>
      </c>
      <c r="T33" s="11" t="n">
        <v>943776637.45208</v>
      </c>
      <c r="U33" s="11" t="n">
        <v>343646486.569194</v>
      </c>
      <c r="V33" s="11" t="n">
        <v>1230956327.50039</v>
      </c>
      <c r="W33" s="11" t="n">
        <v>3829944465.29069</v>
      </c>
      <c r="X33" s="11" t="n">
        <v>4710023050.20711</v>
      </c>
      <c r="Y33" s="11" t="n">
        <v>1476395666.40757</v>
      </c>
      <c r="Z33" s="11" t="n">
        <v>2276032983.74993</v>
      </c>
      <c r="AA33" s="11" t="n">
        <v>4746905798.21059</v>
      </c>
      <c r="AB33" s="11" t="n">
        <v>7465109745.85411</v>
      </c>
      <c r="AC33" s="11" t="n">
        <v>7612031882.74221</v>
      </c>
      <c r="AD33" s="11" t="n">
        <v>8814702714.86789</v>
      </c>
      <c r="AE33" s="11" t="n">
        <v>7348322461.96714</v>
      </c>
      <c r="AF33" s="11" t="n">
        <v>1163150242.11088</v>
      </c>
      <c r="AG33" s="11" t="n">
        <v>1442610501.01481</v>
      </c>
      <c r="AH33" s="11" t="n">
        <v>1330548952.57727</v>
      </c>
      <c r="AI33" s="11" t="n">
        <v>1857072128.92942</v>
      </c>
      <c r="AJ33" s="11" t="n">
        <v>1637086247.89069</v>
      </c>
      <c r="AK33" s="11" t="n">
        <v>1547799986.53613</v>
      </c>
      <c r="AL33" s="11" t="n">
        <v>1322591784.55564</v>
      </c>
      <c r="AM33" s="11" t="n">
        <v>1218829830.77294</v>
      </c>
      <c r="AN33" s="11" t="n">
        <v>1074239270.87194</v>
      </c>
      <c r="AO33" s="11" t="n">
        <v>844546919.246643</v>
      </c>
      <c r="AP33" s="11" t="n">
        <v>855052904.088574</v>
      </c>
      <c r="AQ33" s="11" t="n">
        <v>1271401722.70863</v>
      </c>
      <c r="AR33" s="11" t="n">
        <v>926170472.9751</v>
      </c>
      <c r="AS33" s="11" t="n">
        <v>1000402222.33904</v>
      </c>
      <c r="AT33" s="11" t="n">
        <v>886685202.178712</v>
      </c>
      <c r="AU33" s="11" t="n">
        <v>512553306.72017</v>
      </c>
      <c r="AV33" s="11" t="n">
        <v>471224505.8669</v>
      </c>
      <c r="AW33" s="11" t="n">
        <v>656631072.915394</v>
      </c>
      <c r="AX33" s="11" t="n">
        <v>239897287.320774</v>
      </c>
      <c r="AY33" s="11"/>
    </row>
    <row r="34">
      <c r="A34" t="str">
        <f>M34</f>
      </c>
      <c r="B34" t="str">
        <f>N34</f>
      </c>
      <c r="C34" s="11" t="str">
        <f>AS34</f>
      </c>
      <c r="D34" s="11" t="str">
        <f>AV34</f>
      </c>
      <c r="E34" s="11" t="str">
        <f>AW34</f>
      </c>
      <c r="F34" s="11"/>
      <c r="G34" s="2" t="str">
        <f>AW34/AV34-1</f>
      </c>
      <c r="H34" s="2" t="str">
        <f>AW34/AS34-1</f>
      </c>
      <c r="I34" s="2"/>
      <c r="J34" s="2" t="str">
        <f>AW34/Sum(AW$21:AW$37)</f>
      </c>
      <c r="K34" s="2"/>
      <c r="M34" t="s">
        <v>78</v>
      </c>
      <c r="N34" t="s">
        <v>104</v>
      </c>
      <c r="O34" s="11"/>
      <c r="P34" s="11"/>
      <c r="Q34" s="11"/>
      <c r="R34" s="11"/>
      <c r="S34" s="11"/>
      <c r="T34" s="11" t="n">
        <v>8706876.24378308</v>
      </c>
      <c r="U34" s="11" t="n">
        <v>43574.9436661632</v>
      </c>
      <c r="V34" s="11"/>
      <c r="W34" s="11"/>
      <c r="X34" s="11" t="n">
        <v>264996.39645516</v>
      </c>
      <c r="Y34" s="11" t="n">
        <v>6205114.74039498</v>
      </c>
      <c r="Z34" s="11" t="n">
        <v>4532322.15679651</v>
      </c>
      <c r="AA34" s="11" t="n">
        <v>22471081.8529219</v>
      </c>
      <c r="AB34" s="11" t="n">
        <v>13011692.3645104</v>
      </c>
      <c r="AC34" s="11" t="n">
        <v>2925447.01060476</v>
      </c>
      <c r="AD34" s="11" t="n">
        <v>76335.4163609284</v>
      </c>
      <c r="AE34" s="11" t="n">
        <v>4833942.43707758</v>
      </c>
      <c r="AF34" s="11" t="n">
        <v>0</v>
      </c>
      <c r="AG34" s="11" t="n">
        <v>-36593.5682860759</v>
      </c>
      <c r="AH34" s="11" t="n">
        <v>355894.060429538</v>
      </c>
      <c r="AI34" s="11" t="n">
        <v>-12115.4337477115</v>
      </c>
      <c r="AJ34" s="11" t="n">
        <v>-38321.1730503205</v>
      </c>
      <c r="AK34" s="11"/>
      <c r="AL34" s="11" t="n">
        <v>-67131.228425603</v>
      </c>
      <c r="AM34" s="11" t="n">
        <v>567671.010781381</v>
      </c>
      <c r="AN34" s="11"/>
      <c r="AO34" s="11" t="n">
        <v>-2874.37983344414</v>
      </c>
      <c r="AP34" s="11" t="n">
        <v>0</v>
      </c>
      <c r="AQ34" s="11" t="n">
        <v>-278246.133397523</v>
      </c>
      <c r="AR34" s="11" t="n">
        <v>546254.749528136</v>
      </c>
      <c r="AS34" s="11" t="n">
        <v>0</v>
      </c>
      <c r="AT34" s="11" t="n">
        <v>421053.108340354</v>
      </c>
      <c r="AU34" s="11"/>
      <c r="AV34" s="11"/>
      <c r="AW34" s="11" t="n">
        <v>-1289.31750225655</v>
      </c>
      <c r="AX34" s="11" t="n">
        <v>12333.759135376</v>
      </c>
      <c r="AY34" s="11"/>
    </row>
    <row r="35">
      <c r="A35" t="str">
        <f>M35</f>
      </c>
      <c r="B35" t="str">
        <f>N35</f>
      </c>
      <c r="C35" s="11" t="str">
        <f>AS35</f>
      </c>
      <c r="D35" s="11" t="str">
        <f>AV35</f>
      </c>
      <c r="E35" s="11" t="str">
        <f>AW35</f>
      </c>
      <c r="F35" s="11"/>
      <c r="G35" s="2" t="str">
        <f>AW35/AV35-1</f>
      </c>
      <c r="H35" s="2" t="str">
        <f>AW35/AS35-1</f>
      </c>
      <c r="I35" s="2"/>
      <c r="J35" s="2" t="str">
        <f>AW35/Sum(AW$21:AW$37)</f>
      </c>
      <c r="K35" s="2"/>
      <c r="M35" t="s">
        <v>78</v>
      </c>
      <c r="N35" t="s">
        <v>105</v>
      </c>
      <c r="O35" s="11"/>
      <c r="P35" s="11"/>
      <c r="Q35" s="11"/>
      <c r="R35" s="11"/>
      <c r="S35" s="11"/>
      <c r="T35" s="11"/>
      <c r="U35" s="11"/>
      <c r="V35" s="11" t="n">
        <v>317200.803839482</v>
      </c>
      <c r="W35" s="11" t="n">
        <v>0</v>
      </c>
      <c r="X35" s="11" t="n">
        <v>37089144.5409229</v>
      </c>
      <c r="Y35" s="11" t="n">
        <v>40534102.8066748</v>
      </c>
      <c r="Z35" s="11" t="n">
        <v>7887867.07107176</v>
      </c>
      <c r="AA35" s="11" t="n">
        <v>103850853.37256</v>
      </c>
      <c r="AB35" s="11" t="n">
        <v>27481582.8494552</v>
      </c>
      <c r="AC35" s="11" t="n">
        <v>1856257.99106174</v>
      </c>
      <c r="AD35" s="11" t="n">
        <v>3145990.56511101</v>
      </c>
      <c r="AE35" s="11" t="n">
        <v>20818911.587162</v>
      </c>
      <c r="AF35" s="11" t="n">
        <v>986629.529335004</v>
      </c>
      <c r="AG35" s="11" t="n">
        <v>-154960.590808037</v>
      </c>
      <c r="AH35" s="11" t="n">
        <v>-1351.65305962359</v>
      </c>
      <c r="AI35" s="11" t="n">
        <v>-59426.7618936624</v>
      </c>
      <c r="AJ35" s="11" t="n">
        <v>-46644.4842471641</v>
      </c>
      <c r="AK35" s="11" t="n">
        <v>-4365.56880891998</v>
      </c>
      <c r="AL35" s="11" t="n">
        <v>-61237.445279754</v>
      </c>
      <c r="AM35" s="11"/>
      <c r="AN35" s="11"/>
      <c r="AO35" s="11" t="n">
        <v>1738307.08860192</v>
      </c>
      <c r="AP35" s="11" t="n">
        <v>-299.071500057452</v>
      </c>
      <c r="AQ35" s="11"/>
      <c r="AR35" s="11"/>
      <c r="AS35" s="11"/>
      <c r="AT35" s="11"/>
      <c r="AU35" s="11"/>
      <c r="AV35" s="11"/>
      <c r="AW35" s="11" t="n">
        <v>956131.951574826</v>
      </c>
      <c r="AX35" s="11" t="n">
        <v>2149753.91677292</v>
      </c>
      <c r="AY35" s="11"/>
    </row>
    <row r="36">
      <c r="A36" t="str">
        <f>M36</f>
      </c>
      <c r="B36" t="str">
        <f>N36</f>
      </c>
      <c r="C36" s="11" t="str">
        <f>AS36</f>
      </c>
      <c r="D36" s="11" t="str">
        <f>AV36</f>
      </c>
      <c r="E36" s="11" t="str">
        <f>AW36</f>
      </c>
      <c r="F36" s="11"/>
      <c r="G36" s="2" t="str">
        <f>AW36/AV36-1</f>
      </c>
      <c r="H36" s="2" t="str">
        <f>AW36/AS36-1</f>
      </c>
      <c r="I36" s="2"/>
      <c r="J36" s="2" t="str">
        <f>AW36/Sum(AW$21:AW$37)</f>
      </c>
      <c r="K36" s="2"/>
      <c r="M36" t="s">
        <v>78</v>
      </c>
      <c r="N36" t="s">
        <v>106</v>
      </c>
      <c r="O36" s="11"/>
      <c r="P36" s="11"/>
      <c r="Q36" s="11"/>
      <c r="R36" s="11"/>
      <c r="S36" s="11"/>
      <c r="T36" s="11" t="n">
        <v>0</v>
      </c>
      <c r="U36" s="11" t="n">
        <v>650809.634019351</v>
      </c>
      <c r="V36" s="11" t="n">
        <v>59308004.0985895</v>
      </c>
      <c r="W36" s="11" t="n">
        <v>0</v>
      </c>
      <c r="X36" s="11" t="n">
        <v>431600.597421872</v>
      </c>
      <c r="Y36" s="11" t="n">
        <v>1505469.8077457</v>
      </c>
      <c r="Z36" s="11" t="n">
        <v>1974844.79038331</v>
      </c>
      <c r="AA36" s="11" t="n">
        <v>6435535.99324283</v>
      </c>
      <c r="AB36" s="11" t="n">
        <v>72125729.3410973</v>
      </c>
      <c r="AC36" s="11" t="n">
        <v>5874666.62036045</v>
      </c>
      <c r="AD36" s="11" t="n">
        <v>2337762.06057308</v>
      </c>
      <c r="AE36" s="11" t="n">
        <v>129968030.36149</v>
      </c>
      <c r="AF36" s="11" t="n">
        <v>23756185.9135331</v>
      </c>
      <c r="AG36" s="11" t="n">
        <v>108590.939291353</v>
      </c>
      <c r="AH36" s="11" t="n">
        <v>668663.749439428</v>
      </c>
      <c r="AI36" s="11" t="n">
        <v>-246336.616891558</v>
      </c>
      <c r="AJ36" s="11" t="n">
        <v>-14771.9912140878</v>
      </c>
      <c r="AK36" s="11"/>
      <c r="AL36" s="11"/>
      <c r="AM36" s="11"/>
      <c r="AN36" s="11"/>
      <c r="AO36" s="11" t="n">
        <v>2708182.42323031</v>
      </c>
      <c r="AP36" s="11"/>
      <c r="AQ36" s="11"/>
      <c r="AR36" s="11"/>
      <c r="AS36" s="11" t="n">
        <v>0</v>
      </c>
      <c r="AT36" s="11" t="n">
        <v>0</v>
      </c>
      <c r="AU36" s="11" t="n">
        <v>0</v>
      </c>
      <c r="AV36" s="11"/>
      <c r="AW36" s="11" t="n">
        <v>120593.218942052</v>
      </c>
      <c r="AX36" s="11" t="n">
        <v>96751.4830337482</v>
      </c>
      <c r="AY36" s="11"/>
    </row>
    <row r="37">
      <c r="A37" t="str">
        <f>M37</f>
      </c>
      <c r="B37" t="str">
        <f>N37</f>
      </c>
      <c r="C37" s="11" t="str">
        <f>AS37</f>
      </c>
      <c r="D37" s="11" t="str">
        <f>AV37</f>
      </c>
      <c r="E37" s="11" t="str">
        <f>AW37</f>
      </c>
      <c r="F37" s="11"/>
      <c r="G37" s="2" t="str">
        <f>AW37/AV37-1</f>
      </c>
      <c r="H37" s="2" t="str">
        <f>AW37/AS37-1</f>
      </c>
      <c r="I37" s="2"/>
      <c r="J37" s="2" t="str">
        <f>AW37/Sum(AW$21:AW$37)</f>
      </c>
      <c r="K37" s="2"/>
      <c r="M37" t="s">
        <v>78</v>
      </c>
      <c r="N37" t="s">
        <v>78</v>
      </c>
      <c r="O37" s="11"/>
      <c r="P37" s="11"/>
      <c r="Q37" s="11"/>
      <c r="R37" s="11"/>
      <c r="S37" s="11" t="n">
        <v>0</v>
      </c>
      <c r="T37" s="11"/>
      <c r="U37" s="11"/>
      <c r="V37" s="11" t="n">
        <v>0</v>
      </c>
      <c r="W37" s="11" t="n">
        <v>23142.2203431156</v>
      </c>
      <c r="X37" s="11" t="n">
        <v>16450125.9049166</v>
      </c>
      <c r="Y37" s="11" t="n">
        <v>1361962.43541455</v>
      </c>
      <c r="Z37" s="11" t="n">
        <v>1753883.08001798</v>
      </c>
      <c r="AA37" s="11" t="n">
        <v>3119111.6977409</v>
      </c>
      <c r="AB37" s="11" t="n">
        <v>7470667.94970973</v>
      </c>
      <c r="AC37" s="11" t="n">
        <v>298812.346966171</v>
      </c>
      <c r="AD37" s="11" t="n">
        <v>151586.517069739</v>
      </c>
      <c r="AE37" s="11" t="n">
        <v>4789624.91777623</v>
      </c>
      <c r="AF37" s="11" t="n">
        <v>808897.095879096</v>
      </c>
      <c r="AG37" s="11" t="n">
        <v>593439.705490986</v>
      </c>
      <c r="AH37" s="11" t="n">
        <v>330764.666675824</v>
      </c>
      <c r="AI37" s="11" t="n">
        <v>-27749.785155507</v>
      </c>
      <c r="AJ37" s="11" t="n">
        <v>-88177.96284273</v>
      </c>
      <c r="AK37" s="11" t="n">
        <v>-4124.28580252519</v>
      </c>
      <c r="AL37" s="11"/>
      <c r="AM37" s="11"/>
      <c r="AN37" s="11" t="n">
        <v>37536.9003683804</v>
      </c>
      <c r="AO37" s="11" t="n">
        <v>2157.67476297287</v>
      </c>
      <c r="AP37" s="11" t="n">
        <v>39062.4000075039</v>
      </c>
      <c r="AQ37" s="11" t="n">
        <v>24128.2425049737</v>
      </c>
      <c r="AR37" s="11" t="n">
        <v>0</v>
      </c>
      <c r="AS37" s="11" t="n">
        <v>11573.9072704938</v>
      </c>
      <c r="AT37" s="11" t="n">
        <v>11188.817598517</v>
      </c>
      <c r="AU37" s="11"/>
      <c r="AV37" s="11" t="n">
        <v>10000</v>
      </c>
      <c r="AW37" s="11" t="n">
        <v>9739.88670259903</v>
      </c>
      <c r="AX37" s="11" t="n">
        <v>0</v>
      </c>
      <c r="AY37" s="11"/>
    </row>
    <row r="38">
      <c r="A38" t="str">
        <f>M38</f>
      </c>
      <c r="B38" t="str">
        <f>N38</f>
      </c>
      <c r="C38" s="11" t="str">
        <f>AS38</f>
      </c>
      <c r="D38" s="11" t="str">
        <f>AV38</f>
      </c>
      <c r="E38" s="11" t="str">
        <f>AW38</f>
      </c>
      <c r="F38" s="11"/>
      <c r="G38" s="2" t="str">
        <f>AW38/AV38-1</f>
      </c>
      <c r="H38" s="2" t="str">
        <f>AW38/AS38-1</f>
      </c>
      <c r="I38" s="2"/>
      <c r="J38" s="2" t="str">
        <f>Sum(J$21:J$37)</f>
      </c>
      <c r="K38" s="2"/>
      <c r="M38" t="s">
        <v>43</v>
      </c>
      <c r="N38" t="s">
        <v>57</v>
      </c>
      <c r="O38" s="11" t="str">
        <f>Sum(O22:O37)</f>
      </c>
      <c r="P38" s="11" t="str">
        <f>Sum(P22:P37)</f>
      </c>
      <c r="Q38" s="11" t="str">
        <f>Sum(Q22:Q37)</f>
      </c>
      <c r="R38" s="11" t="str">
        <f>Sum(R22:R37)</f>
      </c>
      <c r="S38" s="11" t="str">
        <f>Sum(S22:S37)</f>
      </c>
      <c r="T38" s="11" t="str">
        <f>Sum(T22:T37)</f>
      </c>
      <c r="U38" s="11" t="str">
        <f>Sum(U22:U37)</f>
      </c>
      <c r="V38" s="11" t="str">
        <f>Sum(V22:V37)</f>
      </c>
      <c r="W38" s="11" t="str">
        <f>Sum(W22:W37)</f>
      </c>
      <c r="X38" s="11" t="str">
        <f>Sum(X22:X37)</f>
      </c>
      <c r="Y38" s="11" t="str">
        <f>Sum(Y22:Y37)</f>
      </c>
      <c r="Z38" s="11" t="str">
        <f>Sum(Z22:Z37)</f>
      </c>
      <c r="AA38" s="11" t="str">
        <f>Sum(AA22:AA37)</f>
      </c>
      <c r="AB38" s="11" t="str">
        <f>Sum(AB22:AB37)</f>
      </c>
      <c r="AC38" s="11" t="str">
        <f>Sum(AC22:AC37)</f>
      </c>
      <c r="AD38" s="11" t="str">
        <f>Sum(AD22:AD37)</f>
      </c>
      <c r="AE38" s="11" t="str">
        <f>Sum(AE22:AE37)</f>
      </c>
      <c r="AF38" s="11" t="str">
        <f>Sum(AF22:AF37)</f>
      </c>
      <c r="AG38" s="11" t="str">
        <f>Sum(AG22:AG37)</f>
      </c>
      <c r="AH38" s="11" t="str">
        <f>Sum(AH22:AH37)</f>
      </c>
      <c r="AI38" s="11" t="str">
        <f>Sum(AI22:AI37)</f>
      </c>
      <c r="AJ38" s="11" t="str">
        <f>Sum(AJ22:AJ37)</f>
      </c>
      <c r="AK38" s="11" t="str">
        <f>Sum(AK22:AK37)</f>
      </c>
      <c r="AL38" s="11" t="str">
        <f>Sum(AL22:AL37)</f>
      </c>
      <c r="AM38" s="11" t="str">
        <f>Sum(AM22:AM37)</f>
      </c>
      <c r="AN38" s="11" t="str">
        <f>Sum(AN22:AN37)</f>
      </c>
      <c r="AO38" s="11" t="str">
        <f>Sum(AO22:AO37)</f>
      </c>
      <c r="AP38" s="11" t="str">
        <f>Sum(AP22:AP37)</f>
      </c>
      <c r="AQ38" s="11" t="str">
        <f>Sum(AQ22:AQ37)</f>
      </c>
      <c r="AR38" s="11" t="str">
        <f>Sum(AR22:AR37)</f>
      </c>
      <c r="AS38" s="11" t="str">
        <f>Sum(AS22:AS37)</f>
      </c>
      <c r="AT38" s="11" t="str">
        <f>Sum(AT22:AT37)</f>
      </c>
      <c r="AU38" s="11" t="str">
        <f>Sum(AU22:AU37)</f>
      </c>
      <c r="AV38" s="11" t="str">
        <f>Sum(AV22:AV37)</f>
      </c>
      <c r="AW38" s="11" t="str">
        <f>Sum(AW22:AW37)</f>
      </c>
      <c r="AX38" s="11" t="str">
        <f>Sum(AX22:AX37)</f>
      </c>
      <c r="AY38" s="1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109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</row>
    <row r="2">
      <c r="A2" t="str">
        <f>L2</f>
      </c>
      <c r="L2" t="s">
        <v>110</v>
      </c>
      <c r="M2" s="12" t="n">
        <v>0</v>
      </c>
      <c r="N2" s="12"/>
      <c r="O2" s="12"/>
      <c r="P2" s="12" t="n">
        <v>164535000</v>
      </c>
      <c r="Q2" s="12" t="n">
        <v>211684000</v>
      </c>
      <c r="R2" s="12" t="n">
        <v>341269000</v>
      </c>
      <c r="S2" s="12" t="n">
        <v>180798000</v>
      </c>
      <c r="T2" s="12" t="n">
        <v>54702636</v>
      </c>
      <c r="U2" s="12" t="n">
        <v>162438391.82</v>
      </c>
      <c r="V2" s="12" t="n">
        <v>107085153.08</v>
      </c>
      <c r="W2" s="12" t="n">
        <v>262978454.9615</v>
      </c>
      <c r="X2" s="12" t="n">
        <v>828817673.6266</v>
      </c>
      <c r="Y2" s="12" t="n">
        <v>2669622554.6534</v>
      </c>
      <c r="Z2" s="12" t="n">
        <v>659448759.5322</v>
      </c>
      <c r="AA2" s="12" t="n">
        <v>1120496768.8151</v>
      </c>
      <c r="AB2" s="12" t="n">
        <v>2209105200.965</v>
      </c>
      <c r="AC2" s="12" t="n">
        <v>9211922661.7023</v>
      </c>
      <c r="AD2" s="12" t="n">
        <v>29017078557.3694</v>
      </c>
      <c r="AE2" s="12" t="n">
        <v>33114595975.6061</v>
      </c>
      <c r="AF2" s="12" t="n">
        <v>28313304484.3334</v>
      </c>
      <c r="AG2" s="12" t="n">
        <v>27040780349.586</v>
      </c>
      <c r="AH2" s="12" t="n">
        <v>25570886032.5712</v>
      </c>
      <c r="AI2" s="12" t="n">
        <v>24134459350.3238</v>
      </c>
      <c r="AJ2" s="12" t="n">
        <v>19617764566.1743</v>
      </c>
      <c r="AK2" s="12" t="n">
        <v>30793276939.7103</v>
      </c>
      <c r="AL2" s="12" t="n">
        <v>27562857342.1274</v>
      </c>
      <c r="AM2" s="12" t="n">
        <v>26861758499.4359</v>
      </c>
      <c r="AN2" s="12" t="n">
        <v>29380990092.0082</v>
      </c>
      <c r="AO2" s="12" t="n">
        <v>33639125678.9273</v>
      </c>
      <c r="AP2" s="12" t="n">
        <v>28400793827.5007</v>
      </c>
      <c r="AQ2" s="12" t="n">
        <v>28270462165.3301</v>
      </c>
      <c r="AR2" s="12" t="n">
        <v>28368730200.156</v>
      </c>
      <c r="AS2" s="12" t="n">
        <v>36214569159.337</v>
      </c>
      <c r="AT2" s="12" t="n">
        <v>35868257244.7168</v>
      </c>
      <c r="AU2" s="12" t="n">
        <v>35695507669.3283</v>
      </c>
      <c r="AV2" s="12" t="n">
        <v>14199421118.99</v>
      </c>
      <c r="AW2" s="12"/>
      <c r="AX2" s="12"/>
    </row>
    <row r="3">
      <c r="A3" t="str">
        <f>L3</f>
      </c>
      <c r="L3" t="s">
        <v>111</v>
      </c>
      <c r="M3" s="12" t="n">
        <v>22503134.53</v>
      </c>
      <c r="N3" s="12"/>
      <c r="O3" s="12"/>
      <c r="P3" s="12" t="n">
        <v>51240000</v>
      </c>
      <c r="Q3" s="12" t="n">
        <v>15867000</v>
      </c>
      <c r="R3" s="12" t="n">
        <v>11369021</v>
      </c>
      <c r="S3" s="12" t="n">
        <v>294019000</v>
      </c>
      <c r="T3" s="12" t="n">
        <v>871268162.06</v>
      </c>
      <c r="U3" s="12" t="n">
        <v>791281609</v>
      </c>
      <c r="V3" s="12" t="n">
        <v>792925193.12</v>
      </c>
      <c r="W3" s="12" t="n">
        <v>2695178740.7284</v>
      </c>
      <c r="X3" s="12" t="n">
        <v>4937591793.4718</v>
      </c>
      <c r="Y3" s="12" t="n">
        <v>3805386681.6658</v>
      </c>
      <c r="Z3" s="12" t="n">
        <v>6313208892.4843</v>
      </c>
      <c r="AA3" s="12" t="n">
        <v>6403115123.4787</v>
      </c>
      <c r="AB3" s="12" t="n">
        <v>10348030044.2081</v>
      </c>
      <c r="AC3" s="12" t="n">
        <v>17307336102.1037</v>
      </c>
      <c r="AD3" s="12" t="n">
        <v>49913500949.3858</v>
      </c>
      <c r="AE3" s="12" t="n">
        <v>65013899106.5634</v>
      </c>
      <c r="AF3" s="12" t="n">
        <v>72491334778.9601</v>
      </c>
      <c r="AG3" s="12" t="n">
        <v>67821031280.1026</v>
      </c>
      <c r="AH3" s="12" t="n">
        <v>64606187849.4088</v>
      </c>
      <c r="AI3" s="12" t="n">
        <v>67570021663.6716</v>
      </c>
      <c r="AJ3" s="12" t="n">
        <v>51508421082.7475</v>
      </c>
      <c r="AK3" s="12" t="n">
        <v>41632236603.2459</v>
      </c>
      <c r="AL3" s="12" t="n">
        <v>43186916136.4182</v>
      </c>
      <c r="AM3" s="12" t="n">
        <v>49252209707.5782</v>
      </c>
      <c r="AN3" s="12" t="n">
        <v>57487831788.0978</v>
      </c>
      <c r="AO3" s="12" t="n">
        <v>65302203351.8866</v>
      </c>
      <c r="AP3" s="12" t="n">
        <v>73096063161.7735</v>
      </c>
      <c r="AQ3" s="12" t="n">
        <v>93594603810.7955</v>
      </c>
      <c r="AR3" s="12" t="n">
        <v>60124710817.5674</v>
      </c>
      <c r="AS3" s="12" t="n">
        <v>65072125321.0337</v>
      </c>
      <c r="AT3" s="12" t="n">
        <v>68368429308.71</v>
      </c>
      <c r="AU3" s="12" t="n">
        <v>65952311741.5812</v>
      </c>
      <c r="AV3" s="12" t="n">
        <v>27366607798.56</v>
      </c>
      <c r="AW3" s="12"/>
      <c r="AX3" s="12"/>
    </row>
    <row r="4">
      <c r="A4" t="str">
        <f>L4</f>
      </c>
      <c r="L4" t="s">
        <v>112</v>
      </c>
      <c r="M4" s="12" t="n">
        <v>10637000</v>
      </c>
      <c r="N4" s="12" t="n">
        <v>11879000</v>
      </c>
      <c r="O4" s="12" t="n">
        <v>24484000</v>
      </c>
      <c r="P4" s="12" t="n">
        <v>230333000</v>
      </c>
      <c r="Q4" s="12" t="n">
        <v>112546894</v>
      </c>
      <c r="R4" s="12" t="n">
        <v>205680912</v>
      </c>
      <c r="S4" s="12" t="n">
        <v>603103650</v>
      </c>
      <c r="T4" s="12" t="n">
        <v>917689663</v>
      </c>
      <c r="U4" s="12" t="n">
        <v>848387150</v>
      </c>
      <c r="V4" s="12" t="n">
        <v>1271825434</v>
      </c>
      <c r="W4" s="12" t="n">
        <v>4844563239.5</v>
      </c>
      <c r="X4" s="12" t="n">
        <v>4661188073.1738</v>
      </c>
      <c r="Y4" s="12" t="n">
        <v>6904603549.0035</v>
      </c>
      <c r="Z4" s="12" t="n">
        <v>8302857158.3555</v>
      </c>
      <c r="AA4" s="12" t="n">
        <v>13226186549.5843</v>
      </c>
      <c r="AB4" s="12" t="n">
        <v>12823637485.284</v>
      </c>
      <c r="AC4" s="12" t="n">
        <v>18481743270.4742</v>
      </c>
      <c r="AD4" s="12" t="n">
        <v>43095961115.3224</v>
      </c>
      <c r="AE4" s="12" t="n">
        <v>61503317079.1286</v>
      </c>
      <c r="AF4" s="12" t="n">
        <v>64952608510.5273</v>
      </c>
      <c r="AG4" s="12" t="n">
        <v>63627853128.4586</v>
      </c>
      <c r="AH4" s="12" t="n">
        <v>63752841759.6987</v>
      </c>
      <c r="AI4" s="12" t="n">
        <v>65999029595.0061</v>
      </c>
      <c r="AJ4" s="12" t="n">
        <v>67137268741.9981</v>
      </c>
      <c r="AK4" s="12" t="n">
        <v>58274916474.2777</v>
      </c>
      <c r="AL4" s="12" t="n">
        <v>58236606990.1741</v>
      </c>
      <c r="AM4" s="12" t="n">
        <v>65711565439.6513</v>
      </c>
      <c r="AN4" s="12" t="n">
        <v>68239552913.5508</v>
      </c>
      <c r="AO4" s="12" t="n">
        <v>80183833712.6751</v>
      </c>
      <c r="AP4" s="12" t="n">
        <v>85492287446.657</v>
      </c>
      <c r="AQ4" s="12" t="n">
        <v>81836587046.7324</v>
      </c>
      <c r="AR4" s="12" t="n">
        <v>72677435599.4421</v>
      </c>
      <c r="AS4" s="12" t="n">
        <v>80832416375.1877</v>
      </c>
      <c r="AT4" s="12" t="n">
        <v>90032375322.3939</v>
      </c>
      <c r="AU4" s="12" t="n">
        <v>90877679292.5498</v>
      </c>
      <c r="AV4" s="12" t="n">
        <v>30078689284.02</v>
      </c>
      <c r="AW4" s="12"/>
      <c r="AX4" s="12"/>
    </row>
    <row r="5">
      <c r="A5" t="str">
        <f>L5</f>
      </c>
      <c r="L5" t="s">
        <v>113</v>
      </c>
      <c r="M5" s="12" t="n">
        <v>17092000</v>
      </c>
      <c r="N5" s="12" t="n">
        <v>25485000</v>
      </c>
      <c r="O5" s="12" t="n">
        <v>9999000</v>
      </c>
      <c r="P5" s="12" t="n">
        <v>245318000</v>
      </c>
      <c r="Q5" s="12" t="n">
        <v>335426000</v>
      </c>
      <c r="R5" s="12" t="n">
        <v>132546000</v>
      </c>
      <c r="S5" s="12" t="n">
        <v>195137000</v>
      </c>
      <c r="T5" s="12" t="n">
        <v>104689073</v>
      </c>
      <c r="U5" s="12" t="n">
        <v>89775583</v>
      </c>
      <c r="V5" s="12" t="n">
        <v>636622436</v>
      </c>
      <c r="W5" s="12" t="n">
        <v>1758427630.6616</v>
      </c>
      <c r="X5" s="12" t="n">
        <v>1039309207.1612</v>
      </c>
      <c r="Y5" s="12" t="n">
        <v>2127295006.2752</v>
      </c>
      <c r="Z5" s="12" t="n">
        <v>3650562148.025</v>
      </c>
      <c r="AA5" s="12" t="n">
        <v>3922287919.2774</v>
      </c>
      <c r="AB5" s="12" t="n">
        <v>7447262129.7434</v>
      </c>
      <c r="AC5" s="12" t="n">
        <v>13498351372.2827</v>
      </c>
      <c r="AD5" s="12" t="n">
        <v>32878395010.4411</v>
      </c>
      <c r="AE5" s="12" t="n">
        <v>41448044479.7198</v>
      </c>
      <c r="AF5" s="12" t="n">
        <v>38911943215.2649</v>
      </c>
      <c r="AG5" s="12" t="n">
        <v>41837135321.0391</v>
      </c>
      <c r="AH5" s="12" t="n">
        <v>45959804111.8921</v>
      </c>
      <c r="AI5" s="12" t="n">
        <v>41290498796.666</v>
      </c>
      <c r="AJ5" s="12" t="n">
        <v>27694650022.4174</v>
      </c>
      <c r="AK5" s="12" t="n">
        <v>24149464711.7501</v>
      </c>
      <c r="AL5" s="12" t="n">
        <v>26134929553.8423</v>
      </c>
      <c r="AM5" s="12" t="n">
        <v>24482894300.1592</v>
      </c>
      <c r="AN5" s="12" t="n">
        <v>33294152540.4114</v>
      </c>
      <c r="AO5" s="12" t="n">
        <v>28207075337.1893</v>
      </c>
      <c r="AP5" s="12" t="n">
        <v>25017451552.3682</v>
      </c>
      <c r="AQ5" s="12" t="n">
        <v>28385967235.8844</v>
      </c>
      <c r="AR5" s="12" t="n">
        <v>33137167231.9131</v>
      </c>
      <c r="AS5" s="12" t="n">
        <v>34881606502.7737</v>
      </c>
      <c r="AT5" s="12" t="n">
        <v>28112278575.5092</v>
      </c>
      <c r="AU5" s="12" t="n">
        <v>26742591399.2736</v>
      </c>
      <c r="AV5" s="12" t="n">
        <v>10329366899.9</v>
      </c>
      <c r="AW5" s="12"/>
      <c r="AX5" s="12"/>
    </row>
    <row r="6">
      <c r="A6" t="str">
        <f>L6</f>
      </c>
      <c r="L6" t="s">
        <v>114</v>
      </c>
      <c r="M6" s="12" t="n">
        <v>241095082.56</v>
      </c>
      <c r="N6" s="12" t="n">
        <v>183688000</v>
      </c>
      <c r="O6" s="12" t="n">
        <v>127759238</v>
      </c>
      <c r="P6" s="12" t="n">
        <v>620937436</v>
      </c>
      <c r="Q6" s="12" t="n">
        <v>888027954.16</v>
      </c>
      <c r="R6" s="12" t="n">
        <v>570724485</v>
      </c>
      <c r="S6" s="12" t="n">
        <v>947107326.51</v>
      </c>
      <c r="T6" s="12" t="n">
        <v>4960081025.15</v>
      </c>
      <c r="U6" s="12" t="n">
        <v>5209067590.02</v>
      </c>
      <c r="V6" s="12" t="n">
        <v>4757715834.5</v>
      </c>
      <c r="W6" s="12" t="n">
        <v>11243282953.3739</v>
      </c>
      <c r="X6" s="12" t="n">
        <v>13915986488.4799</v>
      </c>
      <c r="Y6" s="12" t="n">
        <v>24599216655.2157</v>
      </c>
      <c r="Z6" s="12" t="n">
        <v>37198831153.5553</v>
      </c>
      <c r="AA6" s="12" t="n">
        <v>45011870514.2988</v>
      </c>
      <c r="AB6" s="12" t="n">
        <v>54431116371.7577</v>
      </c>
      <c r="AC6" s="12" t="n">
        <v>69150701956.0822</v>
      </c>
      <c r="AD6" s="12" t="n">
        <v>83787405618.5716</v>
      </c>
      <c r="AE6" s="12" t="n">
        <v>96642315432.6931</v>
      </c>
      <c r="AF6" s="12" t="n">
        <v>94315415520.7773</v>
      </c>
      <c r="AG6" s="12" t="n">
        <v>84161653378.8532</v>
      </c>
      <c r="AH6" s="12" t="n">
        <v>92569687711.6144</v>
      </c>
      <c r="AI6" s="12" t="n">
        <v>92636463287.6801</v>
      </c>
      <c r="AJ6" s="12" t="n">
        <v>87833685801.6747</v>
      </c>
      <c r="AK6" s="12" t="n">
        <v>74872326317.3709</v>
      </c>
      <c r="AL6" s="12" t="n">
        <v>68842121915.796</v>
      </c>
      <c r="AM6" s="12" t="n">
        <v>79962744151.8308</v>
      </c>
      <c r="AN6" s="12" t="n">
        <v>82629957008.0385</v>
      </c>
      <c r="AO6" s="12" t="n">
        <v>96550882101.1895</v>
      </c>
      <c r="AP6" s="12" t="n">
        <v>117263951535.822</v>
      </c>
      <c r="AQ6" s="12" t="n">
        <v>126730624443.902</v>
      </c>
      <c r="AR6" s="12" t="n">
        <v>120635238769.462</v>
      </c>
      <c r="AS6" s="12" t="n">
        <v>129284845786.544</v>
      </c>
      <c r="AT6" s="12" t="n">
        <v>170214819645.57</v>
      </c>
      <c r="AU6" s="12" t="n">
        <v>165482815380.62</v>
      </c>
      <c r="AV6" s="12" t="n">
        <v>88935623259.87</v>
      </c>
      <c r="AW6" s="12"/>
      <c r="AX6" s="12"/>
    </row>
    <row r="7">
      <c r="A7" t="str">
        <f>L7</f>
      </c>
      <c r="L7" t="s">
        <v>115</v>
      </c>
      <c r="M7" s="12"/>
      <c r="N7" s="12"/>
      <c r="O7" s="12"/>
      <c r="P7" s="12" t="n">
        <v>26513000</v>
      </c>
      <c r="Q7" s="12" t="n">
        <v>23120000</v>
      </c>
      <c r="R7" s="12" t="n">
        <v>11885000</v>
      </c>
      <c r="S7" s="12" t="n">
        <v>56234076</v>
      </c>
      <c r="T7" s="12" t="n">
        <v>120110139</v>
      </c>
      <c r="U7" s="12" t="n">
        <v>214534579</v>
      </c>
      <c r="V7" s="12" t="n">
        <v>208054343.08</v>
      </c>
      <c r="W7" s="12" t="n">
        <v>2190163664.845</v>
      </c>
      <c r="X7" s="12" t="n">
        <v>2473502039.6535</v>
      </c>
      <c r="Y7" s="12" t="n">
        <v>4190603734.2755</v>
      </c>
      <c r="Z7" s="12" t="n">
        <v>8602552780.5639</v>
      </c>
      <c r="AA7" s="12" t="n">
        <v>6714735832.6084</v>
      </c>
      <c r="AB7" s="12" t="n">
        <v>9502841511.4641</v>
      </c>
      <c r="AC7" s="12" t="n">
        <v>14385690924.9819</v>
      </c>
      <c r="AD7" s="12" t="n">
        <v>41226017026.475</v>
      </c>
      <c r="AE7" s="12" t="n">
        <v>53111693359.5407</v>
      </c>
      <c r="AF7" s="12" t="n">
        <v>62119214856.0369</v>
      </c>
      <c r="AG7" s="12" t="n">
        <v>66251039319.5489</v>
      </c>
      <c r="AH7" s="12" t="n">
        <v>67146014267.9668</v>
      </c>
      <c r="AI7" s="12" t="n">
        <v>62571718457.6998</v>
      </c>
      <c r="AJ7" s="12" t="n">
        <v>50859806062.3116</v>
      </c>
      <c r="AK7" s="12" t="n">
        <v>51576411414.3309</v>
      </c>
      <c r="AL7" s="12" t="n">
        <v>48769227946.4264</v>
      </c>
      <c r="AM7" s="12" t="n">
        <v>50178959620.8567</v>
      </c>
      <c r="AN7" s="12" t="n">
        <v>49692618755.8186</v>
      </c>
      <c r="AO7" s="12" t="n">
        <v>55219048557.7313</v>
      </c>
      <c r="AP7" s="12" t="n">
        <v>54404044978.6169</v>
      </c>
      <c r="AQ7" s="12" t="n">
        <v>63474093257.122</v>
      </c>
      <c r="AR7" s="12" t="n">
        <v>71620261593.4366</v>
      </c>
      <c r="AS7" s="12" t="n">
        <v>67934705541.4539</v>
      </c>
      <c r="AT7" s="12" t="n">
        <v>64294293247.0492</v>
      </c>
      <c r="AU7" s="12" t="n">
        <v>60511698640.9441</v>
      </c>
      <c r="AV7" s="12" t="n">
        <v>27726675620.62</v>
      </c>
      <c r="AW7" s="12"/>
      <c r="AX7" s="12"/>
    </row>
    <row r="8">
      <c r="A8" t="str">
        <f>L8</f>
      </c>
      <c r="L8"/>
      <c r="M8" s="12" t="n">
        <v>122073914405</v>
      </c>
      <c r="N8" s="12" t="n">
        <v>136905590844</v>
      </c>
      <c r="O8" s="12" t="n">
        <v>125090444331</v>
      </c>
      <c r="P8" s="12" t="n">
        <v>121718215706</v>
      </c>
      <c r="Q8" s="12" t="n">
        <v>117350945290</v>
      </c>
      <c r="R8" s="12" t="n">
        <v>117114711576</v>
      </c>
      <c r="S8" s="12" t="n">
        <v>118429912258</v>
      </c>
      <c r="T8" s="12" t="n">
        <v>132794373677</v>
      </c>
      <c r="U8" s="12" t="n">
        <v>135996443463.57</v>
      </c>
      <c r="V8" s="12" t="n">
        <v>148826792017.62</v>
      </c>
      <c r="W8" s="12" t="n">
        <v>109183375055.317</v>
      </c>
      <c r="X8" s="12" t="n">
        <v>116137143296.66</v>
      </c>
      <c r="Y8" s="12" t="n">
        <v>125513792954.413</v>
      </c>
      <c r="Z8" s="12" t="n">
        <v>146805626407.269</v>
      </c>
      <c r="AA8" s="12" t="n">
        <v>153376431124.606</v>
      </c>
      <c r="AB8" s="12" t="n">
        <v>168902485015.591</v>
      </c>
      <c r="AC8" s="12" t="n">
        <v>153099801101.748</v>
      </c>
      <c r="AD8" s="12" t="n">
        <v>48220085542.6464</v>
      </c>
      <c r="AE8" s="12" t="n">
        <v>27151667111.0685</v>
      </c>
      <c r="AF8" s="12" t="n">
        <v>20442341074.0438</v>
      </c>
      <c r="AG8" s="12" t="n">
        <v>11956006419.6912</v>
      </c>
      <c r="AH8" s="12" t="n">
        <v>9005079451.994</v>
      </c>
      <c r="AI8" s="12" t="n">
        <v>3587694391.7589</v>
      </c>
      <c r="AJ8" s="12" t="n">
        <v>3549081212.3179</v>
      </c>
      <c r="AK8" s="12" t="n">
        <v>2097612715.8821</v>
      </c>
      <c r="AL8" s="12" t="n">
        <v>1491430589.4474</v>
      </c>
      <c r="AM8" s="12" t="n">
        <v>1901725697.5015</v>
      </c>
      <c r="AN8" s="12" t="n">
        <v>1149312110.5601</v>
      </c>
      <c r="AO8" s="12" t="n">
        <v>259434769.2724</v>
      </c>
      <c r="AP8" s="12" t="n">
        <v>-66216062.7616</v>
      </c>
      <c r="AQ8" s="12" t="n">
        <v>242407061.3547</v>
      </c>
      <c r="AR8" s="12" t="n">
        <v>410431128.8742</v>
      </c>
      <c r="AS8" s="12" t="n">
        <v>132175756.7193</v>
      </c>
      <c r="AT8" s="12" t="n">
        <v>231203312.7757</v>
      </c>
      <c r="AU8" s="12" t="n">
        <v>26997788.17</v>
      </c>
      <c r="AV8" s="12" t="n">
        <v>-2956450.67</v>
      </c>
      <c r="AW8" s="12"/>
      <c r="AX8" s="12"/>
    </row>
    <row r="9">
      <c r="A9" t="str">
        <f>L9</f>
      </c>
      <c r="L9" t="s">
        <v>43</v>
      </c>
      <c r="M9" s="12" t="str">
        <f>Sum(M2:M8)</f>
      </c>
      <c r="N9" s="12" t="str">
        <f>Sum(N2:N8)</f>
      </c>
      <c r="O9" s="12" t="str">
        <f>Sum(O2:O8)</f>
      </c>
      <c r="P9" s="12" t="str">
        <f>Sum(P2:P8)</f>
      </c>
      <c r="Q9" s="12" t="str">
        <f>Sum(Q2:Q8)</f>
      </c>
      <c r="R9" s="12" t="str">
        <f>Sum(R2:R8)</f>
      </c>
      <c r="S9" s="12" t="str">
        <f>Sum(S2:S8)</f>
      </c>
      <c r="T9" s="12" t="str">
        <f>Sum(T2:T8)</f>
      </c>
      <c r="U9" s="12" t="str">
        <f>Sum(U2:U8)</f>
      </c>
      <c r="V9" s="12" t="str">
        <f>Sum(V2:V8)</f>
      </c>
      <c r="W9" s="12" t="str">
        <f>Sum(W2:W8)</f>
      </c>
      <c r="X9" s="12" t="str">
        <f>Sum(X2:X8)</f>
      </c>
      <c r="Y9" s="12" t="str">
        <f>Sum(Y2:Y8)</f>
      </c>
      <c r="Z9" s="12" t="str">
        <f>Sum(Z2:Z8)</f>
      </c>
      <c r="AA9" s="12" t="str">
        <f>Sum(AA2:AA8)</f>
      </c>
      <c r="AB9" s="12" t="str">
        <f>Sum(AB2:AB8)</f>
      </c>
      <c r="AC9" s="12" t="str">
        <f>Sum(AC2:AC8)</f>
      </c>
      <c r="AD9" s="12" t="str">
        <f>Sum(AD2:AD8)</f>
      </c>
      <c r="AE9" s="12" t="str">
        <f>Sum(AE2:AE8)</f>
      </c>
      <c r="AF9" s="12" t="str">
        <f>Sum(AF2:AF8)</f>
      </c>
      <c r="AG9" s="12" t="str">
        <f>Sum(AG2:AG8)</f>
      </c>
      <c r="AH9" s="12" t="str">
        <f>Sum(AH2:AH8)</f>
      </c>
      <c r="AI9" s="12" t="str">
        <f>Sum(AI2:AI8)</f>
      </c>
      <c r="AJ9" s="12" t="str">
        <f>Sum(AJ2:AJ8)</f>
      </c>
      <c r="AK9" s="12" t="str">
        <f>Sum(AK2:AK8)</f>
      </c>
      <c r="AL9" s="12" t="str">
        <f>Sum(AL2:AL8)</f>
      </c>
      <c r="AM9" s="12" t="str">
        <f>Sum(AM2:AM8)</f>
      </c>
      <c r="AN9" s="12" t="str">
        <f>Sum(AN2:AN8)</f>
      </c>
      <c r="AO9" s="12" t="str">
        <f>Sum(AO2:AO8)</f>
      </c>
      <c r="AP9" s="12" t="str">
        <f>Sum(AP2:AP8)</f>
      </c>
      <c r="AQ9" s="12" t="str">
        <f>Sum(AQ2:AQ8)</f>
      </c>
      <c r="AR9" s="12" t="str">
        <f>Sum(AR2:AR8)</f>
      </c>
      <c r="AS9" s="12" t="str">
        <f>Sum(AS2:AS8)</f>
      </c>
      <c r="AT9" s="12" t="str">
        <f>Sum(AT2:AT8)</f>
      </c>
      <c r="AU9" s="12" t="str">
        <f>Sum(AU2:AU8)</f>
      </c>
      <c r="AV9" s="12" t="str">
        <f>Sum(AV2:AV8)</f>
      </c>
      <c r="AW9" s="12" t="str">
        <f>Sum(AW2:AW8)</f>
      </c>
      <c r="AX9" s="12"/>
    </row>
    <row r="12">
      <c r="A12" t="str">
        <f>L12</f>
      </c>
      <c r="B12" t="str">
        <f>AQ12</f>
      </c>
      <c r="C12" t="str">
        <f>AT12</f>
      </c>
      <c r="D12" t="str">
        <f>AU12</f>
      </c>
      <c r="F12" t="str">
        <f>AT12&amp;"-"&amp;AU12</f>
      </c>
      <c r="G12" t="str">
        <f>AQ12&amp;"-"&amp;AU12</f>
      </c>
      <c r="I12" t="str">
        <f>"Share "&amp;AU12</f>
      </c>
      <c r="L12" t="s">
        <v>109</v>
      </c>
      <c r="M12" t="s">
        <v>1</v>
      </c>
      <c r="N12" t="s">
        <v>2</v>
      </c>
      <c r="O12" t="s">
        <v>3</v>
      </c>
      <c r="P12" t="s">
        <v>4</v>
      </c>
      <c r="Q12" t="s">
        <v>5</v>
      </c>
      <c r="R12" t="s">
        <v>6</v>
      </c>
      <c r="S12" t="s">
        <v>7</v>
      </c>
      <c r="T12" t="s">
        <v>8</v>
      </c>
      <c r="U12" t="s">
        <v>9</v>
      </c>
      <c r="V12" t="s">
        <v>10</v>
      </c>
      <c r="W12" t="s">
        <v>11</v>
      </c>
      <c r="X12" t="s">
        <v>12</v>
      </c>
      <c r="Y12" t="s">
        <v>13</v>
      </c>
      <c r="Z12" t="s">
        <v>14</v>
      </c>
      <c r="AA12" t="s">
        <v>15</v>
      </c>
      <c r="AB12" t="s">
        <v>16</v>
      </c>
      <c r="AC12" t="s">
        <v>17</v>
      </c>
      <c r="AD12" t="s">
        <v>18</v>
      </c>
      <c r="AE12" t="s">
        <v>19</v>
      </c>
      <c r="AF12" t="s">
        <v>20</v>
      </c>
      <c r="AG12" t="s">
        <v>21</v>
      </c>
      <c r="AH12" t="s">
        <v>22</v>
      </c>
      <c r="AI12" t="s">
        <v>23</v>
      </c>
      <c r="AJ12" t="s">
        <v>24</v>
      </c>
      <c r="AK12" t="s">
        <v>25</v>
      </c>
      <c r="AL12" t="s">
        <v>26</v>
      </c>
      <c r="AM12" t="s">
        <v>27</v>
      </c>
      <c r="AN12" t="s">
        <v>28</v>
      </c>
      <c r="AO12" t="s">
        <v>29</v>
      </c>
      <c r="AP12" t="s">
        <v>30</v>
      </c>
      <c r="AQ12" t="s">
        <v>31</v>
      </c>
      <c r="AR12" t="s">
        <v>32</v>
      </c>
      <c r="AS12" t="s">
        <v>33</v>
      </c>
      <c r="AT12" t="s">
        <v>34</v>
      </c>
      <c r="AU12" t="s">
        <v>35</v>
      </c>
      <c r="AV12" t="s">
        <v>36</v>
      </c>
    </row>
    <row r="13">
      <c r="A13" t="str">
        <f>L13</f>
      </c>
      <c r="B13" s="12" t="str">
        <f>AQ13</f>
      </c>
      <c r="C13" s="12" t="str">
        <f>AT13</f>
      </c>
      <c r="D13" s="12" t="str">
        <f>AU13</f>
      </c>
      <c r="E13" s="12"/>
      <c r="F13" s="2" t="str">
        <f>AU13/AT13-1</f>
      </c>
      <c r="G13" s="2" t="str">
        <f>AU13/AQ13-1</f>
      </c>
      <c r="H13" s="2"/>
      <c r="I13" s="2" t="str">
        <f>AU13/Sum(AU$12:AU$19)</f>
      </c>
      <c r="J13" s="2"/>
      <c r="L13" t="s">
        <v>110</v>
      </c>
      <c r="M13" s="12" t="n">
        <v>0</v>
      </c>
      <c r="N13" s="12"/>
      <c r="O13" s="12"/>
      <c r="P13" s="12" t="n">
        <v>313188639.426872</v>
      </c>
      <c r="Q13" s="12" t="n">
        <v>394327268.317762</v>
      </c>
      <c r="R13" s="12" t="n">
        <v>622515045.752272</v>
      </c>
      <c r="S13" s="12" t="n">
        <v>323702139.245417</v>
      </c>
      <c r="T13" s="12" t="n">
        <v>96232177.2456401</v>
      </c>
      <c r="U13" s="12" t="n">
        <v>282221100.276261</v>
      </c>
      <c r="V13" s="12" t="n">
        <v>183774562.490171</v>
      </c>
      <c r="W13" s="12" t="n">
        <v>442112380.986646</v>
      </c>
      <c r="X13" s="12" t="n">
        <v>1360411098.0565</v>
      </c>
      <c r="Y13" s="12" t="n">
        <v>4314016750.7017</v>
      </c>
      <c r="Z13" s="12" t="n">
        <v>1045576179.05219</v>
      </c>
      <c r="AA13" s="12" t="n">
        <v>1734234063.33448</v>
      </c>
      <c r="AB13" s="12" t="n">
        <v>3318142882.09094</v>
      </c>
      <c r="AC13" s="12" t="n">
        <v>13401256094.1928</v>
      </c>
      <c r="AD13" s="12" t="n">
        <v>41082286944.3983</v>
      </c>
      <c r="AE13" s="12" t="n">
        <v>45929993513.3077</v>
      </c>
      <c r="AF13" s="12" t="n">
        <v>38873074754.4932</v>
      </c>
      <c r="AG13" s="12" t="n">
        <v>36807181713.4714</v>
      </c>
      <c r="AH13" s="12" t="n">
        <v>34121535417.5059</v>
      </c>
      <c r="AI13" s="12" t="n">
        <v>31630807966.7482</v>
      </c>
      <c r="AJ13" s="12" t="n">
        <v>25252984496.1926</v>
      </c>
      <c r="AK13" s="12" t="n">
        <v>38928493331.6327</v>
      </c>
      <c r="AL13" s="12" t="n">
        <v>34487474330.6439</v>
      </c>
      <c r="AM13" s="12" t="n">
        <v>33343653258.3748</v>
      </c>
      <c r="AN13" s="12" t="n">
        <v>35865374612.2041</v>
      </c>
      <c r="AO13" s="12" t="n">
        <v>40171473979.9009</v>
      </c>
      <c r="AP13" s="12" t="n">
        <v>33300210392.3535</v>
      </c>
      <c r="AQ13" s="12" t="n">
        <v>32719970759.5535</v>
      </c>
      <c r="AR13" s="12" t="n">
        <v>31741254771.1087</v>
      </c>
      <c r="AS13" s="12" t="n">
        <v>37871262377.579</v>
      </c>
      <c r="AT13" s="12" t="n">
        <v>35868257244.7168</v>
      </c>
      <c r="AU13" s="12" t="n">
        <v>34767020049.1012</v>
      </c>
      <c r="AV13" s="12" t="n">
        <v>13533130356.4944</v>
      </c>
      <c r="AW13" s="12"/>
      <c r="AX13" s="12"/>
    </row>
    <row r="14">
      <c r="A14" t="str">
        <f>L14</f>
      </c>
      <c r="B14" s="12" t="str">
        <f>AQ14</f>
      </c>
      <c r="C14" s="12" t="str">
        <f>AT14</f>
      </c>
      <c r="D14" s="12" t="str">
        <f>AU14</f>
      </c>
      <c r="E14" s="12"/>
      <c r="F14" s="2" t="str">
        <f>AU14/AT14-1</f>
      </c>
      <c r="G14" s="2" t="str">
        <f>AU14/AQ14-1</f>
      </c>
      <c r="H14" s="2"/>
      <c r="I14" s="2" t="str">
        <f>AU14/Sum(AU$12:AU$19)</f>
      </c>
      <c r="J14" s="2"/>
      <c r="L14" t="s">
        <v>111</v>
      </c>
      <c r="M14" s="12" t="n">
        <v>46542826.6793098</v>
      </c>
      <c r="N14" s="12"/>
      <c r="O14" s="12"/>
      <c r="P14" s="12" t="n">
        <v>97534177.4347885</v>
      </c>
      <c r="Q14" s="12" t="n">
        <v>29557220.982209</v>
      </c>
      <c r="R14" s="12" t="n">
        <v>20738439.8464951</v>
      </c>
      <c r="S14" s="12" t="n">
        <v>526413894.39484</v>
      </c>
      <c r="T14" s="12" t="n">
        <v>1532723801.4607</v>
      </c>
      <c r="U14" s="12" t="n">
        <v>1374775776.94693</v>
      </c>
      <c r="V14" s="12" t="n">
        <v>1360781361.9522</v>
      </c>
      <c r="W14" s="12" t="n">
        <v>4531062783.91692</v>
      </c>
      <c r="X14" s="12" t="n">
        <v>8104502217.14016</v>
      </c>
      <c r="Y14" s="12" t="n">
        <v>6149371887.41829</v>
      </c>
      <c r="Z14" s="12" t="n">
        <v>10009785803.5924</v>
      </c>
      <c r="AA14" s="12" t="n">
        <v>9910336796.71533</v>
      </c>
      <c r="AB14" s="12" t="n">
        <v>15543054364.2074</v>
      </c>
      <c r="AC14" s="12" t="n">
        <v>25178244751.9701</v>
      </c>
      <c r="AD14" s="12" t="n">
        <v>70667374882.279</v>
      </c>
      <c r="AE14" s="12" t="n">
        <v>90174374056.6547</v>
      </c>
      <c r="AF14" s="12" t="n">
        <v>99527805999.2882</v>
      </c>
      <c r="AG14" s="12" t="n">
        <v>92316160630.3266</v>
      </c>
      <c r="AH14" s="12" t="n">
        <v>86209853036.9923</v>
      </c>
      <c r="AI14" s="12" t="n">
        <v>88557789860.9085</v>
      </c>
      <c r="AJ14" s="12" t="n">
        <v>66304259827.2777</v>
      </c>
      <c r="AK14" s="12" t="n">
        <v>52630976825.3479</v>
      </c>
      <c r="AL14" s="12" t="n">
        <v>54036765607.6776</v>
      </c>
      <c r="AM14" s="12" t="n">
        <v>61137047402.6388</v>
      </c>
      <c r="AN14" s="12" t="n">
        <v>70175396277.2117</v>
      </c>
      <c r="AO14" s="12" t="n">
        <v>77983173160.289</v>
      </c>
      <c r="AP14" s="12" t="n">
        <v>85705853749.16</v>
      </c>
      <c r="AQ14" s="12" t="n">
        <v>108325526552.476</v>
      </c>
      <c r="AR14" s="12" t="n">
        <v>67272442250.1346</v>
      </c>
      <c r="AS14" s="12" t="n">
        <v>68048953465.575</v>
      </c>
      <c r="AT14" s="12" t="n">
        <v>68368429308.71</v>
      </c>
      <c r="AU14" s="12" t="n">
        <v>64236804413.7493</v>
      </c>
      <c r="AV14" s="12" t="n">
        <v>26082462633.4704</v>
      </c>
      <c r="AW14" s="12"/>
      <c r="AX14" s="12"/>
    </row>
    <row r="15">
      <c r="A15" t="str">
        <f>L15</f>
      </c>
      <c r="B15" s="12" t="str">
        <f>AQ15</f>
      </c>
      <c r="C15" s="12" t="str">
        <f>AT15</f>
      </c>
      <c r="D15" s="12" t="str">
        <f>AU15</f>
      </c>
      <c r="E15" s="12"/>
      <c r="F15" s="2" t="str">
        <f>AU15/AT15-1</f>
      </c>
      <c r="G15" s="2" t="str">
        <f>AU15/AQ15-1</f>
      </c>
      <c r="H15" s="2"/>
      <c r="I15" s="2" t="str">
        <f>AU15/Sum(AU$12:AU$19)</f>
      </c>
      <c r="J15" s="2"/>
      <c r="L15" t="s">
        <v>112</v>
      </c>
      <c r="M15" s="12" t="n">
        <v>22000314.9662465</v>
      </c>
      <c r="N15" s="12" t="n">
        <v>23721078.5208196</v>
      </c>
      <c r="O15" s="12" t="n">
        <v>47698082.9948748</v>
      </c>
      <c r="P15" s="12" t="n">
        <v>438433639.560639</v>
      </c>
      <c r="Q15" s="12" t="n">
        <v>209653583.967937</v>
      </c>
      <c r="R15" s="12" t="n">
        <v>375186326.165134</v>
      </c>
      <c r="S15" s="12" t="n">
        <v>1079801445.21355</v>
      </c>
      <c r="T15" s="12" t="n">
        <v>1614387911.87883</v>
      </c>
      <c r="U15" s="12" t="n">
        <v>1473991168.28588</v>
      </c>
      <c r="V15" s="12" t="n">
        <v>2182647696.47955</v>
      </c>
      <c r="W15" s="12" t="n">
        <v>8144550811.08942</v>
      </c>
      <c r="X15" s="12" t="n">
        <v>7650816562.74024</v>
      </c>
      <c r="Y15" s="12" t="n">
        <v>11157598034.0122</v>
      </c>
      <c r="Z15" s="12" t="n">
        <v>13164433987.2712</v>
      </c>
      <c r="AA15" s="12" t="n">
        <v>20470655409.8867</v>
      </c>
      <c r="AB15" s="12" t="n">
        <v>19261491678.0433</v>
      </c>
      <c r="AC15" s="12" t="n">
        <v>26886740556.8274</v>
      </c>
      <c r="AD15" s="12" t="n">
        <v>61015123806.6198</v>
      </c>
      <c r="AE15" s="12" t="n">
        <v>85305191601.0755</v>
      </c>
      <c r="AF15" s="12" t="n">
        <v>89177425670.1887</v>
      </c>
      <c r="AG15" s="12" t="n">
        <v>86608519497.5928</v>
      </c>
      <c r="AH15" s="12" t="n">
        <v>85071156521.4963</v>
      </c>
      <c r="AI15" s="12" t="n">
        <v>86498835578.157</v>
      </c>
      <c r="AJ15" s="12" t="n">
        <v>86422507566.5193</v>
      </c>
      <c r="AK15" s="12" t="n">
        <v>73670454164.7822</v>
      </c>
      <c r="AL15" s="12" t="n">
        <v>72867390479.423</v>
      </c>
      <c r="AM15" s="12" t="n">
        <v>81568139075.1372</v>
      </c>
      <c r="AN15" s="12" t="n">
        <v>83300022257.5734</v>
      </c>
      <c r="AO15" s="12" t="n">
        <v>95754652494.29</v>
      </c>
      <c r="AP15" s="12" t="n">
        <v>100240548774.399</v>
      </c>
      <c r="AQ15" s="12" t="n">
        <v>94716906981.2577</v>
      </c>
      <c r="AR15" s="12" t="n">
        <v>81317457045.0127</v>
      </c>
      <c r="AS15" s="12" t="n">
        <v>84530224167.2311</v>
      </c>
      <c r="AT15" s="12" t="n">
        <v>90032375322.3939</v>
      </c>
      <c r="AU15" s="12" t="n">
        <v>88513830010.4565</v>
      </c>
      <c r="AV15" s="12" t="n">
        <v>28667282956.2566</v>
      </c>
      <c r="AW15" s="12"/>
      <c r="AX15" s="12"/>
    </row>
    <row r="16">
      <c r="A16" t="str">
        <f>L16</f>
      </c>
      <c r="B16" s="12" t="str">
        <f>AQ16</f>
      </c>
      <c r="C16" s="12" t="str">
        <f>AT16</f>
      </c>
      <c r="D16" s="12" t="str">
        <f>AU16</f>
      </c>
      <c r="E16" s="12"/>
      <c r="F16" s="2" t="str">
        <f>AU16/AT16-1</f>
      </c>
      <c r="G16" s="2" t="str">
        <f>AU16/AQ16-1</f>
      </c>
      <c r="H16" s="2"/>
      <c r="I16" s="2" t="str">
        <f>AU16/Sum(AU$12:AU$19)</f>
      </c>
      <c r="J16" s="2"/>
      <c r="L16" t="s">
        <v>113</v>
      </c>
      <c r="M16" s="12" t="n">
        <v>35351074.8710243</v>
      </c>
      <c r="N16" s="12" t="n">
        <v>50890789.3007061</v>
      </c>
      <c r="O16" s="12" t="n">
        <v>19479379.6710404</v>
      </c>
      <c r="P16" s="12" t="n">
        <v>466957247.071574</v>
      </c>
      <c r="Q16" s="12" t="n">
        <v>624835218.073892</v>
      </c>
      <c r="R16" s="12" t="n">
        <v>241779591.038977</v>
      </c>
      <c r="S16" s="12" t="n">
        <v>349374795.882327</v>
      </c>
      <c r="T16" s="12" t="n">
        <v>184167677.561603</v>
      </c>
      <c r="U16" s="12" t="n">
        <v>155976450.692017</v>
      </c>
      <c r="V16" s="12" t="n">
        <v>1092541835.00045</v>
      </c>
      <c r="W16" s="12" t="n">
        <v>2956221743.32997</v>
      </c>
      <c r="X16" s="12" t="n">
        <v>1705909302.76347</v>
      </c>
      <c r="Y16" s="12" t="n">
        <v>3437634385.71441</v>
      </c>
      <c r="Z16" s="12" t="n">
        <v>5788077946.84793</v>
      </c>
      <c r="AA16" s="12" t="n">
        <v>6070669282.70513</v>
      </c>
      <c r="AB16" s="12" t="n">
        <v>11186013149.6132</v>
      </c>
      <c r="AC16" s="12" t="n">
        <v>19637036722.1397</v>
      </c>
      <c r="AD16" s="12" t="n">
        <v>46549126419.4539</v>
      </c>
      <c r="AE16" s="12" t="n">
        <v>57488498893.2128</v>
      </c>
      <c r="AF16" s="12" t="n">
        <v>53424596845.8599</v>
      </c>
      <c r="AG16" s="12" t="n">
        <v>56947581475.9966</v>
      </c>
      <c r="AH16" s="12" t="n">
        <v>61328304454.8407</v>
      </c>
      <c r="AI16" s="12" t="n">
        <v>54115645158.2607</v>
      </c>
      <c r="AJ16" s="12" t="n">
        <v>35649962322.8974</v>
      </c>
      <c r="AK16" s="12" t="n">
        <v>30529465176.2615</v>
      </c>
      <c r="AL16" s="12" t="n">
        <v>32700808226.5739</v>
      </c>
      <c r="AM16" s="12" t="n">
        <v>30390755628.4184</v>
      </c>
      <c r="AN16" s="12" t="n">
        <v>40642172013.8876</v>
      </c>
      <c r="AO16" s="12" t="n">
        <v>33684579194.2455</v>
      </c>
      <c r="AP16" s="12" t="n">
        <v>29333208262.9215</v>
      </c>
      <c r="AQ16" s="12" t="n">
        <v>32853655257.1402</v>
      </c>
      <c r="AR16" s="12" t="n">
        <v>37076571988.9432</v>
      </c>
      <c r="AS16" s="12" t="n">
        <v>36477321218.5909</v>
      </c>
      <c r="AT16" s="12" t="n">
        <v>28112278575.5092</v>
      </c>
      <c r="AU16" s="12" t="n">
        <v>26046981036.2824</v>
      </c>
      <c r="AV16" s="12" t="n">
        <v>9844673778.2468</v>
      </c>
      <c r="AW16" s="12"/>
      <c r="AX16" s="12"/>
    </row>
    <row r="17">
      <c r="A17" t="str">
        <f>L17</f>
      </c>
      <c r="B17" s="12" t="str">
        <f>AQ17</f>
      </c>
      <c r="C17" s="12" t="str">
        <f>AT17</f>
      </c>
      <c r="D17" s="12" t="str">
        <f>AU17</f>
      </c>
      <c r="E17" s="12"/>
      <c r="F17" s="2" t="str">
        <f>AU17/AT17-1</f>
      </c>
      <c r="G17" s="2" t="str">
        <f>AU17/AQ17-1</f>
      </c>
      <c r="H17" s="2"/>
      <c r="I17" s="2" t="str">
        <f>AU17/Sum(AU$12:AU$19)</f>
      </c>
      <c r="J17" s="2"/>
      <c r="L17" t="s">
        <v>114</v>
      </c>
      <c r="M17" s="12" t="n">
        <v>498652604.41226</v>
      </c>
      <c r="N17" s="12" t="n">
        <v>366805073.771556</v>
      </c>
      <c r="O17" s="12" t="n">
        <v>248891959.544436</v>
      </c>
      <c r="P17" s="12" t="n">
        <v>1181940321.20856</v>
      </c>
      <c r="Q17" s="12" t="n">
        <v>1654228176.68659</v>
      </c>
      <c r="R17" s="12" t="n">
        <v>1041069006.82956</v>
      </c>
      <c r="S17" s="12" t="n">
        <v>1695708291.49822</v>
      </c>
      <c r="T17" s="12" t="n">
        <v>8725711067.46978</v>
      </c>
      <c r="U17" s="12" t="n">
        <v>9050254500.78267</v>
      </c>
      <c r="V17" s="12" t="n">
        <v>8164970780.63286</v>
      </c>
      <c r="W17" s="12" t="n">
        <v>18901908132.9322</v>
      </c>
      <c r="X17" s="12" t="n">
        <v>22841528434.7102</v>
      </c>
      <c r="Y17" s="12" t="n">
        <v>39751474424.6377</v>
      </c>
      <c r="Z17" s="12" t="n">
        <v>58979884608.9768</v>
      </c>
      <c r="AA17" s="12" t="n">
        <v>69666527626.7112</v>
      </c>
      <c r="AB17" s="12" t="n">
        <v>81757184435.7234</v>
      </c>
      <c r="AC17" s="12" t="n">
        <v>100598572093.896</v>
      </c>
      <c r="AD17" s="12" t="n">
        <v>118625940690.182</v>
      </c>
      <c r="AE17" s="12" t="n">
        <v>134043034201.73</v>
      </c>
      <c r="AF17" s="12" t="n">
        <v>129491426903.877</v>
      </c>
      <c r="AG17" s="12" t="n">
        <v>114558575202.844</v>
      </c>
      <c r="AH17" s="12" t="n">
        <v>123524068497.9</v>
      </c>
      <c r="AI17" s="12" t="n">
        <v>121410060960.492</v>
      </c>
      <c r="AJ17" s="12" t="n">
        <v>113063988422.902</v>
      </c>
      <c r="AK17" s="12" t="n">
        <v>94652701674.9852</v>
      </c>
      <c r="AL17" s="12" t="n">
        <v>86137329050.0377</v>
      </c>
      <c r="AM17" s="12" t="n">
        <v>99258208082.0499</v>
      </c>
      <c r="AN17" s="12" t="n">
        <v>100866388539.089</v>
      </c>
      <c r="AO17" s="12" t="n">
        <v>115300001702.901</v>
      </c>
      <c r="AP17" s="12" t="n">
        <v>137493137737.596</v>
      </c>
      <c r="AQ17" s="12" t="n">
        <v>146676849564.55</v>
      </c>
      <c r="AR17" s="12" t="n">
        <v>134976568254.506</v>
      </c>
      <c r="AS17" s="12" t="n">
        <v>135199187230.002</v>
      </c>
      <c r="AT17" s="12" t="n">
        <v>170214819645.57</v>
      </c>
      <c r="AU17" s="12" t="n">
        <v>161178387303.435</v>
      </c>
      <c r="AV17" s="12" t="n">
        <v>84762426075.4021</v>
      </c>
      <c r="AW17" s="12"/>
      <c r="AX17" s="12"/>
    </row>
    <row r="18">
      <c r="A18" t="str">
        <f>L18</f>
      </c>
      <c r="B18" s="12" t="str">
        <f>AQ18</f>
      </c>
      <c r="C18" s="12" t="str">
        <f>AT18</f>
      </c>
      <c r="D18" s="12" t="str">
        <f>AU18</f>
      </c>
      <c r="E18" s="12"/>
      <c r="F18" s="2" t="str">
        <f>AU18/AT18-1</f>
      </c>
      <c r="G18" s="2" t="str">
        <f>AU18/AQ18-1</f>
      </c>
      <c r="H18" s="2"/>
      <c r="I18" s="2" t="str">
        <f>AU18/Sum(AU$12:AU$19)</f>
      </c>
      <c r="J18" s="2"/>
      <c r="L18" t="s">
        <v>115</v>
      </c>
      <c r="M18" s="12"/>
      <c r="N18" s="12"/>
      <c r="O18" s="12"/>
      <c r="P18" s="12" t="n">
        <v>50466893.956451</v>
      </c>
      <c r="Q18" s="12" t="n">
        <v>43068188.6373399</v>
      </c>
      <c r="R18" s="12" t="n">
        <v>21679646.6094657</v>
      </c>
      <c r="S18" s="12" t="n">
        <v>100681925.130197</v>
      </c>
      <c r="T18" s="12" t="n">
        <v>211296219.532208</v>
      </c>
      <c r="U18" s="12" t="n">
        <v>372733220.603269</v>
      </c>
      <c r="V18" s="12" t="n">
        <v>357053193.407145</v>
      </c>
      <c r="W18" s="12" t="n">
        <v>3682044876.09763</v>
      </c>
      <c r="X18" s="12" t="n">
        <v>4059975713.45951</v>
      </c>
      <c r="Y18" s="12" t="n">
        <v>6771869181.92063</v>
      </c>
      <c r="Z18" s="12" t="n">
        <v>13639610563.1883</v>
      </c>
      <c r="AA18" s="12" t="n">
        <v>10392643630.3037</v>
      </c>
      <c r="AB18" s="12" t="n">
        <v>14273555603.9291</v>
      </c>
      <c r="AC18" s="12" t="n">
        <v>20927914319.0247</v>
      </c>
      <c r="AD18" s="12" t="n">
        <v>58367662950.899</v>
      </c>
      <c r="AE18" s="12" t="n">
        <v>73665997111.4095</v>
      </c>
      <c r="AF18" s="12" t="n">
        <v>85287285492.4197</v>
      </c>
      <c r="AG18" s="12" t="n">
        <v>90179129870.3518</v>
      </c>
      <c r="AH18" s="12" t="n">
        <v>89598972091.5591</v>
      </c>
      <c r="AI18" s="12" t="n">
        <v>82006975252.9337</v>
      </c>
      <c r="AJ18" s="12" t="n">
        <v>65469329578.2264</v>
      </c>
      <c r="AK18" s="12" t="n">
        <v>65202283983.7199</v>
      </c>
      <c r="AL18" s="12" t="n">
        <v>61021521682.2613</v>
      </c>
      <c r="AM18" s="12" t="n">
        <v>62287427329.0399</v>
      </c>
      <c r="AN18" s="12" t="n">
        <v>60659779726.8805</v>
      </c>
      <c r="AO18" s="12" t="n">
        <v>65941980582.4907</v>
      </c>
      <c r="AP18" s="12" t="n">
        <v>63789278390.83</v>
      </c>
      <c r="AQ18" s="12" t="n">
        <v>73464326943.6608</v>
      </c>
      <c r="AR18" s="12" t="n">
        <v>80134604332.7038</v>
      </c>
      <c r="AS18" s="12" t="n">
        <v>71042486983.1884</v>
      </c>
      <c r="AT18" s="12" t="n">
        <v>64294293247.0492</v>
      </c>
      <c r="AU18" s="12" t="n">
        <v>58937708894.4611</v>
      </c>
      <c r="AV18" s="12" t="n">
        <v>26425634705.9291</v>
      </c>
      <c r="AW18" s="12"/>
      <c r="AX18" s="12"/>
    </row>
    <row r="19">
      <c r="A19" t="str">
        <f>L19</f>
      </c>
      <c r="B19" s="12" t="str">
        <f>AQ19</f>
      </c>
      <c r="C19" s="12" t="str">
        <f>AT19</f>
      </c>
      <c r="D19" s="12" t="str">
        <f>AU19</f>
      </c>
      <c r="E19" s="12"/>
      <c r="F19" s="2" t="str">
        <f>AU19/AT19-1</f>
      </c>
      <c r="G19" s="2" t="str">
        <f>AU19/AQ19-1</f>
      </c>
      <c r="H19" s="2"/>
      <c r="I19" s="2" t="str">
        <f>AU19/Sum(AU$12:AU$19)</f>
      </c>
      <c r="J19" s="2"/>
      <c r="L19"/>
      <c r="M19" s="12" t="n">
        <v>252483272170.031</v>
      </c>
      <c r="N19" s="12" t="n">
        <v>273385661280.388</v>
      </c>
      <c r="O19" s="12" t="n">
        <v>243692795113.781</v>
      </c>
      <c r="P19" s="12" t="n">
        <v>231687861977.261</v>
      </c>
      <c r="Q19" s="12" t="n">
        <v>218602623205.877</v>
      </c>
      <c r="R19" s="12" t="n">
        <v>213631094635.017</v>
      </c>
      <c r="S19" s="12" t="n">
        <v>212037831992.398</v>
      </c>
      <c r="T19" s="12" t="n">
        <v>233610162861.417</v>
      </c>
      <c r="U19" s="12" t="n">
        <v>236280755293.844</v>
      </c>
      <c r="V19" s="12" t="n">
        <v>255409623119.472</v>
      </c>
      <c r="W19" s="12" t="n">
        <v>183556184923.708</v>
      </c>
      <c r="X19" s="12" t="n">
        <v>190626073338.94</v>
      </c>
      <c r="Y19" s="12" t="n">
        <v>202825902974.79</v>
      </c>
      <c r="Z19" s="12" t="n">
        <v>232764811069.117</v>
      </c>
      <c r="AA19" s="12" t="n">
        <v>237386343960.853</v>
      </c>
      <c r="AB19" s="12" t="n">
        <v>253696645219.584</v>
      </c>
      <c r="AC19" s="12" t="n">
        <v>222725452425.299</v>
      </c>
      <c r="AD19" s="12" t="n">
        <v>68269842769.6583</v>
      </c>
      <c r="AE19" s="12" t="n">
        <v>37659402373.6701</v>
      </c>
      <c r="AF19" s="12" t="n">
        <v>28066545647.0424</v>
      </c>
      <c r="AG19" s="12" t="n">
        <v>16274193834.9328</v>
      </c>
      <c r="AH19" s="12" t="n">
        <v>12016288253.2613</v>
      </c>
      <c r="AI19" s="12" t="n">
        <v>4702059851.51198</v>
      </c>
      <c r="AJ19" s="12" t="n">
        <v>4568557876.61592</v>
      </c>
      <c r="AK19" s="12" t="n">
        <v>2651776970.0977</v>
      </c>
      <c r="AL19" s="12" t="n">
        <v>1866122714.74806</v>
      </c>
      <c r="AM19" s="12" t="n">
        <v>2360622900.07419</v>
      </c>
      <c r="AN19" s="12" t="n">
        <v>1402965293.63022</v>
      </c>
      <c r="AO19" s="12" t="n">
        <v>309814148.642883</v>
      </c>
      <c r="AP19" s="12" t="n">
        <v>-77638985.5405886</v>
      </c>
      <c r="AQ19" s="12" t="n">
        <v>280559684.983221</v>
      </c>
      <c r="AR19" s="12" t="n">
        <v>459223903.772687</v>
      </c>
      <c r="AS19" s="12" t="n">
        <v>138222347.493566</v>
      </c>
      <c r="AT19" s="12" t="n">
        <v>231203312.7757</v>
      </c>
      <c r="AU19" s="12" t="n">
        <v>26295539.7996568</v>
      </c>
      <c r="AV19" s="12" t="n">
        <v>-2817722.7771734</v>
      </c>
      <c r="AW19" s="12"/>
      <c r="AX19" s="12"/>
    </row>
    <row r="20">
      <c r="A20" t="str">
        <f>L20</f>
      </c>
      <c r="B20" s="12" t="str">
        <f>AQ20</f>
      </c>
      <c r="C20" s="12" t="str">
        <f>AT20</f>
      </c>
      <c r="D20" s="12" t="str">
        <f>AU20</f>
      </c>
      <c r="E20" s="12"/>
      <c r="F20" s="2" t="str">
        <f>AU20/AT20-1</f>
      </c>
      <c r="G20" s="2" t="str">
        <f>AU20/AQ20-1</f>
      </c>
      <c r="H20" s="2"/>
      <c r="I20" s="2" t="str">
        <f>Sum(I$12:I$19)</f>
      </c>
      <c r="J20" s="2"/>
      <c r="L20" t="s">
        <v>43</v>
      </c>
      <c r="M20" s="12" t="str">
        <f>Sum(M13:M19)</f>
      </c>
      <c r="N20" s="12" t="str">
        <f>Sum(N13:N19)</f>
      </c>
      <c r="O20" s="12" t="str">
        <f>Sum(O13:O19)</f>
      </c>
      <c r="P20" s="12" t="str">
        <f>Sum(P13:P19)</f>
      </c>
      <c r="Q20" s="12" t="str">
        <f>Sum(Q13:Q19)</f>
      </c>
      <c r="R20" s="12" t="str">
        <f>Sum(R13:R19)</f>
      </c>
      <c r="S20" s="12" t="str">
        <f>Sum(S13:S19)</f>
      </c>
      <c r="T20" s="12" t="str">
        <f>Sum(T13:T19)</f>
      </c>
      <c r="U20" s="12" t="str">
        <f>Sum(U13:U19)</f>
      </c>
      <c r="V20" s="12" t="str">
        <f>Sum(V13:V19)</f>
      </c>
      <c r="W20" s="12" t="str">
        <f>Sum(W13:W19)</f>
      </c>
      <c r="X20" s="12" t="str">
        <f>Sum(X13:X19)</f>
      </c>
      <c r="Y20" s="12" t="str">
        <f>Sum(Y13:Y19)</f>
      </c>
      <c r="Z20" s="12" t="str">
        <f>Sum(Z13:Z19)</f>
      </c>
      <c r="AA20" s="12" t="str">
        <f>Sum(AA13:AA19)</f>
      </c>
      <c r="AB20" s="12" t="str">
        <f>Sum(AB13:AB19)</f>
      </c>
      <c r="AC20" s="12" t="str">
        <f>Sum(AC13:AC19)</f>
      </c>
      <c r="AD20" s="12" t="str">
        <f>Sum(AD13:AD19)</f>
      </c>
      <c r="AE20" s="12" t="str">
        <f>Sum(AE13:AE19)</f>
      </c>
      <c r="AF20" s="12" t="str">
        <f>Sum(AF13:AF19)</f>
      </c>
      <c r="AG20" s="12" t="str">
        <f>Sum(AG13:AG19)</f>
      </c>
      <c r="AH20" s="12" t="str">
        <f>Sum(AH13:AH19)</f>
      </c>
      <c r="AI20" s="12" t="str">
        <f>Sum(AI13:AI19)</f>
      </c>
      <c r="AJ20" s="12" t="str">
        <f>Sum(AJ13:AJ19)</f>
      </c>
      <c r="AK20" s="12" t="str">
        <f>Sum(AK13:AK19)</f>
      </c>
      <c r="AL20" s="12" t="str">
        <f>Sum(AL13:AL19)</f>
      </c>
      <c r="AM20" s="12" t="str">
        <f>Sum(AM13:AM19)</f>
      </c>
      <c r="AN20" s="12" t="str">
        <f>Sum(AN13:AN19)</f>
      </c>
      <c r="AO20" s="12" t="str">
        <f>Sum(AO13:AO19)</f>
      </c>
      <c r="AP20" s="12" t="str">
        <f>Sum(AP13:AP19)</f>
      </c>
      <c r="AQ20" s="12" t="str">
        <f>Sum(AQ13:AQ19)</f>
      </c>
      <c r="AR20" s="12" t="str">
        <f>Sum(AR13:AR19)</f>
      </c>
      <c r="AS20" s="12" t="str">
        <f>Sum(AS13:AS19)</f>
      </c>
      <c r="AT20" s="12" t="str">
        <f>Sum(AT13:AT19)</f>
      </c>
      <c r="AU20" s="12" t="str">
        <f>Sum(AU13:AU19)</f>
      </c>
      <c r="AV20" s="12" t="str">
        <f>Sum(AV13:AV19)</f>
      </c>
      <c r="AW20" s="12" t="str">
        <f>Sum(AW13:AW19)</f>
      </c>
      <c r="AX20" s="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116</v>
      </c>
      <c r="N1" t="s">
        <v>117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</row>
    <row r="2">
      <c r="A2" t="str">
        <f>M2</f>
      </c>
      <c r="B2" t="str">
        <f>N2</f>
      </c>
      <c r="M2" t="s">
        <v>118</v>
      </c>
      <c r="N2" t="s">
        <v>80</v>
      </c>
      <c r="O2" s="13" t="n">
        <v>1079359000</v>
      </c>
      <c r="P2" s="13" t="n">
        <v>190498000</v>
      </c>
      <c r="Q2" s="13" t="n">
        <v>943162019</v>
      </c>
      <c r="R2" s="13" t="n">
        <v>505522000</v>
      </c>
      <c r="S2" s="13" t="n">
        <v>471753000</v>
      </c>
      <c r="T2" s="13" t="n">
        <v>712511000</v>
      </c>
      <c r="U2" s="13" t="n">
        <v>312721768.51</v>
      </c>
      <c r="V2" s="13" t="n">
        <v>7458839962</v>
      </c>
      <c r="W2" s="13" t="n">
        <v>7385638572</v>
      </c>
      <c r="X2" s="13" t="n">
        <v>9265259032.67</v>
      </c>
      <c r="Y2" s="13" t="n">
        <v>34167200892</v>
      </c>
      <c r="Z2" s="13" t="n">
        <v>35587628799.4113</v>
      </c>
      <c r="AA2" s="13" t="n">
        <v>39412403808.1067</v>
      </c>
      <c r="AB2" s="13" t="n">
        <v>45679579592.3982</v>
      </c>
      <c r="AC2" s="13" t="n">
        <v>43320062631.5422</v>
      </c>
      <c r="AD2" s="13" t="n">
        <v>45896071689.4244</v>
      </c>
      <c r="AE2" s="13" t="n">
        <v>54527316613.4816</v>
      </c>
      <c r="AF2" s="13" t="n">
        <v>60156713731.7132</v>
      </c>
      <c r="AG2" s="13" t="n">
        <v>54574561251.8431</v>
      </c>
      <c r="AH2" s="13" t="n">
        <v>58292118565.9711</v>
      </c>
      <c r="AI2" s="13" t="n">
        <v>55952230494.9634</v>
      </c>
      <c r="AJ2" s="13" t="n">
        <v>57003525262.5553</v>
      </c>
      <c r="AK2" s="13" t="n">
        <v>64304206079.6007</v>
      </c>
      <c r="AL2" s="13" t="n">
        <v>49045596584.8387</v>
      </c>
      <c r="AM2" s="13" t="n">
        <v>49799038510.5672</v>
      </c>
      <c r="AN2" s="13" t="n">
        <v>47126926605.9466</v>
      </c>
      <c r="AO2" s="13" t="n">
        <v>58318894956.8122</v>
      </c>
      <c r="AP2" s="13" t="n">
        <v>54541409102.5996</v>
      </c>
      <c r="AQ2" s="13" t="n">
        <v>64170889257.9532</v>
      </c>
      <c r="AR2" s="13" t="n">
        <v>67245534912.4933</v>
      </c>
      <c r="AS2" s="13" t="n">
        <v>67330773472.8018</v>
      </c>
      <c r="AT2" s="13" t="n">
        <v>67233258687.3384</v>
      </c>
      <c r="AU2" s="13" t="n">
        <v>66273174942.2062</v>
      </c>
      <c r="AV2" s="13" t="n">
        <v>79215520721.2667</v>
      </c>
      <c r="AW2" s="13" t="n">
        <v>84013779017.643</v>
      </c>
      <c r="AX2" s="13" t="n">
        <v>37396834442.56</v>
      </c>
      <c r="AY2" s="13"/>
    </row>
    <row r="3">
      <c r="A3" t="str">
        <f>M3</f>
      </c>
      <c r="B3" t="str">
        <f>N3</f>
      </c>
      <c r="M3" t="s">
        <v>118</v>
      </c>
      <c r="N3" t="s">
        <v>81</v>
      </c>
      <c r="O3" s="13" t="n">
        <v>390568134.53</v>
      </c>
      <c r="P3" s="13" t="n">
        <v>374418000</v>
      </c>
      <c r="Q3" s="13" t="n">
        <v>315106000</v>
      </c>
      <c r="R3" s="13" t="n">
        <v>300044000</v>
      </c>
      <c r="S3" s="13" t="n">
        <v>170513000</v>
      </c>
      <c r="T3" s="13" t="n">
        <v>267800888</v>
      </c>
      <c r="U3" s="13" t="n">
        <v>367009338</v>
      </c>
      <c r="V3" s="13" t="n">
        <v>5676884199.21</v>
      </c>
      <c r="W3" s="13" t="n">
        <v>6308091257</v>
      </c>
      <c r="X3" s="13" t="n">
        <v>9181913610.92</v>
      </c>
      <c r="Y3" s="13" t="n">
        <v>33175477467.8834</v>
      </c>
      <c r="Z3" s="13" t="n">
        <v>36081159030.9361</v>
      </c>
      <c r="AA3" s="13" t="n">
        <v>39070820512.2752</v>
      </c>
      <c r="AB3" s="13" t="n">
        <v>53046233207.4546</v>
      </c>
      <c r="AC3" s="13" t="n">
        <v>59360882778.0754</v>
      </c>
      <c r="AD3" s="13" t="n">
        <v>81315028546.59</v>
      </c>
      <c r="AE3" s="13" t="n">
        <v>82547865604.6033</v>
      </c>
      <c r="AF3" s="13" t="n">
        <v>91210800120.7879</v>
      </c>
      <c r="AG3" s="13" t="n">
        <v>118287913354.452</v>
      </c>
      <c r="AH3" s="13" t="n">
        <v>122073869586.138</v>
      </c>
      <c r="AI3" s="13" t="n">
        <v>117605755219.193</v>
      </c>
      <c r="AJ3" s="13" t="n">
        <v>104814600078.221</v>
      </c>
      <c r="AK3" s="13" t="n">
        <v>92148135684.0502</v>
      </c>
      <c r="AL3" s="13" t="n">
        <v>74254663233.259</v>
      </c>
      <c r="AM3" s="13" t="n">
        <v>62768618374.1778</v>
      </c>
      <c r="AN3" s="13" t="n">
        <v>59849077530.7266</v>
      </c>
      <c r="AO3" s="13" t="n">
        <v>61419697377.8422</v>
      </c>
      <c r="AP3" s="13" t="n">
        <v>65171819191.2072</v>
      </c>
      <c r="AQ3" s="13" t="n">
        <v>77334452344.7116</v>
      </c>
      <c r="AR3" s="13" t="n">
        <v>79505609601.8437</v>
      </c>
      <c r="AS3" s="13" t="n">
        <v>82112796303.0454</v>
      </c>
      <c r="AT3" s="13" t="n">
        <v>65046391368.5598</v>
      </c>
      <c r="AU3" s="13" t="n">
        <v>69003742336.4209</v>
      </c>
      <c r="AV3" s="13" t="n">
        <v>94455499098.5066</v>
      </c>
      <c r="AW3" s="13" t="n">
        <v>88242693728.7019</v>
      </c>
      <c r="AX3" s="13" t="n">
        <v>30814890637.18</v>
      </c>
      <c r="AY3" s="13"/>
    </row>
    <row r="4">
      <c r="A4" t="str">
        <f>M4</f>
      </c>
      <c r="B4" t="str">
        <f>N4</f>
      </c>
      <c r="M4" t="s">
        <v>118</v>
      </c>
      <c r="N4" t="s">
        <v>82</v>
      </c>
      <c r="O4" s="13" t="n">
        <v>21197000</v>
      </c>
      <c r="P4" s="13" t="n">
        <v>29835000</v>
      </c>
      <c r="Q4" s="13" t="n">
        <v>5522000</v>
      </c>
      <c r="R4" s="13" t="n">
        <v>5937000</v>
      </c>
      <c r="S4" s="13" t="n">
        <v>8051000</v>
      </c>
      <c r="T4" s="13" t="n">
        <v>8894000</v>
      </c>
      <c r="U4" s="13" t="n">
        <v>67557000</v>
      </c>
      <c r="V4" s="13" t="n">
        <v>98356861</v>
      </c>
      <c r="W4" s="13" t="n">
        <v>496281130</v>
      </c>
      <c r="X4" s="13" t="n">
        <v>956284324</v>
      </c>
      <c r="Y4" s="13" t="n">
        <v>3999495821.298</v>
      </c>
      <c r="Z4" s="13" t="n">
        <v>4428776959.7583</v>
      </c>
      <c r="AA4" s="13" t="n">
        <v>4866490814.8973</v>
      </c>
      <c r="AB4" s="13" t="n">
        <v>6327648200.8416</v>
      </c>
      <c r="AC4" s="13" t="n">
        <v>5952507044.2322</v>
      </c>
      <c r="AD4" s="13" t="n">
        <v>22207613098.3959</v>
      </c>
      <c r="AE4" s="13" t="n">
        <v>23032741387.4023</v>
      </c>
      <c r="AF4" s="13" t="n">
        <v>10926781478.8399</v>
      </c>
      <c r="AG4" s="13" t="n">
        <v>8626626893.685</v>
      </c>
      <c r="AH4" s="13" t="n">
        <v>11195573440.0201</v>
      </c>
      <c r="AI4" s="13" t="n">
        <v>13466853404.9501</v>
      </c>
      <c r="AJ4" s="13" t="n">
        <v>13156196493.1132</v>
      </c>
      <c r="AK4" s="13" t="n">
        <v>13569543350.7549</v>
      </c>
      <c r="AL4" s="13" t="n">
        <v>11590843629.8784</v>
      </c>
      <c r="AM4" s="13" t="n">
        <v>12146564984.2995</v>
      </c>
      <c r="AN4" s="13" t="n">
        <v>13772682900.86</v>
      </c>
      <c r="AO4" s="13" t="n">
        <v>16413563931.9337</v>
      </c>
      <c r="AP4" s="13" t="n">
        <v>18482074975.2038</v>
      </c>
      <c r="AQ4" s="13" t="n">
        <v>22511621346.9491</v>
      </c>
      <c r="AR4" s="13" t="n">
        <v>22510343546.9937</v>
      </c>
      <c r="AS4" s="13" t="n">
        <v>19603133983.1765</v>
      </c>
      <c r="AT4" s="13" t="n">
        <v>16151028199.5253</v>
      </c>
      <c r="AU4" s="13" t="n">
        <v>17743154994.1219</v>
      </c>
      <c r="AV4" s="13" t="n">
        <v>19026935028.8673</v>
      </c>
      <c r="AW4" s="13" t="n">
        <v>21795301474.73</v>
      </c>
      <c r="AX4" s="13" t="n">
        <v>11652201840.32</v>
      </c>
      <c r="AY4" s="13"/>
    </row>
    <row r="5">
      <c r="A5" t="str">
        <f>M5</f>
      </c>
      <c r="B5" t="str">
        <f>N5</f>
      </c>
      <c r="M5" t="s">
        <v>118</v>
      </c>
      <c r="N5" t="s">
        <v>84</v>
      </c>
      <c r="O5" s="13" t="n">
        <v>74831000</v>
      </c>
      <c r="P5" s="13" t="n">
        <v>68100000</v>
      </c>
      <c r="Q5" s="13" t="n">
        <v>1661000</v>
      </c>
      <c r="R5" s="13"/>
      <c r="S5" s="13"/>
      <c r="T5" s="13"/>
      <c r="U5" s="13" t="n">
        <v>10171000</v>
      </c>
      <c r="V5" s="13" t="n">
        <v>42314262</v>
      </c>
      <c r="W5" s="13" t="n">
        <v>195307726</v>
      </c>
      <c r="X5" s="13" t="n">
        <v>19712506.63</v>
      </c>
      <c r="Y5" s="13" t="n">
        <v>1372578894</v>
      </c>
      <c r="Z5" s="13" t="n">
        <v>1669843243</v>
      </c>
      <c r="AA5" s="13" t="n">
        <v>2458962108.825</v>
      </c>
      <c r="AB5" s="13" t="n">
        <v>2619690623.3438</v>
      </c>
      <c r="AC5" s="13" t="n">
        <v>3320365268.9938</v>
      </c>
      <c r="AD5" s="13" t="n">
        <v>3768654979.1375</v>
      </c>
      <c r="AE5" s="13" t="n">
        <v>3413408847.4845</v>
      </c>
      <c r="AF5" s="13" t="n">
        <v>4812450438.2833</v>
      </c>
      <c r="AG5" s="13" t="n">
        <v>5665058034.96</v>
      </c>
      <c r="AH5" s="13" t="n">
        <v>5493856729.5066</v>
      </c>
      <c r="AI5" s="13" t="n">
        <v>5236754364.5944</v>
      </c>
      <c r="AJ5" s="13" t="n">
        <v>5317961272.141</v>
      </c>
      <c r="AK5" s="13" t="n">
        <v>6850619283.0292</v>
      </c>
      <c r="AL5" s="13" t="n">
        <v>7689073371.3359</v>
      </c>
      <c r="AM5" s="13" t="n">
        <v>6035561981.5764</v>
      </c>
      <c r="AN5" s="13" t="n">
        <v>4675237614.1307</v>
      </c>
      <c r="AO5" s="13" t="n">
        <v>6564169867.7859</v>
      </c>
      <c r="AP5" s="13" t="n">
        <v>5378002483.0826</v>
      </c>
      <c r="AQ5" s="13" t="n">
        <v>8243251314.6542</v>
      </c>
      <c r="AR5" s="13" t="n">
        <v>8742092443.4821</v>
      </c>
      <c r="AS5" s="13" t="n">
        <v>12247332337.4861</v>
      </c>
      <c r="AT5" s="13" t="n">
        <v>8739058523.1676</v>
      </c>
      <c r="AU5" s="13" t="n">
        <v>9764873285.5792</v>
      </c>
      <c r="AV5" s="13" t="n">
        <v>7005689179.8779</v>
      </c>
      <c r="AW5" s="13" t="n">
        <v>8367287242.54</v>
      </c>
      <c r="AX5" s="13" t="n">
        <v>4041546053.1</v>
      </c>
      <c r="AY5" s="13"/>
    </row>
    <row r="6">
      <c r="A6" t="str">
        <f>M6</f>
      </c>
      <c r="B6" t="str">
        <f>N6</f>
      </c>
      <c r="M6" t="s">
        <v>118</v>
      </c>
      <c r="N6" t="s">
        <v>85</v>
      </c>
      <c r="O6" s="13" t="n">
        <v>431836082.56</v>
      </c>
      <c r="P6" s="13" t="n">
        <v>306120000</v>
      </c>
      <c r="Q6" s="13" t="n">
        <v>576223000</v>
      </c>
      <c r="R6" s="13" t="n">
        <v>862709000</v>
      </c>
      <c r="S6" s="13" t="n">
        <v>1121439000</v>
      </c>
      <c r="T6" s="13" t="n">
        <v>789449045</v>
      </c>
      <c r="U6" s="13" t="n">
        <v>1464339106</v>
      </c>
      <c r="V6" s="13" t="n">
        <v>9064605524</v>
      </c>
      <c r="W6" s="13" t="n">
        <v>10743961219.09</v>
      </c>
      <c r="X6" s="13" t="n">
        <v>12267391815.05</v>
      </c>
      <c r="Y6" s="13" t="n">
        <v>38162302273.2196</v>
      </c>
      <c r="Z6" s="13" t="n">
        <v>39620067731.0789</v>
      </c>
      <c r="AA6" s="13" t="n">
        <v>42689066740.6875</v>
      </c>
      <c r="AB6" s="13" t="n">
        <v>50341249205.9042</v>
      </c>
      <c r="AC6" s="13" t="n">
        <v>53265710572.607</v>
      </c>
      <c r="AD6" s="13" t="n">
        <v>59569197099.7877</v>
      </c>
      <c r="AE6" s="13" t="n">
        <v>67784763718.2579</v>
      </c>
      <c r="AF6" s="13" t="n">
        <v>76298079730.8832</v>
      </c>
      <c r="AG6" s="13" t="n">
        <v>87669370161.4789</v>
      </c>
      <c r="AH6" s="13" t="n">
        <v>86708687217.7376</v>
      </c>
      <c r="AI6" s="13" t="n">
        <v>80242875486.0645</v>
      </c>
      <c r="AJ6" s="13" t="n">
        <v>95977068450.2708</v>
      </c>
      <c r="AK6" s="13" t="n">
        <v>87950349205.4497</v>
      </c>
      <c r="AL6" s="13" t="n">
        <v>88049335449.7384</v>
      </c>
      <c r="AM6" s="13" t="n">
        <v>78116203323.329</v>
      </c>
      <c r="AN6" s="13" t="n">
        <v>78314159919.9366</v>
      </c>
      <c r="AO6" s="13" t="n">
        <v>86830803812.4669</v>
      </c>
      <c r="AP6" s="13" t="n">
        <v>103027095190.357</v>
      </c>
      <c r="AQ6" s="13" t="n">
        <v>101019516969.472</v>
      </c>
      <c r="AR6" s="13" t="n">
        <v>113704998205.886</v>
      </c>
      <c r="AS6" s="13" t="n">
        <v>141839153044.574</v>
      </c>
      <c r="AT6" s="13" t="n">
        <v>103263739434.542</v>
      </c>
      <c r="AU6" s="13" t="n">
        <v>115120809639.107</v>
      </c>
      <c r="AV6" s="13" t="n">
        <v>141682797935.307</v>
      </c>
      <c r="AW6" s="13" t="n">
        <v>124208621679.185</v>
      </c>
      <c r="AX6" s="13" t="n">
        <v>63783501911.96</v>
      </c>
      <c r="AY6" s="13"/>
    </row>
    <row r="7">
      <c r="A7" t="str">
        <f>M7</f>
      </c>
      <c r="B7" t="str">
        <f>N7</f>
      </c>
      <c r="M7" t="s">
        <v>118</v>
      </c>
      <c r="N7" t="s">
        <v>86</v>
      </c>
      <c r="O7" s="13" t="n">
        <v>4834000</v>
      </c>
      <c r="P7" s="13" t="n">
        <v>3478000</v>
      </c>
      <c r="Q7" s="13" t="n">
        <v>4352000</v>
      </c>
      <c r="R7" s="13" t="n">
        <v>9498000</v>
      </c>
      <c r="S7" s="13" t="n">
        <v>3922000</v>
      </c>
      <c r="T7" s="13" t="n">
        <v>17507000</v>
      </c>
      <c r="U7" s="13" t="n">
        <v>35696000</v>
      </c>
      <c r="V7" s="13" t="n">
        <v>420441040</v>
      </c>
      <c r="W7" s="13" t="n">
        <v>513227101.5</v>
      </c>
      <c r="X7" s="13" t="n">
        <v>615369460.54</v>
      </c>
      <c r="Y7" s="13" t="n">
        <v>5124083333.953</v>
      </c>
      <c r="Z7" s="13" t="n">
        <v>6275910906.299</v>
      </c>
      <c r="AA7" s="13" t="n">
        <v>8264606004.1794</v>
      </c>
      <c r="AB7" s="13" t="n">
        <v>10703281172.7507</v>
      </c>
      <c r="AC7" s="13" t="n">
        <v>10222388708.2977</v>
      </c>
      <c r="AD7" s="13" t="n">
        <v>12874685793.2682</v>
      </c>
      <c r="AE7" s="13" t="n">
        <v>14002334722.1156</v>
      </c>
      <c r="AF7" s="13" t="n">
        <v>13486353947.9543</v>
      </c>
      <c r="AG7" s="13" t="n">
        <v>17732796252.5386</v>
      </c>
      <c r="AH7" s="13" t="n">
        <v>20671586488.9453</v>
      </c>
      <c r="AI7" s="13" t="n">
        <v>20113511234.81</v>
      </c>
      <c r="AJ7" s="13" t="n">
        <v>22860842126.8806</v>
      </c>
      <c r="AK7" s="13" t="n">
        <v>22638608870.7252</v>
      </c>
      <c r="AL7" s="13" t="n">
        <v>20706724339.675</v>
      </c>
      <c r="AM7" s="13" t="n">
        <v>21284876490.2422</v>
      </c>
      <c r="AN7" s="13" t="n">
        <v>20015467687.2675</v>
      </c>
      <c r="AO7" s="13" t="n">
        <v>20573567132.2217</v>
      </c>
      <c r="AP7" s="13" t="n">
        <v>21963983429.1028</v>
      </c>
      <c r="AQ7" s="13" t="n">
        <v>23146050554.2316</v>
      </c>
      <c r="AR7" s="13" t="n">
        <v>25748541007.8728</v>
      </c>
      <c r="AS7" s="13" t="n">
        <v>26436136031.4718</v>
      </c>
      <c r="AT7" s="13" t="n">
        <v>25586668885.4696</v>
      </c>
      <c r="AU7" s="13" t="n">
        <v>27029135533.9017</v>
      </c>
      <c r="AV7" s="13" t="n">
        <v>27519857754.4758</v>
      </c>
      <c r="AW7" s="13" t="n">
        <v>27904516416.45</v>
      </c>
      <c r="AX7" s="13" t="n">
        <v>13675704803.78</v>
      </c>
      <c r="AY7" s="13"/>
    </row>
    <row r="8">
      <c r="A8" t="str">
        <f>M8</f>
      </c>
      <c r="B8" t="str">
        <f>N8</f>
      </c>
      <c r="M8" t="s">
        <v>119</v>
      </c>
      <c r="N8" t="s">
        <v>80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 t="n">
        <v>0</v>
      </c>
      <c r="Z8" s="13" t="n">
        <v>0</v>
      </c>
      <c r="AA8" s="13" t="n">
        <v>96463622</v>
      </c>
      <c r="AB8" s="13" t="n">
        <v>152546003</v>
      </c>
      <c r="AC8" s="13" t="n">
        <v>395301213.29</v>
      </c>
      <c r="AD8" s="13" t="n">
        <v>133173391.125</v>
      </c>
      <c r="AE8" s="13" t="n">
        <v>27481406</v>
      </c>
      <c r="AF8" s="13" t="n">
        <v>28084285.1531</v>
      </c>
      <c r="AG8" s="13" t="n">
        <v>46336957.4171</v>
      </c>
      <c r="AH8" s="13" t="n">
        <v>37948239.0465</v>
      </c>
      <c r="AI8" s="13" t="n">
        <v>46986030.5988</v>
      </c>
      <c r="AJ8" s="13" t="n">
        <v>227243886.9732</v>
      </c>
      <c r="AK8" s="13" t="n">
        <v>235708810.7472</v>
      </c>
      <c r="AL8" s="13" t="n">
        <v>82389110.695</v>
      </c>
      <c r="AM8" s="13" t="n">
        <v>25079569.41</v>
      </c>
      <c r="AN8" s="13" t="n">
        <v>18225507.72</v>
      </c>
      <c r="AO8" s="13" t="n">
        <v>10529618.8774</v>
      </c>
      <c r="AP8" s="13" t="n">
        <v>917834.1066</v>
      </c>
      <c r="AQ8" s="13" t="n">
        <v>443717.6305</v>
      </c>
      <c r="AR8" s="13" t="n">
        <v>35946.4902</v>
      </c>
      <c r="AS8" s="13" t="n">
        <v>3186519.35</v>
      </c>
      <c r="AT8" s="13" t="n">
        <v>21532206.81</v>
      </c>
      <c r="AU8" s="13" t="n">
        <v>31669214.69</v>
      </c>
      <c r="AV8" s="13" t="n">
        <v>16261872.5892</v>
      </c>
      <c r="AW8" s="13" t="n">
        <v>2869178.35</v>
      </c>
      <c r="AX8" s="13" t="n">
        <v>336702.99</v>
      </c>
      <c r="AY8" s="13"/>
    </row>
    <row r="9">
      <c r="A9" t="str">
        <f>M9</f>
      </c>
      <c r="B9" t="str">
        <f>N9</f>
      </c>
      <c r="M9" t="s">
        <v>119</v>
      </c>
      <c r="N9" t="s">
        <v>81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 t="n">
        <v>1319748</v>
      </c>
      <c r="Z9" s="13" t="n">
        <v>-326562</v>
      </c>
      <c r="AA9" s="13" t="n">
        <v>66788370</v>
      </c>
      <c r="AB9" s="13" t="n">
        <v>97672809.4297</v>
      </c>
      <c r="AC9" s="13" t="n">
        <v>322399610</v>
      </c>
      <c r="AD9" s="13" t="n">
        <v>560522486.24</v>
      </c>
      <c r="AE9" s="13" t="n">
        <v>358187275.2813</v>
      </c>
      <c r="AF9" s="13" t="n">
        <v>625933881.9439</v>
      </c>
      <c r="AG9" s="13" t="n">
        <v>736925148.0199</v>
      </c>
      <c r="AH9" s="13" t="n">
        <v>541068780.7809</v>
      </c>
      <c r="AI9" s="13" t="n">
        <v>142683653.6853</v>
      </c>
      <c r="AJ9" s="13" t="n">
        <v>212299271.6502</v>
      </c>
      <c r="AK9" s="13" t="n">
        <v>267919169.3539</v>
      </c>
      <c r="AL9" s="13" t="n">
        <v>227457223.7214</v>
      </c>
      <c r="AM9" s="13" t="n">
        <v>74259354.6449</v>
      </c>
      <c r="AN9" s="13" t="n">
        <v>44031076.6517</v>
      </c>
      <c r="AO9" s="13" t="n">
        <v>54646283.3761</v>
      </c>
      <c r="AP9" s="13" t="n">
        <v>20866052.1757</v>
      </c>
      <c r="AQ9" s="13" t="n">
        <v>105175015.8324</v>
      </c>
      <c r="AR9" s="13" t="n">
        <v>101687937.4501</v>
      </c>
      <c r="AS9" s="13" t="n">
        <v>-2040216.3673</v>
      </c>
      <c r="AT9" s="13" t="n">
        <v>-258722.2729</v>
      </c>
      <c r="AU9" s="13" t="n">
        <v>-3434867.5615</v>
      </c>
      <c r="AV9" s="13" t="n">
        <v>-931190.0078</v>
      </c>
      <c r="AW9" s="13" t="n">
        <v>917315.5</v>
      </c>
      <c r="AX9" s="13" t="n">
        <v>152312.66</v>
      </c>
      <c r="AY9" s="13"/>
    </row>
    <row r="10">
      <c r="A10" t="str">
        <f>M10</f>
      </c>
      <c r="B10" t="str">
        <f>N10</f>
      </c>
      <c r="M10" t="s">
        <v>119</v>
      </c>
      <c r="N10" t="s">
        <v>82</v>
      </c>
      <c r="O10" s="13"/>
      <c r="P10" s="13"/>
      <c r="Q10" s="13"/>
      <c r="R10" s="13"/>
      <c r="S10" s="13"/>
      <c r="T10" s="13"/>
      <c r="U10" s="13"/>
      <c r="V10" s="13"/>
      <c r="W10" s="13" t="n">
        <v>555200</v>
      </c>
      <c r="X10" s="13"/>
      <c r="Y10" s="13" t="n">
        <v>24935010</v>
      </c>
      <c r="Z10" s="13"/>
      <c r="AA10" s="13" t="n">
        <v>56160</v>
      </c>
      <c r="AB10" s="13" t="n">
        <v>8006128</v>
      </c>
      <c r="AC10" s="13" t="n">
        <v>2269047</v>
      </c>
      <c r="AD10" s="13" t="n">
        <v>13605860.47</v>
      </c>
      <c r="AE10" s="13" t="n">
        <v>24234661</v>
      </c>
      <c r="AF10" s="13" t="n">
        <v>49730045.8701</v>
      </c>
      <c r="AG10" s="13" t="n">
        <v>45876418.68</v>
      </c>
      <c r="AH10" s="13" t="n">
        <v>21471821.9168</v>
      </c>
      <c r="AI10" s="13" t="n">
        <v>22838707.3105</v>
      </c>
      <c r="AJ10" s="13" t="n">
        <v>52176061.0384</v>
      </c>
      <c r="AK10" s="13" t="n">
        <v>23133492.8503</v>
      </c>
      <c r="AL10" s="13" t="n">
        <v>207441998.22</v>
      </c>
      <c r="AM10" s="13" t="n">
        <v>15332494.56</v>
      </c>
      <c r="AN10" s="13" t="n">
        <v>26131302.4402</v>
      </c>
      <c r="AO10" s="13" t="n">
        <v>10327549.8218</v>
      </c>
      <c r="AP10" s="13" t="n">
        <v>8514832.6742</v>
      </c>
      <c r="AQ10" s="13" t="n">
        <v>24972062.09</v>
      </c>
      <c r="AR10" s="13" t="n">
        <v>-2042510.3401</v>
      </c>
      <c r="AS10" s="13" t="n">
        <v>12602145.27</v>
      </c>
      <c r="AT10" s="13" t="n">
        <v>63497471.94</v>
      </c>
      <c r="AU10" s="13" t="n">
        <v>11082560.365</v>
      </c>
      <c r="AV10" s="13" t="n">
        <v>15555474.2025</v>
      </c>
      <c r="AW10" s="13" t="n">
        <v>7903994.22</v>
      </c>
      <c r="AX10" s="13" t="n">
        <v>7762241.31</v>
      </c>
      <c r="AY10" s="13"/>
    </row>
    <row r="11">
      <c r="A11" t="str">
        <f>M11</f>
      </c>
      <c r="B11" t="str">
        <f>N11</f>
      </c>
      <c r="M11" t="s">
        <v>119</v>
      </c>
      <c r="N11" t="s">
        <v>84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 t="n">
        <v>51312235.1602</v>
      </c>
      <c r="AI11" s="13" t="n">
        <v>500000</v>
      </c>
      <c r="AJ11" s="13"/>
      <c r="AK11" s="13"/>
      <c r="AL11" s="13"/>
      <c r="AM11" s="13"/>
      <c r="AN11" s="13" t="n">
        <v>24065.5</v>
      </c>
      <c r="AO11" s="13" t="n">
        <v>21247.73</v>
      </c>
      <c r="AP11" s="13"/>
      <c r="AQ11" s="13"/>
      <c r="AR11" s="13"/>
      <c r="AS11" s="13" t="n">
        <v>-1007.98</v>
      </c>
      <c r="AT11" s="13"/>
      <c r="AU11" s="13"/>
      <c r="AV11" s="13"/>
      <c r="AW11" s="13"/>
      <c r="AX11" s="13"/>
      <c r="AY11" s="13"/>
    </row>
    <row r="12">
      <c r="A12" t="str">
        <f>M12</f>
      </c>
      <c r="B12" t="str">
        <f>N12</f>
      </c>
      <c r="M12" t="s">
        <v>119</v>
      </c>
      <c r="N12" t="s">
        <v>85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 t="n">
        <v>49690772</v>
      </c>
      <c r="AB12" s="13" t="n">
        <v>533648387</v>
      </c>
      <c r="AC12" s="13" t="n">
        <v>287858343.25</v>
      </c>
      <c r="AD12" s="13" t="n">
        <v>237196295.61</v>
      </c>
      <c r="AE12" s="13" t="n">
        <v>96580266.3895</v>
      </c>
      <c r="AF12" s="13" t="n">
        <v>3982736.3001</v>
      </c>
      <c r="AG12" s="13" t="n">
        <v>11657089.6929</v>
      </c>
      <c r="AH12" s="13" t="n">
        <v>2409556.5923</v>
      </c>
      <c r="AI12" s="13" t="n">
        <v>41044379.4958</v>
      </c>
      <c r="AJ12" s="13" t="n">
        <v>398019612.8763</v>
      </c>
      <c r="AK12" s="13" t="n">
        <v>44811839.4983</v>
      </c>
      <c r="AL12" s="13" t="n">
        <v>38037047.2519</v>
      </c>
      <c r="AM12" s="13" t="n">
        <v>39009352.5426</v>
      </c>
      <c r="AN12" s="13" t="n">
        <v>26678517.505</v>
      </c>
      <c r="AO12" s="13" t="n">
        <v>30203009.489</v>
      </c>
      <c r="AP12" s="13" t="n">
        <v>13561319.8333</v>
      </c>
      <c r="AQ12" s="13" t="n">
        <v>26729499.4703</v>
      </c>
      <c r="AR12" s="13" t="n">
        <v>27810959.019</v>
      </c>
      <c r="AS12" s="13" t="n">
        <v>12530350.0835</v>
      </c>
      <c r="AT12" s="13" t="n">
        <v>1295489.1226</v>
      </c>
      <c r="AU12" s="13" t="n">
        <v>92693.9795</v>
      </c>
      <c r="AV12" s="13" t="n">
        <v>21274.86</v>
      </c>
      <c r="AW12" s="13" t="n">
        <v>54373.59</v>
      </c>
      <c r="AX12" s="13" t="n">
        <v>-111307</v>
      </c>
      <c r="AY12" s="13"/>
    </row>
    <row r="13">
      <c r="A13" t="str">
        <f>M13</f>
      </c>
      <c r="B13" t="str">
        <f>N13</f>
      </c>
      <c r="M13" t="s">
        <v>119</v>
      </c>
      <c r="N13" t="s">
        <v>86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 t="n">
        <v>5400</v>
      </c>
      <c r="Z13" s="13" t="n">
        <v>4324</v>
      </c>
      <c r="AA13" s="13" t="n">
        <v>17944654</v>
      </c>
      <c r="AB13" s="13" t="n">
        <v>17306067</v>
      </c>
      <c r="AC13" s="13" t="n">
        <v>103595757</v>
      </c>
      <c r="AD13" s="13" t="n">
        <v>9801914</v>
      </c>
      <c r="AE13" s="13" t="n">
        <v>10447743.5</v>
      </c>
      <c r="AF13" s="13" t="n">
        <v>17004808</v>
      </c>
      <c r="AG13" s="13" t="n">
        <v>21920973.9498</v>
      </c>
      <c r="AH13" s="13" t="n">
        <v>11004235.2612</v>
      </c>
      <c r="AI13" s="13" t="n">
        <v>134115500.0919</v>
      </c>
      <c r="AJ13" s="13" t="n">
        <v>175932802.7596</v>
      </c>
      <c r="AK13" s="13" t="n">
        <v>149958888.5289</v>
      </c>
      <c r="AL13" s="13" t="n">
        <v>113082745.0601</v>
      </c>
      <c r="AM13" s="13" t="n">
        <v>124308597.1951</v>
      </c>
      <c r="AN13" s="13" t="n">
        <v>3462144.6483</v>
      </c>
      <c r="AO13" s="13" t="n">
        <v>-617116.0124</v>
      </c>
      <c r="AP13" s="13" t="n">
        <v>-663050.9511</v>
      </c>
      <c r="AQ13" s="13" t="n">
        <v>-5363995.2987</v>
      </c>
      <c r="AR13" s="13" t="n">
        <v>-108740.54</v>
      </c>
      <c r="AS13" s="13" t="n">
        <v>5306681.43</v>
      </c>
      <c r="AT13" s="13" t="n">
        <v>3935722</v>
      </c>
      <c r="AU13" s="13" t="n">
        <v>5507470.25</v>
      </c>
      <c r="AV13" s="13" t="n">
        <v>-148521.52</v>
      </c>
      <c r="AW13" s="13" t="n">
        <v>0</v>
      </c>
      <c r="AX13" s="13" t="n">
        <v>0</v>
      </c>
      <c r="AY13" s="13"/>
    </row>
    <row r="14">
      <c r="A14" t="str">
        <f>M14</f>
      </c>
      <c r="B14" t="str">
        <f>N14</f>
      </c>
      <c r="M14" t="s">
        <v>120</v>
      </c>
      <c r="N14" t="s">
        <v>80</v>
      </c>
      <c r="O14" s="13"/>
      <c r="P14" s="13"/>
      <c r="Q14" s="13"/>
      <c r="R14" s="13"/>
      <c r="S14" s="13"/>
      <c r="T14" s="13" t="n">
        <v>0</v>
      </c>
      <c r="U14" s="13" t="n">
        <v>0</v>
      </c>
      <c r="V14" s="13" t="n">
        <v>669318355</v>
      </c>
      <c r="W14" s="13" t="n">
        <v>238722703</v>
      </c>
      <c r="X14" s="13" t="n">
        <v>722021742</v>
      </c>
      <c r="Y14" s="13" t="n">
        <v>3791720784.9792</v>
      </c>
      <c r="Z14" s="13" t="n">
        <v>5045417820.1533</v>
      </c>
      <c r="AA14" s="13" t="n">
        <v>7894253339.6702</v>
      </c>
      <c r="AB14" s="13" t="n">
        <v>9725009428.7227</v>
      </c>
      <c r="AC14" s="13" t="n">
        <v>11341331928.0036</v>
      </c>
      <c r="AD14" s="13" t="n">
        <v>9550824014.9314</v>
      </c>
      <c r="AE14" s="13" t="n">
        <v>8584645594.3247</v>
      </c>
      <c r="AF14" s="13" t="n">
        <v>9692339064.6307</v>
      </c>
      <c r="AG14" s="13" t="n">
        <v>9029934287.6504</v>
      </c>
      <c r="AH14" s="13" t="n">
        <v>9477587146.4876</v>
      </c>
      <c r="AI14" s="13" t="n">
        <v>8908400188.3526</v>
      </c>
      <c r="AJ14" s="13" t="n">
        <v>8245456620.6347</v>
      </c>
      <c r="AK14" s="13" t="n">
        <v>6954859115.1762</v>
      </c>
      <c r="AL14" s="13" t="n">
        <v>6039425803.0487</v>
      </c>
      <c r="AM14" s="13" t="n">
        <v>5978972991.5463</v>
      </c>
      <c r="AN14" s="13" t="n">
        <v>5710669257.9692</v>
      </c>
      <c r="AO14" s="13" t="n">
        <v>6720411084.2465</v>
      </c>
      <c r="AP14" s="13" t="n">
        <v>6876677103.5739</v>
      </c>
      <c r="AQ14" s="13" t="n">
        <v>7696832454.0761</v>
      </c>
      <c r="AR14" s="13" t="n">
        <v>8568698908.9329</v>
      </c>
      <c r="AS14" s="13" t="n">
        <v>10621804440.1795</v>
      </c>
      <c r="AT14" s="13" t="n">
        <v>11914976180.341</v>
      </c>
      <c r="AU14" s="13" t="n">
        <v>12496395755.1849</v>
      </c>
      <c r="AV14" s="13" t="n">
        <v>13521417956.5186</v>
      </c>
      <c r="AW14" s="13" t="n">
        <v>15842706598.5606</v>
      </c>
      <c r="AX14" s="13" t="n">
        <v>6419851562.6</v>
      </c>
      <c r="AY14" s="13"/>
    </row>
    <row r="15">
      <c r="A15" t="str">
        <f>M15</f>
      </c>
      <c r="B15" t="str">
        <f>N15</f>
      </c>
      <c r="M15" t="s">
        <v>120</v>
      </c>
      <c r="N15" t="s">
        <v>81</v>
      </c>
      <c r="O15" s="13" t="n">
        <v>12487000</v>
      </c>
      <c r="P15" s="13"/>
      <c r="Q15" s="13"/>
      <c r="R15" s="13"/>
      <c r="S15" s="13"/>
      <c r="T15" s="13"/>
      <c r="U15" s="13"/>
      <c r="V15" s="13" t="n">
        <v>205133649</v>
      </c>
      <c r="W15" s="13" t="n">
        <v>241574833</v>
      </c>
      <c r="X15" s="13" t="n">
        <v>652880477.6</v>
      </c>
      <c r="Y15" s="13" t="n">
        <v>3655703612.8933</v>
      </c>
      <c r="Z15" s="13" t="n">
        <v>4474549082.1569</v>
      </c>
      <c r="AA15" s="13" t="n">
        <v>7041221490.1605</v>
      </c>
      <c r="AB15" s="13" t="n">
        <v>11062641633.7626</v>
      </c>
      <c r="AC15" s="13" t="n">
        <v>16387229518.0399</v>
      </c>
      <c r="AD15" s="13" t="n">
        <v>13751345339.3401</v>
      </c>
      <c r="AE15" s="13" t="n">
        <v>18771875063.4314</v>
      </c>
      <c r="AF15" s="13" t="n">
        <v>26525913690.8893</v>
      </c>
      <c r="AG15" s="13" t="n">
        <v>34091021707.3264</v>
      </c>
      <c r="AH15" s="13" t="n">
        <v>24570043236.3813</v>
      </c>
      <c r="AI15" s="13" t="n">
        <v>23427467709.7086</v>
      </c>
      <c r="AJ15" s="13" t="n">
        <v>20498404096.2138</v>
      </c>
      <c r="AK15" s="13" t="n">
        <v>16732308291.9892</v>
      </c>
      <c r="AL15" s="13" t="n">
        <v>13216870592.4377</v>
      </c>
      <c r="AM15" s="13" t="n">
        <v>12531034237.3697</v>
      </c>
      <c r="AN15" s="13" t="n">
        <v>13035773213.631</v>
      </c>
      <c r="AO15" s="13" t="n">
        <v>12718752295.0655</v>
      </c>
      <c r="AP15" s="13" t="n">
        <v>13427112457.3199</v>
      </c>
      <c r="AQ15" s="13" t="n">
        <v>13999889174.3307</v>
      </c>
      <c r="AR15" s="13" t="n">
        <v>15392456348.4699</v>
      </c>
      <c r="AS15" s="13" t="n">
        <v>18333809105.7255</v>
      </c>
      <c r="AT15" s="13" t="n">
        <v>44734658439.8118</v>
      </c>
      <c r="AU15" s="13" t="n">
        <v>43538256543.4933</v>
      </c>
      <c r="AV15" s="13" t="n">
        <v>17537531960.5708</v>
      </c>
      <c r="AW15" s="13" t="n">
        <v>15915019969.45</v>
      </c>
      <c r="AX15" s="13" t="n">
        <v>6753500122.84</v>
      </c>
      <c r="AY15" s="13"/>
    </row>
    <row r="16">
      <c r="A16" t="str">
        <f>M16</f>
      </c>
      <c r="B16" t="str">
        <f>N16</f>
      </c>
      <c r="M16" t="s">
        <v>120</v>
      </c>
      <c r="N16" t="s">
        <v>82</v>
      </c>
      <c r="O16" s="13"/>
      <c r="P16" s="13"/>
      <c r="Q16" s="13"/>
      <c r="R16" s="13"/>
      <c r="S16" s="13"/>
      <c r="T16" s="13"/>
      <c r="U16" s="13" t="n">
        <v>0</v>
      </c>
      <c r="V16" s="13" t="n">
        <v>2133079</v>
      </c>
      <c r="W16" s="13" t="n">
        <v>48271000</v>
      </c>
      <c r="X16" s="13" t="n">
        <v>307143060</v>
      </c>
      <c r="Y16" s="13" t="n">
        <v>5556183332.3198</v>
      </c>
      <c r="Z16" s="13" t="n">
        <v>6997694567.0318</v>
      </c>
      <c r="AA16" s="13" t="n">
        <v>9724749053</v>
      </c>
      <c r="AB16" s="13" t="n">
        <v>11343338363.5085</v>
      </c>
      <c r="AC16" s="13" t="n">
        <v>13664955892.1473</v>
      </c>
      <c r="AD16" s="13" t="n">
        <v>5693585325.0071</v>
      </c>
      <c r="AE16" s="13" t="n">
        <v>9541833845.5334</v>
      </c>
      <c r="AF16" s="13" t="n">
        <v>19663253528.3385</v>
      </c>
      <c r="AG16" s="13" t="n">
        <v>27046273919.7412</v>
      </c>
      <c r="AH16" s="13" t="n">
        <v>26808524254.9002</v>
      </c>
      <c r="AI16" s="13" t="n">
        <v>21751954510.176</v>
      </c>
      <c r="AJ16" s="13" t="n">
        <v>22919209951.6275</v>
      </c>
      <c r="AK16" s="13" t="n">
        <v>29557556182.5964</v>
      </c>
      <c r="AL16" s="13" t="n">
        <v>22285211441.2152</v>
      </c>
      <c r="AM16" s="13" t="n">
        <v>20184468874.7404</v>
      </c>
      <c r="AN16" s="13" t="n">
        <v>17104877492.8843</v>
      </c>
      <c r="AO16" s="13" t="n">
        <v>13805036504.7494</v>
      </c>
      <c r="AP16" s="13" t="n">
        <v>17120390071.1658</v>
      </c>
      <c r="AQ16" s="13" t="n">
        <v>22913347369.5083</v>
      </c>
      <c r="AR16" s="13" t="n">
        <v>21730065270.9728</v>
      </c>
      <c r="AS16" s="13" t="n">
        <v>22499168421.3496</v>
      </c>
      <c r="AT16" s="13" t="n">
        <v>22880268333.3276</v>
      </c>
      <c r="AU16" s="13" t="n">
        <v>30536438764.9793</v>
      </c>
      <c r="AV16" s="13" t="n">
        <v>31477263940.2709</v>
      </c>
      <c r="AW16" s="13" t="n">
        <v>31248657246.12</v>
      </c>
      <c r="AX16" s="13" t="n">
        <v>11901659653.66</v>
      </c>
      <c r="AY16" s="13"/>
    </row>
    <row r="17">
      <c r="A17" t="str">
        <f>M17</f>
      </c>
      <c r="B17" t="str">
        <f>N17</f>
      </c>
      <c r="M17" t="s">
        <v>120</v>
      </c>
      <c r="N17" t="s">
        <v>84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 t="n">
        <v>1301022</v>
      </c>
      <c r="Z17" s="13" t="n">
        <v>3167673</v>
      </c>
      <c r="AA17" s="13" t="n">
        <v>27002767</v>
      </c>
      <c r="AB17" s="13" t="n">
        <v>51804452.75</v>
      </c>
      <c r="AC17" s="13" t="n">
        <v>62557695.5859</v>
      </c>
      <c r="AD17" s="13" t="n">
        <v>73091282</v>
      </c>
      <c r="AE17" s="13" t="n">
        <v>79218294</v>
      </c>
      <c r="AF17" s="13" t="n">
        <v>116579183.3834</v>
      </c>
      <c r="AG17" s="13" t="n">
        <v>95204838.6129</v>
      </c>
      <c r="AH17" s="13" t="n">
        <v>128253786.8586</v>
      </c>
      <c r="AI17" s="13" t="n">
        <v>119697404.4413</v>
      </c>
      <c r="AJ17" s="13" t="n">
        <v>64185257.343</v>
      </c>
      <c r="AK17" s="13" t="n">
        <v>26383148.0753</v>
      </c>
      <c r="AL17" s="13" t="n">
        <v>17086448.5319</v>
      </c>
      <c r="AM17" s="13" t="n">
        <v>15285505.31</v>
      </c>
      <c r="AN17" s="13" t="n">
        <v>15516018.4203</v>
      </c>
      <c r="AO17" s="13" t="n">
        <v>25050492.3443</v>
      </c>
      <c r="AP17" s="13" t="n">
        <v>34282436.0987</v>
      </c>
      <c r="AQ17" s="13" t="n">
        <v>50050319.0013</v>
      </c>
      <c r="AR17" s="13" t="n">
        <v>77014185.5992</v>
      </c>
      <c r="AS17" s="13" t="n">
        <v>80492322.7806</v>
      </c>
      <c r="AT17" s="13" t="n">
        <v>78259983.5596</v>
      </c>
      <c r="AU17" s="13" t="n">
        <v>76896306.3972</v>
      </c>
      <c r="AV17" s="13" t="n">
        <v>73229862.9829</v>
      </c>
      <c r="AW17" s="13" t="n">
        <v>92045296.98</v>
      </c>
      <c r="AX17" s="13" t="n">
        <v>38893720.74</v>
      </c>
      <c r="AY17" s="13"/>
    </row>
    <row r="18">
      <c r="A18" t="str">
        <f>M18</f>
      </c>
      <c r="B18" t="str">
        <f>N18</f>
      </c>
      <c r="M18" t="s">
        <v>120</v>
      </c>
      <c r="N18" t="s">
        <v>85</v>
      </c>
      <c r="O18" s="13"/>
      <c r="P18" s="13"/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38000</v>
      </c>
      <c r="V18" s="13" t="n">
        <v>168586712</v>
      </c>
      <c r="W18" s="13" t="n">
        <v>148036848</v>
      </c>
      <c r="X18" s="13" t="n">
        <v>379910590</v>
      </c>
      <c r="Y18" s="13" t="n">
        <v>2313722705.7397</v>
      </c>
      <c r="Z18" s="13" t="n">
        <v>2589179234.6423</v>
      </c>
      <c r="AA18" s="13" t="n">
        <v>5032730827.3493</v>
      </c>
      <c r="AB18" s="13" t="n">
        <v>5973518634.5491</v>
      </c>
      <c r="AC18" s="13" t="n">
        <v>7266692376.5588</v>
      </c>
      <c r="AD18" s="13" t="n">
        <v>5777390364.6475</v>
      </c>
      <c r="AE18" s="13" t="n">
        <v>7048738161.3076</v>
      </c>
      <c r="AF18" s="13" t="n">
        <v>9470259356.6497</v>
      </c>
      <c r="AG18" s="13" t="n">
        <v>8746001620.5283</v>
      </c>
      <c r="AH18" s="13" t="n">
        <v>9040505779.6378</v>
      </c>
      <c r="AI18" s="13" t="n">
        <v>7814331973.4159</v>
      </c>
      <c r="AJ18" s="13" t="n">
        <v>7704219066.8298</v>
      </c>
      <c r="AK18" s="13" t="n">
        <v>6617288299.0203</v>
      </c>
      <c r="AL18" s="13" t="n">
        <v>6291785766.8934</v>
      </c>
      <c r="AM18" s="13" t="n">
        <v>5969348236.3844</v>
      </c>
      <c r="AN18" s="13" t="n">
        <v>6396600759.2125</v>
      </c>
      <c r="AO18" s="13" t="n">
        <v>6348904647.5694</v>
      </c>
      <c r="AP18" s="13" t="n">
        <v>6569219164.4598</v>
      </c>
      <c r="AQ18" s="13" t="n">
        <v>7214483099.1633</v>
      </c>
      <c r="AR18" s="13" t="n">
        <v>8093044272.5559</v>
      </c>
      <c r="AS18" s="13" t="n">
        <v>8486255800.6307</v>
      </c>
      <c r="AT18" s="13" t="n">
        <v>8503008687.4519</v>
      </c>
      <c r="AU18" s="13" t="n">
        <v>8870927654.4704</v>
      </c>
      <c r="AV18" s="13" t="n">
        <v>10141219591.4974</v>
      </c>
      <c r="AW18" s="13" t="n">
        <v>10335167110.3365</v>
      </c>
      <c r="AX18" s="13" t="n">
        <v>4490242916.06</v>
      </c>
      <c r="AY18" s="13"/>
    </row>
    <row r="19">
      <c r="A19" t="str">
        <f>M19</f>
      </c>
      <c r="B19" t="str">
        <f>N19</f>
      </c>
      <c r="M19" t="s">
        <v>120</v>
      </c>
      <c r="N19" t="s">
        <v>86</v>
      </c>
      <c r="O19" s="13"/>
      <c r="P19" s="13"/>
      <c r="Q19" s="13" t="n">
        <v>0</v>
      </c>
      <c r="R19" s="13"/>
      <c r="S19" s="13"/>
      <c r="T19" s="13" t="n">
        <v>0</v>
      </c>
      <c r="U19" s="13" t="n">
        <v>0</v>
      </c>
      <c r="V19" s="13" t="n">
        <v>34148853</v>
      </c>
      <c r="W19" s="13" t="n">
        <v>26378609.82</v>
      </c>
      <c r="X19" s="13" t="n">
        <v>48097303.99</v>
      </c>
      <c r="Y19" s="13" t="n">
        <v>831939441.1014</v>
      </c>
      <c r="Z19" s="13" t="n">
        <v>1219741804.0588</v>
      </c>
      <c r="AA19" s="13" t="n">
        <v>3063408338.011</v>
      </c>
      <c r="AB19" s="13" t="n">
        <v>3838758478.9495</v>
      </c>
      <c r="AC19" s="13" t="n">
        <v>4498938890.0449</v>
      </c>
      <c r="AD19" s="13" t="n">
        <v>4232075862.9765</v>
      </c>
      <c r="AE19" s="13" t="n">
        <v>5283859859.1023</v>
      </c>
      <c r="AF19" s="13" t="n">
        <v>5054179790.5911</v>
      </c>
      <c r="AG19" s="13" t="n">
        <v>5557569461.8835</v>
      </c>
      <c r="AH19" s="13" t="n">
        <v>6418548816.0415</v>
      </c>
      <c r="AI19" s="13" t="n">
        <v>7675622573.8674</v>
      </c>
      <c r="AJ19" s="13" t="n">
        <v>8982743709.5576</v>
      </c>
      <c r="AK19" s="13" t="n">
        <v>9718177948.1602</v>
      </c>
      <c r="AL19" s="13" t="n">
        <v>8345493912.8408</v>
      </c>
      <c r="AM19" s="13" t="n">
        <v>8288840345.7024</v>
      </c>
      <c r="AN19" s="13" t="n">
        <v>8085694403.3813</v>
      </c>
      <c r="AO19" s="13" t="n">
        <v>8503225043.864</v>
      </c>
      <c r="AP19" s="13" t="n">
        <v>9233946450.1961</v>
      </c>
      <c r="AQ19" s="13" t="n">
        <v>10853207205.0435</v>
      </c>
      <c r="AR19" s="13" t="n">
        <v>12118551256.7162</v>
      </c>
      <c r="AS19" s="13" t="n">
        <v>12864501408.9676</v>
      </c>
      <c r="AT19" s="13" t="n">
        <v>12696761808.8765</v>
      </c>
      <c r="AU19" s="13" t="n">
        <v>13826496918.3418</v>
      </c>
      <c r="AV19" s="13" t="n">
        <v>15406711902.4662</v>
      </c>
      <c r="AW19" s="13" t="n">
        <v>17295233924.38</v>
      </c>
      <c r="AX19" s="13" t="n">
        <v>7631312429.75</v>
      </c>
      <c r="AY19" s="13"/>
    </row>
    <row r="20">
      <c r="A20" t="str">
        <f>M20</f>
      </c>
      <c r="B20" t="str">
        <f>N20</f>
      </c>
      <c r="M20"/>
      <c r="N20" t="s">
        <v>80</v>
      </c>
      <c r="O20" s="13" t="n">
        <v>41032316000</v>
      </c>
      <c r="P20" s="13" t="n">
        <v>43625084000</v>
      </c>
      <c r="Q20" s="13" t="n">
        <v>38602723036</v>
      </c>
      <c r="R20" s="13" t="n">
        <v>39452449414</v>
      </c>
      <c r="S20" s="13" t="n">
        <v>43554730825</v>
      </c>
      <c r="T20" s="13" t="n">
        <v>37076749369</v>
      </c>
      <c r="U20" s="13" t="n">
        <v>39081089944</v>
      </c>
      <c r="V20" s="13" t="n">
        <v>34943056076</v>
      </c>
      <c r="W20" s="13" t="n">
        <v>33653688998</v>
      </c>
      <c r="X20" s="13" t="n">
        <v>35246060466</v>
      </c>
      <c r="Y20" s="13"/>
      <c r="Z20" s="13"/>
      <c r="AA20" s="13" t="n">
        <v>10763955</v>
      </c>
      <c r="AB20" s="13"/>
      <c r="AC20" s="13"/>
      <c r="AD20" s="13"/>
      <c r="AE20" s="13"/>
      <c r="AF20" s="13"/>
      <c r="AG20" s="13"/>
      <c r="AH20" s="13" t="n">
        <v>0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 t="n">
        <v>204072.7031</v>
      </c>
      <c r="AS20" s="13" t="n">
        <v>1270102.8412</v>
      </c>
      <c r="AT20" s="13"/>
      <c r="AU20" s="13"/>
      <c r="AV20" s="13" t="n">
        <v>-96821.0594</v>
      </c>
      <c r="AW20" s="13"/>
      <c r="AX20" s="13"/>
      <c r="AY20" s="13"/>
    </row>
    <row r="21">
      <c r="A21" t="str">
        <f>M21</f>
      </c>
      <c r="B21" t="str">
        <f>N21</f>
      </c>
      <c r="M21"/>
      <c r="N21" t="s">
        <v>81</v>
      </c>
      <c r="O21" s="13" t="n">
        <v>22813033000</v>
      </c>
      <c r="P21" s="13" t="n">
        <v>34893842000</v>
      </c>
      <c r="Q21" s="13" t="n">
        <v>31113808998</v>
      </c>
      <c r="R21" s="13" t="n">
        <v>30657778464</v>
      </c>
      <c r="S21" s="13" t="n">
        <v>20628301908</v>
      </c>
      <c r="T21" s="13" t="n">
        <v>29493441926</v>
      </c>
      <c r="U21" s="13" t="n">
        <v>31662201213</v>
      </c>
      <c r="V21" s="13" t="n">
        <v>31185929950</v>
      </c>
      <c r="W21" s="13" t="n">
        <v>31088689272</v>
      </c>
      <c r="X21" s="13" t="n">
        <v>33772526734</v>
      </c>
      <c r="Y21" s="13"/>
      <c r="Z21" s="13" t="n">
        <v>723958.7</v>
      </c>
      <c r="AA21" s="13" t="n">
        <v>33600</v>
      </c>
      <c r="AB21" s="13" t="n">
        <v>43078.51</v>
      </c>
      <c r="AC21" s="13" t="n">
        <v>0</v>
      </c>
      <c r="AD21" s="13"/>
      <c r="AE21" s="13"/>
      <c r="AF21" s="13"/>
      <c r="AG21" s="13"/>
      <c r="AH21" s="13" t="n">
        <v>-100</v>
      </c>
      <c r="AI21" s="13" t="n">
        <v>-16520.32</v>
      </c>
      <c r="AJ21" s="13" t="n">
        <v>-1.11</v>
      </c>
      <c r="AK21" s="13"/>
      <c r="AL21" s="13" t="n">
        <v>0</v>
      </c>
      <c r="AM21" s="13"/>
      <c r="AN21" s="13" t="n">
        <v>1419011.54</v>
      </c>
      <c r="AO21" s="13" t="n">
        <v>3905379.6</v>
      </c>
      <c r="AP21" s="13" t="n">
        <v>2227474.32</v>
      </c>
      <c r="AQ21" s="13" t="n">
        <v>12674973.83</v>
      </c>
      <c r="AR21" s="13" t="n">
        <v>42119827.6763</v>
      </c>
      <c r="AS21" s="13" t="n">
        <v>34933135.9932</v>
      </c>
      <c r="AT21" s="13" t="n">
        <v>19354365.3057</v>
      </c>
      <c r="AU21" s="13" t="n">
        <v>12038080.1528</v>
      </c>
      <c r="AV21" s="13" t="n">
        <v>10615317.9705</v>
      </c>
      <c r="AW21" s="13" t="n">
        <v>3468829.74</v>
      </c>
      <c r="AX21" s="13" t="n">
        <v>0</v>
      </c>
      <c r="AY21" s="13"/>
    </row>
    <row r="22">
      <c r="A22" t="str">
        <f>M22</f>
      </c>
      <c r="B22" t="str">
        <f>N22</f>
      </c>
      <c r="M22"/>
      <c r="N22" t="s">
        <v>82</v>
      </c>
      <c r="O22" s="13" t="n">
        <v>9188590000</v>
      </c>
      <c r="P22" s="13" t="n">
        <v>11683472000</v>
      </c>
      <c r="Q22" s="13" t="n">
        <v>6901945039</v>
      </c>
      <c r="R22" s="13" t="n">
        <v>7925523004</v>
      </c>
      <c r="S22" s="13" t="n">
        <v>6684428944</v>
      </c>
      <c r="T22" s="13" t="n">
        <v>6635930451</v>
      </c>
      <c r="U22" s="13" t="n">
        <v>7225251729</v>
      </c>
      <c r="V22" s="13" t="n">
        <v>7958666470</v>
      </c>
      <c r="W22" s="13" t="n">
        <v>7294689216</v>
      </c>
      <c r="X22" s="13" t="n">
        <v>7746287061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 t="n">
        <v>-737745.8412</v>
      </c>
      <c r="AS22" s="13" t="n">
        <v>8990705.41</v>
      </c>
      <c r="AT22" s="13" t="n">
        <v>14777319.35</v>
      </c>
      <c r="AU22" s="13" t="n">
        <v>14844125.97</v>
      </c>
      <c r="AV22" s="13" t="n">
        <v>13298551.7912</v>
      </c>
      <c r="AW22" s="13" t="n">
        <v>10018665.94</v>
      </c>
      <c r="AX22" s="13" t="n">
        <v>4996355.79</v>
      </c>
      <c r="AY22" s="13"/>
    </row>
    <row r="23">
      <c r="A23" t="str">
        <f>M23</f>
      </c>
      <c r="B23" t="str">
        <f>N23</f>
      </c>
      <c r="M23"/>
      <c r="N23" t="s">
        <v>84</v>
      </c>
      <c r="O23" s="13"/>
      <c r="P23" s="13"/>
      <c r="Q23" s="13"/>
      <c r="R23" s="13"/>
      <c r="S23" s="13" t="n">
        <v>343747860</v>
      </c>
      <c r="T23" s="13" t="n">
        <v>251594273</v>
      </c>
      <c r="U23" s="13" t="n">
        <v>300305090</v>
      </c>
      <c r="V23" s="13" t="n">
        <v>388928264</v>
      </c>
      <c r="W23" s="13" t="n">
        <v>552081489</v>
      </c>
      <c r="X23" s="13" t="n">
        <v>925862742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>
      <c r="A24" t="str">
        <f>M24</f>
      </c>
      <c r="B24" t="str">
        <f>N24</f>
      </c>
      <c r="M24"/>
      <c r="N24" t="s">
        <v>85</v>
      </c>
      <c r="O24" s="13" t="n">
        <v>43985137405</v>
      </c>
      <c r="P24" s="13" t="n">
        <v>41939949844</v>
      </c>
      <c r="Q24" s="13" t="n">
        <v>40644252613</v>
      </c>
      <c r="R24" s="13" t="n">
        <v>37382740962</v>
      </c>
      <c r="S24" s="13" t="n">
        <v>40131318153.16</v>
      </c>
      <c r="T24" s="13" t="n">
        <v>38631569100</v>
      </c>
      <c r="U24" s="13" t="n">
        <v>35472291538</v>
      </c>
      <c r="V24" s="13" t="n">
        <v>36315651254</v>
      </c>
      <c r="W24" s="13" t="n">
        <v>37912327660</v>
      </c>
      <c r="X24" s="13" t="n">
        <v>37471174500</v>
      </c>
      <c r="Y24" s="13" t="n">
        <v>0</v>
      </c>
      <c r="Z24" s="13" t="n">
        <v>0</v>
      </c>
      <c r="AA24" s="13" t="n">
        <v>23064198.34</v>
      </c>
      <c r="AB24" s="13" t="n">
        <v>11111831.91</v>
      </c>
      <c r="AC24" s="13" t="n">
        <v>76558</v>
      </c>
      <c r="AD24" s="13" t="n">
        <v>614416.0625</v>
      </c>
      <c r="AE24" s="13" t="n">
        <v>14326.16</v>
      </c>
      <c r="AF24" s="13" t="n">
        <v>4000</v>
      </c>
      <c r="AG24" s="13" t="n">
        <v>484171.86</v>
      </c>
      <c r="AH24" s="13" t="n">
        <v>1555865.8</v>
      </c>
      <c r="AI24" s="13" t="n">
        <v>-7935905.94</v>
      </c>
      <c r="AJ24" s="13" t="n">
        <v>417165.57</v>
      </c>
      <c r="AK24" s="13" t="n">
        <v>317883.2002</v>
      </c>
      <c r="AL24" s="13" t="n">
        <v>158791</v>
      </c>
      <c r="AM24" s="13" t="n">
        <v>0</v>
      </c>
      <c r="AN24" s="13" t="n">
        <v>1435443.86</v>
      </c>
      <c r="AO24" s="13" t="n">
        <v>764297.23</v>
      </c>
      <c r="AP24" s="13" t="n">
        <v>2978691.96</v>
      </c>
      <c r="AQ24" s="13" t="n">
        <v>41700494.71</v>
      </c>
      <c r="AR24" s="13" t="n">
        <v>1869421.03</v>
      </c>
      <c r="AS24" s="13" t="n">
        <v>2119632.52</v>
      </c>
      <c r="AT24" s="13" t="n">
        <v>21130032</v>
      </c>
      <c r="AU24" s="13" t="n">
        <v>342491</v>
      </c>
      <c r="AV24" s="13" t="n">
        <v>3405765.29</v>
      </c>
      <c r="AW24" s="13" t="n">
        <v>3339850.05</v>
      </c>
      <c r="AX24" s="13" t="n">
        <v>20151130.99</v>
      </c>
      <c r="AY24" s="13"/>
    </row>
    <row r="25">
      <c r="A25" t="str">
        <f>M25</f>
      </c>
      <c r="B25" t="str">
        <f>N25</f>
      </c>
      <c r="M25"/>
      <c r="N25" t="s">
        <v>86</v>
      </c>
      <c r="O25" s="13" t="n">
        <v>3331053000</v>
      </c>
      <c r="P25" s="13" t="n">
        <v>4011846000</v>
      </c>
      <c r="Q25" s="13" t="n">
        <v>6143930864</v>
      </c>
      <c r="R25" s="13" t="n">
        <v>5954890298</v>
      </c>
      <c r="S25" s="13" t="n">
        <v>5819411448</v>
      </c>
      <c r="T25" s="13" t="n">
        <v>4502738942</v>
      </c>
      <c r="U25" s="13" t="n">
        <v>4707639584</v>
      </c>
      <c r="V25" s="13" t="n">
        <v>5189919865</v>
      </c>
      <c r="W25" s="13" t="n">
        <v>6464405532</v>
      </c>
      <c r="X25" s="13" t="n">
        <v>7023124985</v>
      </c>
      <c r="Y25" s="13"/>
      <c r="Z25" s="13" t="n">
        <v>0</v>
      </c>
      <c r="AA25" s="13"/>
      <c r="AB25" s="13" t="n">
        <v>0</v>
      </c>
      <c r="AC25" s="13"/>
      <c r="AD25" s="13"/>
      <c r="AE25" s="13"/>
      <c r="AF25" s="13"/>
      <c r="AG25" s="13"/>
      <c r="AH25" s="13" t="n">
        <v>236756.76</v>
      </c>
      <c r="AI25" s="13" t="n">
        <v>-171212.1797</v>
      </c>
      <c r="AJ25" s="13"/>
      <c r="AK25" s="13"/>
      <c r="AL25" s="13"/>
      <c r="AM25" s="13" t="n">
        <v>-558047.03</v>
      </c>
      <c r="AN25" s="13"/>
      <c r="AO25" s="13"/>
      <c r="AP25" s="13" t="n">
        <v>0</v>
      </c>
      <c r="AQ25" s="13" t="n">
        <v>1680331.5118</v>
      </c>
      <c r="AR25" s="13" t="n">
        <v>587310.5104</v>
      </c>
      <c r="AS25" s="13" t="n">
        <v>490300.3806</v>
      </c>
      <c r="AT25" s="13" t="n">
        <v>632924.625</v>
      </c>
      <c r="AU25" s="13"/>
      <c r="AV25" s="13"/>
      <c r="AW25" s="13"/>
      <c r="AX25" s="13"/>
      <c r="AY25" s="13"/>
    </row>
    <row r="26">
      <c r="A26" t="str">
        <f>M26</f>
      </c>
      <c r="B26" t="str">
        <f>N26</f>
      </c>
      <c r="M26" t="s">
        <v>43</v>
      </c>
      <c r="N26" t="s">
        <v>57</v>
      </c>
      <c r="O26" s="13" t="str">
        <f>Sum(O2:O25)</f>
      </c>
      <c r="P26" s="13" t="str">
        <f>Sum(P2:P25)</f>
      </c>
      <c r="Q26" s="13" t="str">
        <f>Sum(Q2:Q25)</f>
      </c>
      <c r="R26" s="13" t="str">
        <f>Sum(R2:R25)</f>
      </c>
      <c r="S26" s="13" t="str">
        <f>Sum(S2:S25)</f>
      </c>
      <c r="T26" s="13" t="str">
        <f>Sum(T2:T25)</f>
      </c>
      <c r="U26" s="13" t="str">
        <f>Sum(U2:U25)</f>
      </c>
      <c r="V26" s="13" t="str">
        <f>Sum(V2:V25)</f>
      </c>
      <c r="W26" s="13" t="str">
        <f>Sum(W2:W25)</f>
      </c>
      <c r="X26" s="13" t="str">
        <f>Sum(X2:X25)</f>
      </c>
      <c r="Y26" s="13" t="str">
        <f>Sum(Y2:Y25)</f>
      </c>
      <c r="Z26" s="13" t="str">
        <f>Sum(Z2:Z25)</f>
      </c>
      <c r="AA26" s="13" t="str">
        <f>Sum(AA2:AA25)</f>
      </c>
      <c r="AB26" s="13" t="str">
        <f>Sum(AB2:AB25)</f>
      </c>
      <c r="AC26" s="13" t="str">
        <f>Sum(AC2:AC25)</f>
      </c>
      <c r="AD26" s="13" t="str">
        <f>Sum(AD2:AD25)</f>
      </c>
      <c r="AE26" s="13" t="str">
        <f>Sum(AE2:AE25)</f>
      </c>
      <c r="AF26" s="13" t="str">
        <f>Sum(AF2:AF25)</f>
      </c>
      <c r="AG26" s="13" t="str">
        <f>Sum(AG2:AG25)</f>
      </c>
      <c r="AH26" s="13" t="str">
        <f>Sum(AH2:AH25)</f>
      </c>
      <c r="AI26" s="13" t="str">
        <f>Sum(AI2:AI25)</f>
      </c>
      <c r="AJ26" s="13" t="str">
        <f>Sum(AJ2:AJ25)</f>
      </c>
      <c r="AK26" s="13" t="str">
        <f>Sum(AK2:AK25)</f>
      </c>
      <c r="AL26" s="13" t="str">
        <f>Sum(AL2:AL25)</f>
      </c>
      <c r="AM26" s="13" t="str">
        <f>Sum(AM2:AM25)</f>
      </c>
      <c r="AN26" s="13" t="str">
        <f>Sum(AN2:AN25)</f>
      </c>
      <c r="AO26" s="13" t="str">
        <f>Sum(AO2:AO25)</f>
      </c>
      <c r="AP26" s="13" t="str">
        <f>Sum(AP2:AP25)</f>
      </c>
      <c r="AQ26" s="13" t="str">
        <f>Sum(AQ2:AQ25)</f>
      </c>
      <c r="AR26" s="13" t="str">
        <f>Sum(AR2:AR25)</f>
      </c>
      <c r="AS26" s="13" t="str">
        <f>Sum(AS2:AS25)</f>
      </c>
      <c r="AT26" s="13" t="str">
        <f>Sum(AT2:AT25)</f>
      </c>
      <c r="AU26" s="13" t="str">
        <f>Sum(AU2:AU25)</f>
      </c>
      <c r="AV26" s="13" t="str">
        <f>Sum(AV2:AV25)</f>
      </c>
      <c r="AW26" s="13" t="str">
        <f>Sum(AW2:AW25)</f>
      </c>
      <c r="AX26" s="13" t="str">
        <f>Sum(AX2:AX25)</f>
      </c>
      <c r="AY26" s="13"/>
    </row>
    <row r="29">
      <c r="A29" t="str">
        <f>M29</f>
      </c>
      <c r="B29" t="str">
        <f>N29</f>
      </c>
      <c r="C29" t="str">
        <f>AS29</f>
      </c>
      <c r="D29" t="str">
        <f>AV29</f>
      </c>
      <c r="E29" t="str">
        <f>AW29</f>
      </c>
      <c r="G29" t="str">
        <f>AV29&amp;"-"&amp;AW29</f>
      </c>
      <c r="H29" t="str">
        <f>AS29&amp;"-"&amp;AW29</f>
      </c>
      <c r="J29" t="str">
        <f>"Share "&amp;AW29</f>
      </c>
      <c r="M29" t="s">
        <v>116</v>
      </c>
      <c r="N29" t="s">
        <v>117</v>
      </c>
      <c r="O29" t="s">
        <v>1</v>
      </c>
      <c r="P29" t="s">
        <v>2</v>
      </c>
      <c r="Q29" t="s">
        <v>3</v>
      </c>
      <c r="R29" t="s">
        <v>4</v>
      </c>
      <c r="S29" t="s">
        <v>5</v>
      </c>
      <c r="T29" t="s">
        <v>6</v>
      </c>
      <c r="U29" t="s">
        <v>7</v>
      </c>
      <c r="V29" t="s">
        <v>8</v>
      </c>
      <c r="W29" t="s">
        <v>9</v>
      </c>
      <c r="X29" t="s">
        <v>10</v>
      </c>
      <c r="Y29" t="s">
        <v>11</v>
      </c>
      <c r="Z29" t="s">
        <v>12</v>
      </c>
      <c r="AA29" t="s">
        <v>13</v>
      </c>
      <c r="AB29" t="s">
        <v>14</v>
      </c>
      <c r="AC29" t="s">
        <v>15</v>
      </c>
      <c r="AD29" t="s">
        <v>16</v>
      </c>
      <c r="AE29" t="s">
        <v>17</v>
      </c>
      <c r="AF29" t="s">
        <v>18</v>
      </c>
      <c r="AG29" t="s">
        <v>19</v>
      </c>
      <c r="AH29" t="s">
        <v>20</v>
      </c>
      <c r="AI29" t="s">
        <v>21</v>
      </c>
      <c r="AJ29" t="s">
        <v>22</v>
      </c>
      <c r="AK29" t="s">
        <v>23</v>
      </c>
      <c r="AL29" t="s">
        <v>24</v>
      </c>
      <c r="AM29" t="s">
        <v>25</v>
      </c>
      <c r="AN29" t="s">
        <v>26</v>
      </c>
      <c r="AO29" t="s">
        <v>27</v>
      </c>
      <c r="AP29" t="s">
        <v>28</v>
      </c>
      <c r="AQ29" t="s">
        <v>29</v>
      </c>
      <c r="AR29" t="s">
        <v>30</v>
      </c>
      <c r="AS29" t="s">
        <v>31</v>
      </c>
      <c r="AT29" t="s">
        <v>32</v>
      </c>
      <c r="AU29" t="s">
        <v>33</v>
      </c>
      <c r="AV29" t="s">
        <v>34</v>
      </c>
      <c r="AW29" t="s">
        <v>35</v>
      </c>
      <c r="AX29" t="s">
        <v>36</v>
      </c>
    </row>
    <row r="30">
      <c r="A30" t="str">
        <f>M30</f>
      </c>
      <c r="B30" t="str">
        <f>N30</f>
      </c>
      <c r="C30" s="13" t="str">
        <f>AS30</f>
      </c>
      <c r="D30" s="13" t="str">
        <f>AV30</f>
      </c>
      <c r="E30" s="13" t="str">
        <f>AW30</f>
      </c>
      <c r="F30" s="13"/>
      <c r="G30" s="2" t="str">
        <f>AW30/AV30-1</f>
      </c>
      <c r="H30" s="2" t="str">
        <f>AW30/AS30-1</f>
      </c>
      <c r="I30" s="2"/>
      <c r="J30" s="2" t="str">
        <f>AW30/Sum(AW$29:AW$53)</f>
      </c>
      <c r="K30" s="2"/>
      <c r="M30" t="s">
        <v>118</v>
      </c>
      <c r="N30" t="s">
        <v>80</v>
      </c>
      <c r="O30" s="13" t="n">
        <v>2232418723.47964</v>
      </c>
      <c r="P30" s="13" t="n">
        <v>380403907.404587</v>
      </c>
      <c r="Q30" s="13" t="n">
        <v>1837404846.42524</v>
      </c>
      <c r="R30" s="13" t="n">
        <v>962249657.400257</v>
      </c>
      <c r="S30" s="13" t="n">
        <v>878786643.349092</v>
      </c>
      <c r="T30" s="13" t="n">
        <v>1299704390.85882</v>
      </c>
      <c r="U30" s="13" t="n">
        <v>559899475.963767</v>
      </c>
      <c r="V30" s="13" t="n">
        <v>13121495813.6578</v>
      </c>
      <c r="W30" s="13" t="n">
        <v>12831837478.0659</v>
      </c>
      <c r="X30" s="13" t="n">
        <v>15900606910.6049</v>
      </c>
      <c r="Y30" s="13" t="n">
        <v>57440988997.4548</v>
      </c>
      <c r="Z30" s="13" t="n">
        <v>58413094595.8153</v>
      </c>
      <c r="AA30" s="13" t="n">
        <v>63689067174.3917</v>
      </c>
      <c r="AB30" s="13" t="n">
        <v>72426370662.69</v>
      </c>
      <c r="AC30" s="13" t="n">
        <v>67048054338.2992</v>
      </c>
      <c r="AD30" s="13" t="n">
        <v>68937288964.6335</v>
      </c>
      <c r="AE30" s="13" t="n">
        <v>79324866360.8912</v>
      </c>
      <c r="AF30" s="13" t="n">
        <v>85169682753.2838</v>
      </c>
      <c r="AG30" s="13" t="n">
        <v>75694997038.021</v>
      </c>
      <c r="AH30" s="13" t="n">
        <v>80032829932.1833</v>
      </c>
      <c r="AI30" s="13" t="n">
        <v>76160668755.7625</v>
      </c>
      <c r="AJ30" s="13" t="n">
        <v>76064935868.5283</v>
      </c>
      <c r="AK30" s="13" t="n">
        <v>84277586849.3099</v>
      </c>
      <c r="AL30" s="13" t="n">
        <v>63133986850.826</v>
      </c>
      <c r="AM30" s="13" t="n">
        <v>62955350363.5191</v>
      </c>
      <c r="AN30" s="13" t="n">
        <v>58966624955.8464</v>
      </c>
      <c r="AO30" s="13" t="n">
        <v>72391575253.4356</v>
      </c>
      <c r="AP30" s="13" t="n">
        <v>66578698104.3331</v>
      </c>
      <c r="AQ30" s="13" t="n">
        <v>76632170309.5815</v>
      </c>
      <c r="AR30" s="13" t="n">
        <v>78846051773.5268</v>
      </c>
      <c r="AS30" s="13" t="n">
        <v>77928012862.4834</v>
      </c>
      <c r="AT30" s="13" t="n">
        <v>75226066800.6541</v>
      </c>
      <c r="AU30" s="13" t="n">
        <v>69304947017.0043</v>
      </c>
      <c r="AV30" s="13" t="n">
        <v>79215520721.2667</v>
      </c>
      <c r="AW30" s="13" t="n">
        <v>81828468908.9035</v>
      </c>
      <c r="AX30" s="13" t="n">
        <v>35642032952.6364</v>
      </c>
      <c r="AY30" s="13"/>
    </row>
    <row r="31">
      <c r="A31" t="str">
        <f>M31</f>
      </c>
      <c r="B31" t="str">
        <f>N31</f>
      </c>
      <c r="C31" s="13" t="str">
        <f>AS31</f>
      </c>
      <c r="D31" s="13" t="str">
        <f>AV31</f>
      </c>
      <c r="E31" s="13" t="str">
        <f>AW31</f>
      </c>
      <c r="F31" s="13"/>
      <c r="G31" s="2" t="str">
        <f>AW31/AV31-1</f>
      </c>
      <c r="H31" s="2" t="str">
        <f>AW31/AS31-1</f>
      </c>
      <c r="I31" s="2"/>
      <c r="J31" s="2" t="str">
        <f>AW31/Sum(AW$29:AW$53)</f>
      </c>
      <c r="K31" s="2"/>
      <c r="M31" t="s">
        <v>118</v>
      </c>
      <c r="N31" t="s">
        <v>81</v>
      </c>
      <c r="O31" s="13" t="n">
        <v>807805017.903483</v>
      </c>
      <c r="P31" s="13" t="n">
        <v>747672260.089926</v>
      </c>
      <c r="Q31" s="13" t="n">
        <v>613868327.895075</v>
      </c>
      <c r="R31" s="13" t="n">
        <v>571126946.413811</v>
      </c>
      <c r="S31" s="13" t="n">
        <v>317633479.633164</v>
      </c>
      <c r="T31" s="13" t="n">
        <v>488500514.391343</v>
      </c>
      <c r="U31" s="13" t="n">
        <v>657096360.765298</v>
      </c>
      <c r="V31" s="13" t="n">
        <v>9986702038.66136</v>
      </c>
      <c r="W31" s="13" t="n">
        <v>10959702538.5867</v>
      </c>
      <c r="X31" s="13" t="n">
        <v>15757573371.621</v>
      </c>
      <c r="Y31" s="13" t="n">
        <v>55773729965.2249</v>
      </c>
      <c r="Z31" s="13" t="n">
        <v>59223169025.4</v>
      </c>
      <c r="AA31" s="13" t="n">
        <v>63137080505.9362</v>
      </c>
      <c r="AB31" s="13" t="n">
        <v>84106425296.0411</v>
      </c>
      <c r="AC31" s="13" t="n">
        <v>91875021694.3562</v>
      </c>
      <c r="AD31" s="13" t="n">
        <v>122137634305.974</v>
      </c>
      <c r="AE31" s="13" t="n">
        <v>120088403650.566</v>
      </c>
      <c r="AF31" s="13" t="n">
        <v>129135958865.808</v>
      </c>
      <c r="AG31" s="13" t="n">
        <v>164065510479.877</v>
      </c>
      <c r="AH31" s="13" t="n">
        <v>167602713438.764</v>
      </c>
      <c r="AI31" s="13" t="n">
        <v>160081785619.369</v>
      </c>
      <c r="AJ31" s="13" t="n">
        <v>139863557496.022</v>
      </c>
      <c r="AK31" s="13" t="n">
        <v>120770055048.983</v>
      </c>
      <c r="AL31" s="13" t="n">
        <v>95584379814.2373</v>
      </c>
      <c r="AM31" s="13" t="n">
        <v>79351338495.0568</v>
      </c>
      <c r="AN31" s="13" t="n">
        <v>74884962013.6786</v>
      </c>
      <c r="AO31" s="13" t="n">
        <v>76240618894.8533</v>
      </c>
      <c r="AP31" s="13" t="n">
        <v>79555239701.9892</v>
      </c>
      <c r="AQ31" s="13" t="n">
        <v>92351952597.3167</v>
      </c>
      <c r="AR31" s="13" t="n">
        <v>93221110057.4968</v>
      </c>
      <c r="AS31" s="13" t="n">
        <v>95036589013.2396</v>
      </c>
      <c r="AT31" s="13" t="n">
        <v>72779220846.4569</v>
      </c>
      <c r="AU31" s="13" t="n">
        <v>72160428571.154</v>
      </c>
      <c r="AV31" s="13" t="n">
        <v>94455499098.5066</v>
      </c>
      <c r="AW31" s="13" t="n">
        <v>85947383924.9702</v>
      </c>
      <c r="AX31" s="13" t="n">
        <v>29368938946.1348</v>
      </c>
      <c r="AY31" s="13"/>
    </row>
    <row r="32">
      <c r="A32" t="str">
        <f>M32</f>
      </c>
      <c r="B32" t="str">
        <f>N32</f>
      </c>
      <c r="C32" s="13" t="str">
        <f>AS32</f>
      </c>
      <c r="D32" s="13" t="str">
        <f>AV32</f>
      </c>
      <c r="E32" s="13" t="str">
        <f>AW32</f>
      </c>
      <c r="F32" s="13"/>
      <c r="G32" s="2" t="str">
        <f>AW32/AV32-1</f>
      </c>
      <c r="H32" s="2" t="str">
        <f>AW32/AS32-1</f>
      </c>
      <c r="I32" s="2"/>
      <c r="J32" s="2" t="str">
        <f>AW32/Sum(AW$29:AW$53)</f>
      </c>
      <c r="K32" s="2"/>
      <c r="M32" t="s">
        <v>118</v>
      </c>
      <c r="N32" t="s">
        <v>82</v>
      </c>
      <c r="O32" s="13" t="n">
        <v>43841372.2233268</v>
      </c>
      <c r="P32" s="13" t="n">
        <v>59577268.9341403</v>
      </c>
      <c r="Q32" s="13" t="n">
        <v>10757589.2132698</v>
      </c>
      <c r="R32" s="13" t="n">
        <v>11300944.7976257</v>
      </c>
      <c r="S32" s="13" t="n">
        <v>14997490.7750529</v>
      </c>
      <c r="T32" s="13" t="n">
        <v>16223708.619654</v>
      </c>
      <c r="U32" s="13" t="n">
        <v>120954575.94112</v>
      </c>
      <c r="V32" s="13" t="n">
        <v>173028131.241734</v>
      </c>
      <c r="W32" s="13" t="n">
        <v>862240785.479761</v>
      </c>
      <c r="X32" s="13" t="n">
        <v>1641130709.57669</v>
      </c>
      <c r="Y32" s="13" t="n">
        <v>6723845953.68875</v>
      </c>
      <c r="Z32" s="13" t="n">
        <v>7269339830.2055</v>
      </c>
      <c r="AA32" s="13" t="n">
        <v>7864079083.39259</v>
      </c>
      <c r="AB32" s="13" t="n">
        <v>10032679768.6536</v>
      </c>
      <c r="AC32" s="13" t="n">
        <v>9212914098.148</v>
      </c>
      <c r="AD32" s="13" t="n">
        <v>33356507104.5429</v>
      </c>
      <c r="AE32" s="13" t="n">
        <v>33507409605.9391</v>
      </c>
      <c r="AF32" s="13" t="n">
        <v>15470102243.5779</v>
      </c>
      <c r="AG32" s="13" t="n">
        <v>11965144239.1311</v>
      </c>
      <c r="AH32" s="13" t="n">
        <v>15371090417.7269</v>
      </c>
      <c r="AI32" s="13" t="n">
        <v>18330718047.9452</v>
      </c>
      <c r="AJ32" s="13" t="n">
        <v>17555497452.3615</v>
      </c>
      <c r="AK32" s="13" t="n">
        <v>17784347836.1754</v>
      </c>
      <c r="AL32" s="13" t="n">
        <v>14920323541.2358</v>
      </c>
      <c r="AM32" s="13" t="n">
        <v>15355542539.9943</v>
      </c>
      <c r="AN32" s="13" t="n">
        <v>17232794195.1626</v>
      </c>
      <c r="AO32" s="13" t="n">
        <v>20374250051.1296</v>
      </c>
      <c r="AP32" s="13" t="n">
        <v>22561068926.5653</v>
      </c>
      <c r="AQ32" s="13" t="n">
        <v>26883130668.014</v>
      </c>
      <c r="AR32" s="13" t="n">
        <v>26393599442.0411</v>
      </c>
      <c r="AS32" s="13" t="n">
        <v>22688485493.2351</v>
      </c>
      <c r="AT32" s="13" t="n">
        <v>18071090855.2994</v>
      </c>
      <c r="AU32" s="13" t="n">
        <v>18554843914.6679</v>
      </c>
      <c r="AV32" s="13" t="n">
        <v>19026935028.8673</v>
      </c>
      <c r="AW32" s="13" t="n">
        <v>21228376701.286</v>
      </c>
      <c r="AX32" s="13" t="n">
        <v>11105436279.6763</v>
      </c>
      <c r="AY32" s="13"/>
    </row>
    <row r="33">
      <c r="A33" t="str">
        <f>M33</f>
      </c>
      <c r="B33" t="str">
        <f>N33</f>
      </c>
      <c r="C33" s="13" t="str">
        <f>AS33</f>
      </c>
      <c r="D33" s="13" t="str">
        <f>AV33</f>
      </c>
      <c r="E33" s="13" t="str">
        <f>AW33</f>
      </c>
      <c r="F33" s="13"/>
      <c r="G33" s="2" t="str">
        <f>AW33/AV33-1</f>
      </c>
      <c r="H33" s="2" t="str">
        <f>AW33/AS33-1</f>
      </c>
      <c r="I33" s="2"/>
      <c r="J33" s="2" t="str">
        <f>AW33/Sum(AW$29:AW$53)</f>
      </c>
      <c r="K33" s="2"/>
      <c r="M33" t="s">
        <v>118</v>
      </c>
      <c r="N33" t="s">
        <v>84</v>
      </c>
      <c r="O33" s="13" t="n">
        <v>154771605.644373</v>
      </c>
      <c r="P33" s="13" t="n">
        <v>135988336.330315</v>
      </c>
      <c r="Q33" s="13" t="n">
        <v>3235848.54821463</v>
      </c>
      <c r="R33" s="13"/>
      <c r="S33" s="13"/>
      <c r="T33" s="13"/>
      <c r="U33" s="13" t="n">
        <v>18210237.1611696</v>
      </c>
      <c r="V33" s="13" t="n">
        <v>74438708.2334104</v>
      </c>
      <c r="W33" s="13" t="n">
        <v>339328410.64601</v>
      </c>
      <c r="X33" s="13" t="n">
        <v>33829687.6580685</v>
      </c>
      <c r="Y33" s="13" t="n">
        <v>2307543114.15815</v>
      </c>
      <c r="Z33" s="13" t="n">
        <v>2740860085.49003</v>
      </c>
      <c r="AA33" s="13" t="n">
        <v>3973596832.37658</v>
      </c>
      <c r="AB33" s="13" t="n">
        <v>4153599612.80043</v>
      </c>
      <c r="AC33" s="13" t="n">
        <v>5139051456.87395</v>
      </c>
      <c r="AD33" s="13" t="n">
        <v>5660633856.92051</v>
      </c>
      <c r="AE33" s="13" t="n">
        <v>4965734928.44219</v>
      </c>
      <c r="AF33" s="13" t="n">
        <v>6813451926.95282</v>
      </c>
      <c r="AG33" s="13" t="n">
        <v>7857443859.19424</v>
      </c>
      <c r="AH33" s="13" t="n">
        <v>7542853341.43024</v>
      </c>
      <c r="AI33" s="13" t="n">
        <v>7128128959.09608</v>
      </c>
      <c r="AJ33" s="13" t="n">
        <v>7096234509.24427</v>
      </c>
      <c r="AK33" s="13" t="n">
        <v>8978474298.9029</v>
      </c>
      <c r="AL33" s="13" t="n">
        <v>9897766383.19086</v>
      </c>
      <c r="AM33" s="13" t="n">
        <v>7630085450.5504</v>
      </c>
      <c r="AN33" s="13" t="n">
        <v>5849797617.33762</v>
      </c>
      <c r="AO33" s="13" t="n">
        <v>8148141306.72499</v>
      </c>
      <c r="AP33" s="13" t="n">
        <v>6564927632.36005</v>
      </c>
      <c r="AQ33" s="13" t="n">
        <v>9844000074.70631</v>
      </c>
      <c r="AR33" s="13" t="n">
        <v>10250189463.2069</v>
      </c>
      <c r="AS33" s="13" t="n">
        <v>14174948878.4985</v>
      </c>
      <c r="AT33" s="13" t="n">
        <v>9777973179.8488</v>
      </c>
      <c r="AU33" s="13" t="n">
        <v>10211582986.2534</v>
      </c>
      <c r="AV33" s="13" t="n">
        <v>7005689179.8779</v>
      </c>
      <c r="AW33" s="13" t="n">
        <v>8149642975.04419</v>
      </c>
      <c r="AX33" s="13" t="n">
        <v>3851901364.14998</v>
      </c>
      <c r="AY33" s="13"/>
    </row>
    <row r="34">
      <c r="A34" t="str">
        <f>M34</f>
      </c>
      <c r="B34" t="str">
        <f>N34</f>
      </c>
      <c r="C34" s="13" t="str">
        <f>AS34</f>
      </c>
      <c r="D34" s="13" t="str">
        <f>AV34</f>
      </c>
      <c r="E34" s="13" t="str">
        <f>AW34</f>
      </c>
      <c r="F34" s="13"/>
      <c r="G34" s="2" t="str">
        <f>AW34/AV34-1</f>
      </c>
      <c r="H34" s="2" t="str">
        <f>AW34/AS34-1</f>
      </c>
      <c r="I34" s="2"/>
      <c r="J34" s="2" t="str">
        <f>AW34/Sum(AW$29:AW$53)</f>
      </c>
      <c r="K34" s="2"/>
      <c r="M34" t="s">
        <v>118</v>
      </c>
      <c r="N34" t="s">
        <v>85</v>
      </c>
      <c r="O34" s="13" t="n">
        <v>893158769.40021</v>
      </c>
      <c r="P34" s="13" t="n">
        <v>611288539.169399</v>
      </c>
      <c r="Q34" s="13" t="n">
        <v>1122558915.1101</v>
      </c>
      <c r="R34" s="13" t="n">
        <v>1642147007.8179</v>
      </c>
      <c r="S34" s="13" t="n">
        <v>2089028823.41132</v>
      </c>
      <c r="T34" s="13" t="n">
        <v>1440048490.68407</v>
      </c>
      <c r="U34" s="13" t="n">
        <v>2621764074.78469</v>
      </c>
      <c r="V34" s="13" t="n">
        <v>15946338042.053</v>
      </c>
      <c r="W34" s="13" t="n">
        <v>18666600442.1974</v>
      </c>
      <c r="X34" s="13" t="n">
        <v>21052727655.1783</v>
      </c>
      <c r="Y34" s="13" t="n">
        <v>64157447135.4138</v>
      </c>
      <c r="Z34" s="13" t="n">
        <v>65031890079.3527</v>
      </c>
      <c r="AA34" s="13" t="n">
        <v>68984039961.0568</v>
      </c>
      <c r="AB34" s="13" t="n">
        <v>79817590423.1926</v>
      </c>
      <c r="AC34" s="13" t="n">
        <v>82441299478.6368</v>
      </c>
      <c r="AD34" s="13" t="n">
        <v>89474737220.3866</v>
      </c>
      <c r="AE34" s="13" t="n">
        <v>98611442066.1947</v>
      </c>
      <c r="AF34" s="13" t="n">
        <v>108022577070.036</v>
      </c>
      <c r="AG34" s="13" t="n">
        <v>121597545861.611</v>
      </c>
      <c r="AH34" s="13" t="n">
        <v>119047682404.721</v>
      </c>
      <c r="AI34" s="13" t="n">
        <v>109224440309.921</v>
      </c>
      <c r="AJ34" s="13" t="n">
        <v>128070843388.957</v>
      </c>
      <c r="AK34" s="13" t="n">
        <v>115268403818.157</v>
      </c>
      <c r="AL34" s="13" t="n">
        <v>113341583619.887</v>
      </c>
      <c r="AM34" s="13" t="n">
        <v>98753572285.2264</v>
      </c>
      <c r="AN34" s="13" t="n">
        <v>97989027278.2689</v>
      </c>
      <c r="AO34" s="13" t="n">
        <v>107783569513.13</v>
      </c>
      <c r="AP34" s="13" t="n">
        <v>125765175123.028</v>
      </c>
      <c r="AQ34" s="13" t="n">
        <v>120636396324.16</v>
      </c>
      <c r="AR34" s="13" t="n">
        <v>133320229917.369</v>
      </c>
      <c r="AS34" s="13" t="n">
        <v>164163320466.329</v>
      </c>
      <c r="AT34" s="13" t="n">
        <v>115539914507.388</v>
      </c>
      <c r="AU34" s="13" t="n">
        <v>120387194661.347</v>
      </c>
      <c r="AV34" s="13" t="n">
        <v>141682797935.307</v>
      </c>
      <c r="AW34" s="13" t="n">
        <v>120977790264.125</v>
      </c>
      <c r="AX34" s="13" t="n">
        <v>60790537778.6035</v>
      </c>
      <c r="AY34" s="13"/>
    </row>
    <row r="35">
      <c r="A35" t="str">
        <f>M35</f>
      </c>
      <c r="B35" t="str">
        <f>N35</f>
      </c>
      <c r="C35" s="13" t="str">
        <f>AS35</f>
      </c>
      <c r="D35" s="13" t="str">
        <f>AV35</f>
      </c>
      <c r="E35" s="13" t="str">
        <f>AW35</f>
      </c>
      <c r="F35" s="13"/>
      <c r="G35" s="2" t="str">
        <f>AW35/AV35-1</f>
      </c>
      <c r="H35" s="2" t="str">
        <f>AW35/AS35-1</f>
      </c>
      <c r="I35" s="2"/>
      <c r="J35" s="2" t="str">
        <f>AW35/Sum(AW$29:AW$53)</f>
      </c>
      <c r="K35" s="2"/>
      <c r="M35" t="s">
        <v>118</v>
      </c>
      <c r="N35" t="s">
        <v>86</v>
      </c>
      <c r="O35" s="13" t="n">
        <v>9998074.88453847</v>
      </c>
      <c r="P35" s="13" t="n">
        <v>6945189.92300788</v>
      </c>
      <c r="Q35" s="13" t="n">
        <v>8478273.86022281</v>
      </c>
      <c r="R35" s="13" t="n">
        <v>18079227.5034274</v>
      </c>
      <c r="S35" s="13" t="n">
        <v>7305944.45655913</v>
      </c>
      <c r="T35" s="13" t="n">
        <v>31934839.9824919</v>
      </c>
      <c r="U35" s="13" t="n">
        <v>63910394.8191043</v>
      </c>
      <c r="V35" s="13" t="n">
        <v>739634497.369034</v>
      </c>
      <c r="W35" s="13" t="n">
        <v>891682782.955823</v>
      </c>
      <c r="X35" s="13" t="n">
        <v>1056068466.336</v>
      </c>
      <c r="Y35" s="13" t="n">
        <v>8614472556.23892</v>
      </c>
      <c r="Z35" s="13" t="n">
        <v>10301202687.902</v>
      </c>
      <c r="AA35" s="13" t="n">
        <v>13355314472.3894</v>
      </c>
      <c r="AB35" s="13" t="n">
        <v>16970379684.7911</v>
      </c>
      <c r="AC35" s="13" t="n">
        <v>15821567004.8943</v>
      </c>
      <c r="AD35" s="13" t="n">
        <v>19338167781.8824</v>
      </c>
      <c r="AE35" s="13" t="n">
        <v>20370218077.0374</v>
      </c>
      <c r="AF35" s="13" t="n">
        <v>19093936752.7358</v>
      </c>
      <c r="AG35" s="13" t="n">
        <v>24595414585.5164</v>
      </c>
      <c r="AH35" s="13" t="n">
        <v>28381290757.6147</v>
      </c>
      <c r="AI35" s="13" t="n">
        <v>27377969620.1309</v>
      </c>
      <c r="AJ35" s="13" t="n">
        <v>30505279844.9289</v>
      </c>
      <c r="AK35" s="13" t="n">
        <v>29670334828.3053</v>
      </c>
      <c r="AL35" s="13" t="n">
        <v>26654748911.5229</v>
      </c>
      <c r="AM35" s="13" t="n">
        <v>26908086922.2623</v>
      </c>
      <c r="AN35" s="13" t="n">
        <v>25043953880.1166</v>
      </c>
      <c r="AO35" s="13" t="n">
        <v>25538085630.5108</v>
      </c>
      <c r="AP35" s="13" t="n">
        <v>26811434577.0563</v>
      </c>
      <c r="AQ35" s="13" t="n">
        <v>27640759050.9777</v>
      </c>
      <c r="AR35" s="13" t="n">
        <v>30190417847.6888</v>
      </c>
      <c r="AS35" s="13" t="n">
        <v>30596938701.8415</v>
      </c>
      <c r="AT35" s="13" t="n">
        <v>28628457111.3171</v>
      </c>
      <c r="AU35" s="13" t="n">
        <v>28265626442.7661</v>
      </c>
      <c r="AV35" s="13" t="n">
        <v>27519857754.4758</v>
      </c>
      <c r="AW35" s="13" t="n">
        <v>27178682838.7038</v>
      </c>
      <c r="AX35" s="13" t="n">
        <v>13033988799.6543</v>
      </c>
      <c r="AY35" s="13"/>
    </row>
    <row r="36">
      <c r="A36" t="str">
        <f>M36</f>
      </c>
      <c r="B36" t="str">
        <f>N36</f>
      </c>
      <c r="C36" s="13" t="str">
        <f>AS36</f>
      </c>
      <c r="D36" s="13" t="str">
        <f>AV36</f>
      </c>
      <c r="E36" s="13" t="str">
        <f>AW36</f>
      </c>
      <c r="F36" s="13"/>
      <c r="G36" s="2" t="str">
        <f>AW36/AV36-1</f>
      </c>
      <c r="H36" s="2" t="str">
        <f>AW36/AS36-1</f>
      </c>
      <c r="I36" s="2"/>
      <c r="J36" s="2" t="str">
        <f>AW36/Sum(AW$29:AW$53)</f>
      </c>
      <c r="K36" s="2"/>
      <c r="M36" t="s">
        <v>119</v>
      </c>
      <c r="N36" t="s">
        <v>80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 t="n">
        <v>0</v>
      </c>
      <c r="Z36" s="13" t="n">
        <v>0</v>
      </c>
      <c r="AA36" s="13" t="n">
        <v>155881841.954016</v>
      </c>
      <c r="AB36" s="13" t="n">
        <v>241866353.740008</v>
      </c>
      <c r="AC36" s="13" t="n">
        <v>611822227.823035</v>
      </c>
      <c r="AD36" s="13" t="n">
        <v>200030464.666102</v>
      </c>
      <c r="AE36" s="13" t="n">
        <v>39979206.6389787</v>
      </c>
      <c r="AF36" s="13" t="n">
        <v>39761641.028295</v>
      </c>
      <c r="AG36" s="13" t="n">
        <v>64269428.3560518</v>
      </c>
      <c r="AH36" s="13" t="n">
        <v>52101468.2010087</v>
      </c>
      <c r="AI36" s="13" t="n">
        <v>63956119.0130829</v>
      </c>
      <c r="AJ36" s="13" t="n">
        <v>303231977.487645</v>
      </c>
      <c r="AK36" s="13" t="n">
        <v>308921779.460341</v>
      </c>
      <c r="AL36" s="13" t="n">
        <v>106055454.382572</v>
      </c>
      <c r="AM36" s="13" t="n">
        <v>31705292.439285</v>
      </c>
      <c r="AN36" s="13" t="n">
        <v>22804302.2482929</v>
      </c>
      <c r="AO36" s="13" t="n">
        <v>13070475.6651816</v>
      </c>
      <c r="AP36" s="13" t="n">
        <v>1120400.09414185</v>
      </c>
      <c r="AQ36" s="13" t="n">
        <v>529882.715091496</v>
      </c>
      <c r="AR36" s="13" t="n">
        <v>42147.6136828114</v>
      </c>
      <c r="AS36" s="13" t="n">
        <v>3688047.94725343</v>
      </c>
      <c r="AT36" s="13" t="n">
        <v>24091993.4490637</v>
      </c>
      <c r="AU36" s="13" t="n">
        <v>33117973.4194808</v>
      </c>
      <c r="AV36" s="13" t="n">
        <v>16261872.5892</v>
      </c>
      <c r="AW36" s="13" t="n">
        <v>2794547.205855</v>
      </c>
      <c r="AX36" s="13" t="n">
        <v>320903.607048984</v>
      </c>
      <c r="AY36" s="13"/>
    </row>
    <row r="37">
      <c r="A37" t="str">
        <f>M37</f>
      </c>
      <c r="B37" t="str">
        <f>N37</f>
      </c>
      <c r="C37" s="13" t="str">
        <f>AS37</f>
      </c>
      <c r="D37" s="13" t="str">
        <f>AV37</f>
      </c>
      <c r="E37" s="13" t="str">
        <f>AW37</f>
      </c>
      <c r="F37" s="13"/>
      <c r="G37" s="2" t="str">
        <f>AW37/AV37-1</f>
      </c>
      <c r="H37" s="2" t="str">
        <f>AW37/AS37-1</f>
      </c>
      <c r="I37" s="2"/>
      <c r="J37" s="2" t="str">
        <f>AW37/Sum(AW$29:AW$53)</f>
      </c>
      <c r="K37" s="2"/>
      <c r="M37" t="s">
        <v>119</v>
      </c>
      <c r="N37" t="s">
        <v>81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 t="n">
        <v>2218725.2209227</v>
      </c>
      <c r="Z37" s="13" t="n">
        <v>-536014.835518184</v>
      </c>
      <c r="AA37" s="13" t="n">
        <v>107927671.808823</v>
      </c>
      <c r="AB37" s="13" t="n">
        <v>154863226.906733</v>
      </c>
      <c r="AC37" s="13" t="n">
        <v>498989734.936054</v>
      </c>
      <c r="AD37" s="13" t="n">
        <v>841921741.507247</v>
      </c>
      <c r="AE37" s="13" t="n">
        <v>521081166.441187</v>
      </c>
      <c r="AF37" s="13" t="n">
        <v>886195186.582961</v>
      </c>
      <c r="AG37" s="13" t="n">
        <v>1022116268.40565</v>
      </c>
      <c r="AH37" s="13" t="n">
        <v>742866562.052361</v>
      </c>
      <c r="AI37" s="13" t="n">
        <v>194217145.394521</v>
      </c>
      <c r="AJ37" s="13" t="n">
        <v>283290031.776604</v>
      </c>
      <c r="AK37" s="13" t="n">
        <v>351136923.078835</v>
      </c>
      <c r="AL37" s="13" t="n">
        <v>292794509.01799</v>
      </c>
      <c r="AM37" s="13" t="n">
        <v>93877790.1996336</v>
      </c>
      <c r="AN37" s="13" t="n">
        <v>55093004.5795794</v>
      </c>
      <c r="AO37" s="13" t="n">
        <v>67832741.657246</v>
      </c>
      <c r="AP37" s="13" t="n">
        <v>25471189.89577</v>
      </c>
      <c r="AQ37" s="13" t="n">
        <v>125598847.371162</v>
      </c>
      <c r="AR37" s="13" t="n">
        <v>119230107.863179</v>
      </c>
      <c r="AS37" s="13" t="n">
        <v>-2361327.5046874</v>
      </c>
      <c r="AT37" s="13" t="n">
        <v>-289479.632015185</v>
      </c>
      <c r="AU37" s="13" t="n">
        <v>-3592001.05574812</v>
      </c>
      <c r="AV37" s="13" t="n">
        <v>-931190.0078</v>
      </c>
      <c r="AW37" s="13" t="n">
        <v>893454.904053798</v>
      </c>
      <c r="AX37" s="13" t="n">
        <v>145165.571571626</v>
      </c>
      <c r="AY37" s="13"/>
    </row>
    <row r="38">
      <c r="A38" t="str">
        <f>M38</f>
      </c>
      <c r="B38" t="str">
        <f>N38</f>
      </c>
      <c r="C38" s="13" t="str">
        <f>AS38</f>
      </c>
      <c r="D38" s="13" t="str">
        <f>AV38</f>
      </c>
      <c r="E38" s="13" t="str">
        <f>AW38</f>
      </c>
      <c r="F38" s="13"/>
      <c r="G38" s="2" t="str">
        <f>AW38/AV38-1</f>
      </c>
      <c r="H38" s="2" t="str">
        <f>AW38/AS38-1</f>
      </c>
      <c r="I38" s="2"/>
      <c r="J38" s="2" t="str">
        <f>AW38/Sum(AW$29:AW$53)</f>
      </c>
      <c r="K38" s="2"/>
      <c r="M38" t="s">
        <v>119</v>
      </c>
      <c r="N38" t="s">
        <v>82</v>
      </c>
      <c r="O38" s="13"/>
      <c r="P38" s="13"/>
      <c r="Q38" s="13"/>
      <c r="R38" s="13"/>
      <c r="S38" s="13"/>
      <c r="T38" s="13"/>
      <c r="U38" s="13"/>
      <c r="V38" s="13"/>
      <c r="W38" s="13" t="n">
        <v>964606.661749084</v>
      </c>
      <c r="X38" s="13"/>
      <c r="Y38" s="13" t="n">
        <v>41920075.3257135</v>
      </c>
      <c r="Z38" s="13"/>
      <c r="AA38" s="13" t="n">
        <v>90752.5973277006</v>
      </c>
      <c r="AB38" s="13" t="n">
        <v>12693960.8305291</v>
      </c>
      <c r="AC38" s="13" t="n">
        <v>3511887.50224433</v>
      </c>
      <c r="AD38" s="13" t="n">
        <v>20436414.2791986</v>
      </c>
      <c r="AE38" s="13" t="n">
        <v>35255929.7710094</v>
      </c>
      <c r="AF38" s="13" t="n">
        <v>70407639.7682246</v>
      </c>
      <c r="AG38" s="13" t="n">
        <v>63630660.4476886</v>
      </c>
      <c r="AH38" s="13" t="n">
        <v>29479983.1276771</v>
      </c>
      <c r="AI38" s="13" t="n">
        <v>31087433.0995862</v>
      </c>
      <c r="AJ38" s="13" t="n">
        <v>69623215.7305775</v>
      </c>
      <c r="AK38" s="13" t="n">
        <v>30318933.5765321</v>
      </c>
      <c r="AL38" s="13" t="n">
        <v>267029892.587321</v>
      </c>
      <c r="AM38" s="13" t="n">
        <v>19383156.7002388</v>
      </c>
      <c r="AN38" s="13" t="n">
        <v>32696269.8731267</v>
      </c>
      <c r="AO38" s="13" t="n">
        <v>12819646.1997795</v>
      </c>
      <c r="AP38" s="13" t="n">
        <v>10394056.2473926</v>
      </c>
      <c r="AQ38" s="13" t="n">
        <v>29821361.9476241</v>
      </c>
      <c r="AR38" s="13" t="n">
        <v>-2394863.48399273</v>
      </c>
      <c r="AS38" s="13" t="n">
        <v>14585606.0764272</v>
      </c>
      <c r="AT38" s="13" t="n">
        <v>71046163.1503614</v>
      </c>
      <c r="AU38" s="13" t="n">
        <v>11589549.7624624</v>
      </c>
      <c r="AV38" s="13" t="n">
        <v>15555474.2025</v>
      </c>
      <c r="AW38" s="13" t="n">
        <v>7698400.82007976</v>
      </c>
      <c r="AX38" s="13" t="n">
        <v>7398007.46991773</v>
      </c>
      <c r="AY38" s="13"/>
    </row>
    <row r="39">
      <c r="A39" t="str">
        <f>M39</f>
      </c>
      <c r="B39" t="str">
        <f>N39</f>
      </c>
      <c r="C39" s="13" t="str">
        <f>AS39</f>
      </c>
      <c r="D39" s="13" t="str">
        <f>AV39</f>
      </c>
      <c r="E39" s="13" t="str">
        <f>AW39</f>
      </c>
      <c r="F39" s="13"/>
      <c r="G39" s="2" t="str">
        <f>AW39/AV39-1</f>
      </c>
      <c r="H39" s="2" t="str">
        <f>AW39/AS39-1</f>
      </c>
      <c r="I39" s="2"/>
      <c r="J39" s="2" t="str">
        <f>AW39/Sum(AW$29:AW$53)</f>
      </c>
      <c r="K39" s="2"/>
      <c r="M39" t="s">
        <v>119</v>
      </c>
      <c r="N39" t="s">
        <v>84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 t="n">
        <v>70449719.29385</v>
      </c>
      <c r="AI39" s="13" t="n">
        <v>680586.52963458</v>
      </c>
      <c r="AJ39" s="13"/>
      <c r="AK39" s="13"/>
      <c r="AL39" s="13"/>
      <c r="AM39" s="13"/>
      <c r="AN39" s="13" t="n">
        <v>30111.4758605086</v>
      </c>
      <c r="AO39" s="13" t="n">
        <v>26374.9278239712</v>
      </c>
      <c r="AP39" s="13"/>
      <c r="AQ39" s="13"/>
      <c r="AR39" s="13"/>
      <c r="AS39" s="13" t="n">
        <v>-1166.62670505124</v>
      </c>
      <c r="AT39" s="13"/>
      <c r="AU39" s="13"/>
      <c r="AV39" s="13"/>
      <c r="AW39" s="13"/>
      <c r="AX39" s="13"/>
      <c r="AY39" s="13"/>
    </row>
    <row r="40">
      <c r="A40" t="str">
        <f>M40</f>
      </c>
      <c r="B40" t="str">
        <f>N40</f>
      </c>
      <c r="C40" s="13" t="str">
        <f>AS40</f>
      </c>
      <c r="D40" s="13" t="str">
        <f>AV40</f>
      </c>
      <c r="E40" s="13" t="str">
        <f>AW40</f>
      </c>
      <c r="F40" s="13"/>
      <c r="G40" s="2" t="str">
        <f>AW40/AV40-1</f>
      </c>
      <c r="H40" s="2" t="str">
        <f>AW40/AS40-1</f>
      </c>
      <c r="I40" s="2"/>
      <c r="J40" s="2" t="str">
        <f>AW40/Sum(AW$29:AW$53)</f>
      </c>
      <c r="K40" s="2"/>
      <c r="M40" t="s">
        <v>119</v>
      </c>
      <c r="N40" t="s">
        <v>85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 t="n">
        <v>80298550.9654305</v>
      </c>
      <c r="AB40" s="13" t="n">
        <v>846115840.497811</v>
      </c>
      <c r="AC40" s="13" t="n">
        <v>445528945.886284</v>
      </c>
      <c r="AD40" s="13" t="n">
        <v>356276016.005418</v>
      </c>
      <c r="AE40" s="13" t="n">
        <v>140502361.023065</v>
      </c>
      <c r="AF40" s="13" t="n">
        <v>5638745.30584076</v>
      </c>
      <c r="AG40" s="13" t="n">
        <v>16168400.6162525</v>
      </c>
      <c r="AH40" s="13" t="n">
        <v>3308228.24264432</v>
      </c>
      <c r="AI40" s="13" t="n">
        <v>55868503.6041025</v>
      </c>
      <c r="AJ40" s="13" t="n">
        <v>531113403.748375</v>
      </c>
      <c r="AK40" s="13" t="n">
        <v>58730741.3533775</v>
      </c>
      <c r="AL40" s="13" t="n">
        <v>48963222.1496526</v>
      </c>
      <c r="AM40" s="13" t="n">
        <v>49315158.0878875</v>
      </c>
      <c r="AN40" s="13" t="n">
        <v>33380961.7853759</v>
      </c>
      <c r="AO40" s="13" t="n">
        <v>37491167.0723928</v>
      </c>
      <c r="AP40" s="13" t="n">
        <v>16554303.1236894</v>
      </c>
      <c r="AQ40" s="13" t="n">
        <v>31920074.3418719</v>
      </c>
      <c r="AR40" s="13" t="n">
        <v>32608623.2719686</v>
      </c>
      <c r="AS40" s="13" t="n">
        <v>14502510.9933254</v>
      </c>
      <c r="AT40" s="13" t="n">
        <v>1449499.14936343</v>
      </c>
      <c r="AU40" s="13" t="n">
        <v>96934.4134130437</v>
      </c>
      <c r="AV40" s="13" t="n">
        <v>21274.86</v>
      </c>
      <c r="AW40" s="13" t="n">
        <v>52959.2606213572</v>
      </c>
      <c r="AX40" s="13" t="n">
        <v>-106084.052861548</v>
      </c>
      <c r="AY40" s="13"/>
    </row>
    <row r="41">
      <c r="A41" t="str">
        <f>M41</f>
      </c>
      <c r="B41" t="str">
        <f>N41</f>
      </c>
      <c r="C41" s="13" t="str">
        <f>AS41</f>
      </c>
      <c r="D41" s="13" t="str">
        <f>AV41</f>
      </c>
      <c r="E41" s="13" t="str">
        <f>AW41</f>
      </c>
      <c r="F41" s="13"/>
      <c r="G41" s="2" t="str">
        <f>AW41/AV41-1</f>
      </c>
      <c r="H41" s="2" t="str">
        <f>AW41/AS41-1</f>
      </c>
      <c r="I41" s="2"/>
      <c r="J41" s="2" t="str">
        <f>AW41/Sum(AW$29:AW$53)</f>
      </c>
      <c r="K41" s="2"/>
      <c r="M41" t="s">
        <v>119</v>
      </c>
      <c r="N41" t="s">
        <v>86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 t="n">
        <v>9078.33631343452</v>
      </c>
      <c r="Z41" s="13" t="n">
        <v>7097.36022188935</v>
      </c>
      <c r="AA41" s="13" t="n">
        <v>28997933.7365903</v>
      </c>
      <c r="AB41" s="13" t="n">
        <v>27439298.575855</v>
      </c>
      <c r="AC41" s="13" t="n">
        <v>160338963.579794</v>
      </c>
      <c r="AD41" s="13" t="n">
        <v>14722771.5347191</v>
      </c>
      <c r="AE41" s="13" t="n">
        <v>15199094.8460769</v>
      </c>
      <c r="AF41" s="13" t="n">
        <v>24075352.7378441</v>
      </c>
      <c r="AG41" s="13" t="n">
        <v>30404423.2356446</v>
      </c>
      <c r="AH41" s="13" t="n">
        <v>15108390.4798663</v>
      </c>
      <c r="AI41" s="13" t="n">
        <v>182554405.555505</v>
      </c>
      <c r="AJ41" s="13" t="n">
        <v>234762978.209526</v>
      </c>
      <c r="AK41" s="13" t="n">
        <v>196537272.168104</v>
      </c>
      <c r="AL41" s="13" t="n">
        <v>145565861.908317</v>
      </c>
      <c r="AM41" s="13" t="n">
        <v>157149445.525027</v>
      </c>
      <c r="AN41" s="13" t="n">
        <v>4331939.29080528</v>
      </c>
      <c r="AO41" s="13" t="n">
        <v>-766029.608154232</v>
      </c>
      <c r="AP41" s="13" t="n">
        <v>-809386.296163253</v>
      </c>
      <c r="AQ41" s="13" t="n">
        <v>-6405624.201613</v>
      </c>
      <c r="AR41" s="13" t="n">
        <v>-127499.353791717</v>
      </c>
      <c r="AS41" s="13" t="n">
        <v>6141903.87848716</v>
      </c>
      <c r="AT41" s="13" t="n">
        <v>4403607.55764707</v>
      </c>
      <c r="AU41" s="13" t="n">
        <v>5759418.25945167</v>
      </c>
      <c r="AV41" s="13" t="n">
        <v>-148521.52</v>
      </c>
      <c r="AW41" s="13" t="n">
        <v>0</v>
      </c>
      <c r="AX41" s="13" t="n">
        <v>0</v>
      </c>
      <c r="AY41" s="13"/>
    </row>
    <row r="42">
      <c r="A42" t="str">
        <f>M42</f>
      </c>
      <c r="B42" t="str">
        <f>N42</f>
      </c>
      <c r="C42" s="13" t="str">
        <f>AS42</f>
      </c>
      <c r="D42" s="13" t="str">
        <f>AV42</f>
      </c>
      <c r="E42" s="13" t="str">
        <f>AW42</f>
      </c>
      <c r="F42" s="13"/>
      <c r="G42" s="2" t="str">
        <f>AW42/AV42-1</f>
      </c>
      <c r="H42" s="2" t="str">
        <f>AW42/AS42-1</f>
      </c>
      <c r="I42" s="2"/>
      <c r="J42" s="2" t="str">
        <f>AW42/Sum(AW$29:AW$53)</f>
      </c>
      <c r="K42" s="2"/>
      <c r="M42" t="s">
        <v>120</v>
      </c>
      <c r="N42" t="s">
        <v>80</v>
      </c>
      <c r="O42" s="13"/>
      <c r="P42" s="13"/>
      <c r="Q42" s="13"/>
      <c r="R42" s="13"/>
      <c r="S42" s="13"/>
      <c r="T42" s="13" t="n">
        <v>0</v>
      </c>
      <c r="U42" s="13" t="n">
        <v>0</v>
      </c>
      <c r="V42" s="13" t="n">
        <v>1177456285.14356</v>
      </c>
      <c r="W42" s="13" t="n">
        <v>414757762.292053</v>
      </c>
      <c r="X42" s="13" t="n">
        <v>1239100154.67143</v>
      </c>
      <c r="Y42" s="13" t="n">
        <v>6374540091.23725</v>
      </c>
      <c r="Z42" s="13" t="n">
        <v>8281486526.2645</v>
      </c>
      <c r="AA42" s="13" t="n">
        <v>12756837509.5788</v>
      </c>
      <c r="AB42" s="13" t="n">
        <v>15419299911.8591</v>
      </c>
      <c r="AC42" s="13" t="n">
        <v>17553396583.1296</v>
      </c>
      <c r="AD42" s="13" t="n">
        <v>14345626776.581</v>
      </c>
      <c r="AE42" s="13" t="n">
        <v>12488710371.5838</v>
      </c>
      <c r="AF42" s="13" t="n">
        <v>13722382624.7124</v>
      </c>
      <c r="AG42" s="13" t="n">
        <v>12524532190.062</v>
      </c>
      <c r="AH42" s="13" t="n">
        <v>13012361515.1137</v>
      </c>
      <c r="AI42" s="13" t="n">
        <v>12125874337.5739</v>
      </c>
      <c r="AJ42" s="13" t="n">
        <v>11002655119.4247</v>
      </c>
      <c r="AK42" s="13" t="n">
        <v>9115091824.29543</v>
      </c>
      <c r="AL42" s="13" t="n">
        <v>7774256116.4825</v>
      </c>
      <c r="AM42" s="13" t="n">
        <v>7558546324.4826</v>
      </c>
      <c r="AN42" s="13" t="n">
        <v>7145360765.77209</v>
      </c>
      <c r="AO42" s="13" t="n">
        <v>8342084415.34308</v>
      </c>
      <c r="AP42" s="13" t="n">
        <v>8394359741.94522</v>
      </c>
      <c r="AQ42" s="13" t="n">
        <v>9191472679.98895</v>
      </c>
      <c r="AR42" s="13" t="n">
        <v>10046883836.7433</v>
      </c>
      <c r="AS42" s="13" t="n">
        <v>12293577963.5957</v>
      </c>
      <c r="AT42" s="13" t="n">
        <v>13331449517.2511</v>
      </c>
      <c r="AU42" s="13" t="n">
        <v>13068063307.241</v>
      </c>
      <c r="AV42" s="13" t="n">
        <v>13521417956.5186</v>
      </c>
      <c r="AW42" s="13" t="n">
        <v>15430616733.2498</v>
      </c>
      <c r="AX42" s="13" t="n">
        <v>6118607747.31284</v>
      </c>
      <c r="AY42" s="13"/>
    </row>
    <row r="43">
      <c r="A43" t="str">
        <f>M43</f>
      </c>
      <c r="B43" t="str">
        <f>N43</f>
      </c>
      <c r="C43" s="13" t="str">
        <f>AS43</f>
      </c>
      <c r="D43" s="13" t="str">
        <f>AV43</f>
      </c>
      <c r="E43" s="13" t="str">
        <f>AW43</f>
      </c>
      <c r="F43" s="13"/>
      <c r="G43" s="2" t="str">
        <f>AW43/AV43-1</f>
      </c>
      <c r="H43" s="2" t="str">
        <f>AW43/AS43-1</f>
      </c>
      <c r="I43" s="2"/>
      <c r="J43" s="2" t="str">
        <f>AW43/Sum(AW$29:AW$53)</f>
      </c>
      <c r="K43" s="2"/>
      <c r="M43" t="s">
        <v>120</v>
      </c>
      <c r="N43" t="s">
        <v>81</v>
      </c>
      <c r="O43" s="13" t="n">
        <v>25826636.55011</v>
      </c>
      <c r="P43" s="13"/>
      <c r="Q43" s="13"/>
      <c r="R43" s="13"/>
      <c r="S43" s="13"/>
      <c r="T43" s="13"/>
      <c r="U43" s="13"/>
      <c r="V43" s="13" t="n">
        <v>360868490.315767</v>
      </c>
      <c r="W43" s="13" t="n">
        <v>419713064.161964</v>
      </c>
      <c r="X43" s="13" t="n">
        <v>1120443130.33459</v>
      </c>
      <c r="Y43" s="13" t="n">
        <v>6145871640.75612</v>
      </c>
      <c r="Z43" s="13" t="n">
        <v>7344469626.87139</v>
      </c>
      <c r="AA43" s="13" t="n">
        <v>11378367852.4161</v>
      </c>
      <c r="AB43" s="13" t="n">
        <v>17540156687.6227</v>
      </c>
      <c r="AC43" s="13" t="n">
        <v>25363117882.0067</v>
      </c>
      <c r="AD43" s="13" t="n">
        <v>20654936956.8157</v>
      </c>
      <c r="AE43" s="13" t="n">
        <v>27308816447.0921</v>
      </c>
      <c r="AF43" s="13" t="n">
        <v>37555303700.0928</v>
      </c>
      <c r="AG43" s="13" t="n">
        <v>47284297444.9388</v>
      </c>
      <c r="AH43" s="13" t="n">
        <v>33733721472.7964</v>
      </c>
      <c r="AI43" s="13" t="n">
        <v>31888837893.3535</v>
      </c>
      <c r="AJ43" s="13" t="n">
        <v>27352866086.8611</v>
      </c>
      <c r="AK43" s="13" t="n">
        <v>21929491883.034</v>
      </c>
      <c r="AL43" s="13" t="n">
        <v>17013428162.6819</v>
      </c>
      <c r="AM43" s="13" t="n">
        <v>15841583982.8607</v>
      </c>
      <c r="AN43" s="13" t="n">
        <v>16310750678.1623</v>
      </c>
      <c r="AO43" s="13" t="n">
        <v>15787859399.2545</v>
      </c>
      <c r="AP43" s="13" t="n">
        <v>16390476179.799</v>
      </c>
      <c r="AQ43" s="13" t="n">
        <v>16718513705.0226</v>
      </c>
      <c r="AR43" s="13" t="n">
        <v>18047806620.2093</v>
      </c>
      <c r="AS43" s="13" t="n">
        <v>21219380650.4602</v>
      </c>
      <c r="AT43" s="13" t="n">
        <v>50052793361.5015</v>
      </c>
      <c r="AU43" s="13" t="n">
        <v>45529983520.3443</v>
      </c>
      <c r="AV43" s="13" t="n">
        <v>17537531960.5708</v>
      </c>
      <c r="AW43" s="13" t="n">
        <v>15501049137.2044</v>
      </c>
      <c r="AX43" s="13" t="n">
        <v>6436600250.04564</v>
      </c>
      <c r="AY43" s="13"/>
    </row>
    <row r="44">
      <c r="A44" t="str">
        <f>M44</f>
      </c>
      <c r="B44" t="str">
        <f>N44</f>
      </c>
      <c r="C44" s="13" t="str">
        <f>AS44</f>
      </c>
      <c r="D44" s="13" t="str">
        <f>AV44</f>
      </c>
      <c r="E44" s="13" t="str">
        <f>AW44</f>
      </c>
      <c r="F44" s="13"/>
      <c r="G44" s="2" t="str">
        <f>AW44/AV44-1</f>
      </c>
      <c r="H44" s="2" t="str">
        <f>AW44/AS44-1</f>
      </c>
      <c r="I44" s="2"/>
      <c r="J44" s="2" t="str">
        <f>AW44/Sum(AW$29:AW$53)</f>
      </c>
      <c r="K44" s="2"/>
      <c r="M44" t="s">
        <v>120</v>
      </c>
      <c r="N44" t="s">
        <v>82</v>
      </c>
      <c r="O44" s="13"/>
      <c r="P44" s="13"/>
      <c r="Q44" s="13"/>
      <c r="R44" s="13"/>
      <c r="S44" s="13"/>
      <c r="T44" s="13"/>
      <c r="U44" s="13" t="n">
        <v>0</v>
      </c>
      <c r="V44" s="13" t="n">
        <v>3752485.28072674</v>
      </c>
      <c r="W44" s="13" t="n">
        <v>83866225.0887789</v>
      </c>
      <c r="X44" s="13" t="n">
        <v>527104643.826993</v>
      </c>
      <c r="Y44" s="13" t="n">
        <v>9340907575.90713</v>
      </c>
      <c r="Z44" s="13" t="n">
        <v>11485929478.4881</v>
      </c>
      <c r="AA44" s="13" t="n">
        <v>15714854610.3961</v>
      </c>
      <c r="AB44" s="13" t="n">
        <v>17985209938.4141</v>
      </c>
      <c r="AC44" s="13" t="n">
        <v>21149754860.2352</v>
      </c>
      <c r="AD44" s="13" t="n">
        <v>8551937504.60462</v>
      </c>
      <c r="AE44" s="13" t="n">
        <v>13881201967.082</v>
      </c>
      <c r="AF44" s="13" t="n">
        <v>27839171407.781</v>
      </c>
      <c r="AG44" s="13" t="n">
        <v>37513221861.6815</v>
      </c>
      <c r="AH44" s="13" t="n">
        <v>36807069552.5852</v>
      </c>
      <c r="AI44" s="13" t="n">
        <v>29608174465.6999</v>
      </c>
      <c r="AJ44" s="13" t="n">
        <v>30583165288.4292</v>
      </c>
      <c r="AK44" s="13" t="n">
        <v>38738360367.1045</v>
      </c>
      <c r="AL44" s="13" t="n">
        <v>28686657805.5344</v>
      </c>
      <c r="AM44" s="13" t="n">
        <v>25516964743.0278</v>
      </c>
      <c r="AN44" s="13" t="n">
        <v>21402136075.4583</v>
      </c>
      <c r="AO44" s="13" t="n">
        <v>17136270153.0965</v>
      </c>
      <c r="AP44" s="13" t="n">
        <v>20898860163.8868</v>
      </c>
      <c r="AQ44" s="13" t="n">
        <v>27362867466.6549</v>
      </c>
      <c r="AR44" s="13" t="n">
        <v>25478715480.9133</v>
      </c>
      <c r="AS44" s="13" t="n">
        <v>26040328897.1923</v>
      </c>
      <c r="AT44" s="13" t="n">
        <v>25600314898.6728</v>
      </c>
      <c r="AU44" s="13" t="n">
        <v>31933376853.3111</v>
      </c>
      <c r="AV44" s="13" t="n">
        <v>31477263940.2709</v>
      </c>
      <c r="AW44" s="13" t="n">
        <v>30435838118.5559</v>
      </c>
      <c r="AX44" s="13" t="n">
        <v>11343188585.0757</v>
      </c>
      <c r="AY44" s="13"/>
    </row>
    <row r="45">
      <c r="A45" t="str">
        <f>M45</f>
      </c>
      <c r="B45" t="str">
        <f>N45</f>
      </c>
      <c r="C45" s="13" t="str">
        <f>AS45</f>
      </c>
      <c r="D45" s="13" t="str">
        <f>AV45</f>
      </c>
      <c r="E45" s="13" t="str">
        <f>AW45</f>
      </c>
      <c r="F45" s="13"/>
      <c r="G45" s="2" t="str">
        <f>AW45/AV45-1</f>
      </c>
      <c r="H45" s="2" t="str">
        <f>AW45/AS45-1</f>
      </c>
      <c r="I45" s="2"/>
      <c r="J45" s="2" t="str">
        <f>AW45/Sum(AW$29:AW$53)</f>
      </c>
      <c r="K45" s="2"/>
      <c r="M45" t="s">
        <v>120</v>
      </c>
      <c r="N45" t="s">
        <v>84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 t="n">
        <v>2187243.56799578</v>
      </c>
      <c r="Z45" s="13" t="n">
        <v>5199379.35849974</v>
      </c>
      <c r="AA45" s="13" t="n">
        <v>43635527.7828476</v>
      </c>
      <c r="AB45" s="13" t="n">
        <v>82137544.3979284</v>
      </c>
      <c r="AC45" s="13" t="n">
        <v>96822846.462558</v>
      </c>
      <c r="AD45" s="13" t="n">
        <v>109785318.057854</v>
      </c>
      <c r="AE45" s="13" t="n">
        <v>115244632.876985</v>
      </c>
      <c r="AF45" s="13" t="n">
        <v>165052434.69054</v>
      </c>
      <c r="AG45" s="13" t="n">
        <v>132049251.73018</v>
      </c>
      <c r="AH45" s="13" t="n">
        <v>176087501.438057</v>
      </c>
      <c r="AI45" s="13" t="n">
        <v>162928882.189942</v>
      </c>
      <c r="AJ45" s="13" t="n">
        <v>85648167.5653023</v>
      </c>
      <c r="AK45" s="13" t="n">
        <v>34577956.6972939</v>
      </c>
      <c r="AL45" s="13" t="n">
        <v>21994545.7299984</v>
      </c>
      <c r="AM45" s="13" t="n">
        <v>19323753.4509885</v>
      </c>
      <c r="AN45" s="13" t="n">
        <v>19414107.9185585</v>
      </c>
      <c r="AO45" s="13" t="n">
        <v>31095318.3015718</v>
      </c>
      <c r="AP45" s="13" t="n">
        <v>41848569.7537222</v>
      </c>
      <c r="AQ45" s="13" t="n">
        <v>59769540.5830946</v>
      </c>
      <c r="AR45" s="13" t="n">
        <v>90299890.8842405</v>
      </c>
      <c r="AS45" s="13" t="n">
        <v>93161067.9849322</v>
      </c>
      <c r="AT45" s="13" t="n">
        <v>87563668.1311307</v>
      </c>
      <c r="AU45" s="13" t="n">
        <v>80414050.5613124</v>
      </c>
      <c r="AV45" s="13" t="n">
        <v>73229862.9829</v>
      </c>
      <c r="AW45" s="13" t="n">
        <v>89651076.4092281</v>
      </c>
      <c r="AX45" s="13" t="n">
        <v>37068679.6604387</v>
      </c>
      <c r="AY45" s="13"/>
    </row>
    <row r="46">
      <c r="A46" t="str">
        <f>M46</f>
      </c>
      <c r="B46" t="str">
        <f>N46</f>
      </c>
      <c r="C46" s="13" t="str">
        <f>AS46</f>
      </c>
      <c r="D46" s="13" t="str">
        <f>AV46</f>
      </c>
      <c r="E46" s="13" t="str">
        <f>AW46</f>
      </c>
      <c r="F46" s="13"/>
      <c r="G46" s="2" t="str">
        <f>AW46/AV46-1</f>
      </c>
      <c r="H46" s="2" t="str">
        <f>AW46/AS46-1</f>
      </c>
      <c r="I46" s="2"/>
      <c r="J46" s="2" t="str">
        <f>AW46/Sum(AW$29:AW$53)</f>
      </c>
      <c r="K46" s="2"/>
      <c r="M46" t="s">
        <v>120</v>
      </c>
      <c r="N46" t="s">
        <v>85</v>
      </c>
      <c r="O46" s="13"/>
      <c r="P46" s="13"/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68035.4942605884</v>
      </c>
      <c r="V46" s="13" t="n">
        <v>296575586.420436</v>
      </c>
      <c r="W46" s="13" t="n">
        <v>257199801.450174</v>
      </c>
      <c r="X46" s="13" t="n">
        <v>651984896.640844</v>
      </c>
      <c r="Y46" s="13" t="n">
        <v>3889769047.91383</v>
      </c>
      <c r="Z46" s="13" t="n">
        <v>4249846833.32381</v>
      </c>
      <c r="AA46" s="13" t="n">
        <v>8132717133.78092</v>
      </c>
      <c r="AB46" s="13" t="n">
        <v>9471196509.39908</v>
      </c>
      <c r="AC46" s="13" t="n">
        <v>11246927075.504</v>
      </c>
      <c r="AD46" s="13" t="n">
        <v>8677815210.94684</v>
      </c>
      <c r="AE46" s="13" t="n">
        <v>10254313752.9052</v>
      </c>
      <c r="AF46" s="13" t="n">
        <v>13407962884.9799</v>
      </c>
      <c r="AG46" s="13" t="n">
        <v>12130717161.5248</v>
      </c>
      <c r="AH46" s="13" t="n">
        <v>12412265660.6454</v>
      </c>
      <c r="AI46" s="13" t="n">
        <v>10636658158.3993</v>
      </c>
      <c r="AJ46" s="13" t="n">
        <v>10280433122.9748</v>
      </c>
      <c r="AK46" s="13" t="n">
        <v>8672668917.44616</v>
      </c>
      <c r="AL46" s="13" t="n">
        <v>8099106699.37808</v>
      </c>
      <c r="AM46" s="13" t="n">
        <v>7546378823.83393</v>
      </c>
      <c r="AN46" s="13" t="n">
        <v>8003618846.49553</v>
      </c>
      <c r="AO46" s="13" t="n">
        <v>7880931367.29986</v>
      </c>
      <c r="AP46" s="13" t="n">
        <v>8019045835.59654</v>
      </c>
      <c r="AQ46" s="13" t="n">
        <v>8615456384.40967</v>
      </c>
      <c r="AR46" s="13" t="n">
        <v>9489174092.37288</v>
      </c>
      <c r="AS46" s="13" t="n">
        <v>9821913771.01901</v>
      </c>
      <c r="AT46" s="13" t="n">
        <v>9513861324.25051</v>
      </c>
      <c r="AU46" s="13" t="n">
        <v>9276742386.65776</v>
      </c>
      <c r="AV46" s="13" t="n">
        <v>10141219591.4974</v>
      </c>
      <c r="AW46" s="13" t="n">
        <v>10066335670.7105</v>
      </c>
      <c r="AX46" s="13" t="n">
        <v>4279543666.33276</v>
      </c>
      <c r="AY46" s="13"/>
    </row>
    <row r="47">
      <c r="A47" t="str">
        <f>M47</f>
      </c>
      <c r="B47" t="str">
        <f>N47</f>
      </c>
      <c r="C47" s="13" t="str">
        <f>AS47</f>
      </c>
      <c r="D47" s="13" t="str">
        <f>AV47</f>
      </c>
      <c r="E47" s="13" t="str">
        <f>AW47</f>
      </c>
      <c r="F47" s="13"/>
      <c r="G47" s="2" t="str">
        <f>AW47/AV47-1</f>
      </c>
      <c r="H47" s="2" t="str">
        <f>AW47/AS47-1</f>
      </c>
      <c r="I47" s="2"/>
      <c r="J47" s="2" t="str">
        <f>AW47/Sum(AW$29:AW$53)</f>
      </c>
      <c r="K47" s="2"/>
      <c r="M47" t="s">
        <v>120</v>
      </c>
      <c r="N47" t="s">
        <v>86</v>
      </c>
      <c r="O47" s="13"/>
      <c r="P47" s="13"/>
      <c r="Q47" s="13" t="n">
        <v>0</v>
      </c>
      <c r="R47" s="13"/>
      <c r="S47" s="13"/>
      <c r="T47" s="13" t="n">
        <v>0</v>
      </c>
      <c r="U47" s="13" t="n">
        <v>0</v>
      </c>
      <c r="V47" s="13" t="n">
        <v>60074225.209756</v>
      </c>
      <c r="W47" s="13" t="n">
        <v>45830300.3603238</v>
      </c>
      <c r="X47" s="13" t="n">
        <v>82542357.5863558</v>
      </c>
      <c r="Y47" s="13" t="n">
        <v>1398634451.61653</v>
      </c>
      <c r="Z47" s="13" t="n">
        <v>2002069139.94044</v>
      </c>
      <c r="AA47" s="13" t="n">
        <v>4950360814.63377</v>
      </c>
      <c r="AB47" s="13" t="n">
        <v>6086468985.96258</v>
      </c>
      <c r="AC47" s="13" t="n">
        <v>6963173200.60346</v>
      </c>
      <c r="AD47" s="13" t="n">
        <v>6356706052.32839</v>
      </c>
      <c r="AE47" s="13" t="n">
        <v>7686816502.70934</v>
      </c>
      <c r="AF47" s="13" t="n">
        <v>7155691570.22905</v>
      </c>
      <c r="AG47" s="13" t="n">
        <v>7708357049.62558</v>
      </c>
      <c r="AH47" s="13" t="n">
        <v>8812419902.43159</v>
      </c>
      <c r="AI47" s="13" t="n">
        <v>10447850660.6665</v>
      </c>
      <c r="AJ47" s="13" t="n">
        <v>11986483661.2088</v>
      </c>
      <c r="AK47" s="13" t="n">
        <v>12736718730.7976</v>
      </c>
      <c r="AL47" s="13" t="n">
        <v>10742744296.0254</v>
      </c>
      <c r="AM47" s="13" t="n">
        <v>10478653076.0074</v>
      </c>
      <c r="AN47" s="13" t="n">
        <v>10117063507.6298</v>
      </c>
      <c r="AO47" s="13" t="n">
        <v>10555101500.3907</v>
      </c>
      <c r="AP47" s="13" t="n">
        <v>11271878433.9197</v>
      </c>
      <c r="AQ47" s="13" t="n">
        <v>12960780699.1546</v>
      </c>
      <c r="AR47" s="13" t="n">
        <v>14209120665.7896</v>
      </c>
      <c r="AS47" s="13" t="n">
        <v>14889254638.8528</v>
      </c>
      <c r="AT47" s="13" t="n">
        <v>14206175197.1337</v>
      </c>
      <c r="AU47" s="13" t="n">
        <v>14459012069.2436</v>
      </c>
      <c r="AV47" s="13" t="n">
        <v>15406711902.4662</v>
      </c>
      <c r="AW47" s="13" t="n">
        <v>16845361891.8408</v>
      </c>
      <c r="AX47" s="13" t="n">
        <v>7273222269.94338</v>
      </c>
      <c r="AY47" s="13"/>
    </row>
    <row r="48">
      <c r="A48" t="str">
        <f>M48</f>
      </c>
      <c r="B48" t="str">
        <f>N48</f>
      </c>
      <c r="C48" s="13" t="str">
        <f>AS48</f>
      </c>
      <c r="D48" s="13" t="str">
        <f>AV48</f>
      </c>
      <c r="E48" s="13" t="str">
        <f>AW48</f>
      </c>
      <c r="F48" s="13"/>
      <c r="G48" s="2" t="str">
        <f>AW48/AV48-1</f>
      </c>
      <c r="H48" s="2" t="str">
        <f>AW48/AS48-1</f>
      </c>
      <c r="I48" s="2"/>
      <c r="J48" s="2" t="str">
        <f>AW48/Sum(AW$29:AW$53)</f>
      </c>
      <c r="K48" s="2"/>
      <c r="M48"/>
      <c r="N48" t="s">
        <v>80</v>
      </c>
      <c r="O48" s="13" t="n">
        <v>84866398025.2474</v>
      </c>
      <c r="P48" s="13" t="n">
        <v>87114575556.9788</v>
      </c>
      <c r="Q48" s="13" t="n">
        <v>75203230158.442</v>
      </c>
      <c r="R48" s="13" t="n">
        <v>75096842337.6677</v>
      </c>
      <c r="S48" s="13" t="n">
        <v>81134228512.9612</v>
      </c>
      <c r="T48" s="13" t="n">
        <v>67632378943.8494</v>
      </c>
      <c r="U48" s="13" t="n">
        <v>69971086067.9618</v>
      </c>
      <c r="V48" s="13" t="n">
        <v>61471377097.988</v>
      </c>
      <c r="W48" s="13" t="n">
        <v>58470051512.793</v>
      </c>
      <c r="X48" s="13" t="n">
        <v>60487650765.2023</v>
      </c>
      <c r="Y48" s="13"/>
      <c r="Z48" s="13"/>
      <c r="AA48" s="13" t="n">
        <v>17394175.1027153</v>
      </c>
      <c r="AB48" s="13"/>
      <c r="AC48" s="13"/>
      <c r="AD48" s="13"/>
      <c r="AE48" s="13"/>
      <c r="AF48" s="13"/>
      <c r="AG48" s="13"/>
      <c r="AH48" s="13" t="n">
        <v>0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 t="n">
        <v>239277.253651481</v>
      </c>
      <c r="AS48" s="13" t="n">
        <v>1470005.25080395</v>
      </c>
      <c r="AT48" s="13"/>
      <c r="AU48" s="13"/>
      <c r="AV48" s="13" t="n">
        <v>-96821.0594</v>
      </c>
      <c r="AW48" s="13"/>
      <c r="AX48" s="13"/>
      <c r="AY48" s="13"/>
    </row>
    <row r="49">
      <c r="A49" t="str">
        <f>M49</f>
      </c>
      <c r="B49" t="str">
        <f>N49</f>
      </c>
      <c r="C49" s="13" t="str">
        <f>AS49</f>
      </c>
      <c r="D49" s="13" t="str">
        <f>AV49</f>
      </c>
      <c r="E49" s="13" t="str">
        <f>AW49</f>
      </c>
      <c r="F49" s="13"/>
      <c r="G49" s="2" t="str">
        <f>AW49/AV49-1</f>
      </c>
      <c r="H49" s="2" t="str">
        <f>AW49/AS49-1</f>
      </c>
      <c r="I49" s="2"/>
      <c r="J49" s="2" t="str">
        <f>AW49/Sum(AW$29:AW$53)</f>
      </c>
      <c r="K49" s="2"/>
      <c r="M49"/>
      <c r="N49" t="s">
        <v>81</v>
      </c>
      <c r="O49" s="13" t="n">
        <v>47183784087.184</v>
      </c>
      <c r="P49" s="13" t="n">
        <v>69679229394.3154</v>
      </c>
      <c r="Q49" s="13" t="n">
        <v>60613831231.5507</v>
      </c>
      <c r="R49" s="13" t="n">
        <v>58356385723.3453</v>
      </c>
      <c r="S49" s="13" t="n">
        <v>38426626204.2276</v>
      </c>
      <c r="T49" s="13" t="n">
        <v>53799528670.8018</v>
      </c>
      <c r="U49" s="13" t="n">
        <v>56688250234.333</v>
      </c>
      <c r="V49" s="13" t="n">
        <v>54861888895.4184</v>
      </c>
      <c r="W49" s="13" t="n">
        <v>54013610909.2552</v>
      </c>
      <c r="X49" s="13" t="n">
        <v>57958840662.9232</v>
      </c>
      <c r="Y49" s="13"/>
      <c r="Z49" s="13" t="n">
        <v>1188296.87318934</v>
      </c>
      <c r="AA49" s="13" t="n">
        <v>54296.4257516157</v>
      </c>
      <c r="AB49" s="13" t="n">
        <v>68302.2952640225</v>
      </c>
      <c r="AC49" s="13" t="n">
        <v>0</v>
      </c>
      <c r="AD49" s="13"/>
      <c r="AE49" s="13"/>
      <c r="AF49" s="13"/>
      <c r="AG49" s="13"/>
      <c r="AH49" s="13" t="n">
        <v>-137.296142087558</v>
      </c>
      <c r="AI49" s="13" t="n">
        <v>-22487.0145145055</v>
      </c>
      <c r="AJ49" s="13" t="n">
        <v>-1.48117293492247</v>
      </c>
      <c r="AK49" s="13"/>
      <c r="AL49" s="13" t="n">
        <v>0</v>
      </c>
      <c r="AM49" s="13"/>
      <c r="AN49" s="13" t="n">
        <v>1775509.82661873</v>
      </c>
      <c r="AO49" s="13" t="n">
        <v>4847769.85942543</v>
      </c>
      <c r="AP49" s="13" t="n">
        <v>2719077.90294633</v>
      </c>
      <c r="AQ49" s="13" t="n">
        <v>15136314.3699877</v>
      </c>
      <c r="AR49" s="13" t="n">
        <v>49385912.6554525</v>
      </c>
      <c r="AS49" s="13" t="n">
        <v>40431287.6652847</v>
      </c>
      <c r="AT49" s="13" t="n">
        <v>21655246.3140544</v>
      </c>
      <c r="AU49" s="13" t="n">
        <v>12588781.3267405</v>
      </c>
      <c r="AV49" s="13" t="n">
        <v>10615317.9705</v>
      </c>
      <c r="AW49" s="13" t="n">
        <v>3378600.86582061</v>
      </c>
      <c r="AX49" s="13" t="n">
        <v>0</v>
      </c>
      <c r="AY49" s="13"/>
    </row>
    <row r="50">
      <c r="A50" t="str">
        <f>M50</f>
      </c>
      <c r="B50" t="str">
        <f>N50</f>
      </c>
      <c r="C50" s="13" t="str">
        <f>AS50</f>
      </c>
      <c r="D50" s="13" t="str">
        <f>AV50</f>
      </c>
      <c r="E50" s="13" t="str">
        <f>AW50</f>
      </c>
      <c r="F50" s="13"/>
      <c r="G50" s="2" t="str">
        <f>AW50/AV50-1</f>
      </c>
      <c r="H50" s="2" t="str">
        <f>AW50/AS50-1</f>
      </c>
      <c r="I50" s="2"/>
      <c r="J50" s="2" t="str">
        <f>AW50/Sum(AW$29:AW$53)</f>
      </c>
      <c r="K50" s="2"/>
      <c r="M50"/>
      <c r="N50" t="s">
        <v>82</v>
      </c>
      <c r="O50" s="13" t="n">
        <v>19004594725.5526</v>
      </c>
      <c r="P50" s="13" t="n">
        <v>23330630247.3101</v>
      </c>
      <c r="Q50" s="13" t="n">
        <v>13445905378.8714</v>
      </c>
      <c r="R50" s="13" t="n">
        <v>15086053218.8843</v>
      </c>
      <c r="S50" s="13" t="n">
        <v>12451827279.1128</v>
      </c>
      <c r="T50" s="13" t="n">
        <v>12104722516.001</v>
      </c>
      <c r="U50" s="13" t="n">
        <v>12936146645.7812</v>
      </c>
      <c r="V50" s="13" t="n">
        <v>14000784210.4715</v>
      </c>
      <c r="W50" s="13" t="n">
        <v>12673821709.5512</v>
      </c>
      <c r="X50" s="13" t="n">
        <v>13293817813.3344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 t="n">
        <v>-865014.262532878</v>
      </c>
      <c r="AS50" s="13" t="n">
        <v>10405759.0711667</v>
      </c>
      <c r="AT50" s="13" t="n">
        <v>16534073.0802186</v>
      </c>
      <c r="AU50" s="13" t="n">
        <v>15523194.1847019</v>
      </c>
      <c r="AV50" s="13" t="n">
        <v>13298551.7912</v>
      </c>
      <c r="AW50" s="13" t="n">
        <v>9758067.11667878</v>
      </c>
      <c r="AX50" s="13" t="n">
        <v>4761907.80221785</v>
      </c>
      <c r="AY50" s="13"/>
    </row>
    <row r="51">
      <c r="A51" t="str">
        <f>M51</f>
      </c>
      <c r="B51" t="str">
        <f>N51</f>
      </c>
      <c r="C51" s="13" t="str">
        <f>AS51</f>
      </c>
      <c r="D51" s="13" t="str">
        <f>AV51</f>
      </c>
      <c r="E51" s="13" t="str">
        <f>AW51</f>
      </c>
      <c r="F51" s="13"/>
      <c r="G51" s="2" t="str">
        <f>AW51/AV51-1</f>
      </c>
      <c r="H51" s="2" t="str">
        <f>AW51/AS51-1</f>
      </c>
      <c r="I51" s="2"/>
      <c r="J51" s="2" t="str">
        <f>AW51/Sum(AW$29:AW$53)</f>
      </c>
      <c r="K51" s="2"/>
      <c r="M51"/>
      <c r="N51" t="s">
        <v>84</v>
      </c>
      <c r="O51" s="13"/>
      <c r="P51" s="13"/>
      <c r="Q51" s="13"/>
      <c r="R51" s="13"/>
      <c r="S51" s="13" t="n">
        <v>640337269.816692</v>
      </c>
      <c r="T51" s="13" t="n">
        <v>458937730.551573</v>
      </c>
      <c r="U51" s="13" t="n">
        <v>537668558.608433</v>
      </c>
      <c r="V51" s="13" t="n">
        <v>684197625.084961</v>
      </c>
      <c r="W51" s="13" t="n">
        <v>959188548.482985</v>
      </c>
      <c r="X51" s="13" t="n">
        <v>1588922604.51723</v>
      </c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2">
      <c r="A52" t="str">
        <f>M52</f>
      </c>
      <c r="B52" t="str">
        <f>N52</f>
      </c>
      <c r="C52" s="13" t="str">
        <f>AS52</f>
      </c>
      <c r="D52" s="13" t="str">
        <f>AV52</f>
      </c>
      <c r="E52" s="13" t="str">
        <f>AW52</f>
      </c>
      <c r="F52" s="13"/>
      <c r="G52" s="2" t="str">
        <f>AW52/AV52-1</f>
      </c>
      <c r="H52" s="2" t="str">
        <f>AW52/AS52-1</f>
      </c>
      <c r="I52" s="2"/>
      <c r="J52" s="2" t="str">
        <f>AW52/Sum(AW$29:AW$53)</f>
      </c>
      <c r="K52" s="2"/>
      <c r="M52"/>
      <c r="N52" t="s">
        <v>85</v>
      </c>
      <c r="O52" s="13" t="n">
        <v>90973665201.0559</v>
      </c>
      <c r="P52" s="13" t="n">
        <v>83749544861.4159</v>
      </c>
      <c r="Q52" s="13" t="n">
        <v>79180400849.5152</v>
      </c>
      <c r="R52" s="13" t="n">
        <v>71157199258.1273</v>
      </c>
      <c r="S52" s="13" t="n">
        <v>74757057979.4722</v>
      </c>
      <c r="T52" s="13" t="n">
        <v>70468554148.6879</v>
      </c>
      <c r="U52" s="13" t="n">
        <v>63509865456.4083</v>
      </c>
      <c r="V52" s="13" t="n">
        <v>63886028970.6291</v>
      </c>
      <c r="W52" s="13" t="n">
        <v>65869027059.168</v>
      </c>
      <c r="X52" s="13" t="n">
        <v>64306288048.9684</v>
      </c>
      <c r="Y52" s="13" t="n">
        <v>0</v>
      </c>
      <c r="Z52" s="13" t="n">
        <v>0</v>
      </c>
      <c r="AA52" s="13" t="n">
        <v>37270938.4728675</v>
      </c>
      <c r="AB52" s="13" t="n">
        <v>17618149.3751991</v>
      </c>
      <c r="AC52" s="13" t="n">
        <v>118491.632565047</v>
      </c>
      <c r="AD52" s="13" t="n">
        <v>922871.524423619</v>
      </c>
      <c r="AE52" s="13" t="n">
        <v>20841.3103384547</v>
      </c>
      <c r="AF52" s="13" t="n">
        <v>5663.18719690197</v>
      </c>
      <c r="AG52" s="13" t="n">
        <v>671547.084720821</v>
      </c>
      <c r="AH52" s="13" t="n">
        <v>2136143.71945972</v>
      </c>
      <c r="AI52" s="13" t="n">
        <v>-10802141.3664221</v>
      </c>
      <c r="AJ52" s="13" t="n">
        <v>556661.578077033</v>
      </c>
      <c r="AK52" s="13" t="n">
        <v>416620.166021937</v>
      </c>
      <c r="AL52" s="13" t="n">
        <v>204403.852824751</v>
      </c>
      <c r="AM52" s="13" t="n">
        <v>0</v>
      </c>
      <c r="AN52" s="13" t="n">
        <v>1796070.43857411</v>
      </c>
      <c r="AO52" s="13" t="n">
        <v>948726.488773677</v>
      </c>
      <c r="AP52" s="13" t="n">
        <v>3636089.27627049</v>
      </c>
      <c r="AQ52" s="13" t="n">
        <v>49798272.2315861</v>
      </c>
      <c r="AR52" s="13" t="n">
        <v>2191914.56369121</v>
      </c>
      <c r="AS52" s="13" t="n">
        <v>2453243.02340032</v>
      </c>
      <c r="AT52" s="13" t="n">
        <v>23642007.3898828</v>
      </c>
      <c r="AU52" s="13" t="n">
        <v>358158.796971779</v>
      </c>
      <c r="AV52" s="13" t="n">
        <v>3405765.29</v>
      </c>
      <c r="AW52" s="13" t="n">
        <v>3252976.10906697</v>
      </c>
      <c r="AX52" s="13" t="n">
        <v>19205563.3981972</v>
      </c>
      <c r="AY52" s="13"/>
    </row>
    <row r="53">
      <c r="A53" t="str">
        <f>M53</f>
      </c>
      <c r="B53" t="str">
        <f>N53</f>
      </c>
      <c r="C53" s="13" t="str">
        <f>AS53</f>
      </c>
      <c r="D53" s="13" t="str">
        <f>AV53</f>
      </c>
      <c r="E53" s="13" t="str">
        <f>AW53</f>
      </c>
      <c r="F53" s="13"/>
      <c r="G53" s="2" t="str">
        <f>AW53/AV53-1</f>
      </c>
      <c r="H53" s="2" t="str">
        <f>AW53/AS53-1</f>
      </c>
      <c r="I53" s="2"/>
      <c r="J53" s="2" t="str">
        <f>AW53/Sum(AW$29:AW$53)</f>
      </c>
      <c r="K53" s="2"/>
      <c r="M53"/>
      <c r="N53" t="s">
        <v>86</v>
      </c>
      <c r="O53" s="13" t="n">
        <v>6889556751.8342</v>
      </c>
      <c r="P53" s="13" t="n">
        <v>8011222660.1091</v>
      </c>
      <c r="Q53" s="13" t="n">
        <v>11969193116.5596</v>
      </c>
      <c r="R53" s="13" t="n">
        <v>11334998573.9624</v>
      </c>
      <c r="S53" s="13" t="n">
        <v>10840463235.327</v>
      </c>
      <c r="T53" s="13" t="n">
        <v>8213528736.83126</v>
      </c>
      <c r="U53" s="13" t="n">
        <v>8428594365.74081</v>
      </c>
      <c r="V53" s="13" t="n">
        <v>9130040613.38741</v>
      </c>
      <c r="W53" s="13" t="n">
        <v>11231283574.2342</v>
      </c>
      <c r="X53" s="13" t="n">
        <v>12052760670.454</v>
      </c>
      <c r="Y53" s="13"/>
      <c r="Z53" s="13" t="n">
        <v>0</v>
      </c>
      <c r="AA53" s="13"/>
      <c r="AB53" s="13" t="n">
        <v>0</v>
      </c>
      <c r="AC53" s="13"/>
      <c r="AD53" s="13"/>
      <c r="AE53" s="13"/>
      <c r="AF53" s="13"/>
      <c r="AG53" s="13"/>
      <c r="AH53" s="13" t="n">
        <v>325057.897611498</v>
      </c>
      <c r="AI53" s="13" t="n">
        <v>-233049.40642639</v>
      </c>
      <c r="AJ53" s="13"/>
      <c r="AK53" s="13"/>
      <c r="AL53" s="13"/>
      <c r="AM53" s="13" t="n">
        <v>-705476.397611901</v>
      </c>
      <c r="AN53" s="13"/>
      <c r="AO53" s="13"/>
      <c r="AP53" s="13" t="n">
        <v>0</v>
      </c>
      <c r="AQ53" s="13" t="n">
        <v>2006633.41396434</v>
      </c>
      <c r="AR53" s="13" t="n">
        <v>688627.356008014</v>
      </c>
      <c r="AS53" s="13" t="n">
        <v>567469.113975223</v>
      </c>
      <c r="AT53" s="13" t="n">
        <v>708167.81827348</v>
      </c>
      <c r="AU53" s="13"/>
      <c r="AV53" s="13"/>
      <c r="AW53" s="13"/>
      <c r="AX53" s="13"/>
      <c r="AY53" s="13"/>
    </row>
    <row r="54">
      <c r="A54" t="str">
        <f>M54</f>
      </c>
      <c r="B54" t="str">
        <f>N54</f>
      </c>
      <c r="C54" s="13" t="str">
        <f>AS54</f>
      </c>
      <c r="D54" s="13" t="str">
        <f>AV54</f>
      </c>
      <c r="E54" s="13" t="str">
        <f>AW54</f>
      </c>
      <c r="F54" s="13"/>
      <c r="G54" s="2" t="str">
        <f>AW54/AV54-1</f>
      </c>
      <c r="H54" s="2" t="str">
        <f>AW54/AS54-1</f>
      </c>
      <c r="I54" s="2"/>
      <c r="J54" s="2" t="str">
        <f>Sum(J$29:J$53)</f>
      </c>
      <c r="K54" s="2"/>
      <c r="M54" t="s">
        <v>43</v>
      </c>
      <c r="N54" t="s">
        <v>57</v>
      </c>
      <c r="O54" s="13" t="str">
        <f>Sum(O30:O53)</f>
      </c>
      <c r="P54" s="13" t="str">
        <f>Sum(P30:P53)</f>
      </c>
      <c r="Q54" s="13" t="str">
        <f>Sum(Q30:Q53)</f>
      </c>
      <c r="R54" s="13" t="str">
        <f>Sum(R30:R53)</f>
      </c>
      <c r="S54" s="13" t="str">
        <f>Sum(S30:S53)</f>
      </c>
      <c r="T54" s="13" t="str">
        <f>Sum(T30:T53)</f>
      </c>
      <c r="U54" s="13" t="str">
        <f>Sum(U30:U53)</f>
      </c>
      <c r="V54" s="13" t="str">
        <f>Sum(V30:V53)</f>
      </c>
      <c r="W54" s="13" t="str">
        <f>Sum(W30:W53)</f>
      </c>
      <c r="X54" s="13" t="str">
        <f>Sum(X30:X53)</f>
      </c>
      <c r="Y54" s="13" t="str">
        <f>Sum(Y30:Y53)</f>
      </c>
      <c r="Z54" s="13" t="str">
        <f>Sum(Z30:Z53)</f>
      </c>
      <c r="AA54" s="13" t="str">
        <f>Sum(AA30:AA53)</f>
      </c>
      <c r="AB54" s="13" t="str">
        <f>Sum(AB30:AB53)</f>
      </c>
      <c r="AC54" s="13" t="str">
        <f>Sum(AC30:AC53)</f>
      </c>
      <c r="AD54" s="13" t="str">
        <f>Sum(AD30:AD53)</f>
      </c>
      <c r="AE54" s="13" t="str">
        <f>Sum(AE30:AE53)</f>
      </c>
      <c r="AF54" s="13" t="str">
        <f>Sum(AF30:AF53)</f>
      </c>
      <c r="AG54" s="13" t="str">
        <f>Sum(AG30:AG53)</f>
      </c>
      <c r="AH54" s="13" t="str">
        <f>Sum(AH30:AH53)</f>
      </c>
      <c r="AI54" s="13" t="str">
        <f>Sum(AI30:AI53)</f>
      </c>
      <c r="AJ54" s="13" t="str">
        <f>Sum(AJ30:AJ53)</f>
      </c>
      <c r="AK54" s="13" t="str">
        <f>Sum(AK30:AK53)</f>
      </c>
      <c r="AL54" s="13" t="str">
        <f>Sum(AL30:AL53)</f>
      </c>
      <c r="AM54" s="13" t="str">
        <f>Sum(AM30:AM53)</f>
      </c>
      <c r="AN54" s="13" t="str">
        <f>Sum(AN30:AN53)</f>
      </c>
      <c r="AO54" s="13" t="str">
        <f>Sum(AO30:AO53)</f>
      </c>
      <c r="AP54" s="13" t="str">
        <f>Sum(AP30:AP53)</f>
      </c>
      <c r="AQ54" s="13" t="str">
        <f>Sum(AQ30:AQ53)</f>
      </c>
      <c r="AR54" s="13" t="str">
        <f>Sum(AR30:AR53)</f>
      </c>
      <c r="AS54" s="13" t="str">
        <f>Sum(AS30:AS53)</f>
      </c>
      <c r="AT54" s="13" t="str">
        <f>Sum(AT30:AT53)</f>
      </c>
      <c r="AU54" s="13" t="str">
        <f>Sum(AU30:AU53)</f>
      </c>
      <c r="AV54" s="13" t="str">
        <f>Sum(AV30:AV53)</f>
      </c>
      <c r="AW54" s="13" t="str">
        <f>Sum(AW30:AW53)</f>
      </c>
      <c r="AX54" s="13" t="str">
        <f>Sum(AX30:AX53)</f>
      </c>
      <c r="AY54" s="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../output/AcqTrends/NPS2025//DoD_2025_NPS.xlsx</dc:creator>
  <cp:lastModifiedBy>../output/AcqTrends/NPS2025//DoD_2025_NPS.xlsx</cp:lastModifiedBy>
  <dcterms:created xsi:type="dcterms:W3CDTF">2025-08-19T22:59:26Z</dcterms:created>
</coreProperties>
</file>