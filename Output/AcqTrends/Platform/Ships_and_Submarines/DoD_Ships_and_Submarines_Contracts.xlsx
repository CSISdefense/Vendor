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<sst xmlns="http://schemas.openxmlformats.org/spreadsheetml/2006/main" count="266" uniqueCount="266">
  <si>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</si>
  <si>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</si>
  <si>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</si>
  <si>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</si>
  <si>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</si>
  <si>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</si>
  <si>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</si>
  <si>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</si>
  <si>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</si>
  <si>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</si>
  <si>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</si>
  <si>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</si>
  <si>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</si>
  <si>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</si>
  <si>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</si>
  <si>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</si>
  <si>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</si>
  <si>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</si>
  <si>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</si>
  <si>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</si>
  <si>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</si>
  <si>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</si>
  <si>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</si>
  <si>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</si>
  <si>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</si>
  <si>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</si>
  <si>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</si>
  <si>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</si>
  <si>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</si>
  <si>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</si>
  <si>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</si>
  <si>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</si>
  <si>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</si>
  <si>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</si>
  <si>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</si>
  <si>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</si>
  <si>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</si>
  <si>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</si>
  <si>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</si>
  <si>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</si>
  <si>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</si>
  <si>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</si>
  <si>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</si>
  <si>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</si>
  <si>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</si>
  <si>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</si>
  <si>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</si>
  <si>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</si>
  <si>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</si>
  <si>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</si>
  <si>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</si>
  <si>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</si>
  <si>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</si>
  <si>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</si>
  <si>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</si>
  <si>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</si>
  <si>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</si>
  <si>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</si>
  <si>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</si>
  <si>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</si>
  <si>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</si>
  <si>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</si>
  <si>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</si>
  <si>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</si>
  <si>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</si>
  <si>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</si>
  <si>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</si>
  <si>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</si>
  <si>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</si>
  <si>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</si>
  <si>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</si>
  <si>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</si>
  <si>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CVN 21</t>
  </si>
  <si>
    <t xml:space="preserve">DD(X)</t>
  </si>
  <si>
    <t xml:space="preserve">DDG 51</t>
  </si>
  <si>
    <t xml:space="preserve">DESTROYER DDG-51</t>
  </si>
  <si>
    <t xml:space="preserve">LCS</t>
  </si>
  <si>
    <t xml:space="preserve">LPD 17</t>
  </si>
  <si>
    <t xml:space="preserve">Other Labeled Project</t>
  </si>
  <si>
    <t xml:space="preserve">SSN 774</t>
  </si>
  <si>
    <t xml:space="preserve">TopPStext</t>
  </si>
  <si>
    <t xml:space="preserve">AIRCRAFT CARRIERS</t>
  </si>
  <si>
    <t xml:space="preserve">AMPHIBIOUS ASSAULT
SHIPS</t>
  </si>
  <si>
    <t xml:space="preserve">COMBAT SHIPS AND
LANDING VESSELS</t>
  </si>
  <si>
    <t xml:space="preserve">DESTROYERS</t>
  </si>
  <si>
    <t xml:space="preserve">MAINT-REP OF
SHIPS-SML
CRAFT-DOCKS</t>
  </si>
  <si>
    <t xml:space="preserve">MARINE LIFESAVING &amp;
DIVING EQ</t>
  </si>
  <si>
    <t xml:space="preserve">NON-NUCLEAR SHIP
REPAIR (EAST)</t>
  </si>
  <si>
    <t xml:space="preserve">NON-NUCLEAR SHIP
REPAIR (WEST)</t>
  </si>
  <si>
    <t xml:space="preserve">NUCLEAR REACTORS</t>
  </si>
  <si>
    <t xml:space="preserve">Other Labeled PSC</t>
  </si>
  <si>
    <t xml:space="preserve">SHIP AND BOAT
PROPULSION
COMPONENTS</t>
  </si>
  <si>
    <t xml:space="preserve">SUBMARINES</t>
  </si>
  <si>
    <t xml:space="preserve">Project.Name</t>
  </si>
  <si>
    <t xml:space="preserve">ProjectID</t>
  </si>
  <si>
    <t xml:space="preserve">12</t>
  </si>
  <si>
    <t xml:space="preserve">125/250 AIR CONDITIONING</t>
  </si>
  <si>
    <t xml:space="preserve">2500 LM GAS TURBINE</t>
  </si>
  <si>
    <t xml:space="preserve">2GID</t>
  </si>
  <si>
    <t xml:space="preserve">2GNB</t>
  </si>
  <si>
    <t xml:space="preserve">375</t>
  </si>
  <si>
    <t xml:space="preserve">400 HZ POWER GENERATOR</t>
  </si>
  <si>
    <t xml:space="preserve">443</t>
  </si>
  <si>
    <t xml:space="preserve">AIRCRAFT CARRIER -CVA-64</t>
  </si>
  <si>
    <t xml:space="preserve">AIRCRAFT CARRIER -CVAN-69</t>
  </si>
  <si>
    <t xml:space="preserve">AIRCRAFT CARRIER -CVN-71</t>
  </si>
  <si>
    <t xml:space="preserve">AIRCRAFT CARRIER -CVN-72</t>
  </si>
  <si>
    <t xml:space="preserve">AIRCRAFT CARRIER CVAN-65</t>
  </si>
  <si>
    <t xml:space="preserve">AMMUNITION SHIP-AE</t>
  </si>
  <si>
    <t xml:space="preserve">AMPHIBIOUS 60 TON LARC</t>
  </si>
  <si>
    <t xml:space="preserve">AN/BQN-17</t>
  </si>
  <si>
    <t xml:space="preserve">AN/BQS-13</t>
  </si>
  <si>
    <t xml:space="preserve">AN/SQQ-32 SONAR</t>
  </si>
  <si>
    <t xml:space="preserve">AN/SQR-17 SONAR</t>
  </si>
  <si>
    <t xml:space="preserve">AN/SQS-35</t>
  </si>
  <si>
    <t xml:space="preserve">AN/TSQ-43 INTERPRETATION</t>
  </si>
  <si>
    <t xml:space="preserve">AN/UYK-7 COMPUTER SYS</t>
  </si>
  <si>
    <t xml:space="preserve">AN/WSN-2</t>
  </si>
  <si>
    <t xml:space="preserve">ASDS</t>
  </si>
  <si>
    <t xml:space="preserve">ASSAULT SHIP AMPHIBIOUS-L</t>
  </si>
  <si>
    <t xml:space="preserve">Amphibious Ship Replacement (LX(R))</t>
  </si>
  <si>
    <t xml:space="preserve">BARGE SHIP WASTE</t>
  </si>
  <si>
    <t xml:space="preserve">BATTLESHIP</t>
  </si>
  <si>
    <t xml:space="preserve">CARGO SHIP ATTACK-AKA</t>
  </si>
  <si>
    <t xml:space="preserve">CARGO SHIP LIGHT-AKL</t>
  </si>
  <si>
    <t xml:space="preserve">CARGO SHIP LKA117</t>
  </si>
  <si>
    <t xml:space="preserve">CARRIER ACFT NUCLEAR-CVAN</t>
  </si>
  <si>
    <t xml:space="preserve">CARRIER AIRCRAFT-CVA-59</t>
  </si>
  <si>
    <t xml:space="preserve">CARRIER AIRCRAFT-CVA-63</t>
  </si>
  <si>
    <t xml:space="preserve">CARRIER AIRCRAFT-CVA-67</t>
  </si>
  <si>
    <t xml:space="preserve">CARRIER AIRCRAFT-CVAN-68</t>
  </si>
  <si>
    <t xml:space="preserve">CARRIER ANTI-SUB SUPT-CVS</t>
  </si>
  <si>
    <t xml:space="preserve">CARRIER CVV</t>
  </si>
  <si>
    <t xml:space="preserve">CAUSEWAY FERRIES</t>
  </si>
  <si>
    <t xml:space="preserve">CG(X)</t>
  </si>
  <si>
    <t xml:space="preserve">CG-47</t>
  </si>
  <si>
    <t xml:space="preserve">CHI BOAT</t>
  </si>
  <si>
    <t xml:space="preserve">CMND SHIP TACTICAL FLEET-</t>
  </si>
  <si>
    <t xml:space="preserve">CNZ</t>
  </si>
  <si>
    <t xml:space="preserve">COMMAND SHIP-CC</t>
  </si>
  <si>
    <t xml:space="preserve">CRANE RT SP 7 1/21</t>
  </si>
  <si>
    <t xml:space="preserve">CRUISER GD MSL NUCLEAR-CG</t>
  </si>
  <si>
    <t xml:space="preserve">CRUISER GUIDED MISSILE-CG</t>
  </si>
  <si>
    <t xml:space="preserve">CVN 68</t>
  </si>
  <si>
    <t xml:space="preserve">CVN-68</t>
  </si>
  <si>
    <t xml:space="preserve">CVN-69</t>
  </si>
  <si>
    <t xml:space="preserve">DESTROYER DD-963 CLASS</t>
  </si>
  <si>
    <t xml:space="preserve">DESTROYER DD-993 CLASS</t>
  </si>
  <si>
    <t xml:space="preserve">DESTROYER DD-997 CLASS</t>
  </si>
  <si>
    <t xml:space="preserve">DESTROYER DDG-47 AEGIS</t>
  </si>
  <si>
    <t xml:space="preserve">DESTROYER GD MSL DDG-2 CL</t>
  </si>
  <si>
    <t xml:space="preserve">DESTROYER GD MSL MODULE-D</t>
  </si>
  <si>
    <t xml:space="preserve">DIMHRS</t>
  </si>
  <si>
    <t xml:space="preserve">DMLSS</t>
  </si>
  <si>
    <t xml:space="preserve">DOCK AMPHIB TRANSPORT-LPD</t>
  </si>
  <si>
    <t xml:space="preserve">DTS</t>
  </si>
  <si>
    <t xml:space="preserve">ECSS</t>
  </si>
  <si>
    <t xml:space="preserve">FFG(X) Guided Missile Frigate</t>
  </si>
  <si>
    <t xml:space="preserve">FFG-7</t>
  </si>
  <si>
    <t xml:space="preserve">FLOAT DRY DOCK AFDM-282</t>
  </si>
  <si>
    <t xml:space="preserve">FRIGATE FF-1049</t>
  </si>
  <si>
    <t xml:space="preserve">FRIGATE FF-1052</t>
  </si>
  <si>
    <t xml:space="preserve">FRIGATE GD MSL-DLG</t>
  </si>
  <si>
    <t xml:space="preserve">FUEL BARGE NON-SELF PROP</t>
  </si>
  <si>
    <t xml:space="preserve">GSS</t>
  </si>
  <si>
    <t xml:space="preserve">GUPPY I SUBMARINE</t>
  </si>
  <si>
    <t xml:space="preserve">HOSPITAL SHIP-AH</t>
  </si>
  <si>
    <t xml:space="preserve">ICEBREAKER-AGB</t>
  </si>
  <si>
    <t xml:space="preserve">J-65</t>
  </si>
  <si>
    <t xml:space="preserve">JCC(X)</t>
  </si>
  <si>
    <t xml:space="preserve">JT8D TURBOFAN ENGINE</t>
  </si>
  <si>
    <t xml:space="preserve">LANDING CRAFT AIR CUSHION</t>
  </si>
  <si>
    <t xml:space="preserve">LANDING CRAFT LCU</t>
  </si>
  <si>
    <t xml:space="preserve">LANDING SHIP DOCK-LSD</t>
  </si>
  <si>
    <t xml:space="preserve">LANDING SHIP TANK-LST</t>
  </si>
  <si>
    <t xml:space="preserve">LCAC</t>
  </si>
  <si>
    <t xml:space="preserve">LHA</t>
  </si>
  <si>
    <t xml:space="preserve">LHA ( R )</t>
  </si>
  <si>
    <t xml:space="preserve">LHD 1</t>
  </si>
  <si>
    <t xml:space="preserve">LSD 41 CARGO VAR</t>
  </si>
  <si>
    <t xml:space="preserve">LSD-41</t>
  </si>
  <si>
    <t xml:space="preserve">MANEUVER CONTROL SYSTEM (</t>
  </si>
  <si>
    <t xml:space="preserve">MCM 1</t>
  </si>
  <si>
    <t xml:space="preserve">MINEHUNTER COSTL NON-MAG-</t>
  </si>
  <si>
    <t xml:space="preserve">MINELAYER COASTAL-MMC</t>
  </si>
  <si>
    <t xml:space="preserve">MINESWEEPER COASTAL-MSCO</t>
  </si>
  <si>
    <t xml:space="preserve">MISCELLANEOUS-AG</t>
  </si>
  <si>
    <t xml:space="preserve">MK42 MOD-10 5.54 GUN MOUN</t>
  </si>
  <si>
    <t xml:space="preserve">MNSWEEPER OCEAN NON-MAG-M</t>
  </si>
  <si>
    <t xml:space="preserve">MPF</t>
  </si>
  <si>
    <t xml:space="preserve">NATO PHM</t>
  </si>
  <si>
    <t xml:space="preserve">NAVY ERP</t>
  </si>
  <si>
    <t xml:space="preserve">NCES</t>
  </si>
  <si>
    <t xml:space="preserve">OILER-AO</t>
  </si>
  <si>
    <t xml:space="preserve">Other UAS</t>
  </si>
  <si>
    <t xml:space="preserve">PATROL BOAT FAST-PTF</t>
  </si>
  <si>
    <t xml:space="preserve">PATROL BOAT RIVER PBR</t>
  </si>
  <si>
    <t xml:space="preserve">PATROL CFT COSTL FAST-PCF</t>
  </si>
  <si>
    <t xml:space="preserve">PRP BRTNG &amp; MESSNG BRG YR</t>
  </si>
  <si>
    <t xml:space="preserve">PRV</t>
  </si>
  <si>
    <t xml:space="preserve">REPR &amp; CABLE LAYING SHIP-</t>
  </si>
  <si>
    <t xml:space="preserve">RESCUE &amp; SALVAGE SHIP</t>
  </si>
  <si>
    <t xml:space="preserve">SAFEGUARD</t>
  </si>
  <si>
    <t xml:space="preserve">SALVAGE SHIP-ARS</t>
  </si>
  <si>
    <t xml:space="preserve">SBN</t>
  </si>
  <si>
    <t xml:space="preserve">SBP</t>
  </si>
  <si>
    <t xml:space="preserve">SCH</t>
  </si>
  <si>
    <t xml:space="preserve">SCY</t>
  </si>
  <si>
    <t xml:space="preserve">SDR</t>
  </si>
  <si>
    <t xml:space="preserve">SEB</t>
  </si>
  <si>
    <t xml:space="preserve">SEJ</t>
  </si>
  <si>
    <t xml:space="preserve">SEP</t>
  </si>
  <si>
    <t xml:space="preserve">SERVICE CRAFT</t>
  </si>
  <si>
    <t xml:space="preserve">SF</t>
  </si>
  <si>
    <t xml:space="preserve">SFF</t>
  </si>
  <si>
    <t xml:space="preserve">SHC</t>
  </si>
  <si>
    <t xml:space="preserve">SHIP STORE COMBAT-AFS</t>
  </si>
  <si>
    <t xml:space="preserve">SHIP STORE-AF</t>
  </si>
  <si>
    <t xml:space="preserve">SIDWINGER (AIM-9M) (N)</t>
  </si>
  <si>
    <t xml:space="preserve">SJS</t>
  </si>
  <si>
    <t xml:space="preserve">SKM</t>
  </si>
  <si>
    <t xml:space="preserve">SLJ</t>
  </si>
  <si>
    <t xml:space="preserve">SPS</t>
  </si>
  <si>
    <t xml:space="preserve">SSC</t>
  </si>
  <si>
    <t xml:space="preserve">SSDS</t>
  </si>
  <si>
    <t xml:space="preserve">SSGN</t>
  </si>
  <si>
    <t xml:space="preserve">SSN 21</t>
  </si>
  <si>
    <t xml:space="preserve">SSN 685</t>
  </si>
  <si>
    <t xml:space="preserve">SSN 688</t>
  </si>
  <si>
    <t xml:space="preserve">SSN-21 SEAWOLF CLASS</t>
  </si>
  <si>
    <t xml:space="preserve">STATUS OF FORCES AGREEMENT</t>
  </si>
  <si>
    <t xml:space="preserve">STRATEGIC SEALIFT</t>
  </si>
  <si>
    <t xml:space="preserve">SUBMARINE AUXILARY-AGSS(A</t>
  </si>
  <si>
    <t xml:space="preserve">SUBMARINE AUXILARY-AGSS(R</t>
  </si>
  <si>
    <t xml:space="preserve">SUBMARINE CHASER (173 FT)</t>
  </si>
  <si>
    <t xml:space="preserve">SUBMARINE FBM-SSBN</t>
  </si>
  <si>
    <t xml:space="preserve">SUBMARINE GUIDED MISSILE-</t>
  </si>
  <si>
    <t xml:space="preserve">SUBMARINE NUCLEAR - SSN</t>
  </si>
  <si>
    <t xml:space="preserve">SUBMARINE NUCLEAR-SSN</t>
  </si>
  <si>
    <t xml:space="preserve">SUBMARINE SS BN-741</t>
  </si>
  <si>
    <t xml:space="preserve">SUBMARINE SSN-688</t>
  </si>
  <si>
    <t xml:space="preserve">SUPPORT SHIP COMBAT FAST-</t>
  </si>
  <si>
    <t xml:space="preserve">SURTASS SHIP T-AGOS</t>
  </si>
  <si>
    <t xml:space="preserve">SURVEYING SHIP LARGE-AGS</t>
  </si>
  <si>
    <t xml:space="preserve">SURVEYING SHIP MEDIUM-AGS</t>
  </si>
  <si>
    <t xml:space="preserve">SURVEYING SHIP SMALL-AGS</t>
  </si>
  <si>
    <t xml:space="preserve">T-AKE</t>
  </si>
  <si>
    <t xml:space="preserve">T-AO 187 OILER</t>
  </si>
  <si>
    <t xml:space="preserve">TENDER SUB (NON-FBM)-AS</t>
  </si>
  <si>
    <t xml:space="preserve">TENDER SUBMARINE (FBM)-AS</t>
  </si>
  <si>
    <t xml:space="preserve">TRIDENT</t>
  </si>
  <si>
    <t xml:space="preserve">TRIDENT SUB</t>
  </si>
  <si>
    <t xml:space="preserve">TUG HARBOR LGE YTB</t>
  </si>
  <si>
    <t xml:space="preserve">TUG OCEAN FLEET-ATF</t>
  </si>
  <si>
    <t xml:space="preserve">TYPE 18 PERISCOPE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</si>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</sst>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6546714000</v>
      </c>
      <c r="O2" s="1" t="n">
        <v>6476365096</v>
      </c>
      <c r="P2" s="1" t="n">
        <v>5042860266</v>
      </c>
      <c r="Q2" s="1" t="n">
        <v>6618143070</v>
      </c>
      <c r="R2" s="1" t="n">
        <v>4406458273</v>
      </c>
      <c r="S2" s="1" t="n">
        <v>6404497166</v>
      </c>
      <c r="T2" s="1" t="n">
        <v>4969921341</v>
      </c>
      <c r="U2" s="1" t="n">
        <v>5075056453</v>
      </c>
      <c r="V2" s="1" t="n">
        <v>5006150547</v>
      </c>
      <c r="W2" s="1" t="n">
        <v>5177192817</v>
      </c>
      <c r="X2" s="1" t="n">
        <v>5618916525</v>
      </c>
      <c r="Y2" s="1" t="n">
        <v>6760293102</v>
      </c>
      <c r="Z2" s="1" t="n">
        <v>7001486958.9004</v>
      </c>
      <c r="AA2" s="1" t="n">
        <v>7557297526.9402</v>
      </c>
      <c r="AB2" s="1" t="n">
        <v>10006134216.3896</v>
      </c>
      <c r="AC2" s="1" t="n">
        <v>8814140001.413</v>
      </c>
      <c r="AD2" s="1" t="n">
        <v>10959037896.0552</v>
      </c>
      <c r="AE2" s="1" t="n">
        <v>10779960255.4146</v>
      </c>
      <c r="AF2" s="1" t="n">
        <v>13082411620.942</v>
      </c>
      <c r="AG2" s="1" t="n">
        <v>15825782527.1521</v>
      </c>
      <c r="AH2" s="1" t="n">
        <v>12806472617.7794</v>
      </c>
      <c r="AI2" s="1" t="n">
        <v>23500087784.7764</v>
      </c>
      <c r="AJ2" s="1" t="n">
        <v>19697880253.9823</v>
      </c>
      <c r="AK2" s="1" t="n">
        <v>18936235987.4811</v>
      </c>
      <c r="AL2" s="1" t="n">
        <v>19508793986.1486</v>
      </c>
      <c r="AM2" s="1" t="n">
        <v>17513429163.4978</v>
      </c>
      <c r="AN2" s="1" t="n">
        <v>20462857906.4086</v>
      </c>
      <c r="AO2" s="1" t="n">
        <v>22571867090.797</v>
      </c>
      <c r="AP2" s="1" t="n">
        <v>25017366681.3924</v>
      </c>
      <c r="AQ2" s="1" t="n">
        <v>27623976817.2194</v>
      </c>
      <c r="AR2" s="1" t="n">
        <v>34535374667.1391</v>
      </c>
      <c r="AS2" s="1" t="n">
        <v>26998255013.5146</v>
      </c>
      <c r="AT2" s="1" t="n">
        <v>29943453489.1408</v>
      </c>
      <c r="AU2" s="1" t="n">
        <v>35154646443.8665</v>
      </c>
      <c r="AV2" s="1"/>
      <c r="AW2" s="1"/>
    </row>
    <row r="3">
      <c r="A3" t="str">
        <f>M3</f>
      </c>
      <c r="M3" t="s">
        <v>36</v>
      </c>
      <c r="N3" s="1" t="n">
        <v>643253000</v>
      </c>
      <c r="O3" s="1" t="n">
        <v>638521944</v>
      </c>
      <c r="P3" s="1" t="n">
        <v>611055856</v>
      </c>
      <c r="Q3" s="1" t="n">
        <v>766672701</v>
      </c>
      <c r="R3" s="1" t="n">
        <v>908887027</v>
      </c>
      <c r="S3" s="1" t="n">
        <v>995780647</v>
      </c>
      <c r="T3" s="1" t="n">
        <v>1195348447</v>
      </c>
      <c r="U3" s="1" t="n">
        <v>1026658808</v>
      </c>
      <c r="V3" s="1" t="n">
        <v>1432211747</v>
      </c>
      <c r="W3" s="1" t="n">
        <v>1042775605</v>
      </c>
      <c r="X3" s="1" t="n">
        <v>1008444053</v>
      </c>
      <c r="Y3" s="1" t="n">
        <v>1906171377</v>
      </c>
      <c r="Z3" s="1" t="n">
        <v>2001092067</v>
      </c>
      <c r="AA3" s="1" t="n">
        <v>1824674470</v>
      </c>
      <c r="AB3" s="1" t="n">
        <v>1458086705</v>
      </c>
      <c r="AC3" s="1" t="n">
        <v>2415231888</v>
      </c>
      <c r="AD3" s="1" t="n">
        <v>2934614924.6974</v>
      </c>
      <c r="AE3" s="1" t="n">
        <v>2738545986.0921</v>
      </c>
      <c r="AF3" s="1" t="n">
        <v>2624182658.4692</v>
      </c>
      <c r="AG3" s="1" t="n">
        <v>2027703771.8648</v>
      </c>
      <c r="AH3" s="1" t="n">
        <v>1249340329.182</v>
      </c>
      <c r="AI3" s="1" t="n">
        <v>708613223.2008</v>
      </c>
      <c r="AJ3" s="1" t="n">
        <v>399368151.3318</v>
      </c>
      <c r="AK3" s="1" t="n">
        <v>351902001.8156</v>
      </c>
      <c r="AL3" s="1" t="n">
        <v>206081249.1376</v>
      </c>
      <c r="AM3" s="1" t="n">
        <v>197969732.0624</v>
      </c>
      <c r="AN3" s="1" t="n">
        <v>299137709.4819</v>
      </c>
      <c r="AO3" s="1" t="n">
        <v>639313462.3683</v>
      </c>
      <c r="AP3" s="1" t="n">
        <v>726449256.5917</v>
      </c>
      <c r="AQ3" s="1" t="n">
        <v>698556302.1684</v>
      </c>
      <c r="AR3" s="1" t="n">
        <v>434951067.4227</v>
      </c>
      <c r="AS3" s="1" t="n">
        <v>83819183.1375</v>
      </c>
      <c r="AT3" s="1" t="n">
        <v>51726646.0201</v>
      </c>
      <c r="AU3" s="1" t="n">
        <v>45510561.4512</v>
      </c>
      <c r="AV3" s="1"/>
      <c r="AW3" s="1"/>
    </row>
    <row r="4">
      <c r="A4" t="str">
        <f>M4</f>
      </c>
      <c r="M4" t="s">
        <v>37</v>
      </c>
      <c r="N4" s="1" t="n">
        <v>3490690493</v>
      </c>
      <c r="O4" s="1" t="n">
        <v>2397883672</v>
      </c>
      <c r="P4" s="1" t="n">
        <v>2946165904</v>
      </c>
      <c r="Q4" s="1" t="n">
        <v>2117954701</v>
      </c>
      <c r="R4" s="1" t="n">
        <v>2073681346</v>
      </c>
      <c r="S4" s="1" t="n">
        <v>2254078927</v>
      </c>
      <c r="T4" s="1" t="n">
        <v>1804358560</v>
      </c>
      <c r="U4" s="1" t="n">
        <v>2238806381</v>
      </c>
      <c r="V4" s="1" t="n">
        <v>2930870939</v>
      </c>
      <c r="W4" s="1" t="n">
        <v>2100163605</v>
      </c>
      <c r="X4" s="1" t="n">
        <v>2728461185</v>
      </c>
      <c r="Y4" s="1" t="n">
        <v>3737862809</v>
      </c>
      <c r="Z4" s="1" t="n">
        <v>3692972312.0298</v>
      </c>
      <c r="AA4" s="1" t="n">
        <v>3290667056.1104</v>
      </c>
      <c r="AB4" s="1" t="n">
        <v>3378600793.8284</v>
      </c>
      <c r="AC4" s="1" t="n">
        <v>2811066342.712</v>
      </c>
      <c r="AD4" s="1" t="n">
        <v>2925551097.3031</v>
      </c>
      <c r="AE4" s="1" t="n">
        <v>3733988776.902</v>
      </c>
      <c r="AF4" s="1" t="n">
        <v>3646491269.8744</v>
      </c>
      <c r="AG4" s="1" t="n">
        <v>3648008254.2323</v>
      </c>
      <c r="AH4" s="1" t="n">
        <v>3506376986.0832</v>
      </c>
      <c r="AI4" s="1" t="n">
        <v>4180870255.5561</v>
      </c>
      <c r="AJ4" s="1" t="n">
        <v>3726269130.6037</v>
      </c>
      <c r="AK4" s="1" t="n">
        <v>3763140537.9642</v>
      </c>
      <c r="AL4" s="1" t="n">
        <v>4112551137.7833</v>
      </c>
      <c r="AM4" s="1" t="n">
        <v>3766810177.3484</v>
      </c>
      <c r="AN4" s="1" t="n">
        <v>3890663607.8742</v>
      </c>
      <c r="AO4" s="1" t="n">
        <v>3996736811.935</v>
      </c>
      <c r="AP4" s="1" t="n">
        <v>5565915223.7833</v>
      </c>
      <c r="AQ4" s="1" t="n">
        <v>4983604299.5579</v>
      </c>
      <c r="AR4" s="1" t="n">
        <v>5112977183.7006</v>
      </c>
      <c r="AS4" s="1" t="n">
        <v>4878800064.0465</v>
      </c>
      <c r="AT4" s="1" t="n">
        <v>4385348365.3903</v>
      </c>
      <c r="AU4" s="1" t="n">
        <v>4880804978.6393</v>
      </c>
      <c r="AV4" s="1"/>
      <c r="AW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>
      <c r="A6" t="str">
        <f>M6</f>
      </c>
      <c r="M6" t="s">
        <v>256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</row>
    <row r="10">
      <c r="A10" t="str">
        <f>M10</f>
      </c>
      <c r="M10" t="s">
        <v>35</v>
      </c>
      <c r="N10" s="1" t="n">
        <v>13011800732.1601</v>
      </c>
      <c r="O10" s="1" t="n">
        <v>12428659817.2632</v>
      </c>
      <c r="P10" s="1" t="n">
        <v>9441679939.15068</v>
      </c>
      <c r="Q10" s="1" t="n">
        <v>12106664111.334</v>
      </c>
      <c r="R10" s="1" t="n">
        <v>7888900910.78183</v>
      </c>
      <c r="S10" s="1" t="n">
        <v>11228154363.8193</v>
      </c>
      <c r="T10" s="1" t="n">
        <v>8552366695.60504</v>
      </c>
      <c r="U10" s="1" t="n">
        <v>8580852024.96446</v>
      </c>
      <c r="V10" s="1" t="n">
        <v>8359959399.07253</v>
      </c>
      <c r="W10" s="1" t="n">
        <v>8539147239.77736</v>
      </c>
      <c r="X10" s="1" t="n">
        <v>9078652276.58707</v>
      </c>
      <c r="Y10" s="1" t="n">
        <v>10664207826.7576</v>
      </c>
      <c r="Z10" s="1" t="n">
        <v>10873070079.3064</v>
      </c>
      <c r="AA10" s="1" t="n">
        <v>11516099685.6459</v>
      </c>
      <c r="AB10" s="1" t="n">
        <v>14883917806.9343</v>
      </c>
      <c r="AC10" s="1" t="n">
        <v>12724574693.5316</v>
      </c>
      <c r="AD10" s="1" t="n">
        <v>15322212074.4041</v>
      </c>
      <c r="AE10" s="1" t="n">
        <v>14669552570.3217</v>
      </c>
      <c r="AF10" s="1" t="n">
        <v>17439061021.9602</v>
      </c>
      <c r="AG10" s="1" t="n">
        <v>20883797494.1879</v>
      </c>
      <c r="AH10" s="1" t="n">
        <v>16753782423.8884</v>
      </c>
      <c r="AI10" s="1" t="n">
        <v>30136110523.2472</v>
      </c>
      <c r="AJ10" s="1" t="n">
        <v>24805540599.107</v>
      </c>
      <c r="AK10" s="1" t="n">
        <v>23417855217.9453</v>
      </c>
      <c r="AL10" s="1" t="n">
        <v>23668038797.5391</v>
      </c>
      <c r="AM10" s="1" t="n">
        <v>21006440001.3079</v>
      </c>
      <c r="AN10" s="1" t="n">
        <v>24342411652.823</v>
      </c>
      <c r="AO10" s="1" t="n">
        <v>26380280502.6612</v>
      </c>
      <c r="AP10" s="1" t="n">
        <v>28567618660.3458</v>
      </c>
      <c r="AQ10" s="1" t="n">
        <v>30938166143.7244</v>
      </c>
      <c r="AR10" s="1" t="n">
        <v>38169560595.1045</v>
      </c>
      <c r="AS10" s="1" t="n">
        <v>28868899170.5538</v>
      </c>
      <c r="AT10" s="1" t="n">
        <v>29943453489.1408</v>
      </c>
      <c r="AU10" s="1" t="n">
        <v>33530444807.7815</v>
      </c>
      <c r="AV10" s="1"/>
      <c r="AW10" s="1"/>
    </row>
    <row r="11">
      <c r="A11" t="str">
        <f>M11</f>
      </c>
      <c r="M11" t="s">
        <v>36</v>
      </c>
      <c r="N11" s="1" t="n">
        <v>1278485642.77654</v>
      </c>
      <c r="O11" s="1" t="n">
        <v>1225374405.27173</v>
      </c>
      <c r="P11" s="1" t="n">
        <v>1144071719.8123</v>
      </c>
      <c r="Q11" s="1" t="n">
        <v>1402485376.36045</v>
      </c>
      <c r="R11" s="1" t="n">
        <v>1627184294.25102</v>
      </c>
      <c r="S11" s="1" t="n">
        <v>1745769968.69888</v>
      </c>
      <c r="T11" s="1" t="n">
        <v>2056985925.19555</v>
      </c>
      <c r="U11" s="1" t="n">
        <v>1735863904.79791</v>
      </c>
      <c r="V11" s="1" t="n">
        <v>2391704353.15211</v>
      </c>
      <c r="W11" s="1" t="n">
        <v>1719931001.97159</v>
      </c>
      <c r="X11" s="1" t="n">
        <v>1629373359.94311</v>
      </c>
      <c r="Y11" s="1" t="n">
        <v>3006941771.75998</v>
      </c>
      <c r="Z11" s="1" t="n">
        <v>3107627623.58301</v>
      </c>
      <c r="AA11" s="1" t="n">
        <v>2780508907.51166</v>
      </c>
      <c r="AB11" s="1" t="n">
        <v>2168873833.11895</v>
      </c>
      <c r="AC11" s="1" t="n">
        <v>3486760881.50729</v>
      </c>
      <c r="AD11" s="1" t="n">
        <v>4102987201.92495</v>
      </c>
      <c r="AE11" s="1" t="n">
        <v>3726659779.57044</v>
      </c>
      <c r="AF11" s="1" t="n">
        <v>3498076871.43534</v>
      </c>
      <c r="AG11" s="1" t="n">
        <v>2675770052.89771</v>
      </c>
      <c r="AH11" s="1" t="n">
        <v>1634421645.46117</v>
      </c>
      <c r="AI11" s="1" t="n">
        <v>908713474.102324</v>
      </c>
      <c r="AJ11" s="1" t="n">
        <v>502924312.876178</v>
      </c>
      <c r="AK11" s="1" t="n">
        <v>435186281.73365</v>
      </c>
      <c r="AL11" s="1" t="n">
        <v>250017453.846564</v>
      </c>
      <c r="AM11" s="1" t="n">
        <v>237454313.47685</v>
      </c>
      <c r="AN11" s="1" t="n">
        <v>355851235.364855</v>
      </c>
      <c r="AO11" s="1" t="n">
        <v>747180922.099244</v>
      </c>
      <c r="AP11" s="1" t="n">
        <v>829540758.733777</v>
      </c>
      <c r="AQ11" s="1" t="n">
        <v>782365662.997511</v>
      </c>
      <c r="AR11" s="1" t="n">
        <v>480721326.579181</v>
      </c>
      <c r="AS11" s="1" t="n">
        <v>89626812.7456164</v>
      </c>
      <c r="AT11" s="1" t="n">
        <v>51726646.0201</v>
      </c>
      <c r="AU11" s="1" t="n">
        <v>43407899.7593461</v>
      </c>
      <c r="AV11" s="1"/>
      <c r="AW11" s="1"/>
    </row>
    <row r="12">
      <c r="A12" t="str">
        <f>M12</f>
      </c>
      <c r="M12" t="s">
        <v>37</v>
      </c>
      <c r="N12" s="1" t="n">
        <v>6937857543.88565</v>
      </c>
      <c r="O12" s="1" t="n">
        <v>4601729519.39737</v>
      </c>
      <c r="P12" s="1" t="n">
        <v>5516067082.15828</v>
      </c>
      <c r="Q12" s="1" t="n">
        <v>3874404934.55937</v>
      </c>
      <c r="R12" s="1" t="n">
        <v>3712520497.32747</v>
      </c>
      <c r="S12" s="1" t="n">
        <v>3951777240.99071</v>
      </c>
      <c r="T12" s="1" t="n">
        <v>3104985973.95686</v>
      </c>
      <c r="U12" s="1" t="n">
        <v>3785350260.79388</v>
      </c>
      <c r="V12" s="1" t="n">
        <v>4894371798.03646</v>
      </c>
      <c r="W12" s="1" t="n">
        <v>3463963364.82374</v>
      </c>
      <c r="X12" s="1" t="n">
        <v>4408456726.2333</v>
      </c>
      <c r="Y12" s="1" t="n">
        <v>5896393132.90885</v>
      </c>
      <c r="Z12" s="1" t="n">
        <v>5735059850.19281</v>
      </c>
      <c r="AA12" s="1" t="n">
        <v>5014444610.04057</v>
      </c>
      <c r="AB12" s="1" t="n">
        <v>5025598840.70086</v>
      </c>
      <c r="AC12" s="1" t="n">
        <v>4058209154.9008</v>
      </c>
      <c r="AD12" s="1" t="n">
        <v>4090314749.5748</v>
      </c>
      <c r="AE12" s="1" t="n">
        <v>5081275196.00472</v>
      </c>
      <c r="AF12" s="1" t="n">
        <v>4860830373.93421</v>
      </c>
      <c r="AG12" s="1" t="n">
        <v>4813933561.12438</v>
      </c>
      <c r="AH12" s="1" t="n">
        <v>4587139556.24369</v>
      </c>
      <c r="AI12" s="1" t="n">
        <v>5361476487.18216</v>
      </c>
      <c r="AJ12" s="1" t="n">
        <v>4692490715.27391</v>
      </c>
      <c r="AK12" s="1" t="n">
        <v>4653759086.07636</v>
      </c>
      <c r="AL12" s="1" t="n">
        <v>4989340702.19963</v>
      </c>
      <c r="AM12" s="1" t="n">
        <v>4518091302.85607</v>
      </c>
      <c r="AN12" s="1" t="n">
        <v>4628294619.38796</v>
      </c>
      <c r="AO12" s="1" t="n">
        <v>4671081828.10207</v>
      </c>
      <c r="AP12" s="1" t="n">
        <v>6355782590.30437</v>
      </c>
      <c r="AQ12" s="1" t="n">
        <v>5581512713.91856</v>
      </c>
      <c r="AR12" s="1" t="n">
        <v>5651019985.0342</v>
      </c>
      <c r="AS12" s="1" t="n">
        <v>5216840386.60078</v>
      </c>
      <c r="AT12" s="1" t="n">
        <v>4385348365.3903</v>
      </c>
      <c r="AU12" s="1" t="n">
        <v>4655303878.966</v>
      </c>
      <c r="AV12" s="1"/>
      <c r="AW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0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41</v>
      </c>
      <c r="N2" t="s">
        <v>41</v>
      </c>
      <c r="O2" s="2" t="n">
        <v>17039000</v>
      </c>
      <c r="P2" s="2" t="n">
        <v>7973000</v>
      </c>
      <c r="Q2" s="2" t="n">
        <v>7960480</v>
      </c>
      <c r="R2" s="2" t="n">
        <v>8852351</v>
      </c>
      <c r="S2" s="2" t="n">
        <v>10847718</v>
      </c>
      <c r="T2" s="2" t="n">
        <v>8960308</v>
      </c>
      <c r="U2" s="2" t="n">
        <v>4793648</v>
      </c>
      <c r="V2" s="2" t="n">
        <v>2219646</v>
      </c>
      <c r="W2" s="2" t="n">
        <v>7127453</v>
      </c>
      <c r="X2" s="2" t="n">
        <v>2075384</v>
      </c>
      <c r="Y2" s="2" t="n">
        <v>4027864</v>
      </c>
      <c r="Z2" s="2" t="n">
        <v>17858716</v>
      </c>
      <c r="AA2" s="2" t="n">
        <v>16735278</v>
      </c>
      <c r="AB2" s="2" t="n">
        <v>141113735</v>
      </c>
      <c r="AC2" s="2" t="n">
        <v>62486459</v>
      </c>
      <c r="AD2" s="2" t="n">
        <v>87201065</v>
      </c>
      <c r="AE2" s="2" t="n">
        <v>41866388.6328</v>
      </c>
      <c r="AF2" s="2" t="n">
        <v>7983287.8111</v>
      </c>
      <c r="AG2" s="2" t="n">
        <v>19071299.4794</v>
      </c>
      <c r="AH2" s="2" t="n">
        <v>16126534.987</v>
      </c>
      <c r="AI2" s="2" t="n">
        <v>12870923.2601</v>
      </c>
      <c r="AJ2" s="2" t="n">
        <v>13858081.4879</v>
      </c>
      <c r="AK2" s="2" t="n">
        <v>15737768.1748</v>
      </c>
      <c r="AL2" s="2" t="n">
        <v>11142288.0172</v>
      </c>
      <c r="AM2" s="2" t="n">
        <v>12929291.4684</v>
      </c>
      <c r="AN2" s="2" t="n">
        <v>16949457.2496</v>
      </c>
      <c r="AO2" s="2" t="n">
        <v>27068447.0089</v>
      </c>
      <c r="AP2" s="2" t="n">
        <v>21365372.295</v>
      </c>
      <c r="AQ2" s="2" t="n">
        <v>19979049.5988</v>
      </c>
      <c r="AR2" s="2" t="n">
        <v>22462481.7777</v>
      </c>
      <c r="AS2" s="2" t="n">
        <v>17992591.4095</v>
      </c>
      <c r="AT2" s="2" t="n">
        <v>17490848.1269</v>
      </c>
      <c r="AU2" s="2" t="n">
        <v>19298521.4379</v>
      </c>
      <c r="AV2" s="2" t="n">
        <v>10974090.944</v>
      </c>
      <c r="AW2" s="2"/>
    </row>
    <row r="3">
      <c r="A3" t="str">
        <f>M3</f>
      </c>
      <c r="B3" t="str">
        <f>N3</f>
      </c>
      <c r="M3" t="s">
        <v>42</v>
      </c>
      <c r="N3" t="s">
        <v>42</v>
      </c>
      <c r="O3" s="2" t="n">
        <v>96186000</v>
      </c>
      <c r="P3" s="2" t="n">
        <v>68376000</v>
      </c>
      <c r="Q3" s="2" t="n">
        <v>175234855</v>
      </c>
      <c r="R3" s="2" t="n">
        <v>112857959</v>
      </c>
      <c r="S3" s="2" t="n">
        <v>81168656</v>
      </c>
      <c r="T3" s="2" t="n">
        <v>81192972</v>
      </c>
      <c r="U3" s="2" t="n">
        <v>99381537</v>
      </c>
      <c r="V3" s="2" t="n">
        <v>91740151</v>
      </c>
      <c r="W3" s="2" t="n">
        <v>108464442</v>
      </c>
      <c r="X3" s="2" t="n">
        <v>112139922</v>
      </c>
      <c r="Y3" s="2" t="n">
        <v>65831080</v>
      </c>
      <c r="Z3" s="2" t="n">
        <v>107493408</v>
      </c>
      <c r="AA3" s="2" t="n">
        <v>140421826</v>
      </c>
      <c r="AB3" s="2" t="n">
        <v>171196518</v>
      </c>
      <c r="AC3" s="2" t="n">
        <v>143866947</v>
      </c>
      <c r="AD3" s="2" t="n">
        <v>224996916.7793</v>
      </c>
      <c r="AE3" s="2" t="n">
        <v>239646309.363</v>
      </c>
      <c r="AF3" s="2" t="n">
        <v>218840887.4896</v>
      </c>
      <c r="AG3" s="2" t="n">
        <v>335604048.2023</v>
      </c>
      <c r="AH3" s="2" t="n">
        <v>395633871.5518</v>
      </c>
      <c r="AI3" s="2" t="n">
        <v>343451927.834</v>
      </c>
      <c r="AJ3" s="2" t="n">
        <v>209898600.843</v>
      </c>
      <c r="AK3" s="2" t="n">
        <v>281926353.7913</v>
      </c>
      <c r="AL3" s="2" t="n">
        <v>219716147.4594</v>
      </c>
      <c r="AM3" s="2" t="n">
        <v>181749946.6075</v>
      </c>
      <c r="AN3" s="2" t="n">
        <v>179222690.0634</v>
      </c>
      <c r="AO3" s="2" t="n">
        <v>285322500.141</v>
      </c>
      <c r="AP3" s="2" t="n">
        <v>234856888.1826</v>
      </c>
      <c r="AQ3" s="2" t="n">
        <v>264015390.0953</v>
      </c>
      <c r="AR3" s="2" t="n">
        <v>259967124.5785</v>
      </c>
      <c r="AS3" s="2" t="n">
        <v>313032177.0361</v>
      </c>
      <c r="AT3" s="2" t="n">
        <v>320109645.855</v>
      </c>
      <c r="AU3" s="2" t="n">
        <v>315960782.2024</v>
      </c>
      <c r="AV3" s="2" t="n">
        <v>71474451.4268</v>
      </c>
      <c r="AW3" s="2"/>
    </row>
    <row r="4">
      <c r="A4" t="str">
        <f>M4</f>
      </c>
      <c r="B4" t="str">
        <f>N4</f>
      </c>
      <c r="M4" t="s">
        <v>43</v>
      </c>
      <c r="N4" t="s">
        <v>44</v>
      </c>
      <c r="O4" s="2" t="n">
        <v>46812000</v>
      </c>
      <c r="P4" s="2" t="n">
        <v>115552000</v>
      </c>
      <c r="Q4" s="2" t="n">
        <v>71009946</v>
      </c>
      <c r="R4" s="2" t="n">
        <v>62557418</v>
      </c>
      <c r="S4" s="2" t="n">
        <v>64797909</v>
      </c>
      <c r="T4" s="2" t="n">
        <v>67961207</v>
      </c>
      <c r="U4" s="2" t="n">
        <v>71446930</v>
      </c>
      <c r="V4" s="2" t="n">
        <v>58148939</v>
      </c>
      <c r="W4" s="2" t="n">
        <v>63720593</v>
      </c>
      <c r="X4" s="2" t="n">
        <v>52534494</v>
      </c>
      <c r="Y4" s="2" t="n">
        <v>62388968</v>
      </c>
      <c r="Z4" s="2" t="n">
        <v>76420916</v>
      </c>
      <c r="AA4" s="2" t="n">
        <v>111124824</v>
      </c>
      <c r="AB4" s="2" t="n">
        <v>125805033</v>
      </c>
      <c r="AC4" s="2" t="n">
        <v>160196579</v>
      </c>
      <c r="AD4" s="2" t="n">
        <v>213782631</v>
      </c>
      <c r="AE4" s="2" t="n">
        <v>299197006</v>
      </c>
      <c r="AF4" s="2" t="n">
        <v>363504319.1399</v>
      </c>
      <c r="AG4" s="2" t="n">
        <v>380544997</v>
      </c>
      <c r="AH4" s="2" t="n">
        <v>627653328.973</v>
      </c>
      <c r="AI4" s="2" t="n">
        <v>1093652512.9593</v>
      </c>
      <c r="AJ4" s="2" t="n">
        <v>1210002344.4036</v>
      </c>
      <c r="AK4" s="2" t="n">
        <v>1450553632.0546</v>
      </c>
      <c r="AL4" s="2" t="n">
        <v>1451161320.0966</v>
      </c>
      <c r="AM4" s="2" t="n">
        <v>1510630512.8317</v>
      </c>
      <c r="AN4" s="2" t="n">
        <v>1774818399.3669</v>
      </c>
      <c r="AO4" s="2" t="n">
        <v>2008136400.8011</v>
      </c>
      <c r="AP4" s="2" t="n">
        <v>2606635882.7563</v>
      </c>
      <c r="AQ4" s="2" t="n">
        <v>4430399799.3103</v>
      </c>
      <c r="AR4" s="2" t="n">
        <v>4875010583.8242</v>
      </c>
      <c r="AS4" s="2" t="n">
        <v>4495864980.8677</v>
      </c>
      <c r="AT4" s="2" t="n">
        <v>4060835660.2935</v>
      </c>
      <c r="AU4" s="2" t="n">
        <v>4731771003.3504</v>
      </c>
      <c r="AV4" s="2" t="n">
        <v>1733844054.2554</v>
      </c>
      <c r="AW4" s="2"/>
    </row>
    <row r="5">
      <c r="A5" t="str">
        <f>M5</f>
      </c>
      <c r="B5" t="str">
        <f>N5</f>
      </c>
      <c r="M5" t="s">
        <v>45</v>
      </c>
      <c r="N5" t="s">
        <v>45</v>
      </c>
      <c r="O5" s="2" t="n">
        <v>10520620493</v>
      </c>
      <c r="P5" s="2" t="n">
        <v>9320688712</v>
      </c>
      <c r="Q5" s="2" t="n">
        <v>8345021661</v>
      </c>
      <c r="R5" s="2" t="n">
        <v>9304538210</v>
      </c>
      <c r="S5" s="2" t="n">
        <v>7230097983</v>
      </c>
      <c r="T5" s="2" t="n">
        <v>9472779438</v>
      </c>
      <c r="U5" s="2" t="n">
        <v>7760321717</v>
      </c>
      <c r="V5" s="2" t="n">
        <v>8145222291</v>
      </c>
      <c r="W5" s="2" t="n">
        <v>9124159956</v>
      </c>
      <c r="X5" s="2" t="n">
        <v>8121958513</v>
      </c>
      <c r="Y5" s="2" t="n">
        <v>9152428657</v>
      </c>
      <c r="Z5" s="2" t="n">
        <v>12161819593</v>
      </c>
      <c r="AA5" s="2" t="n">
        <v>12393898479.9302</v>
      </c>
      <c r="AB5" s="2" t="n">
        <v>12213194832.0506</v>
      </c>
      <c r="AC5" s="2" t="n">
        <v>14456188425.2134</v>
      </c>
      <c r="AD5" s="2" t="n">
        <v>13481692285.8513</v>
      </c>
      <c r="AE5" s="2" t="n">
        <v>16213340057.0253</v>
      </c>
      <c r="AF5" s="2" t="n">
        <v>16605997092.7262</v>
      </c>
      <c r="AG5" s="2" t="n">
        <v>18517404668.6622</v>
      </c>
      <c r="AH5" s="2" t="n">
        <v>20343254096.865</v>
      </c>
      <c r="AI5" s="2" t="n">
        <v>15965862658.6105</v>
      </c>
      <c r="AJ5" s="2" t="n">
        <v>26807819291.9802</v>
      </c>
      <c r="AK5" s="2" t="n">
        <v>21907505173.3287</v>
      </c>
      <c r="AL5" s="2" t="n">
        <v>21272393865.2491</v>
      </c>
      <c r="AM5" s="2" t="n">
        <v>21998976812.2415</v>
      </c>
      <c r="AN5" s="2" t="n">
        <v>19395404717.8379</v>
      </c>
      <c r="AO5" s="2" t="n">
        <v>22211811851.6049</v>
      </c>
      <c r="AP5" s="2" t="n">
        <v>24211484181.6165</v>
      </c>
      <c r="AQ5" s="2" t="n">
        <v>26469275662.9309</v>
      </c>
      <c r="AR5" s="2" t="n">
        <v>28046126802.8596</v>
      </c>
      <c r="AS5" s="2" t="n">
        <v>35162970911.5986</v>
      </c>
      <c r="AT5" s="2" t="n">
        <v>27525911700.4547</v>
      </c>
      <c r="AU5" s="2" t="n">
        <v>29292274415.9427</v>
      </c>
      <c r="AV5" s="2" t="n">
        <v>18898515826.5006</v>
      </c>
      <c r="AW5" s="2"/>
    </row>
    <row r="6">
      <c r="A6" t="str">
        <f>M6</f>
      </c>
      <c r="B6" t="str">
        <f>N6</f>
      </c>
      <c r="M6" t="s">
        <v>44</v>
      </c>
      <c r="N6" t="s">
        <v>44</v>
      </c>
      <c r="O6" s="2"/>
      <c r="P6" s="2" t="n">
        <v>181000</v>
      </c>
      <c r="Q6" s="2" t="n">
        <v>855084</v>
      </c>
      <c r="R6" s="2" t="n">
        <v>13964534</v>
      </c>
      <c r="S6" s="2" t="n">
        <v>2114380</v>
      </c>
      <c r="T6" s="2" t="n">
        <v>23462815</v>
      </c>
      <c r="U6" s="2" t="n">
        <v>33684516</v>
      </c>
      <c r="V6" s="2" t="n">
        <v>43190615</v>
      </c>
      <c r="W6" s="2" t="n">
        <v>65760789</v>
      </c>
      <c r="X6" s="2" t="n">
        <v>31423714</v>
      </c>
      <c r="Y6" s="2" t="n">
        <v>71145194</v>
      </c>
      <c r="Z6" s="2" t="n">
        <v>40734660</v>
      </c>
      <c r="AA6" s="2" t="n">
        <v>33370981</v>
      </c>
      <c r="AB6" s="2" t="n">
        <v>21328890</v>
      </c>
      <c r="AC6" s="2" t="n">
        <v>20083296.9502</v>
      </c>
      <c r="AD6" s="2" t="n">
        <v>34671062.5</v>
      </c>
      <c r="AE6" s="2" t="n">
        <v>25154120.4687</v>
      </c>
      <c r="AF6" s="2" t="n">
        <v>56169369.9423</v>
      </c>
      <c r="AG6" s="2" t="n">
        <v>100460480.3654</v>
      </c>
      <c r="AH6" s="2" t="n">
        <v>118826683.0156</v>
      </c>
      <c r="AI6" s="2" t="n">
        <v>146351910.3807</v>
      </c>
      <c r="AJ6" s="2" t="n">
        <v>147992944.8186</v>
      </c>
      <c r="AK6" s="2" t="n">
        <v>167794608.5684</v>
      </c>
      <c r="AL6" s="2" t="n">
        <v>96864906.4386</v>
      </c>
      <c r="AM6" s="2" t="n">
        <v>123139809.9204</v>
      </c>
      <c r="AN6" s="2" t="n">
        <v>111813808.3908</v>
      </c>
      <c r="AO6" s="2" t="n">
        <v>120320024.2088</v>
      </c>
      <c r="AP6" s="2" t="n">
        <v>133575040.2499</v>
      </c>
      <c r="AQ6" s="2" t="n">
        <v>126061403.6826</v>
      </c>
      <c r="AR6" s="2" t="n">
        <v>102234664.097</v>
      </c>
      <c r="AS6" s="2" t="n">
        <v>93442045.3948</v>
      </c>
      <c r="AT6" s="2" t="n">
        <v>36796386.8836</v>
      </c>
      <c r="AU6" s="2" t="n">
        <v>24169778.1862</v>
      </c>
      <c r="AV6" s="2" t="n">
        <v>-2235156.064</v>
      </c>
      <c r="AW6" s="2"/>
    </row>
    <row r="7">
      <c r="A7" t="str">
        <f>M7</f>
      </c>
      <c r="B7" t="str">
        <f>N7</f>
      </c>
      <c r="M7" t="s">
        <v>256</v>
      </c>
      <c r="N7" t="s">
        <v>257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2" t="n">
        <v>33865550.3624072</v>
      </c>
      <c r="P11" s="2" t="n">
        <v>15300821.2560844</v>
      </c>
      <c r="Q11" s="2" t="n">
        <v>14904300.4083925</v>
      </c>
      <c r="R11" s="2" t="n">
        <v>16193732.7463415</v>
      </c>
      <c r="S11" s="2" t="n">
        <v>19420715.4835583</v>
      </c>
      <c r="T11" s="2" t="n">
        <v>15708918.087351</v>
      </c>
      <c r="U11" s="2" t="n">
        <v>8249031.05959514</v>
      </c>
      <c r="V11" s="2" t="n">
        <v>3752954.09030286</v>
      </c>
      <c r="W11" s="2" t="n">
        <v>11902402.2828288</v>
      </c>
      <c r="X11" s="2" t="n">
        <v>3423092.43281137</v>
      </c>
      <c r="Y11" s="2" t="n">
        <v>6507940.90118345</v>
      </c>
      <c r="Z11" s="2" t="n">
        <v>28171716.2361936</v>
      </c>
      <c r="AA11" s="2" t="n">
        <v>25989315.0639036</v>
      </c>
      <c r="AB11" s="2" t="n">
        <v>215034519.083143</v>
      </c>
      <c r="AC11" s="2" t="n">
        <v>92947316.0852668</v>
      </c>
      <c r="AD11" s="2" t="n">
        <v>125888227.866828</v>
      </c>
      <c r="AE11" s="2" t="n">
        <v>58534854.2003027</v>
      </c>
      <c r="AF11" s="2" t="n">
        <v>10863793.3215122</v>
      </c>
      <c r="AG11" s="2" t="n">
        <v>25422342.9919404</v>
      </c>
      <c r="AH11" s="2" t="n">
        <v>21280672.2431342</v>
      </c>
      <c r="AI11" s="2" t="n">
        <v>16838098.5404918</v>
      </c>
      <c r="AJ11" s="2" t="n">
        <v>17771366.6086841</v>
      </c>
      <c r="AK11" s="2" t="n">
        <v>19818571.4587443</v>
      </c>
      <c r="AL11" s="2" t="n">
        <v>13779321.7065914</v>
      </c>
      <c r="AM11" s="2" t="n">
        <v>15685796.4831682</v>
      </c>
      <c r="AN11" s="2" t="n">
        <v>20329985.2612843</v>
      </c>
      <c r="AO11" s="2" t="n">
        <v>32200354.5598052</v>
      </c>
      <c r="AP11" s="2" t="n">
        <v>24970221.2014037</v>
      </c>
      <c r="AQ11" s="2" t="n">
        <v>22814306.4537313</v>
      </c>
      <c r="AR11" s="2" t="n">
        <v>25157420.2308796</v>
      </c>
      <c r="AS11" s="2" t="n">
        <v>19885966.6266004</v>
      </c>
      <c r="AT11" s="2" t="n">
        <v>18702746.926799</v>
      </c>
      <c r="AU11" s="2" t="n">
        <v>19298521.4379</v>
      </c>
      <c r="AV11" s="2" t="n">
        <v>10467070.158163</v>
      </c>
      <c r="AW11" s="2"/>
    </row>
    <row r="12">
      <c r="A12" t="str">
        <f>M12</f>
      </c>
      <c r="B12" t="str">
        <f>N12</f>
      </c>
      <c r="M12" t="s">
        <v>42</v>
      </c>
      <c r="N12" t="s">
        <v>42</v>
      </c>
      <c r="O12" s="2" t="n">
        <v>191172711.259962</v>
      </c>
      <c r="P12" s="2" t="n">
        <v>131218983.344541</v>
      </c>
      <c r="Q12" s="2" t="n">
        <v>328089879.120493</v>
      </c>
      <c r="R12" s="2" t="n">
        <v>206452684.303138</v>
      </c>
      <c r="S12" s="2" t="n">
        <v>145316588.646461</v>
      </c>
      <c r="T12" s="2" t="n">
        <v>142344855.37959</v>
      </c>
      <c r="U12" s="2" t="n">
        <v>171018269.481469</v>
      </c>
      <c r="V12" s="2" t="n">
        <v>155113281.550505</v>
      </c>
      <c r="W12" s="2" t="n">
        <v>181128857.961821</v>
      </c>
      <c r="X12" s="2" t="n">
        <v>184961105.228843</v>
      </c>
      <c r="Y12" s="2" t="n">
        <v>106365254.164758</v>
      </c>
      <c r="Z12" s="2" t="n">
        <v>169568393.799273</v>
      </c>
      <c r="AA12" s="2" t="n">
        <v>218070299.02716</v>
      </c>
      <c r="AB12" s="2" t="n">
        <v>260875817.062306</v>
      </c>
      <c r="AC12" s="2" t="n">
        <v>213999109.743622</v>
      </c>
      <c r="AD12" s="2" t="n">
        <v>324817857.773255</v>
      </c>
      <c r="AE12" s="2" t="n">
        <v>335057840.819209</v>
      </c>
      <c r="AF12" s="2" t="n">
        <v>297802387.717715</v>
      </c>
      <c r="AG12" s="2" t="n">
        <v>447365489.283952</v>
      </c>
      <c r="AH12" s="2" t="n">
        <v>522080828.619612</v>
      </c>
      <c r="AI12" s="2" t="n">
        <v>449313331.135956</v>
      </c>
      <c r="AJ12" s="2" t="n">
        <v>269170374.664615</v>
      </c>
      <c r="AK12" s="2" t="n">
        <v>355029857.261644</v>
      </c>
      <c r="AL12" s="2" t="n">
        <v>271716139.028397</v>
      </c>
      <c r="AM12" s="2" t="n">
        <v>220498755.11583</v>
      </c>
      <c r="AN12" s="2" t="n">
        <v>214968219.561286</v>
      </c>
      <c r="AO12" s="2" t="n">
        <v>339416800.136685</v>
      </c>
      <c r="AP12" s="2" t="n">
        <v>274482857.945109</v>
      </c>
      <c r="AQ12" s="2" t="n">
        <v>301482209.569036</v>
      </c>
      <c r="AR12" s="2" t="n">
        <v>291156705.83326</v>
      </c>
      <c r="AS12" s="2" t="n">
        <v>345972810.915119</v>
      </c>
      <c r="AT12" s="2" t="n">
        <v>342289273.328361</v>
      </c>
      <c r="AU12" s="2" t="n">
        <v>315960782.2024</v>
      </c>
      <c r="AV12" s="2" t="n">
        <v>68172215.9419103</v>
      </c>
      <c r="AW12" s="2"/>
    </row>
    <row r="13">
      <c r="A13" t="str">
        <f>M13</f>
      </c>
      <c r="B13" t="str">
        <f>N13</f>
      </c>
      <c r="M13" t="s">
        <v>43</v>
      </c>
      <c r="N13" t="s">
        <v>44</v>
      </c>
      <c r="O13" s="2" t="n">
        <v>93040327.6932335</v>
      </c>
      <c r="P13" s="2" t="n">
        <v>221753480.21862</v>
      </c>
      <c r="Q13" s="2" t="n">
        <v>132950973.706074</v>
      </c>
      <c r="R13" s="2" t="n">
        <v>114437182.664037</v>
      </c>
      <c r="S13" s="2" t="n">
        <v>116007970.950065</v>
      </c>
      <c r="T13" s="2" t="n">
        <v>119147358.983698</v>
      </c>
      <c r="U13" s="2" t="n">
        <v>122947689.251009</v>
      </c>
      <c r="V13" s="2" t="n">
        <v>98317613.9198869</v>
      </c>
      <c r="W13" s="2" t="n">
        <v>106409418.846593</v>
      </c>
      <c r="X13" s="2" t="n">
        <v>86649231.5990556</v>
      </c>
      <c r="Y13" s="2" t="n">
        <v>100803730.371687</v>
      </c>
      <c r="Z13" s="2" t="n">
        <v>120552247.992632</v>
      </c>
      <c r="AA13" s="2" t="n">
        <v>172573055.694494</v>
      </c>
      <c r="AB13" s="2" t="n">
        <v>191706532.106134</v>
      </c>
      <c r="AC13" s="2" t="n">
        <v>238289099.788666</v>
      </c>
      <c r="AD13" s="2" t="n">
        <v>308628301.332078</v>
      </c>
      <c r="AE13" s="2" t="n">
        <v>418317741.159463</v>
      </c>
      <c r="AF13" s="2" t="n">
        <v>494662836.672644</v>
      </c>
      <c r="AG13" s="2" t="n">
        <v>507272482.824295</v>
      </c>
      <c r="AH13" s="2" t="n">
        <v>828255095.527578</v>
      </c>
      <c r="AI13" s="2" t="n">
        <v>1430746529.22157</v>
      </c>
      <c r="AJ13" s="2" t="n">
        <v>1551686305.10212</v>
      </c>
      <c r="AK13" s="2" t="n">
        <v>1826682188.49783</v>
      </c>
      <c r="AL13" s="2" t="n">
        <v>1794606156.91371</v>
      </c>
      <c r="AM13" s="2" t="n">
        <v>1832694610.02215</v>
      </c>
      <c r="AN13" s="2" t="n">
        <v>2128801611.1216</v>
      </c>
      <c r="AO13" s="2" t="n">
        <v>2388859031.66094</v>
      </c>
      <c r="AP13" s="2" t="n">
        <v>3046437650.8512</v>
      </c>
      <c r="AQ13" s="2" t="n">
        <v>5059124471.07022</v>
      </c>
      <c r="AR13" s="2" t="n">
        <v>5459890456.49474</v>
      </c>
      <c r="AS13" s="2" t="n">
        <v>4968968556.69335</v>
      </c>
      <c r="AT13" s="2" t="n">
        <v>4342201196.57805</v>
      </c>
      <c r="AU13" s="2" t="n">
        <v>4731771003.3504</v>
      </c>
      <c r="AV13" s="2" t="n">
        <v>1653737649.14236</v>
      </c>
      <c r="AW13" s="2"/>
    </row>
    <row r="14">
      <c r="A14" t="str">
        <f>M14</f>
      </c>
      <c r="B14" t="str">
        <f>N14</f>
      </c>
      <c r="M14" t="s">
        <v>45</v>
      </c>
      <c r="N14" t="s">
        <v>45</v>
      </c>
      <c r="O14" s="2" t="n">
        <v>20910065329.5067</v>
      </c>
      <c r="P14" s="2" t="n">
        <v>17887143103.7144</v>
      </c>
      <c r="Q14" s="2" t="n">
        <v>15624272625.531</v>
      </c>
      <c r="R14" s="2" t="n">
        <v>17020925300.0545</v>
      </c>
      <c r="S14" s="2" t="n">
        <v>12944075043.8103</v>
      </c>
      <c r="T14" s="2" t="n">
        <v>16607366203.381</v>
      </c>
      <c r="U14" s="2" t="n">
        <v>13354158435.4929</v>
      </c>
      <c r="V14" s="2" t="n">
        <v>13771856103.8267</v>
      </c>
      <c r="W14" s="2" t="n">
        <v>15236778452.161</v>
      </c>
      <c r="X14" s="2" t="n">
        <v>13396178598.9765</v>
      </c>
      <c r="Y14" s="2" t="n">
        <v>14787854009.4834</v>
      </c>
      <c r="Z14" s="2" t="n">
        <v>19184992386.3381</v>
      </c>
      <c r="AA14" s="2" t="n">
        <v>19247300968.9437</v>
      </c>
      <c r="AB14" s="2" t="n">
        <v>18610934486.1344</v>
      </c>
      <c r="AC14" s="2" t="n">
        <v>21503281454.0905</v>
      </c>
      <c r="AD14" s="2" t="n">
        <v>19462908515.0704</v>
      </c>
      <c r="AE14" s="2" t="n">
        <v>22668434687.8293</v>
      </c>
      <c r="AF14" s="2" t="n">
        <v>22597722214.4208</v>
      </c>
      <c r="AG14" s="2" t="n">
        <v>24683992473.3906</v>
      </c>
      <c r="AH14" s="2" t="n">
        <v>26845080058.6219</v>
      </c>
      <c r="AI14" s="2" t="n">
        <v>20886984041.2329</v>
      </c>
      <c r="AJ14" s="2" t="n">
        <v>34377888817.6626</v>
      </c>
      <c r="AK14" s="2" t="n">
        <v>27588121259.509</v>
      </c>
      <c r="AL14" s="2" t="n">
        <v>26306909145.2411</v>
      </c>
      <c r="AM14" s="2" t="n">
        <v>26689124764.3486</v>
      </c>
      <c r="AN14" s="2" t="n">
        <v>23263771001.2569</v>
      </c>
      <c r="AO14" s="2" t="n">
        <v>26422949820.5862</v>
      </c>
      <c r="AP14" s="2" t="n">
        <v>28296540181.0823</v>
      </c>
      <c r="AQ14" s="2" t="n">
        <v>30225570220.2505</v>
      </c>
      <c r="AR14" s="2" t="n">
        <v>31410963615.2733</v>
      </c>
      <c r="AS14" s="2" t="n">
        <v>38863199309.4096</v>
      </c>
      <c r="AT14" s="2" t="n">
        <v>29433115920.2777</v>
      </c>
      <c r="AU14" s="2" t="n">
        <v>29292274415.9427</v>
      </c>
      <c r="AV14" s="2" t="n">
        <v>18025373769.049</v>
      </c>
      <c r="AW14" s="2"/>
    </row>
    <row r="15">
      <c r="A15" t="str">
        <f>M15</f>
      </c>
      <c r="B15" t="str">
        <f>N15</f>
      </c>
      <c r="M15" t="s">
        <v>44</v>
      </c>
      <c r="N15" t="s">
        <v>44</v>
      </c>
      <c r="O15" s="2"/>
      <c r="P15" s="2" t="n">
        <v>347353.398639316</v>
      </c>
      <c r="Q15" s="2" t="n">
        <v>1600962.3553366</v>
      </c>
      <c r="R15" s="2" t="n">
        <v>25545522.485857</v>
      </c>
      <c r="S15" s="2" t="n">
        <v>3785383.46997275</v>
      </c>
      <c r="T15" s="2" t="n">
        <v>41134237.677284</v>
      </c>
      <c r="U15" s="2" t="n">
        <v>57965169.472483</v>
      </c>
      <c r="V15" s="2" t="n">
        <v>73026237.1688756</v>
      </c>
      <c r="W15" s="2" t="n">
        <v>109816419.008898</v>
      </c>
      <c r="X15" s="2" t="n">
        <v>51829578.335493</v>
      </c>
      <c r="Y15" s="2" t="n">
        <v>114951427.842457</v>
      </c>
      <c r="Z15" s="2" t="n">
        <v>64257994.9475553</v>
      </c>
      <c r="AA15" s="2" t="n">
        <v>51823993.5542476</v>
      </c>
      <c r="AB15" s="2" t="n">
        <v>32501780.239374</v>
      </c>
      <c r="AC15" s="2" t="n">
        <v>29873489.0652791</v>
      </c>
      <c r="AD15" s="2" t="n">
        <v>50053042.5446644</v>
      </c>
      <c r="AE15" s="2" t="n">
        <v>35168850.7715869</v>
      </c>
      <c r="AF15" s="2" t="n">
        <v>76436230.3466326</v>
      </c>
      <c r="AG15" s="2" t="n">
        <v>133915404.754823</v>
      </c>
      <c r="AH15" s="2" t="n">
        <v>156804403.241753</v>
      </c>
      <c r="AI15" s="2" t="n">
        <v>191461625.462314</v>
      </c>
      <c r="AJ15" s="2" t="n">
        <v>189783620.493679</v>
      </c>
      <c r="AK15" s="2" t="n">
        <v>211303750.529869</v>
      </c>
      <c r="AL15" s="2" t="n">
        <v>119789822.865462</v>
      </c>
      <c r="AM15" s="2" t="n">
        <v>149393027.615491</v>
      </c>
      <c r="AN15" s="2" t="n">
        <v>134114800.4398</v>
      </c>
      <c r="AO15" s="2" t="n">
        <v>143131500.632224</v>
      </c>
      <c r="AP15" s="2" t="n">
        <v>156112341.782454</v>
      </c>
      <c r="AQ15" s="2" t="n">
        <v>143950966.304979</v>
      </c>
      <c r="AR15" s="2" t="n">
        <v>114500277.94366</v>
      </c>
      <c r="AS15" s="2" t="n">
        <v>103275028.813312</v>
      </c>
      <c r="AT15" s="2" t="n">
        <v>39345920.0326685</v>
      </c>
      <c r="AU15" s="2" t="n">
        <v>24169778.1862</v>
      </c>
      <c r="AV15" s="2" t="n">
        <v>-2131888.23162823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48</v>
      </c>
      <c r="N2" t="s">
        <v>263</v>
      </c>
      <c r="O2" t="s">
        <v>49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1667195712</v>
      </c>
      <c r="AA2" s="3" t="n">
        <v>1572119200</v>
      </c>
      <c r="AB2" s="3" t="n">
        <v>2086776604.9004</v>
      </c>
      <c r="AC2" s="3" t="n">
        <v>2718922825.9402</v>
      </c>
      <c r="AD2" s="3" t="n">
        <v>2346290592.8694</v>
      </c>
      <c r="AE2" s="3" t="n">
        <v>2642218528.2236</v>
      </c>
      <c r="AF2" s="3" t="n">
        <v>2453724999.2805</v>
      </c>
      <c r="AG2" s="3" t="n">
        <v>3202886354.6452</v>
      </c>
      <c r="AH2" s="3" t="n">
        <v>2861249723.354</v>
      </c>
      <c r="AI2" s="3" t="n">
        <v>3312262884.2355</v>
      </c>
      <c r="AJ2" s="3" t="n">
        <v>4238616460.4125</v>
      </c>
      <c r="AK2" s="3" t="n">
        <v>4425453498.0671</v>
      </c>
      <c r="AL2" s="3" t="n">
        <v>4774888332.263</v>
      </c>
      <c r="AM2" s="3" t="n">
        <v>4951947482.5283</v>
      </c>
      <c r="AN2" s="3" t="n">
        <v>4792567355.8634</v>
      </c>
      <c r="AO2" s="3" t="n">
        <v>5096148423.2276</v>
      </c>
      <c r="AP2" s="3" t="n">
        <v>6153491832.0523</v>
      </c>
      <c r="AQ2" s="3" t="n">
        <v>6472698753.751</v>
      </c>
      <c r="AR2" s="3" t="n">
        <v>10188416282.5705</v>
      </c>
      <c r="AS2" s="3" t="n">
        <v>9628719922.0376</v>
      </c>
      <c r="AT2" s="3" t="n">
        <v>9686923191.692</v>
      </c>
      <c r="AU2" s="3" t="n">
        <v>10243079211.1694</v>
      </c>
      <c r="AV2" s="3" t="n">
        <v>10199925090.6668</v>
      </c>
      <c r="AW2" s="3" t="n">
        <v>11440838221.0279</v>
      </c>
      <c r="AX2" s="3"/>
    </row>
    <row r="3">
      <c r="A3" t="str">
        <f>N3</f>
      </c>
      <c r="B3" t="str">
        <f>O3</f>
      </c>
      <c r="M3" t="s">
        <v>50</v>
      </c>
      <c r="N3" t="s">
        <v>50</v>
      </c>
      <c r="O3" t="s">
        <v>51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42608597</v>
      </c>
      <c r="AA3" s="3" t="n">
        <v>79793254</v>
      </c>
      <c r="AB3" s="3" t="n">
        <v>32403293</v>
      </c>
      <c r="AC3" s="3" t="n">
        <v>177010212</v>
      </c>
      <c r="AD3" s="3" t="n">
        <v>73103772</v>
      </c>
      <c r="AE3" s="3" t="n">
        <v>196581720</v>
      </c>
      <c r="AF3" s="3" t="n">
        <v>143628794.21</v>
      </c>
      <c r="AG3" s="3" t="n">
        <v>156354933.1983</v>
      </c>
      <c r="AH3" s="3" t="n">
        <v>243207270.7395</v>
      </c>
      <c r="AI3" s="3" t="n">
        <v>20495863.5518</v>
      </c>
      <c r="AJ3" s="3" t="n">
        <v>34008317.3251</v>
      </c>
      <c r="AK3" s="3" t="n">
        <v>5372142.8962</v>
      </c>
      <c r="AL3" s="3" t="n">
        <v>16910367.747</v>
      </c>
      <c r="AM3" s="3" t="n">
        <v>53063710.23</v>
      </c>
      <c r="AN3" s="3" t="n">
        <v>53108763.7401</v>
      </c>
      <c r="AO3" s="3" t="n">
        <v>89077679.8018</v>
      </c>
      <c r="AP3" s="3" t="n">
        <v>157381974.3137</v>
      </c>
      <c r="AQ3" s="3" t="n">
        <v>80938967.2787</v>
      </c>
      <c r="AR3" s="3" t="n">
        <v>77585967.1931</v>
      </c>
      <c r="AS3" s="3" t="n">
        <v>103358499.5228</v>
      </c>
      <c r="AT3" s="3" t="n">
        <v>95969336.6816</v>
      </c>
      <c r="AU3" s="3" t="n">
        <v>41928674.1291</v>
      </c>
      <c r="AV3" s="3" t="n">
        <v>43179483.2368</v>
      </c>
      <c r="AW3" s="3" t="n">
        <v>70431677.8448</v>
      </c>
      <c r="AX3" s="3"/>
    </row>
    <row r="4">
      <c r="A4" t="str">
        <f>N4</f>
      </c>
      <c r="B4" t="str">
        <f>O4</f>
      </c>
      <c r="M4" t="s">
        <v>50</v>
      </c>
      <c r="N4" t="s">
        <v>50</v>
      </c>
      <c r="O4" t="s">
        <v>52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46616562</v>
      </c>
      <c r="AA4" s="3" t="n">
        <v>58743049</v>
      </c>
      <c r="AB4" s="3" t="n">
        <v>65982705.0298</v>
      </c>
      <c r="AC4" s="3" t="n">
        <v>174022821</v>
      </c>
      <c r="AD4" s="3" t="n">
        <v>110534832</v>
      </c>
      <c r="AE4" s="3" t="n">
        <v>140213100.1094</v>
      </c>
      <c r="AF4" s="3" t="n">
        <v>59198494.2425</v>
      </c>
      <c r="AG4" s="3" t="n">
        <v>25165281.6259</v>
      </c>
      <c r="AH4" s="3" t="n">
        <v>30376675.1304</v>
      </c>
      <c r="AI4" s="3" t="n">
        <v>32101743.8946</v>
      </c>
      <c r="AJ4" s="3" t="n">
        <v>41409123.5261</v>
      </c>
      <c r="AK4" s="3" t="n">
        <v>65650961.8043</v>
      </c>
      <c r="AL4" s="3" t="n">
        <v>29613076.7526</v>
      </c>
      <c r="AM4" s="3" t="n">
        <v>13200990.7966</v>
      </c>
      <c r="AN4" s="3" t="n">
        <v>17506633.5072</v>
      </c>
      <c r="AO4" s="3" t="n">
        <v>5576212.1403</v>
      </c>
      <c r="AP4" s="3" t="n">
        <v>13082959.8042</v>
      </c>
      <c r="AQ4" s="3" t="n">
        <v>14559790.6104</v>
      </c>
      <c r="AR4" s="3" t="n">
        <v>3169753.1363</v>
      </c>
      <c r="AS4" s="3" t="n">
        <v>-2969035.9445</v>
      </c>
      <c r="AT4" s="3" t="n">
        <v>1117704.6305</v>
      </c>
      <c r="AU4" s="3" t="n">
        <v>-747226.0256</v>
      </c>
      <c r="AV4" s="3" t="n">
        <v>1198822.3339</v>
      </c>
      <c r="AW4" s="3" t="n">
        <v>2905045.7204</v>
      </c>
      <c r="AX4" s="3"/>
    </row>
    <row r="5">
      <c r="A5" t="str">
        <f>N5</f>
      </c>
      <c r="B5" t="str">
        <f>O5</f>
      </c>
      <c r="M5" t="s">
        <v>53</v>
      </c>
      <c r="N5" t="s">
        <v>53</v>
      </c>
      <c r="O5" t="s">
        <v>53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1616998464</v>
      </c>
      <c r="AA5" s="3" t="n">
        <v>2697976663</v>
      </c>
      <c r="AB5" s="3" t="n">
        <v>4435139448</v>
      </c>
      <c r="AC5" s="3" t="n">
        <v>3443823452</v>
      </c>
      <c r="AD5" s="3" t="n">
        <v>5756277311</v>
      </c>
      <c r="AE5" s="3" t="n">
        <v>4538650462</v>
      </c>
      <c r="AF5" s="3" t="n">
        <v>5911155459</v>
      </c>
      <c r="AG5" s="3" t="n">
        <v>3259575704.61</v>
      </c>
      <c r="AH5" s="3" t="n">
        <v>3456928050.8257</v>
      </c>
      <c r="AI5" s="3" t="n">
        <v>4794309221.59</v>
      </c>
      <c r="AJ5" s="3" t="n">
        <v>5086650779.3947</v>
      </c>
      <c r="AK5" s="3" t="n">
        <v>15289390780.2664</v>
      </c>
      <c r="AL5" s="3" t="n">
        <v>11206652460.1353</v>
      </c>
      <c r="AM5" s="3" t="n">
        <v>10678338421.22</v>
      </c>
      <c r="AN5" s="3" t="n">
        <v>7274551809.9082</v>
      </c>
      <c r="AO5" s="3" t="n">
        <v>5190649825.2102</v>
      </c>
      <c r="AP5" s="3" t="n">
        <v>5615949372.3369</v>
      </c>
      <c r="AQ5" s="3" t="n">
        <v>8060537642.4228</v>
      </c>
      <c r="AR5" s="3" t="n">
        <v>10726923898.8154</v>
      </c>
      <c r="AS5" s="3" t="n">
        <v>13462761909.4059</v>
      </c>
      <c r="AT5" s="3" t="n">
        <v>19720359224.2609</v>
      </c>
      <c r="AU5" s="3" t="n">
        <v>12736423770.1615</v>
      </c>
      <c r="AV5" s="3" t="n">
        <v>15612966018.898</v>
      </c>
      <c r="AW5" s="3" t="n">
        <v>17528180041.2796</v>
      </c>
      <c r="AX5" s="3"/>
    </row>
    <row r="6">
      <c r="A6" t="str">
        <f>N6</f>
      </c>
      <c r="B6" t="str">
        <f>O6</f>
      </c>
      <c r="M6" t="s">
        <v>54</v>
      </c>
      <c r="N6" t="s">
        <v>54</v>
      </c>
      <c r="O6" t="s">
        <v>55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4005329951</v>
      </c>
      <c r="AA6" s="3" t="n">
        <v>6677452016</v>
      </c>
      <c r="AB6" s="3" t="n">
        <v>4319774557</v>
      </c>
      <c r="AC6" s="3" t="n">
        <v>5267270468.1104</v>
      </c>
      <c r="AD6" s="3" t="n">
        <v>5130624406.3486</v>
      </c>
      <c r="AE6" s="3" t="n">
        <v>5462556047.3018</v>
      </c>
      <c r="AF6" s="3" t="n">
        <v>6091538284.8327</v>
      </c>
      <c r="AG6" s="3" t="n">
        <v>4657659438.9289</v>
      </c>
      <c r="AH6" s="3" t="n">
        <v>2973877189.0205</v>
      </c>
      <c r="AI6" s="3" t="n">
        <v>4386736949.9321</v>
      </c>
      <c r="AJ6" s="3" t="n">
        <v>5479095335.5009</v>
      </c>
      <c r="AK6" s="3" t="n">
        <v>7580586843.098</v>
      </c>
      <c r="AL6" s="3" t="n">
        <v>6854719630.6743</v>
      </c>
      <c r="AM6" s="3" t="n">
        <v>6091895031.0357</v>
      </c>
      <c r="AN6" s="3" t="n">
        <v>10322279061.4678</v>
      </c>
      <c r="AO6" s="3" t="n">
        <v>11015888196.5484</v>
      </c>
      <c r="AP6" s="3" t="n">
        <v>11570884116.7565</v>
      </c>
      <c r="AQ6" s="3" t="n">
        <v>10913180367.195</v>
      </c>
      <c r="AR6" s="3" t="n">
        <v>6074035740.262</v>
      </c>
      <c r="AS6" s="3" t="n">
        <v>6400522803.6655</v>
      </c>
      <c r="AT6" s="3" t="n">
        <v>7056305133.2614</v>
      </c>
      <c r="AU6" s="3" t="n">
        <v>6109320634.3225</v>
      </c>
      <c r="AV6" s="3" t="n">
        <v>7286909659.2551</v>
      </c>
      <c r="AW6" s="3" t="n">
        <v>6848820333.0683</v>
      </c>
      <c r="AX6" s="3"/>
    </row>
    <row r="7">
      <c r="A7" t="str">
        <f>N7</f>
      </c>
      <c r="B7" t="str">
        <f>O7</f>
      </c>
      <c r="M7" t="s">
        <v>56</v>
      </c>
      <c r="N7" t="s">
        <v>56</v>
      </c>
      <c r="O7" t="s">
        <v>57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257328243</v>
      </c>
      <c r="AA7" s="3" t="n">
        <v>1470475460</v>
      </c>
      <c r="AB7" s="3" t="n">
        <v>1356399766</v>
      </c>
      <c r="AC7" s="3" t="n">
        <v>395984997</v>
      </c>
      <c r="AD7" s="3" t="n">
        <v>678680532</v>
      </c>
      <c r="AE7" s="3" t="n">
        <v>746852966</v>
      </c>
      <c r="AF7" s="3" t="n">
        <v>1682374888.83</v>
      </c>
      <c r="AG7" s="3" t="n">
        <v>1828612103.7904</v>
      </c>
      <c r="AH7" s="3" t="n">
        <v>1722360493.6623</v>
      </c>
      <c r="AI7" s="3" t="n">
        <v>2052820904.8849</v>
      </c>
      <c r="AJ7" s="3" t="n">
        <v>2673368525.4409</v>
      </c>
      <c r="AK7" s="3" t="n">
        <v>1020734586.6304</v>
      </c>
      <c r="AL7" s="3" t="n">
        <v>936718114.1251</v>
      </c>
      <c r="AM7" s="3" t="n">
        <v>1261465628.7801</v>
      </c>
      <c r="AN7" s="3" t="n">
        <v>1361449328.264</v>
      </c>
      <c r="AO7" s="3" t="n">
        <v>77370557.0903</v>
      </c>
      <c r="AP7" s="3" t="n">
        <v>1142257912.731</v>
      </c>
      <c r="AQ7" s="3" t="n">
        <v>1665810518.1036</v>
      </c>
      <c r="AR7" s="3" t="n">
        <v>4239599519.7901</v>
      </c>
      <c r="AS7" s="3" t="n">
        <v>3713743320.2584</v>
      </c>
      <c r="AT7" s="3" t="n">
        <v>3522630491.776</v>
      </c>
      <c r="AU7" s="3" t="n">
        <v>2830869196.9417</v>
      </c>
      <c r="AV7" s="3" t="n">
        <v>1236349426.1606</v>
      </c>
      <c r="AW7" s="3" t="n">
        <v>4189786665.016</v>
      </c>
      <c r="AX7" s="3"/>
    </row>
    <row r="8">
      <c r="A8" t="str">
        <f>N8</f>
      </c>
      <c r="B8" t="str">
        <f>O8</f>
      </c>
      <c r="M8" t="s">
        <v>58</v>
      </c>
      <c r="N8" t="s">
        <v>58</v>
      </c>
      <c r="O8" t="s">
        <v>59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 t="n">
        <v>7691886</v>
      </c>
      <c r="AF8" s="3" t="n">
        <v>218594699.58</v>
      </c>
      <c r="AG8" s="3" t="n">
        <v>3912092207.03</v>
      </c>
      <c r="AH8" s="3" t="n">
        <v>5685520688.6132</v>
      </c>
      <c r="AI8" s="3" t="n">
        <v>6028533334.2041</v>
      </c>
      <c r="AJ8" s="3" t="n">
        <v>7931174.4824</v>
      </c>
      <c r="AK8" s="3" t="n">
        <v>1819345.7709</v>
      </c>
      <c r="AL8" s="3" t="n">
        <v>-173519.7795</v>
      </c>
      <c r="AM8" s="3" t="n">
        <v>371282.6702</v>
      </c>
      <c r="AN8" s="3" t="n">
        <v>-67390.9</v>
      </c>
      <c r="AO8" s="3"/>
      <c r="AP8" s="3"/>
      <c r="AQ8" s="3"/>
      <c r="AR8" s="3"/>
      <c r="AS8" s="3"/>
      <c r="AT8" s="3" t="n">
        <v>-2164.04</v>
      </c>
      <c r="AU8" s="3"/>
      <c r="AV8" s="3"/>
      <c r="AW8" s="3"/>
      <c r="AX8" s="3"/>
    </row>
    <row r="9">
      <c r="A9" t="str">
        <f>N9</f>
      </c>
      <c r="B9" t="str">
        <f>O9</f>
      </c>
      <c r="M9" t="s">
        <v>58</v>
      </c>
      <c r="N9" t="s">
        <v>58</v>
      </c>
      <c r="O9"/>
      <c r="P9" s="3" t="n">
        <v>10680657493</v>
      </c>
      <c r="Q9" s="3" t="n">
        <v>9512770712</v>
      </c>
      <c r="R9" s="3" t="n">
        <v>8600082026</v>
      </c>
      <c r="S9" s="3" t="n">
        <v>9502770472</v>
      </c>
      <c r="T9" s="3" t="n">
        <v>7389026646</v>
      </c>
      <c r="U9" s="3" t="n">
        <v>9654356740</v>
      </c>
      <c r="V9" s="3" t="n">
        <v>7969628348</v>
      </c>
      <c r="W9" s="3" t="n">
        <v>8340521642</v>
      </c>
      <c r="X9" s="3" t="n">
        <v>9369233233</v>
      </c>
      <c r="Y9" s="3" t="n">
        <v>8320132027</v>
      </c>
      <c r="Z9" s="3" t="n">
        <v>1719744234</v>
      </c>
      <c r="AA9" s="3" t="n">
        <v>-152232354</v>
      </c>
      <c r="AB9" s="3" t="n">
        <v>399074964</v>
      </c>
      <c r="AC9" s="3" t="n">
        <v>495604277</v>
      </c>
      <c r="AD9" s="3" t="n">
        <v>747310269</v>
      </c>
      <c r="AE9" s="3" t="n">
        <v>305673522.4902</v>
      </c>
      <c r="AF9" s="3" t="n">
        <v>258988298.08</v>
      </c>
      <c r="AG9" s="3" t="n">
        <v>210148994.58</v>
      </c>
      <c r="AH9" s="3" t="n">
        <v>2379565457.94</v>
      </c>
      <c r="AI9" s="3" t="n">
        <v>874233650.9562</v>
      </c>
      <c r="AJ9" s="3" t="n">
        <v>1110216.962</v>
      </c>
      <c r="AK9" s="3" t="n">
        <v>563105</v>
      </c>
      <c r="AL9" s="3" t="n">
        <v>4189074</v>
      </c>
      <c r="AM9" s="3" t="n">
        <v>995980</v>
      </c>
      <c r="AN9" s="3" t="n">
        <v>6030811.2188</v>
      </c>
      <c r="AO9" s="3" t="n">
        <v>3498178.89</v>
      </c>
      <c r="AP9" s="3" t="n">
        <v>-388944.2299</v>
      </c>
      <c r="AQ9" s="3" t="n">
        <v>191325.7388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256</v>
      </c>
      <c r="O10" t="s">
        <v>257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48</v>
      </c>
      <c r="N14" t="s">
        <v>263</v>
      </c>
      <c r="O14" t="s">
        <v>49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2693738210.72471</v>
      </c>
      <c r="AA14" s="3" t="n">
        <v>2479982099.04181</v>
      </c>
      <c r="AB14" s="3" t="n">
        <v>3240692783.99436</v>
      </c>
      <c r="AC14" s="3" t="n">
        <v>4143198833.90679</v>
      </c>
      <c r="AD14" s="3" t="n">
        <v>3490058755.98296</v>
      </c>
      <c r="AE14" s="3" t="n">
        <v>3814451212.8948</v>
      </c>
      <c r="AF14" s="3" t="n">
        <v>3430638270.24233</v>
      </c>
      <c r="AG14" s="3" t="n">
        <v>4358542020.84223</v>
      </c>
      <c r="AH14" s="3" t="n">
        <v>3814091007.86604</v>
      </c>
      <c r="AI14" s="3" t="n">
        <v>4370881958.17239</v>
      </c>
      <c r="AJ14" s="3" t="n">
        <v>5545075531.37427</v>
      </c>
      <c r="AK14" s="3" t="n">
        <v>5675125852.9186</v>
      </c>
      <c r="AL14" s="3" t="n">
        <v>6013016875.67151</v>
      </c>
      <c r="AM14" s="3" t="n">
        <v>6123919730.90012</v>
      </c>
      <c r="AN14" s="3" t="n">
        <v>5814335329.95073</v>
      </c>
      <c r="AO14" s="3" t="n">
        <v>6112562827.69639</v>
      </c>
      <c r="AP14" s="3" t="n">
        <v>7320132503.6416</v>
      </c>
      <c r="AQ14" s="3" t="n">
        <v>7564797721.26585</v>
      </c>
      <c r="AR14" s="3" t="n">
        <v>11634269698.3299</v>
      </c>
      <c r="AS14" s="3" t="n">
        <v>10783926538.5459</v>
      </c>
      <c r="AT14" s="3" t="n">
        <v>10706286099.662</v>
      </c>
      <c r="AU14" s="3" t="n">
        <v>10952797534.3304</v>
      </c>
      <c r="AV14" s="3" t="n">
        <v>10199925090.6668</v>
      </c>
      <c r="AW14" s="3" t="n">
        <v>10912252954.5981</v>
      </c>
      <c r="AX14" s="3"/>
    </row>
    <row r="15">
      <c r="A15" t="str">
        <f>N15</f>
      </c>
      <c r="B15" t="str">
        <f>O15</f>
      </c>
      <c r="M15" t="s">
        <v>50</v>
      </c>
      <c r="N15" t="s">
        <v>50</v>
      </c>
      <c r="O15" t="s">
        <v>51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68843990.5514046</v>
      </c>
      <c r="AA15" s="3" t="n">
        <v>125872034.095313</v>
      </c>
      <c r="AB15" s="3" t="n">
        <v>50321207.1460649</v>
      </c>
      <c r="AC15" s="3" t="n">
        <v>269734946.851384</v>
      </c>
      <c r="AD15" s="3" t="n">
        <v>108740349.698953</v>
      </c>
      <c r="AE15" s="3" t="n">
        <v>283796125.217198</v>
      </c>
      <c r="AF15" s="3" t="n">
        <v>200812413.074028</v>
      </c>
      <c r="AG15" s="3" t="n">
        <v>212770442.361281</v>
      </c>
      <c r="AH15" s="3" t="n">
        <v>324199127.676212</v>
      </c>
      <c r="AI15" s="3" t="n">
        <v>27046464.4102072</v>
      </c>
      <c r="AJ15" s="3" t="n">
        <v>44490623.302178</v>
      </c>
      <c r="AK15" s="3" t="n">
        <v>6889144.14062054</v>
      </c>
      <c r="AL15" s="3" t="n">
        <v>21295226.099734</v>
      </c>
      <c r="AM15" s="3" t="n">
        <v>65622243.2121495</v>
      </c>
      <c r="AN15" s="3" t="n">
        <v>64431470.3196153</v>
      </c>
      <c r="AO15" s="3" t="n">
        <v>106844006.319006</v>
      </c>
      <c r="AP15" s="3" t="n">
        <v>187220026.79197</v>
      </c>
      <c r="AQ15" s="3" t="n">
        <v>94595305.3780997</v>
      </c>
      <c r="AR15" s="3" t="n">
        <v>88596308.0125113</v>
      </c>
      <c r="AS15" s="3" t="n">
        <v>115758945.634835</v>
      </c>
      <c r="AT15" s="3" t="n">
        <v>106068269.044315</v>
      </c>
      <c r="AU15" s="3" t="n">
        <v>44833811.1178699</v>
      </c>
      <c r="AV15" s="3" t="n">
        <v>43179483.2368</v>
      </c>
      <c r="AW15" s="3" t="n">
        <v>67177620.1892807</v>
      </c>
      <c r="AX15" s="3"/>
    </row>
    <row r="16">
      <c r="A16" t="str">
        <f>N16</f>
      </c>
      <c r="B16" t="str">
        <f>O16</f>
      </c>
      <c r="M16" t="s">
        <v>50</v>
      </c>
      <c r="N16" t="s">
        <v>50</v>
      </c>
      <c r="O16" t="s">
        <v>52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75319780.0403277</v>
      </c>
      <c r="AA16" s="3" t="n">
        <v>92665816.9196942</v>
      </c>
      <c r="AB16" s="3" t="n">
        <v>102468886.969675</v>
      </c>
      <c r="AC16" s="3" t="n">
        <v>265182645.921936</v>
      </c>
      <c r="AD16" s="3" t="n">
        <v>164418277.699747</v>
      </c>
      <c r="AE16" s="3" t="n">
        <v>202419301.834061</v>
      </c>
      <c r="AF16" s="3" t="n">
        <v>82767473.9217279</v>
      </c>
      <c r="AG16" s="3" t="n">
        <v>34245341.6349717</v>
      </c>
      <c r="AH16" s="3" t="n">
        <v>40492587.0391748</v>
      </c>
      <c r="AI16" s="3" t="n">
        <v>42361653.6847326</v>
      </c>
      <c r="AJ16" s="3" t="n">
        <v>54172563.0957148</v>
      </c>
      <c r="AK16" s="3" t="n">
        <v>84189670.2264038</v>
      </c>
      <c r="AL16" s="3" t="n">
        <v>37291747.5474339</v>
      </c>
      <c r="AM16" s="3" t="n">
        <v>16325255.5266306</v>
      </c>
      <c r="AN16" s="3" t="n">
        <v>21239020.7901574</v>
      </c>
      <c r="AO16" s="3" t="n">
        <v>6688374.08518014</v>
      </c>
      <c r="AP16" s="3" t="n">
        <v>15563358.4833443</v>
      </c>
      <c r="AQ16" s="3" t="n">
        <v>17016375.2434537</v>
      </c>
      <c r="AR16" s="3" t="n">
        <v>3619577.55180544</v>
      </c>
      <c r="AS16" s="3" t="n">
        <v>-3325246.32298316</v>
      </c>
      <c r="AT16" s="3" t="n">
        <v>1235321.60958116</v>
      </c>
      <c r="AU16" s="3" t="n">
        <v>-798999.519778664</v>
      </c>
      <c r="AV16" s="3" t="n">
        <v>1198822.3339</v>
      </c>
      <c r="AW16" s="3" t="n">
        <v>2770827.90030303</v>
      </c>
      <c r="AX16" s="3"/>
    </row>
    <row r="17">
      <c r="A17" t="str">
        <f>N17</f>
      </c>
      <c r="B17" t="str">
        <f>O17</f>
      </c>
      <c r="M17" t="s">
        <v>53</v>
      </c>
      <c r="N17" t="s">
        <v>53</v>
      </c>
      <c r="O17" t="s">
        <v>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2612633008.71539</v>
      </c>
      <c r="AA17" s="3" t="n">
        <v>4255996509.59836</v>
      </c>
      <c r="AB17" s="3" t="n">
        <v>6887620060.2356</v>
      </c>
      <c r="AC17" s="3" t="n">
        <v>5247830197.4508</v>
      </c>
      <c r="AD17" s="3" t="n">
        <v>8562343510.29503</v>
      </c>
      <c r="AE17" s="3" t="n">
        <v>6552244098.94698</v>
      </c>
      <c r="AF17" s="3" t="n">
        <v>8264592056.95162</v>
      </c>
      <c r="AG17" s="3" t="n">
        <v>4435685848.81398</v>
      </c>
      <c r="AH17" s="3" t="n">
        <v>4608139613.21716</v>
      </c>
      <c r="AI17" s="3" t="n">
        <v>6326599189.41909</v>
      </c>
      <c r="AJ17" s="3" t="n">
        <v>6654497531.65975</v>
      </c>
      <c r="AK17" s="3" t="n">
        <v>19606853157.6172</v>
      </c>
      <c r="AL17" s="3" t="n">
        <v>14112537440.3557</v>
      </c>
      <c r="AM17" s="3" t="n">
        <v>13205569643.3901</v>
      </c>
      <c r="AN17" s="3" t="n">
        <v>8825475044.42666</v>
      </c>
      <c r="AO17" s="3" t="n">
        <v>6225912304.38965</v>
      </c>
      <c r="AP17" s="3" t="n">
        <v>6680677355.43548</v>
      </c>
      <c r="AQ17" s="3" t="n">
        <v>9420542977.4159</v>
      </c>
      <c r="AR17" s="3" t="n">
        <v>12249197737.0199</v>
      </c>
      <c r="AS17" s="3" t="n">
        <v>15077958089.1833</v>
      </c>
      <c r="AT17" s="3" t="n">
        <v>21795548871.9188</v>
      </c>
      <c r="AU17" s="3" t="n">
        <v>13618899941.1326</v>
      </c>
      <c r="AV17" s="3" t="n">
        <v>15612966018.898</v>
      </c>
      <c r="AW17" s="3" t="n">
        <v>16718349717.823</v>
      </c>
      <c r="AX17" s="3"/>
    </row>
    <row r="18">
      <c r="A18" t="str">
        <f>N18</f>
      </c>
      <c r="B18" t="str">
        <f>O18</f>
      </c>
      <c r="M18" t="s">
        <v>54</v>
      </c>
      <c r="N18" t="s">
        <v>54</v>
      </c>
      <c r="O18" t="s">
        <v>55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6471531961.07118</v>
      </c>
      <c r="AA18" s="3" t="n">
        <v>10533527907.3563</v>
      </c>
      <c r="AB18" s="3" t="n">
        <v>6708462325.32902</v>
      </c>
      <c r="AC18" s="3" t="n">
        <v>8026468663.67022</v>
      </c>
      <c r="AD18" s="3" t="n">
        <v>7631697747.6939</v>
      </c>
      <c r="AE18" s="3" t="n">
        <v>7886044745.18804</v>
      </c>
      <c r="AF18" s="3" t="n">
        <v>8516791560.06529</v>
      </c>
      <c r="AG18" s="3" t="n">
        <v>6338221883.4901</v>
      </c>
      <c r="AH18" s="3" t="n">
        <v>3964225195.92069</v>
      </c>
      <c r="AI18" s="3" t="n">
        <v>5788764376.45193</v>
      </c>
      <c r="AJ18" s="3" t="n">
        <v>7167904376.98535</v>
      </c>
      <c r="AK18" s="3" t="n">
        <v>9721214874.89366</v>
      </c>
      <c r="AL18" s="3" t="n">
        <v>8632148429.26113</v>
      </c>
      <c r="AM18" s="3" t="n">
        <v>7533657477.33749</v>
      </c>
      <c r="AN18" s="3" t="n">
        <v>12522973048.9392</v>
      </c>
      <c r="AO18" s="3" t="n">
        <v>13212980296.5266</v>
      </c>
      <c r="AP18" s="3" t="n">
        <v>13764608328.1938</v>
      </c>
      <c r="AQ18" s="3" t="n">
        <v>12754494703.7243</v>
      </c>
      <c r="AR18" s="3" t="n">
        <v>6936011250.38385</v>
      </c>
      <c r="AS18" s="3" t="n">
        <v>7168426154.45087</v>
      </c>
      <c r="AT18" s="3" t="n">
        <v>7798845935.7253</v>
      </c>
      <c r="AU18" s="3" t="n">
        <v>6532620767.69608</v>
      </c>
      <c r="AV18" s="3" t="n">
        <v>7286909659.2551</v>
      </c>
      <c r="AW18" s="3" t="n">
        <v>6532393734.72421</v>
      </c>
      <c r="AX18" s="3"/>
    </row>
    <row r="19">
      <c r="A19" t="str">
        <f>N19</f>
      </c>
      <c r="B19" t="str">
        <f>O19</f>
      </c>
      <c r="M19" t="s">
        <v>56</v>
      </c>
      <c r="N19" t="s">
        <v>56</v>
      </c>
      <c r="O19" t="s">
        <v>57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415772974.869403</v>
      </c>
      <c r="AA19" s="3" t="n">
        <v>2319641422.78796</v>
      </c>
      <c r="AB19" s="3" t="n">
        <v>2106442502.54935</v>
      </c>
      <c r="AC19" s="3" t="n">
        <v>603417118.780358</v>
      </c>
      <c r="AD19" s="3" t="n">
        <v>1009523262.13142</v>
      </c>
      <c r="AE19" s="3" t="n">
        <v>1078197799.15331</v>
      </c>
      <c r="AF19" s="3" t="n">
        <v>2352186850.68917</v>
      </c>
      <c r="AG19" s="3" t="n">
        <v>2488406334.68997</v>
      </c>
      <c r="AH19" s="3" t="n">
        <v>2295933702.52232</v>
      </c>
      <c r="AI19" s="3" t="n">
        <v>2708914772.20157</v>
      </c>
      <c r="AJ19" s="3" t="n">
        <v>3497374800.29646</v>
      </c>
      <c r="AK19" s="3" t="n">
        <v>1308972570.62682</v>
      </c>
      <c r="AL19" s="3" t="n">
        <v>1179609120.89267</v>
      </c>
      <c r="AM19" s="3" t="n">
        <v>1560015384.08775</v>
      </c>
      <c r="AN19" s="3" t="n">
        <v>1651708226.81886</v>
      </c>
      <c r="AO19" s="3" t="n">
        <v>92801926.4652425</v>
      </c>
      <c r="AP19" s="3" t="n">
        <v>1358818619.20589</v>
      </c>
      <c r="AQ19" s="3" t="n">
        <v>1946872562.87157</v>
      </c>
      <c r="AR19" s="3" t="n">
        <v>4841247438.08598</v>
      </c>
      <c r="AS19" s="3" t="n">
        <v>4159300039.14862</v>
      </c>
      <c r="AT19" s="3" t="n">
        <v>3893319800.52166</v>
      </c>
      <c r="AU19" s="3" t="n">
        <v>3027013315.14306</v>
      </c>
      <c r="AV19" s="3" t="n">
        <v>1236349426.1606</v>
      </c>
      <c r="AW19" s="3" t="n">
        <v>3996211731.27197</v>
      </c>
      <c r="AX19" s="3"/>
    </row>
    <row r="20">
      <c r="A20" t="str">
        <f>N20</f>
      </c>
      <c r="B20" t="str">
        <f>O20</f>
      </c>
      <c r="M20" t="s">
        <v>58</v>
      </c>
      <c r="N20" t="s">
        <v>58</v>
      </c>
      <c r="O20" t="s">
        <v>59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 t="n">
        <v>11104427.4229181</v>
      </c>
      <c r="AF20" s="3" t="n">
        <v>305624852.936319</v>
      </c>
      <c r="AG20" s="3" t="n">
        <v>5323641361.49267</v>
      </c>
      <c r="AH20" s="3" t="n">
        <v>7578888747.97561</v>
      </c>
      <c r="AI20" s="3" t="n">
        <v>7955288727.27001</v>
      </c>
      <c r="AJ20" s="3" t="n">
        <v>10375782.2789978</v>
      </c>
      <c r="AK20" s="3" t="n">
        <v>2333097.89027099</v>
      </c>
      <c r="AL20" s="3" t="n">
        <v>-218513.458282658</v>
      </c>
      <c r="AM20" s="3" t="n">
        <v>459153.75270058</v>
      </c>
      <c r="AN20" s="3" t="n">
        <v>-81758.5360188613</v>
      </c>
      <c r="AO20" s="3"/>
      <c r="AP20" s="3"/>
      <c r="AQ20" s="3"/>
      <c r="AR20" s="3"/>
      <c r="AS20" s="3"/>
      <c r="AT20" s="3" t="n">
        <v>-2391.76371203019</v>
      </c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58</v>
      </c>
      <c r="O21"/>
      <c r="P21" s="3" t="n">
        <v>21228143918.8223</v>
      </c>
      <c r="Q21" s="3" t="n">
        <v>18255763741.9323</v>
      </c>
      <c r="R21" s="3" t="n">
        <v>16101818741.1213</v>
      </c>
      <c r="S21" s="3" t="n">
        <v>17383554422.2538</v>
      </c>
      <c r="T21" s="3" t="n">
        <v>13228605702.3603</v>
      </c>
      <c r="U21" s="3" t="n">
        <v>16925701573.5089</v>
      </c>
      <c r="V21" s="3" t="n">
        <v>13714338594.7575</v>
      </c>
      <c r="W21" s="3" t="n">
        <v>14102066190.5562</v>
      </c>
      <c r="X21" s="3" t="n">
        <v>15646035550.2611</v>
      </c>
      <c r="Y21" s="3" t="n">
        <v>13723041606.5727</v>
      </c>
      <c r="Z21" s="3" t="n">
        <v>2778642436.79107</v>
      </c>
      <c r="AA21" s="3" t="n">
        <v>-240143058.373052</v>
      </c>
      <c r="AB21" s="3" t="n">
        <v>619749786.858156</v>
      </c>
      <c r="AC21" s="3" t="n">
        <v>755220796.616601</v>
      </c>
      <c r="AD21" s="3" t="n">
        <v>1111608577.25205</v>
      </c>
      <c r="AE21" s="3" t="n">
        <v>441287019.282418</v>
      </c>
      <c r="AF21" s="3" t="n">
        <v>362100548.023396</v>
      </c>
      <c r="AG21" s="3" t="n">
        <v>285974312.571618</v>
      </c>
      <c r="AH21" s="3" t="n">
        <v>3171998285.11253</v>
      </c>
      <c r="AI21" s="3" t="n">
        <v>1153643966.60007</v>
      </c>
      <c r="AJ21" s="3" t="n">
        <v>1452416.60055832</v>
      </c>
      <c r="AK21" s="3" t="n">
        <v>722116.218101378</v>
      </c>
      <c r="AL21" s="3" t="n">
        <v>5275300.88719347</v>
      </c>
      <c r="AM21" s="3" t="n">
        <v>1231697.54830837</v>
      </c>
      <c r="AN21" s="3" t="n">
        <v>7316570.87611551</v>
      </c>
      <c r="AO21" s="3" t="n">
        <v>4195882.15880565</v>
      </c>
      <c r="AP21" s="3" t="n">
        <v>-462684.176253351</v>
      </c>
      <c r="AQ21" s="3" t="n">
        <v>223606.963332721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264</v>
      </c>
      <c r="AY1" t="s">
        <v>265</v>
      </c>
    </row>
    <row r="2">
      <c r="A2" t="str">
        <f>N2</f>
      </c>
      <c r="B2" t="str">
        <f>O2</f>
      </c>
      <c r="N2" t="s">
        <v>62</v>
      </c>
      <c r="O2" t="s">
        <v>63</v>
      </c>
      <c r="P2" s="12" t="n">
        <v>1814000</v>
      </c>
      <c r="Q2" s="12" t="n">
        <v>2669000</v>
      </c>
      <c r="R2" s="12" t="n">
        <v>4531000</v>
      </c>
      <c r="S2" s="12" t="n">
        <v>15427000</v>
      </c>
      <c r="T2" s="12" t="n">
        <v>8327000</v>
      </c>
      <c r="U2" s="12" t="n">
        <v>14324000</v>
      </c>
      <c r="V2" s="12" t="n">
        <v>15491076</v>
      </c>
      <c r="W2" s="12" t="n">
        <v>2189057809</v>
      </c>
      <c r="X2" s="12" t="n">
        <v>1961624443</v>
      </c>
      <c r="Y2" s="12" t="n">
        <v>2040376342</v>
      </c>
      <c r="Z2" s="12" t="n">
        <v>8265639486</v>
      </c>
      <c r="AA2" s="12" t="n">
        <v>11222966161</v>
      </c>
      <c r="AB2" s="12" t="n">
        <v>11120140580</v>
      </c>
      <c r="AC2" s="12" t="n">
        <v>10540513121</v>
      </c>
      <c r="AD2" s="12" t="n">
        <v>12818877334.57</v>
      </c>
      <c r="AE2" s="12" t="n">
        <v>11596204979.52</v>
      </c>
      <c r="AF2" s="12" t="n">
        <v>14102583285</v>
      </c>
      <c r="AG2" s="12" t="n">
        <v>14500076521.68</v>
      </c>
      <c r="AH2" s="12" t="n">
        <v>16553847850.7</v>
      </c>
      <c r="AI2" s="12" t="n">
        <v>18661425686</v>
      </c>
      <c r="AJ2" s="12" t="n">
        <v>13967338496.9877</v>
      </c>
      <c r="AK2" s="12" t="n">
        <v>24577714675.5281</v>
      </c>
      <c r="AL2" s="12" t="n">
        <v>19845707086.3542</v>
      </c>
      <c r="AM2" s="12" t="n">
        <v>19392720607.4728</v>
      </c>
      <c r="AN2" s="12" t="n">
        <v>19853932891.6631</v>
      </c>
      <c r="AO2" s="12" t="n">
        <v>17542640484.7404</v>
      </c>
      <c r="AP2" s="12" t="n">
        <v>20148799632.3527</v>
      </c>
      <c r="AQ2" s="12" t="n">
        <v>21828882456.4197</v>
      </c>
      <c r="AR2" s="12" t="n">
        <v>23361268259.13</v>
      </c>
      <c r="AS2" s="12" t="n">
        <v>25213168052.63</v>
      </c>
      <c r="AT2" s="12" t="n">
        <v>32015942869.09</v>
      </c>
      <c r="AU2" s="12" t="n">
        <v>24116859427.32</v>
      </c>
      <c r="AV2" s="12" t="n">
        <v>25626396771.61</v>
      </c>
      <c r="AW2" s="12" t="n">
        <v>30353777996.72</v>
      </c>
      <c r="AX2" s="12" t="n">
        <v>28804314039.95</v>
      </c>
      <c r="AY2" s="12" t="n">
        <v>17326927524.12</v>
      </c>
      <c r="AZ2" s="12"/>
    </row>
    <row r="3">
      <c r="A3" t="str">
        <f>N3</f>
      </c>
      <c r="B3" t="str">
        <f>O3</f>
      </c>
      <c r="N3" t="s">
        <v>62</v>
      </c>
      <c r="O3" t="s">
        <v>64</v>
      </c>
      <c r="P3" s="12" t="n">
        <v>8295000</v>
      </c>
      <c r="Q3" s="12" t="n">
        <v>3455000</v>
      </c>
      <c r="R3" s="12" t="n">
        <v>5567000</v>
      </c>
      <c r="S3" s="12" t="n">
        <v>26764000</v>
      </c>
      <c r="T3" s="12" t="n">
        <v>10741000</v>
      </c>
      <c r="U3" s="12" t="n">
        <v>157000</v>
      </c>
      <c r="V3" s="12" t="n">
        <v>687000</v>
      </c>
      <c r="W3" s="12" t="n">
        <v>32335956</v>
      </c>
      <c r="X3" s="12" t="n">
        <v>67289485</v>
      </c>
      <c r="Y3" s="12" t="n">
        <v>69585164</v>
      </c>
      <c r="Z3" s="12" t="n">
        <v>128306121</v>
      </c>
      <c r="AA3" s="12" t="n">
        <v>146068198</v>
      </c>
      <c r="AB3" s="12" t="n">
        <v>199804095.9</v>
      </c>
      <c r="AC3" s="12" t="n">
        <v>252967277.01</v>
      </c>
      <c r="AD3" s="12" t="n">
        <v>256300483.33</v>
      </c>
      <c r="AE3" s="12" t="n">
        <v>329764593.61</v>
      </c>
      <c r="AF3" s="12" t="n">
        <v>353801648.01</v>
      </c>
      <c r="AG3" s="12" t="n">
        <v>347617661.27</v>
      </c>
      <c r="AH3" s="12" t="n">
        <v>429847400.27</v>
      </c>
      <c r="AI3" s="12" t="n">
        <v>450976954.13</v>
      </c>
      <c r="AJ3" s="12" t="n">
        <v>518817833.1562</v>
      </c>
      <c r="AK3" s="12" t="n">
        <v>600293030.6082</v>
      </c>
      <c r="AL3" s="12" t="n">
        <v>567779250.3213</v>
      </c>
      <c r="AM3" s="12" t="n">
        <v>607299008.0947</v>
      </c>
      <c r="AN3" s="12" t="n">
        <v>734309615.4967</v>
      </c>
      <c r="AO3" s="12" t="n">
        <v>759040129.0227</v>
      </c>
      <c r="AP3" s="12" t="n">
        <v>789281333.2861</v>
      </c>
      <c r="AQ3" s="12" t="n">
        <v>805554446.8029</v>
      </c>
      <c r="AR3" s="12" t="n">
        <v>1053406503.77</v>
      </c>
      <c r="AS3" s="12" t="n">
        <v>979068512.48</v>
      </c>
      <c r="AT3" s="12" t="n">
        <v>696370586.42</v>
      </c>
      <c r="AU3" s="12" t="n">
        <v>817588060.57</v>
      </c>
      <c r="AV3" s="12" t="n">
        <v>998032260.47</v>
      </c>
      <c r="AW3" s="12" t="n">
        <v>282258818.31</v>
      </c>
      <c r="AX3" s="12" t="n">
        <v>260140021.68</v>
      </c>
      <c r="AY3" s="12" t="n">
        <v>106362638.29</v>
      </c>
      <c r="AZ3" s="12"/>
    </row>
    <row r="4">
      <c r="A4" t="str">
        <f>N4</f>
      </c>
      <c r="B4" t="str">
        <f>O4</f>
      </c>
      <c r="N4" t="s">
        <v>65</v>
      </c>
      <c r="O4" t="s">
        <v>66</v>
      </c>
      <c r="P4" s="12" t="n">
        <v>902000</v>
      </c>
      <c r="Q4" s="12" t="n">
        <v>125000</v>
      </c>
      <c r="R4" s="12" t="n">
        <v>806000</v>
      </c>
      <c r="S4" s="12"/>
      <c r="T4" s="12"/>
      <c r="U4" s="12"/>
      <c r="V4" s="12" t="n">
        <v>90000</v>
      </c>
      <c r="W4" s="12" t="n">
        <v>20107275</v>
      </c>
      <c r="X4" s="12" t="n">
        <v>12071642</v>
      </c>
      <c r="Y4" s="12" t="n">
        <v>6411174</v>
      </c>
      <c r="Z4" s="12" t="n">
        <v>6338932</v>
      </c>
      <c r="AA4" s="12" t="n">
        <v>3668769</v>
      </c>
      <c r="AB4" s="12" t="n">
        <v>3036643</v>
      </c>
      <c r="AC4" s="12" t="n">
        <v>1170677</v>
      </c>
      <c r="AD4" s="12" t="n">
        <v>3702</v>
      </c>
      <c r="AE4" s="12"/>
      <c r="AF4" s="12"/>
      <c r="AG4" s="12"/>
      <c r="AH4" s="12"/>
      <c r="AI4" s="12"/>
      <c r="AJ4" s="12" t="n">
        <v>56409823.1518</v>
      </c>
      <c r="AK4" s="12" t="n">
        <v>250065008.9206</v>
      </c>
      <c r="AL4" s="12" t="n">
        <v>381304486.5259</v>
      </c>
      <c r="AM4" s="12" t="n">
        <v>485048310.6497</v>
      </c>
      <c r="AN4" s="12" t="n">
        <v>643784577.0028</v>
      </c>
      <c r="AO4" s="12" t="n">
        <v>721638605.4281</v>
      </c>
      <c r="AP4" s="12" t="n">
        <v>682863278.2314</v>
      </c>
      <c r="AQ4" s="12" t="n">
        <v>671340743.4822</v>
      </c>
      <c r="AR4" s="12" t="n">
        <v>913401495.7336</v>
      </c>
      <c r="AS4" s="12" t="n">
        <v>776702118.5728</v>
      </c>
      <c r="AT4" s="12" t="n">
        <v>784756524.9483</v>
      </c>
      <c r="AU4" s="12" t="n">
        <v>735989386.4552</v>
      </c>
      <c r="AV4" s="12" t="n">
        <v>928439837.9877</v>
      </c>
      <c r="AW4" s="12" t="n">
        <v>1212720063.0024</v>
      </c>
      <c r="AX4" s="12" t="n">
        <v>1088446255.878</v>
      </c>
      <c r="AY4" s="12" t="n">
        <v>378794645.47</v>
      </c>
      <c r="AZ4" s="12"/>
    </row>
    <row r="5">
      <c r="A5" t="str">
        <f>N5</f>
      </c>
      <c r="B5" t="str">
        <f>O5</f>
      </c>
      <c r="N5" t="s">
        <v>65</v>
      </c>
      <c r="O5" t="s">
        <v>67</v>
      </c>
      <c r="P5" s="12"/>
      <c r="Q5" s="12"/>
      <c r="R5" s="12"/>
      <c r="S5" s="12"/>
      <c r="T5" s="12" t="n">
        <v>406000</v>
      </c>
      <c r="U5" s="12" t="n">
        <v>102000</v>
      </c>
      <c r="V5" s="12" t="n">
        <v>256000</v>
      </c>
      <c r="W5" s="12" t="n">
        <v>996702</v>
      </c>
      <c r="X5" s="12" t="n">
        <v>1339877</v>
      </c>
      <c r="Y5" s="12" t="n">
        <v>3057742</v>
      </c>
      <c r="Z5" s="12" t="n">
        <v>32951027</v>
      </c>
      <c r="AA5" s="12" t="n">
        <v>56035838</v>
      </c>
      <c r="AB5" s="12" t="n">
        <v>118925328</v>
      </c>
      <c r="AC5" s="12" t="n">
        <v>119321926</v>
      </c>
      <c r="AD5" s="12" t="n">
        <v>134804712</v>
      </c>
      <c r="AE5" s="12" t="n">
        <v>109775836.0935</v>
      </c>
      <c r="AF5" s="12" t="n">
        <v>133366884.7812</v>
      </c>
      <c r="AG5" s="12" t="n">
        <v>212214642.033</v>
      </c>
      <c r="AH5" s="12" t="n">
        <v>170544365.131</v>
      </c>
      <c r="AI5" s="12" t="n">
        <v>195375550.9657</v>
      </c>
      <c r="AJ5" s="12" t="n">
        <v>132369603.1856</v>
      </c>
      <c r="AK5" s="12" t="n">
        <v>94562158.5968</v>
      </c>
      <c r="AL5" s="12" t="n">
        <v>152492011.5009</v>
      </c>
      <c r="AM5" s="12" t="n">
        <v>59656161.8556</v>
      </c>
      <c r="AN5" s="12" t="n">
        <v>58246214.2534</v>
      </c>
      <c r="AO5" s="12" t="n">
        <v>34223954.225</v>
      </c>
      <c r="AP5" s="12" t="n">
        <v>18421629.4286</v>
      </c>
      <c r="AQ5" s="12" t="n">
        <v>13022425.15</v>
      </c>
      <c r="AR5" s="12" t="n">
        <v>16425608.0416</v>
      </c>
      <c r="AS5" s="12" t="n">
        <v>41579470.8422</v>
      </c>
      <c r="AT5" s="12" t="n">
        <v>26540799.9307</v>
      </c>
      <c r="AU5" s="12" t="n">
        <v>24438825.2104</v>
      </c>
      <c r="AV5" s="12" t="n">
        <v>13677340.1858</v>
      </c>
      <c r="AW5" s="12" t="n">
        <v>18435455.3499</v>
      </c>
      <c r="AX5" s="12" t="n">
        <v>17452208.89</v>
      </c>
      <c r="AY5" s="12" t="n">
        <v>11545168.22</v>
      </c>
      <c r="AZ5" s="12"/>
    </row>
    <row r="6">
      <c r="A6" t="str">
        <f>N6</f>
      </c>
      <c r="B6" t="str">
        <f>O6</f>
      </c>
      <c r="N6" t="s">
        <v>65</v>
      </c>
      <c r="O6" t="s">
        <v>68</v>
      </c>
      <c r="P6" s="12"/>
      <c r="Q6" s="12"/>
      <c r="R6" s="12"/>
      <c r="S6" s="12"/>
      <c r="T6" s="12"/>
      <c r="U6" s="12"/>
      <c r="V6" s="12"/>
      <c r="W6" s="12" t="n">
        <v>8827164</v>
      </c>
      <c r="X6" s="12" t="n">
        <v>5281910</v>
      </c>
      <c r="Y6" s="12" t="n">
        <v>19569845</v>
      </c>
      <c r="Z6" s="12" t="n">
        <v>124083067</v>
      </c>
      <c r="AA6" s="12" t="n">
        <v>102877275</v>
      </c>
      <c r="AB6" s="12" t="n">
        <v>131319695</v>
      </c>
      <c r="AC6" s="12" t="n">
        <v>303568109.1104</v>
      </c>
      <c r="AD6" s="12" t="n">
        <v>341229471</v>
      </c>
      <c r="AE6" s="12" t="n">
        <v>496105422.2316</v>
      </c>
      <c r="AF6" s="12" t="n">
        <v>779178032.1475</v>
      </c>
      <c r="AG6" s="12" t="n">
        <v>609435905.6012</v>
      </c>
      <c r="AH6" s="12" t="n">
        <v>635615279.8954</v>
      </c>
      <c r="AI6" s="12" t="n">
        <v>599379421.0735</v>
      </c>
      <c r="AJ6" s="12" t="n">
        <v>874308123.0407</v>
      </c>
      <c r="AK6" s="12" t="n">
        <v>904116064.0393</v>
      </c>
      <c r="AL6" s="12" t="n">
        <v>793595993.9639</v>
      </c>
      <c r="AM6" s="12" t="n">
        <v>724599028.7005</v>
      </c>
      <c r="AN6" s="12" t="n">
        <v>830065216.9256</v>
      </c>
      <c r="AO6" s="12" t="n">
        <v>537515375.4024</v>
      </c>
      <c r="AP6" s="12" t="n">
        <v>708363482.1655</v>
      </c>
      <c r="AQ6" s="12" t="n">
        <v>1130972206.0579</v>
      </c>
      <c r="AR6" s="12" t="n">
        <v>1701928911.7988</v>
      </c>
      <c r="AS6" s="12" t="n">
        <v>1384055518.5279</v>
      </c>
      <c r="AT6" s="12" t="n">
        <v>1588908324.1799</v>
      </c>
      <c r="AU6" s="12" t="n">
        <v>3962560249.4637</v>
      </c>
      <c r="AV6" s="12" t="n">
        <v>5289073717.3362</v>
      </c>
      <c r="AW6" s="12" t="n">
        <v>7107391310.3156</v>
      </c>
      <c r="AX6" s="12" t="n">
        <v>7714037639.0704</v>
      </c>
      <c r="AY6" s="12" t="n">
        <v>2910628897.93</v>
      </c>
      <c r="AZ6" s="12"/>
    </row>
    <row r="7">
      <c r="A7" t="str">
        <f>N7</f>
      </c>
      <c r="B7" t="str">
        <f>O7</f>
      </c>
      <c r="N7" t="s">
        <v>65</v>
      </c>
      <c r="O7" t="s">
        <v>69</v>
      </c>
      <c r="P7" s="12" t="n">
        <v>43000</v>
      </c>
      <c r="Q7" s="12" t="n">
        <v>104000</v>
      </c>
      <c r="R7" s="12" t="n">
        <v>68000</v>
      </c>
      <c r="S7" s="12" t="n">
        <v>1732000</v>
      </c>
      <c r="T7" s="12" t="n">
        <v>209000</v>
      </c>
      <c r="U7" s="12" t="n">
        <v>563000</v>
      </c>
      <c r="V7" s="12"/>
      <c r="W7" s="12" t="n">
        <v>97180962</v>
      </c>
      <c r="X7" s="12" t="n">
        <v>170998360</v>
      </c>
      <c r="Y7" s="12" t="n">
        <v>211400903</v>
      </c>
      <c r="Z7" s="12" t="n">
        <v>792136941</v>
      </c>
      <c r="AA7" s="12" t="n">
        <v>871079231</v>
      </c>
      <c r="AB7" s="12" t="n">
        <v>1121078883.0298</v>
      </c>
      <c r="AC7" s="12" t="n">
        <v>1464312699.9302</v>
      </c>
      <c r="AD7" s="12" t="n">
        <v>1289828353.3183</v>
      </c>
      <c r="AE7" s="12" t="n">
        <v>1508419219.6701</v>
      </c>
      <c r="AF7" s="12" t="n">
        <v>1450220312.2365</v>
      </c>
      <c r="AG7" s="12" t="n">
        <v>1584090169.3198</v>
      </c>
      <c r="AH7" s="12" t="n">
        <v>1563834499.5037</v>
      </c>
      <c r="AI7" s="12" t="n">
        <v>1595201595.4811</v>
      </c>
      <c r="AJ7" s="12" t="n">
        <v>2011188756.3735</v>
      </c>
      <c r="AK7" s="12" t="n">
        <v>1961892829.5621</v>
      </c>
      <c r="AL7" s="12" t="n">
        <v>2081913822.1831</v>
      </c>
      <c r="AM7" s="12" t="n">
        <v>1879187246.8164</v>
      </c>
      <c r="AN7" s="12" t="n">
        <v>1706797661.8882</v>
      </c>
      <c r="AO7" s="12" t="n">
        <v>1889047176.4959</v>
      </c>
      <c r="AP7" s="12" t="n">
        <v>2320088753.0641</v>
      </c>
      <c r="AQ7" s="12" t="n">
        <v>2810266733.4823</v>
      </c>
      <c r="AR7" s="12" t="n">
        <v>4354202895.1859</v>
      </c>
      <c r="AS7" s="12" t="n">
        <v>5004511960.9469</v>
      </c>
      <c r="AT7" s="12" t="n">
        <v>5218636779.7144</v>
      </c>
      <c r="AU7" s="12" t="n">
        <v>2569243888.9792</v>
      </c>
      <c r="AV7" s="12" t="n">
        <v>1882537557.2822</v>
      </c>
      <c r="AW7" s="12" t="n">
        <v>1507213903.7002</v>
      </c>
      <c r="AX7" s="12" t="n">
        <v>1766134062.2725</v>
      </c>
      <c r="AY7" s="12" t="n">
        <v>824415378.56</v>
      </c>
      <c r="AZ7" s="12"/>
    </row>
    <row r="8">
      <c r="A8" t="str">
        <f>N8</f>
      </c>
      <c r="B8" t="str">
        <f>O8</f>
      </c>
      <c r="N8" t="s">
        <v>65</v>
      </c>
      <c r="O8" t="s">
        <v>70</v>
      </c>
      <c r="P8" s="12"/>
      <c r="Q8" s="12"/>
      <c r="R8" s="12"/>
      <c r="S8" s="12"/>
      <c r="T8" s="12"/>
      <c r="U8" s="12"/>
      <c r="V8" s="12" t="n">
        <v>0</v>
      </c>
      <c r="W8" s="12" t="n">
        <v>4020064</v>
      </c>
      <c r="X8" s="12" t="n">
        <v>5577975</v>
      </c>
      <c r="Y8" s="12" t="n">
        <v>6055737</v>
      </c>
      <c r="Z8" s="12" t="n">
        <v>6366189</v>
      </c>
      <c r="AA8" s="12" t="n">
        <v>1631816</v>
      </c>
      <c r="AB8" s="12" t="n">
        <v>1246118</v>
      </c>
      <c r="AC8" s="12" t="n">
        <v>-9214755</v>
      </c>
      <c r="AD8" s="12" t="n">
        <v>1777659</v>
      </c>
      <c r="AE8" s="12" t="n">
        <v>168181</v>
      </c>
      <c r="AF8" s="12" t="n">
        <v>53752</v>
      </c>
      <c r="AG8" s="12" t="n">
        <v>41329.71</v>
      </c>
      <c r="AH8" s="12" t="n">
        <v>1403.64</v>
      </c>
      <c r="AI8" s="12" t="n">
        <v>2900</v>
      </c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</row>
    <row r="9">
      <c r="A9" t="str">
        <f>N9</f>
      </c>
      <c r="B9" t="str">
        <f>O9</f>
      </c>
      <c r="N9"/>
      <c r="O9"/>
      <c r="P9" s="12" t="n">
        <v>10680657493</v>
      </c>
      <c r="Q9" s="12" t="n">
        <v>9512770712</v>
      </c>
      <c r="R9" s="12" t="n">
        <v>8600082026</v>
      </c>
      <c r="S9" s="12" t="n">
        <v>9502770472</v>
      </c>
      <c r="T9" s="12" t="n">
        <v>7389026646</v>
      </c>
      <c r="U9" s="12" t="n">
        <v>9654356740</v>
      </c>
      <c r="V9" s="12" t="n">
        <v>7969628348</v>
      </c>
      <c r="W9" s="12" t="n">
        <v>8340521642</v>
      </c>
      <c r="X9" s="12" t="n">
        <v>9369233233</v>
      </c>
      <c r="Y9" s="12" t="n">
        <v>8320132027</v>
      </c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 t="n">
        <v>0</v>
      </c>
      <c r="AV9" s="12" t="n">
        <v>0</v>
      </c>
      <c r="AW9" s="12" t="n">
        <v>0</v>
      </c>
      <c r="AX9" s="12" t="n">
        <v>0</v>
      </c>
      <c r="AY9" s="12" t="n">
        <v>0</v>
      </c>
      <c r="AZ9" s="12"/>
    </row>
    <row r="10">
      <c r="A10" t="str">
        <f>N10</f>
      </c>
      <c r="B10" t="str">
        <f>O10</f>
      </c>
      <c r="N10" t="s">
        <v>256</v>
      </c>
      <c r="O10" t="s">
        <v>257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264</v>
      </c>
      <c r="AY13" t="s">
        <v>265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12" t="n">
        <v>3751863.43412346</v>
      </c>
      <c r="Q14" s="12" t="n">
        <v>5329704.40037609</v>
      </c>
      <c r="R14" s="12" t="n">
        <v>8826989.6279112</v>
      </c>
      <c r="S14" s="12" t="n">
        <v>29364944.4825621</v>
      </c>
      <c r="T14" s="12" t="n">
        <v>15511626.5909658</v>
      </c>
      <c r="U14" s="12" t="n">
        <v>26128671.2691617</v>
      </c>
      <c r="V14" s="12" t="n">
        <v>27735342.4286405</v>
      </c>
      <c r="W14" s="12" t="n">
        <v>3850962485.18336</v>
      </c>
      <c r="X14" s="12" t="n">
        <v>3408134015.79185</v>
      </c>
      <c r="Y14" s="12" t="n">
        <v>3501599043.2046</v>
      </c>
      <c r="Z14" s="12" t="n">
        <v>13895973166.5763</v>
      </c>
      <c r="AA14" s="12" t="n">
        <v>18421238113.4809</v>
      </c>
      <c r="AB14" s="12" t="n">
        <v>17969758552.0684</v>
      </c>
      <c r="AC14" s="12" t="n">
        <v>16712305960.0911</v>
      </c>
      <c r="AD14" s="12" t="n">
        <v>19840247956.1153</v>
      </c>
      <c r="AE14" s="12" t="n">
        <v>17417850899.6554</v>
      </c>
      <c r="AF14" s="12" t="n">
        <v>20516056976.6489</v>
      </c>
      <c r="AG14" s="12" t="n">
        <v>20529161927.9193</v>
      </c>
      <c r="AH14" s="12" t="n">
        <v>22960211411.3976</v>
      </c>
      <c r="AI14" s="12" t="n">
        <v>25621417525.4146</v>
      </c>
      <c r="AJ14" s="12" t="n">
        <v>19011964871.7927</v>
      </c>
      <c r="AK14" s="12" t="n">
        <v>32796257459.1343</v>
      </c>
      <c r="AL14" s="12" t="n">
        <v>26009936278.2859</v>
      </c>
      <c r="AM14" s="12" t="n">
        <v>24963296464.6699</v>
      </c>
      <c r="AN14" s="12" t="n">
        <v>25099105096.642</v>
      </c>
      <c r="AO14" s="12" t="n">
        <v>21949878269.1339</v>
      </c>
      <c r="AP14" s="12" t="n">
        <v>25010819322.4858</v>
      </c>
      <c r="AQ14" s="12" t="n">
        <v>26646516819.6703</v>
      </c>
      <c r="AR14" s="12" t="n">
        <v>27897769667.5692</v>
      </c>
      <c r="AS14" s="12" t="n">
        <v>29562687786.4713</v>
      </c>
      <c r="AT14" s="12" t="n">
        <v>37054955394.4276</v>
      </c>
      <c r="AU14" s="12" t="n">
        <v>26983914118.136</v>
      </c>
      <c r="AV14" s="12" t="n">
        <v>26798717158.8197</v>
      </c>
      <c r="AW14" s="12" t="n">
        <v>30353777996.72</v>
      </c>
      <c r="AX14" s="12" t="n">
        <v>28055075529.5196</v>
      </c>
      <c r="AY14" s="12" t="n">
        <v>16513882284.1058</v>
      </c>
      <c r="AZ14" s="12"/>
    </row>
    <row r="15">
      <c r="A15" t="str">
        <f>N15</f>
      </c>
      <c r="B15" t="str">
        <f>O15</f>
      </c>
      <c r="N15" t="s">
        <v>62</v>
      </c>
      <c r="O15" t="s">
        <v>64</v>
      </c>
      <c r="P15" s="12" t="n">
        <v>17156398.6692691</v>
      </c>
      <c r="Q15" s="12" t="n">
        <v>6899261.41000351</v>
      </c>
      <c r="R15" s="12" t="n">
        <v>10845255.188387</v>
      </c>
      <c r="S15" s="12" t="n">
        <v>50944666.7616058</v>
      </c>
      <c r="T15" s="12" t="n">
        <v>20008452.1692763</v>
      </c>
      <c r="U15" s="12" t="n">
        <v>286386.581210443</v>
      </c>
      <c r="V15" s="12" t="n">
        <v>1230010.11992169</v>
      </c>
      <c r="W15" s="12" t="n">
        <v>56885000.0062011</v>
      </c>
      <c r="X15" s="12" t="n">
        <v>116909015.664022</v>
      </c>
      <c r="Y15" s="12" t="n">
        <v>119418824.198284</v>
      </c>
      <c r="Z15" s="12" t="n">
        <v>215704836.575967</v>
      </c>
      <c r="AA15" s="12" t="n">
        <v>239754537.041688</v>
      </c>
      <c r="AB15" s="12" t="n">
        <v>322876436.247115</v>
      </c>
      <c r="AC15" s="12" t="n">
        <v>401087355.307154</v>
      </c>
      <c r="AD15" s="12" t="n">
        <v>396685685.323314</v>
      </c>
      <c r="AE15" s="12" t="n">
        <v>495316401.670075</v>
      </c>
      <c r="AF15" s="12" t="n">
        <v>514701074.428396</v>
      </c>
      <c r="AG15" s="12" t="n">
        <v>492155972.180318</v>
      </c>
      <c r="AH15" s="12" t="n">
        <v>596198978.862882</v>
      </c>
      <c r="AI15" s="12" t="n">
        <v>619173959.724465</v>
      </c>
      <c r="AJ15" s="12" t="n">
        <v>706200857.160621</v>
      </c>
      <c r="AK15" s="12" t="n">
        <v>801025035.999508</v>
      </c>
      <c r="AL15" s="12" t="n">
        <v>744135850.475406</v>
      </c>
      <c r="AM15" s="12" t="n">
        <v>781746176.239249</v>
      </c>
      <c r="AN15" s="12" t="n">
        <v>928305455.316897</v>
      </c>
      <c r="AO15" s="12" t="n">
        <v>949733789.957589</v>
      </c>
      <c r="AP15" s="12" t="n">
        <v>979739397.960566</v>
      </c>
      <c r="AQ15" s="12" t="n">
        <v>983340313.4012</v>
      </c>
      <c r="AR15" s="12" t="n">
        <v>1257966463.22956</v>
      </c>
      <c r="AS15" s="12" t="n">
        <v>1147967470.63255</v>
      </c>
      <c r="AT15" s="12" t="n">
        <v>805972859.312449</v>
      </c>
      <c r="AU15" s="12" t="n">
        <v>914784368.044304</v>
      </c>
      <c r="AV15" s="12" t="n">
        <v>1043688837.80584</v>
      </c>
      <c r="AW15" s="12" t="n">
        <v>282258818.31</v>
      </c>
      <c r="AX15" s="12" t="n">
        <v>253373433.797486</v>
      </c>
      <c r="AY15" s="12" t="n">
        <v>101371699.379644</v>
      </c>
      <c r="AZ15" s="12"/>
    </row>
    <row r="16">
      <c r="A16" t="str">
        <f>N16</f>
      </c>
      <c r="B16" t="str">
        <f>O16</f>
      </c>
      <c r="N16" t="s">
        <v>65</v>
      </c>
      <c r="O16" t="s">
        <v>66</v>
      </c>
      <c r="P16" s="12" t="n">
        <v>1865590.30737561</v>
      </c>
      <c r="Q16" s="12" t="n">
        <v>249611.483719375</v>
      </c>
      <c r="R16" s="12" t="n">
        <v>1570195.02098796</v>
      </c>
      <c r="S16" s="12"/>
      <c r="T16" s="12"/>
      <c r="U16" s="12"/>
      <c r="V16" s="12" t="n">
        <v>161136.696932972</v>
      </c>
      <c r="W16" s="12" t="n">
        <v>35372460.8760504</v>
      </c>
      <c r="X16" s="12" t="n">
        <v>20973318.248289</v>
      </c>
      <c r="Y16" s="12" t="n">
        <v>11002558.8329519</v>
      </c>
      <c r="Z16" s="12" t="n">
        <v>10656843.8081467</v>
      </c>
      <c r="AA16" s="12" t="n">
        <v>6021872.14706308</v>
      </c>
      <c r="AB16" s="12" t="n">
        <v>4907108.96379951</v>
      </c>
      <c r="AC16" s="12" t="n">
        <v>1856144.19144952</v>
      </c>
      <c r="AD16" s="12" t="n">
        <v>5729.72156738424</v>
      </c>
      <c r="AE16" s="12"/>
      <c r="AF16" s="12"/>
      <c r="AG16" s="12"/>
      <c r="AH16" s="12"/>
      <c r="AI16" s="12"/>
      <c r="AJ16" s="12" t="n">
        <v>76783531.5523679</v>
      </c>
      <c r="AK16" s="12" t="n">
        <v>333684255.121027</v>
      </c>
      <c r="AL16" s="12" t="n">
        <v>499740591.454288</v>
      </c>
      <c r="AM16" s="12" t="n">
        <v>624378859.65159</v>
      </c>
      <c r="AN16" s="12" t="n">
        <v>813864781.651175</v>
      </c>
      <c r="AO16" s="12" t="n">
        <v>902935881.131052</v>
      </c>
      <c r="AP16" s="12" t="n">
        <v>847642062.328237</v>
      </c>
      <c r="AQ16" s="12" t="n">
        <v>819505645.726149</v>
      </c>
      <c r="AR16" s="12" t="n">
        <v>1090774022.16938</v>
      </c>
      <c r="AS16" s="12" t="n">
        <v>910690881.309674</v>
      </c>
      <c r="AT16" s="12" t="n">
        <v>908269924.96666</v>
      </c>
      <c r="AU16" s="12" t="n">
        <v>823485099.949171</v>
      </c>
      <c r="AV16" s="12" t="n">
        <v>970912798.976755</v>
      </c>
      <c r="AW16" s="12" t="n">
        <v>1212720063.0024</v>
      </c>
      <c r="AX16" s="12" t="n">
        <v>1060134321.41198</v>
      </c>
      <c r="AY16" s="12" t="n">
        <v>361020162.197444</v>
      </c>
      <c r="AZ16" s="12"/>
    </row>
    <row r="17">
      <c r="A17" t="str">
        <f>N17</f>
      </c>
      <c r="B17" t="str">
        <f>O17</f>
      </c>
      <c r="N17" t="s">
        <v>65</v>
      </c>
      <c r="O17" t="s">
        <v>67</v>
      </c>
      <c r="P17" s="12"/>
      <c r="Q17" s="12"/>
      <c r="R17" s="12"/>
      <c r="S17" s="12"/>
      <c r="T17" s="12" t="n">
        <v>756301.236451557</v>
      </c>
      <c r="U17" s="12" t="n">
        <v>186060.071869205</v>
      </c>
      <c r="V17" s="12" t="n">
        <v>458344.382387122</v>
      </c>
      <c r="W17" s="12" t="n">
        <v>1753385.40404312</v>
      </c>
      <c r="X17" s="12" t="n">
        <v>2327907.56506552</v>
      </c>
      <c r="Y17" s="12" t="n">
        <v>5247554.69918427</v>
      </c>
      <c r="Z17" s="12" t="n">
        <v>55396389.8109373</v>
      </c>
      <c r="AA17" s="12" t="n">
        <v>91976532.7524134</v>
      </c>
      <c r="AB17" s="12" t="n">
        <v>192179173.861266</v>
      </c>
      <c r="AC17" s="12" t="n">
        <v>189188563.418833</v>
      </c>
      <c r="AD17" s="12" t="n">
        <v>208642211.16462</v>
      </c>
      <c r="AE17" s="12" t="n">
        <v>164886628.758156</v>
      </c>
      <c r="AF17" s="12" t="n">
        <v>194018539.133858</v>
      </c>
      <c r="AG17" s="12" t="n">
        <v>300452810.939105</v>
      </c>
      <c r="AH17" s="12" t="n">
        <v>236545286.252874</v>
      </c>
      <c r="AI17" s="12" t="n">
        <v>268243094.058216</v>
      </c>
      <c r="AJ17" s="12" t="n">
        <v>180177937.722388</v>
      </c>
      <c r="AK17" s="12" t="n">
        <v>126182801.785069</v>
      </c>
      <c r="AL17" s="12" t="n">
        <v>199857202.609489</v>
      </c>
      <c r="AM17" s="12" t="n">
        <v>76792446.2218993</v>
      </c>
      <c r="AN17" s="12" t="n">
        <v>73634169.1595771</v>
      </c>
      <c r="AO17" s="12" t="n">
        <v>42822038.6651945</v>
      </c>
      <c r="AP17" s="12" t="n">
        <v>22866873.1473559</v>
      </c>
      <c r="AQ17" s="12" t="n">
        <v>15896474.3836587</v>
      </c>
      <c r="AR17" s="12" t="n">
        <v>19615280.5023863</v>
      </c>
      <c r="AS17" s="12" t="n">
        <v>48752338.9472046</v>
      </c>
      <c r="AT17" s="12" t="n">
        <v>30718075.7282651</v>
      </c>
      <c r="AU17" s="12" t="n">
        <v>27344155.7601206</v>
      </c>
      <c r="AV17" s="12" t="n">
        <v>14303031.9241086</v>
      </c>
      <c r="AW17" s="12" t="n">
        <v>18435455.3499</v>
      </c>
      <c r="AX17" s="12" t="n">
        <v>16998253.7298692</v>
      </c>
      <c r="AY17" s="12" t="n">
        <v>11003425.0832917</v>
      </c>
      <c r="AZ17" s="12"/>
    </row>
    <row r="18">
      <c r="A18" t="str">
        <f>N18</f>
      </c>
      <c r="B18" t="str">
        <f>O18</f>
      </c>
      <c r="N18" t="s">
        <v>65</v>
      </c>
      <c r="O18" t="s">
        <v>68</v>
      </c>
      <c r="P18" s="12"/>
      <c r="Q18" s="12"/>
      <c r="R18" s="12"/>
      <c r="S18" s="12"/>
      <c r="T18" s="12"/>
      <c r="U18" s="12"/>
      <c r="V18" s="12"/>
      <c r="W18" s="12" t="n">
        <v>15528633.9514669</v>
      </c>
      <c r="X18" s="12" t="n">
        <v>9176811.19012807</v>
      </c>
      <c r="Y18" s="12" t="n">
        <v>33584858.3994522</v>
      </c>
      <c r="Z18" s="12" t="n">
        <v>208605150.56082</v>
      </c>
      <c r="AA18" s="12" t="n">
        <v>168861489.204758</v>
      </c>
      <c r="AB18" s="12" t="n">
        <v>212208037.776557</v>
      </c>
      <c r="AC18" s="12" t="n">
        <v>481316522.349532</v>
      </c>
      <c r="AD18" s="12" t="n">
        <v>528133403.407838</v>
      </c>
      <c r="AE18" s="12" t="n">
        <v>745165361.443818</v>
      </c>
      <c r="AF18" s="12" t="n">
        <v>1133527140.34273</v>
      </c>
      <c r="AG18" s="12" t="n">
        <v>862837404.483269</v>
      </c>
      <c r="AH18" s="12" t="n">
        <v>881599331.728541</v>
      </c>
      <c r="AI18" s="12" t="n">
        <v>822924821.600654</v>
      </c>
      <c r="AJ18" s="12" t="n">
        <v>1190084662.58319</v>
      </c>
      <c r="AK18" s="12" t="n">
        <v>1206443463.13842</v>
      </c>
      <c r="AL18" s="12" t="n">
        <v>1040093010.73968</v>
      </c>
      <c r="AM18" s="12" t="n">
        <v>932740729.760848</v>
      </c>
      <c r="AN18" s="12" t="n">
        <v>1049358544.24243</v>
      </c>
      <c r="AO18" s="12" t="n">
        <v>672555369.765082</v>
      </c>
      <c r="AP18" s="12" t="n">
        <v>879295610.178216</v>
      </c>
      <c r="AQ18" s="12" t="n">
        <v>1380577772.20009</v>
      </c>
      <c r="AR18" s="12" t="n">
        <v>2032424791.55144</v>
      </c>
      <c r="AS18" s="12" t="n">
        <v>1622818722.66008</v>
      </c>
      <c r="AT18" s="12" t="n">
        <v>1838987760.53739</v>
      </c>
      <c r="AU18" s="12" t="n">
        <v>4433636385.43835</v>
      </c>
      <c r="AV18" s="12" t="n">
        <v>5531030829.12015</v>
      </c>
      <c r="AW18" s="12" t="n">
        <v>7107391310.3156</v>
      </c>
      <c r="AX18" s="12" t="n">
        <v>7513385262.41302</v>
      </c>
      <c r="AY18" s="12" t="n">
        <v>2774051136.66127</v>
      </c>
      <c r="AZ18" s="12"/>
    </row>
    <row r="19">
      <c r="A19" t="str">
        <f>N19</f>
      </c>
      <c r="B19" t="str">
        <f>O19</f>
      </c>
      <c r="N19" t="s">
        <v>65</v>
      </c>
      <c r="O19" t="s">
        <v>69</v>
      </c>
      <c r="P19" s="12" t="n">
        <v>88936.1233006111</v>
      </c>
      <c r="Q19" s="12" t="n">
        <v>207676.75445452</v>
      </c>
      <c r="R19" s="12" t="n">
        <v>132473.029065981</v>
      </c>
      <c r="S19" s="12" t="n">
        <v>3296822.70329925</v>
      </c>
      <c r="T19" s="12" t="n">
        <v>389327.483789102</v>
      </c>
      <c r="U19" s="12" t="n">
        <v>1026978.63198395</v>
      </c>
      <c r="V19" s="12"/>
      <c r="W19" s="12" t="n">
        <v>170959504.768396</v>
      </c>
      <c r="X19" s="12" t="n">
        <v>297093222.629986</v>
      </c>
      <c r="Y19" s="12" t="n">
        <v>362796403.996625</v>
      </c>
      <c r="Z19" s="12" t="n">
        <v>1331719547.53579</v>
      </c>
      <c r="AA19" s="12" t="n">
        <v>1429778696.62659</v>
      </c>
      <c r="AB19" s="12" t="n">
        <v>1811624295.65869</v>
      </c>
      <c r="AC19" s="12" t="n">
        <v>2321712575.23741</v>
      </c>
      <c r="AD19" s="12" t="n">
        <v>1996314785.04364</v>
      </c>
      <c r="AE19" s="12" t="n">
        <v>2265691328.22245</v>
      </c>
      <c r="AF19" s="12" t="n">
        <v>2109741311.45063</v>
      </c>
      <c r="AG19" s="12" t="n">
        <v>2242749791.40754</v>
      </c>
      <c r="AH19" s="12" t="n">
        <v>2169040759.88133</v>
      </c>
      <c r="AI19" s="12" t="n">
        <v>2190150249.11472</v>
      </c>
      <c r="AJ19" s="12" t="n">
        <v>2737575952.28065</v>
      </c>
      <c r="AK19" s="12" t="n">
        <v>2617930234.56383</v>
      </c>
      <c r="AL19" s="12" t="n">
        <v>2728572260.80388</v>
      </c>
      <c r="AM19" s="12" t="n">
        <v>2418985417.48846</v>
      </c>
      <c r="AN19" s="12" t="n">
        <v>2157713241.4114</v>
      </c>
      <c r="AO19" s="12" t="n">
        <v>2363632521.84323</v>
      </c>
      <c r="AP19" s="12" t="n">
        <v>2879939335.03829</v>
      </c>
      <c r="AQ19" s="12" t="n">
        <v>3430492602.22084</v>
      </c>
      <c r="AR19" s="12" t="n">
        <v>5199741217.31536</v>
      </c>
      <c r="AS19" s="12" t="n">
        <v>5867839547.8232</v>
      </c>
      <c r="AT19" s="12" t="n">
        <v>6040001816.6803</v>
      </c>
      <c r="AU19" s="12" t="n">
        <v>2874680123.98928</v>
      </c>
      <c r="AV19" s="12" t="n">
        <v>1968657239.95779</v>
      </c>
      <c r="AW19" s="12" t="n">
        <v>1507213903.7002</v>
      </c>
      <c r="AX19" s="12" t="n">
        <v>1720194566.81351</v>
      </c>
      <c r="AY19" s="12" t="n">
        <v>785730678.205614</v>
      </c>
      <c r="AZ19" s="12"/>
    </row>
    <row r="20">
      <c r="A20" t="str">
        <f>N20</f>
      </c>
      <c r="B20" t="str">
        <f>O20</f>
      </c>
      <c r="N20" t="s">
        <v>65</v>
      </c>
      <c r="O20" t="s">
        <v>70</v>
      </c>
      <c r="P20" s="12"/>
      <c r="Q20" s="12"/>
      <c r="R20" s="12"/>
      <c r="S20" s="12"/>
      <c r="T20" s="12"/>
      <c r="U20" s="12"/>
      <c r="V20" s="12" t="n">
        <v>0</v>
      </c>
      <c r="W20" s="12" t="n">
        <v>7072045.1458101</v>
      </c>
      <c r="X20" s="12" t="n">
        <v>9691195.68456384</v>
      </c>
      <c r="Y20" s="12" t="n">
        <v>10392574.3739577</v>
      </c>
      <c r="Z20" s="12" t="n">
        <v>10702667.5512754</v>
      </c>
      <c r="AA20" s="12" t="n">
        <v>2678442.63826147</v>
      </c>
      <c r="AB20" s="12" t="n">
        <v>2013683.1388319</v>
      </c>
      <c r="AC20" s="12" t="n">
        <v>-14610275.90777</v>
      </c>
      <c r="AD20" s="12" t="n">
        <v>2751348.22035514</v>
      </c>
      <c r="AE20" s="12" t="n">
        <v>252612.95288661</v>
      </c>
      <c r="AF20" s="12" t="n">
        <v>78196.9567080513</v>
      </c>
      <c r="AG20" s="12" t="n">
        <v>58514.4711309179</v>
      </c>
      <c r="AH20" s="12" t="n">
        <v>1946.85075253554</v>
      </c>
      <c r="AI20" s="12" t="n">
        <v>3981.58812053918</v>
      </c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</row>
    <row r="21">
      <c r="A21" t="str">
        <f>N21</f>
      </c>
      <c r="B21" t="str">
        <f>O21</f>
      </c>
      <c r="N21"/>
      <c r="O21"/>
      <c r="P21" s="12" t="n">
        <v>22090610970.4429</v>
      </c>
      <c r="Q21" s="12" t="n">
        <v>18995974493.6362</v>
      </c>
      <c r="R21" s="12" t="n">
        <v>16754101708.8253</v>
      </c>
      <c r="S21" s="12" t="n">
        <v>18088307988.644</v>
      </c>
      <c r="T21" s="12" t="n">
        <v>13764359577.6929</v>
      </c>
      <c r="U21" s="12" t="n">
        <v>17610689302.8955</v>
      </c>
      <c r="V21" s="12" t="n">
        <v>14268884308.6678</v>
      </c>
      <c r="W21" s="12" t="n">
        <v>14672538942.6214</v>
      </c>
      <c r="X21" s="12" t="n">
        <v>16278142636.9465</v>
      </c>
      <c r="Y21" s="12" t="n">
        <v>14278623872.1636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 t="n">
        <v>0</v>
      </c>
      <c r="AV21" s="12" t="n">
        <v>0</v>
      </c>
      <c r="AW21" s="12" t="n">
        <v>0</v>
      </c>
      <c r="AX21" s="12" t="n">
        <v>0</v>
      </c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264</v>
      </c>
      <c r="AX1" t="s">
        <v>265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1814000</v>
      </c>
      <c r="P2" s="5" t="n">
        <v>2669000</v>
      </c>
      <c r="Q2" s="5" t="n">
        <v>4531000</v>
      </c>
      <c r="R2" s="5" t="n">
        <v>15427000</v>
      </c>
      <c r="S2" s="5" t="n">
        <v>8327000</v>
      </c>
      <c r="T2" s="5" t="n">
        <v>14324000</v>
      </c>
      <c r="U2" s="5" t="n">
        <v>15491076</v>
      </c>
      <c r="V2" s="5" t="n">
        <v>2189057809</v>
      </c>
      <c r="W2" s="5" t="n">
        <v>1961624443</v>
      </c>
      <c r="X2" s="5" t="n">
        <v>2040376342</v>
      </c>
      <c r="Y2" s="5" t="n">
        <v>8265639486</v>
      </c>
      <c r="Z2" s="5" t="n">
        <v>11222966161</v>
      </c>
      <c r="AA2" s="5" t="n">
        <v>11120140580</v>
      </c>
      <c r="AB2" s="5" t="n">
        <v>10540513121</v>
      </c>
      <c r="AC2" s="5" t="n">
        <v>12818877334.57</v>
      </c>
      <c r="AD2" s="5" t="n">
        <v>11596204979.52</v>
      </c>
      <c r="AE2" s="5" t="n">
        <v>14102583285</v>
      </c>
      <c r="AF2" s="5" t="n">
        <v>14500076521.68</v>
      </c>
      <c r="AG2" s="5" t="n">
        <v>16553847850.7</v>
      </c>
      <c r="AH2" s="5" t="n">
        <v>18661425686</v>
      </c>
      <c r="AI2" s="5" t="n">
        <v>13967338496.9877</v>
      </c>
      <c r="AJ2" s="5" t="n">
        <v>24577714675.5281</v>
      </c>
      <c r="AK2" s="5" t="n">
        <v>19845707086.3542</v>
      </c>
      <c r="AL2" s="5" t="n">
        <v>19392720607.4728</v>
      </c>
      <c r="AM2" s="5" t="n">
        <v>19853932891.6631</v>
      </c>
      <c r="AN2" s="5" t="n">
        <v>17542640484.7404</v>
      </c>
      <c r="AO2" s="5" t="n">
        <v>20148799632.3527</v>
      </c>
      <c r="AP2" s="5" t="n">
        <v>21828882456.4197</v>
      </c>
      <c r="AQ2" s="5" t="n">
        <v>23361268259.13</v>
      </c>
      <c r="AR2" s="5" t="n">
        <v>25213168052.63</v>
      </c>
      <c r="AS2" s="5" t="n">
        <v>32015942869.09</v>
      </c>
      <c r="AT2" s="5" t="n">
        <v>24116859427.32</v>
      </c>
      <c r="AU2" s="5" t="n">
        <v>25626396771.61</v>
      </c>
      <c r="AV2" s="5" t="n">
        <v>30353777996.72</v>
      </c>
      <c r="AW2" s="5" t="n">
        <v>28804314039.95</v>
      </c>
      <c r="AX2" s="5" t="n">
        <v>17326927524.12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8295000</v>
      </c>
      <c r="P3" s="5" t="n">
        <v>3455000</v>
      </c>
      <c r="Q3" s="5" t="n">
        <v>5567000</v>
      </c>
      <c r="R3" s="5" t="n">
        <v>26764000</v>
      </c>
      <c r="S3" s="5" t="n">
        <v>10741000</v>
      </c>
      <c r="T3" s="5" t="n">
        <v>157000</v>
      </c>
      <c r="U3" s="5" t="n">
        <v>687000</v>
      </c>
      <c r="V3" s="5" t="n">
        <v>32335956</v>
      </c>
      <c r="W3" s="5" t="n">
        <v>67289485</v>
      </c>
      <c r="X3" s="5" t="n">
        <v>69585164</v>
      </c>
      <c r="Y3" s="5" t="n">
        <v>128306121</v>
      </c>
      <c r="Z3" s="5" t="n">
        <v>146068198</v>
      </c>
      <c r="AA3" s="5" t="n">
        <v>199804095.9</v>
      </c>
      <c r="AB3" s="5" t="n">
        <v>252967277.01</v>
      </c>
      <c r="AC3" s="5" t="n">
        <v>256300483.33</v>
      </c>
      <c r="AD3" s="5" t="n">
        <v>329764593.61</v>
      </c>
      <c r="AE3" s="5" t="n">
        <v>353801648.01</v>
      </c>
      <c r="AF3" s="5" t="n">
        <v>347617661.27</v>
      </c>
      <c r="AG3" s="5" t="n">
        <v>429847400.27</v>
      </c>
      <c r="AH3" s="5" t="n">
        <v>450976954.13</v>
      </c>
      <c r="AI3" s="5" t="n">
        <v>518817833.1562</v>
      </c>
      <c r="AJ3" s="5" t="n">
        <v>600293030.6082</v>
      </c>
      <c r="AK3" s="5" t="n">
        <v>567779250.3213</v>
      </c>
      <c r="AL3" s="5" t="n">
        <v>607299008.0947</v>
      </c>
      <c r="AM3" s="5" t="n">
        <v>734309615.4967</v>
      </c>
      <c r="AN3" s="5" t="n">
        <v>759040129.0227</v>
      </c>
      <c r="AO3" s="5" t="n">
        <v>789281333.2861</v>
      </c>
      <c r="AP3" s="5" t="n">
        <v>805554446.8029</v>
      </c>
      <c r="AQ3" s="5" t="n">
        <v>1053406503.77</v>
      </c>
      <c r="AR3" s="5" t="n">
        <v>979068512.48</v>
      </c>
      <c r="AS3" s="5" t="n">
        <v>696370586.42</v>
      </c>
      <c r="AT3" s="5" t="n">
        <v>817588060.57</v>
      </c>
      <c r="AU3" s="5" t="n">
        <v>998032260.47</v>
      </c>
      <c r="AV3" s="5" t="n">
        <v>282258818.31</v>
      </c>
      <c r="AW3" s="5" t="n">
        <v>260140021.68</v>
      </c>
      <c r="AX3" s="5" t="n">
        <v>106362638.29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902000</v>
      </c>
      <c r="P4" s="5" t="n">
        <v>125000</v>
      </c>
      <c r="Q4" s="5" t="n">
        <v>806000</v>
      </c>
      <c r="R4" s="5"/>
      <c r="S4" s="5"/>
      <c r="T4" s="5"/>
      <c r="U4" s="5" t="n">
        <v>90000</v>
      </c>
      <c r="V4" s="5" t="n">
        <v>20107275</v>
      </c>
      <c r="W4" s="5" t="n">
        <v>12071642</v>
      </c>
      <c r="X4" s="5" t="n">
        <v>6411174</v>
      </c>
      <c r="Y4" s="5" t="n">
        <v>6338932</v>
      </c>
      <c r="Z4" s="5" t="n">
        <v>3668769</v>
      </c>
      <c r="AA4" s="5" t="n">
        <v>3036643</v>
      </c>
      <c r="AB4" s="5" t="n">
        <v>1170677</v>
      </c>
      <c r="AC4" s="5" t="n">
        <v>3702</v>
      </c>
      <c r="AD4" s="5"/>
      <c r="AE4" s="5"/>
      <c r="AF4" s="5"/>
      <c r="AG4" s="5"/>
      <c r="AH4" s="5"/>
      <c r="AI4" s="5" t="n">
        <v>56409823.1518</v>
      </c>
      <c r="AJ4" s="5" t="n">
        <v>250065008.9206</v>
      </c>
      <c r="AK4" s="5" t="n">
        <v>381304486.5259</v>
      </c>
      <c r="AL4" s="5" t="n">
        <v>485048310.6497</v>
      </c>
      <c r="AM4" s="5" t="n">
        <v>643784577.0028</v>
      </c>
      <c r="AN4" s="5" t="n">
        <v>721638605.4281</v>
      </c>
      <c r="AO4" s="5" t="n">
        <v>682863278.2314</v>
      </c>
      <c r="AP4" s="5" t="n">
        <v>671340743.4822</v>
      </c>
      <c r="AQ4" s="5" t="n">
        <v>913401495.7336</v>
      </c>
      <c r="AR4" s="5" t="n">
        <v>776702118.5728</v>
      </c>
      <c r="AS4" s="5" t="n">
        <v>784756524.9483</v>
      </c>
      <c r="AT4" s="5" t="n">
        <v>735989386.4552</v>
      </c>
      <c r="AU4" s="5" t="n">
        <v>928439837.9877</v>
      </c>
      <c r="AV4" s="5" t="n">
        <v>1212720063.0024</v>
      </c>
      <c r="AW4" s="5" t="n">
        <v>1088446255.878</v>
      </c>
      <c r="AX4" s="5" t="n">
        <v>378794645.47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 t="n">
        <v>406000</v>
      </c>
      <c r="T5" s="5" t="n">
        <v>102000</v>
      </c>
      <c r="U5" s="5" t="n">
        <v>256000</v>
      </c>
      <c r="V5" s="5" t="n">
        <v>996702</v>
      </c>
      <c r="W5" s="5" t="n">
        <v>1339877</v>
      </c>
      <c r="X5" s="5" t="n">
        <v>3057742</v>
      </c>
      <c r="Y5" s="5" t="n">
        <v>32951027</v>
      </c>
      <c r="Z5" s="5" t="n">
        <v>56035838</v>
      </c>
      <c r="AA5" s="5" t="n">
        <v>118925328</v>
      </c>
      <c r="AB5" s="5" t="n">
        <v>119321926</v>
      </c>
      <c r="AC5" s="5" t="n">
        <v>134804712</v>
      </c>
      <c r="AD5" s="5" t="n">
        <v>109775836.0935</v>
      </c>
      <c r="AE5" s="5" t="n">
        <v>133366884.7812</v>
      </c>
      <c r="AF5" s="5" t="n">
        <v>212214642.033</v>
      </c>
      <c r="AG5" s="5" t="n">
        <v>170544365.131</v>
      </c>
      <c r="AH5" s="5" t="n">
        <v>195375550.9657</v>
      </c>
      <c r="AI5" s="5" t="n">
        <v>132369603.1856</v>
      </c>
      <c r="AJ5" s="5" t="n">
        <v>94562158.5968</v>
      </c>
      <c r="AK5" s="5" t="n">
        <v>152492011.5009</v>
      </c>
      <c r="AL5" s="5" t="n">
        <v>59656161.8556</v>
      </c>
      <c r="AM5" s="5" t="n">
        <v>58246214.2534</v>
      </c>
      <c r="AN5" s="5" t="n">
        <v>34223954.225</v>
      </c>
      <c r="AO5" s="5" t="n">
        <v>18421629.4286</v>
      </c>
      <c r="AP5" s="5" t="n">
        <v>13022425.15</v>
      </c>
      <c r="AQ5" s="5" t="n">
        <v>16425608.0416</v>
      </c>
      <c r="AR5" s="5" t="n">
        <v>41579470.8422</v>
      </c>
      <c r="AS5" s="5" t="n">
        <v>26540799.9307</v>
      </c>
      <c r="AT5" s="5" t="n">
        <v>24438825.2104</v>
      </c>
      <c r="AU5" s="5" t="n">
        <v>13677340.1858</v>
      </c>
      <c r="AV5" s="5" t="n">
        <v>18435455.3499</v>
      </c>
      <c r="AW5" s="5" t="n">
        <v>17452208.89</v>
      </c>
      <c r="AX5" s="5" t="n">
        <v>11545168.22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8827164</v>
      </c>
      <c r="W6" s="5" t="n">
        <v>5281910</v>
      </c>
      <c r="X6" s="5" t="n">
        <v>19569845</v>
      </c>
      <c r="Y6" s="5" t="n">
        <v>124083067</v>
      </c>
      <c r="Z6" s="5" t="n">
        <v>102877275</v>
      </c>
      <c r="AA6" s="5" t="n">
        <v>131319695</v>
      </c>
      <c r="AB6" s="5" t="n">
        <v>303568109.1104</v>
      </c>
      <c r="AC6" s="5" t="n">
        <v>341229471</v>
      </c>
      <c r="AD6" s="5" t="n">
        <v>496105422.2316</v>
      </c>
      <c r="AE6" s="5" t="n">
        <v>779178032.1475</v>
      </c>
      <c r="AF6" s="5" t="n">
        <v>609435905.6012</v>
      </c>
      <c r="AG6" s="5" t="n">
        <v>635615279.8954</v>
      </c>
      <c r="AH6" s="5" t="n">
        <v>599379421.0735</v>
      </c>
      <c r="AI6" s="5" t="n">
        <v>874308123.0407</v>
      </c>
      <c r="AJ6" s="5" t="n">
        <v>904116064.0393</v>
      </c>
      <c r="AK6" s="5" t="n">
        <v>793595993.9639</v>
      </c>
      <c r="AL6" s="5" t="n">
        <v>724599028.7005</v>
      </c>
      <c r="AM6" s="5" t="n">
        <v>830065216.9256</v>
      </c>
      <c r="AN6" s="5" t="n">
        <v>537515375.4024</v>
      </c>
      <c r="AO6" s="5" t="n">
        <v>708363482.1655</v>
      </c>
      <c r="AP6" s="5" t="n">
        <v>1130972206.0579</v>
      </c>
      <c r="AQ6" s="5" t="n">
        <v>1701928911.7988</v>
      </c>
      <c r="AR6" s="5" t="n">
        <v>1384055518.5279</v>
      </c>
      <c r="AS6" s="5" t="n">
        <v>1588908324.1799</v>
      </c>
      <c r="AT6" s="5" t="n">
        <v>3962560249.4637</v>
      </c>
      <c r="AU6" s="5" t="n">
        <v>5289073717.3362</v>
      </c>
      <c r="AV6" s="5" t="n">
        <v>7107391310.3156</v>
      </c>
      <c r="AW6" s="5" t="n">
        <v>7714037639.0704</v>
      </c>
      <c r="AX6" s="5" t="n">
        <v>2910628897.93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 t="n">
        <v>43000</v>
      </c>
      <c r="P7" s="5" t="n">
        <v>104000</v>
      </c>
      <c r="Q7" s="5" t="n">
        <v>68000</v>
      </c>
      <c r="R7" s="5" t="n">
        <v>1732000</v>
      </c>
      <c r="S7" s="5" t="n">
        <v>209000</v>
      </c>
      <c r="T7" s="5" t="n">
        <v>563000</v>
      </c>
      <c r="U7" s="5"/>
      <c r="V7" s="5" t="n">
        <v>97180962</v>
      </c>
      <c r="W7" s="5" t="n">
        <v>170998360</v>
      </c>
      <c r="X7" s="5" t="n">
        <v>211400903</v>
      </c>
      <c r="Y7" s="5" t="n">
        <v>792136941</v>
      </c>
      <c r="Z7" s="5" t="n">
        <v>871079231</v>
      </c>
      <c r="AA7" s="5" t="n">
        <v>1121078883.0298</v>
      </c>
      <c r="AB7" s="5" t="n">
        <v>1464312699.9302</v>
      </c>
      <c r="AC7" s="5" t="n">
        <v>1289828353.3183</v>
      </c>
      <c r="AD7" s="5" t="n">
        <v>1508419219.6701</v>
      </c>
      <c r="AE7" s="5" t="n">
        <v>1450220312.2365</v>
      </c>
      <c r="AF7" s="5" t="n">
        <v>1584090169.3198</v>
      </c>
      <c r="AG7" s="5" t="n">
        <v>1563834499.5037</v>
      </c>
      <c r="AH7" s="5" t="n">
        <v>1595201595.4811</v>
      </c>
      <c r="AI7" s="5" t="n">
        <v>2011188756.3735</v>
      </c>
      <c r="AJ7" s="5" t="n">
        <v>1961892829.5621</v>
      </c>
      <c r="AK7" s="5" t="n">
        <v>2081913822.1831</v>
      </c>
      <c r="AL7" s="5" t="n">
        <v>1879187246.8164</v>
      </c>
      <c r="AM7" s="5" t="n">
        <v>1706797661.8882</v>
      </c>
      <c r="AN7" s="5" t="n">
        <v>1889047176.4959</v>
      </c>
      <c r="AO7" s="5" t="n">
        <v>2320088753.0641</v>
      </c>
      <c r="AP7" s="5" t="n">
        <v>2810266733.4823</v>
      </c>
      <c r="AQ7" s="5" t="n">
        <v>4354202895.1859</v>
      </c>
      <c r="AR7" s="5" t="n">
        <v>5004511960.9469</v>
      </c>
      <c r="AS7" s="5" t="n">
        <v>5218636779.7144</v>
      </c>
      <c r="AT7" s="5" t="n">
        <v>2569243888.9792</v>
      </c>
      <c r="AU7" s="5" t="n">
        <v>1882537557.2822</v>
      </c>
      <c r="AV7" s="5" t="n">
        <v>1507213903.7002</v>
      </c>
      <c r="AW7" s="5" t="n">
        <v>1766134062.2725</v>
      </c>
      <c r="AX7" s="5" t="n">
        <v>824415378.56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4020064</v>
      </c>
      <c r="W8" s="5" t="n">
        <v>5577975</v>
      </c>
      <c r="X8" s="5" t="n">
        <v>6055737</v>
      </c>
      <c r="Y8" s="5" t="n">
        <v>6366189</v>
      </c>
      <c r="Z8" s="5" t="n">
        <v>1631816</v>
      </c>
      <c r="AA8" s="5" t="n">
        <v>1246118</v>
      </c>
      <c r="AB8" s="5" t="n">
        <v>-9214755</v>
      </c>
      <c r="AC8" s="5" t="n">
        <v>1777659</v>
      </c>
      <c r="AD8" s="5" t="n">
        <v>168181</v>
      </c>
      <c r="AE8" s="5" t="n">
        <v>53752</v>
      </c>
      <c r="AF8" s="5" t="n">
        <v>41329.71</v>
      </c>
      <c r="AG8" s="5" t="n">
        <v>1403.64</v>
      </c>
      <c r="AH8" s="5" t="n">
        <v>2900</v>
      </c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10680657493</v>
      </c>
      <c r="P9" s="5" t="n">
        <v>9512770712</v>
      </c>
      <c r="Q9" s="5" t="n">
        <v>8600082026</v>
      </c>
      <c r="R9" s="5" t="n">
        <v>9502770472</v>
      </c>
      <c r="S9" s="5" t="n">
        <v>7389026646</v>
      </c>
      <c r="T9" s="5" t="n">
        <v>9654356740</v>
      </c>
      <c r="U9" s="5" t="n">
        <v>7969628348</v>
      </c>
      <c r="V9" s="5" t="n">
        <v>8340521642</v>
      </c>
      <c r="W9" s="5" t="n">
        <v>9369233233</v>
      </c>
      <c r="X9" s="5" t="n">
        <v>8320132027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256</v>
      </c>
      <c r="N10" t="s">
        <v>257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264</v>
      </c>
      <c r="AX13" t="s">
        <v>265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3751863.43412346</v>
      </c>
      <c r="P14" s="5" t="n">
        <v>5329704.40037609</v>
      </c>
      <c r="Q14" s="5" t="n">
        <v>8826989.6279112</v>
      </c>
      <c r="R14" s="5" t="n">
        <v>29364944.4825621</v>
      </c>
      <c r="S14" s="5" t="n">
        <v>15511626.5909658</v>
      </c>
      <c r="T14" s="5" t="n">
        <v>26128671.2691617</v>
      </c>
      <c r="U14" s="5" t="n">
        <v>27735342.4286405</v>
      </c>
      <c r="V14" s="5" t="n">
        <v>3850962485.18336</v>
      </c>
      <c r="W14" s="5" t="n">
        <v>3408134015.79185</v>
      </c>
      <c r="X14" s="5" t="n">
        <v>3501599043.2046</v>
      </c>
      <c r="Y14" s="5" t="n">
        <v>13895973166.5763</v>
      </c>
      <c r="Z14" s="5" t="n">
        <v>18421238113.4809</v>
      </c>
      <c r="AA14" s="5" t="n">
        <v>17969758552.0684</v>
      </c>
      <c r="AB14" s="5" t="n">
        <v>16712305960.0911</v>
      </c>
      <c r="AC14" s="5" t="n">
        <v>19840247956.1153</v>
      </c>
      <c r="AD14" s="5" t="n">
        <v>17417850899.6554</v>
      </c>
      <c r="AE14" s="5" t="n">
        <v>20516056976.6489</v>
      </c>
      <c r="AF14" s="5" t="n">
        <v>20529161927.9193</v>
      </c>
      <c r="AG14" s="5" t="n">
        <v>22960211411.3976</v>
      </c>
      <c r="AH14" s="5" t="n">
        <v>25621417525.4146</v>
      </c>
      <c r="AI14" s="5" t="n">
        <v>19011964871.7927</v>
      </c>
      <c r="AJ14" s="5" t="n">
        <v>32796257459.1343</v>
      </c>
      <c r="AK14" s="5" t="n">
        <v>26009936278.2859</v>
      </c>
      <c r="AL14" s="5" t="n">
        <v>24963296464.6699</v>
      </c>
      <c r="AM14" s="5" t="n">
        <v>25099105096.642</v>
      </c>
      <c r="AN14" s="5" t="n">
        <v>21949878269.1339</v>
      </c>
      <c r="AO14" s="5" t="n">
        <v>25010819322.4858</v>
      </c>
      <c r="AP14" s="5" t="n">
        <v>26646516819.6703</v>
      </c>
      <c r="AQ14" s="5" t="n">
        <v>27897769667.5692</v>
      </c>
      <c r="AR14" s="5" t="n">
        <v>29562687786.4713</v>
      </c>
      <c r="AS14" s="5" t="n">
        <v>37054955394.4276</v>
      </c>
      <c r="AT14" s="5" t="n">
        <v>26983914118.136</v>
      </c>
      <c r="AU14" s="5" t="n">
        <v>26798717158.8197</v>
      </c>
      <c r="AV14" s="5" t="n">
        <v>30353777996.72</v>
      </c>
      <c r="AW14" s="5" t="n">
        <v>28055075529.5196</v>
      </c>
      <c r="AX14" s="5" t="n">
        <v>16513882284.1058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17156398.6692691</v>
      </c>
      <c r="P15" s="5" t="n">
        <v>6899261.41000351</v>
      </c>
      <c r="Q15" s="5" t="n">
        <v>10845255.188387</v>
      </c>
      <c r="R15" s="5" t="n">
        <v>50944666.7616058</v>
      </c>
      <c r="S15" s="5" t="n">
        <v>20008452.1692763</v>
      </c>
      <c r="T15" s="5" t="n">
        <v>286386.581210443</v>
      </c>
      <c r="U15" s="5" t="n">
        <v>1230010.11992169</v>
      </c>
      <c r="V15" s="5" t="n">
        <v>56885000.0062011</v>
      </c>
      <c r="W15" s="5" t="n">
        <v>116909015.664022</v>
      </c>
      <c r="X15" s="5" t="n">
        <v>119418824.198284</v>
      </c>
      <c r="Y15" s="5" t="n">
        <v>215704836.575967</v>
      </c>
      <c r="Z15" s="5" t="n">
        <v>239754537.041688</v>
      </c>
      <c r="AA15" s="5" t="n">
        <v>322876436.247115</v>
      </c>
      <c r="AB15" s="5" t="n">
        <v>401087355.307154</v>
      </c>
      <c r="AC15" s="5" t="n">
        <v>396685685.323314</v>
      </c>
      <c r="AD15" s="5" t="n">
        <v>495316401.670075</v>
      </c>
      <c r="AE15" s="5" t="n">
        <v>514701074.428396</v>
      </c>
      <c r="AF15" s="5" t="n">
        <v>492155972.180318</v>
      </c>
      <c r="AG15" s="5" t="n">
        <v>596198978.862882</v>
      </c>
      <c r="AH15" s="5" t="n">
        <v>619173959.724465</v>
      </c>
      <c r="AI15" s="5" t="n">
        <v>706200857.160621</v>
      </c>
      <c r="AJ15" s="5" t="n">
        <v>801025035.999508</v>
      </c>
      <c r="AK15" s="5" t="n">
        <v>744135850.475406</v>
      </c>
      <c r="AL15" s="5" t="n">
        <v>781746176.239249</v>
      </c>
      <c r="AM15" s="5" t="n">
        <v>928305455.316897</v>
      </c>
      <c r="AN15" s="5" t="n">
        <v>949733789.957589</v>
      </c>
      <c r="AO15" s="5" t="n">
        <v>979739397.960566</v>
      </c>
      <c r="AP15" s="5" t="n">
        <v>983340313.4012</v>
      </c>
      <c r="AQ15" s="5" t="n">
        <v>1257966463.22956</v>
      </c>
      <c r="AR15" s="5" t="n">
        <v>1147967470.63255</v>
      </c>
      <c r="AS15" s="5" t="n">
        <v>805972859.312449</v>
      </c>
      <c r="AT15" s="5" t="n">
        <v>914784368.044304</v>
      </c>
      <c r="AU15" s="5" t="n">
        <v>1043688837.80584</v>
      </c>
      <c r="AV15" s="5" t="n">
        <v>282258818.31</v>
      </c>
      <c r="AW15" s="5" t="n">
        <v>253373433.797486</v>
      </c>
      <c r="AX15" s="5" t="n">
        <v>101371699.379644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1865590.30737561</v>
      </c>
      <c r="P16" s="5" t="n">
        <v>249611.483719375</v>
      </c>
      <c r="Q16" s="5" t="n">
        <v>1570195.02098796</v>
      </c>
      <c r="R16" s="5"/>
      <c r="S16" s="5"/>
      <c r="T16" s="5"/>
      <c r="U16" s="5" t="n">
        <v>161136.696932972</v>
      </c>
      <c r="V16" s="5" t="n">
        <v>35372460.8760504</v>
      </c>
      <c r="W16" s="5" t="n">
        <v>20973318.248289</v>
      </c>
      <c r="X16" s="5" t="n">
        <v>11002558.8329519</v>
      </c>
      <c r="Y16" s="5" t="n">
        <v>10656843.8081467</v>
      </c>
      <c r="Z16" s="5" t="n">
        <v>6021872.14706308</v>
      </c>
      <c r="AA16" s="5" t="n">
        <v>4907108.96379951</v>
      </c>
      <c r="AB16" s="5" t="n">
        <v>1856144.19144952</v>
      </c>
      <c r="AC16" s="5" t="n">
        <v>5729.72156738424</v>
      </c>
      <c r="AD16" s="5"/>
      <c r="AE16" s="5"/>
      <c r="AF16" s="5"/>
      <c r="AG16" s="5"/>
      <c r="AH16" s="5"/>
      <c r="AI16" s="5" t="n">
        <v>76783531.5523679</v>
      </c>
      <c r="AJ16" s="5" t="n">
        <v>333684255.121027</v>
      </c>
      <c r="AK16" s="5" t="n">
        <v>499740591.454288</v>
      </c>
      <c r="AL16" s="5" t="n">
        <v>624378859.65159</v>
      </c>
      <c r="AM16" s="5" t="n">
        <v>813864781.651175</v>
      </c>
      <c r="AN16" s="5" t="n">
        <v>902935881.131052</v>
      </c>
      <c r="AO16" s="5" t="n">
        <v>847642062.328237</v>
      </c>
      <c r="AP16" s="5" t="n">
        <v>819505645.726149</v>
      </c>
      <c r="AQ16" s="5" t="n">
        <v>1090774022.16938</v>
      </c>
      <c r="AR16" s="5" t="n">
        <v>910690881.309674</v>
      </c>
      <c r="AS16" s="5" t="n">
        <v>908269924.96666</v>
      </c>
      <c r="AT16" s="5" t="n">
        <v>823485099.949171</v>
      </c>
      <c r="AU16" s="5" t="n">
        <v>970912798.976755</v>
      </c>
      <c r="AV16" s="5" t="n">
        <v>1212720063.0024</v>
      </c>
      <c r="AW16" s="5" t="n">
        <v>1060134321.41198</v>
      </c>
      <c r="AX16" s="5" t="n">
        <v>361020162.197444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 t="n">
        <v>756301.236451557</v>
      </c>
      <c r="T17" s="5" t="n">
        <v>186060.071869205</v>
      </c>
      <c r="U17" s="5" t="n">
        <v>458344.382387122</v>
      </c>
      <c r="V17" s="5" t="n">
        <v>1753385.40404312</v>
      </c>
      <c r="W17" s="5" t="n">
        <v>2327907.56506552</v>
      </c>
      <c r="X17" s="5" t="n">
        <v>5247554.69918427</v>
      </c>
      <c r="Y17" s="5" t="n">
        <v>55396389.8109373</v>
      </c>
      <c r="Z17" s="5" t="n">
        <v>91976532.7524134</v>
      </c>
      <c r="AA17" s="5" t="n">
        <v>192179173.861266</v>
      </c>
      <c r="AB17" s="5" t="n">
        <v>189188563.418833</v>
      </c>
      <c r="AC17" s="5" t="n">
        <v>208642211.16462</v>
      </c>
      <c r="AD17" s="5" t="n">
        <v>164886628.758156</v>
      </c>
      <c r="AE17" s="5" t="n">
        <v>194018539.133858</v>
      </c>
      <c r="AF17" s="5" t="n">
        <v>300452810.939105</v>
      </c>
      <c r="AG17" s="5" t="n">
        <v>236545286.252874</v>
      </c>
      <c r="AH17" s="5" t="n">
        <v>268243094.058216</v>
      </c>
      <c r="AI17" s="5" t="n">
        <v>180177937.722388</v>
      </c>
      <c r="AJ17" s="5" t="n">
        <v>126182801.785069</v>
      </c>
      <c r="AK17" s="5" t="n">
        <v>199857202.609489</v>
      </c>
      <c r="AL17" s="5" t="n">
        <v>76792446.2218993</v>
      </c>
      <c r="AM17" s="5" t="n">
        <v>73634169.1595771</v>
      </c>
      <c r="AN17" s="5" t="n">
        <v>42822038.6651945</v>
      </c>
      <c r="AO17" s="5" t="n">
        <v>22866873.1473559</v>
      </c>
      <c r="AP17" s="5" t="n">
        <v>15896474.3836587</v>
      </c>
      <c r="AQ17" s="5" t="n">
        <v>19615280.5023863</v>
      </c>
      <c r="AR17" s="5" t="n">
        <v>48752338.9472046</v>
      </c>
      <c r="AS17" s="5" t="n">
        <v>30718075.7282651</v>
      </c>
      <c r="AT17" s="5" t="n">
        <v>27344155.7601206</v>
      </c>
      <c r="AU17" s="5" t="n">
        <v>14303031.9241086</v>
      </c>
      <c r="AV17" s="5" t="n">
        <v>18435455.3499</v>
      </c>
      <c r="AW17" s="5" t="n">
        <v>16998253.7298692</v>
      </c>
      <c r="AX17" s="5" t="n">
        <v>11003425.0832917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15528633.9514669</v>
      </c>
      <c r="W18" s="5" t="n">
        <v>9176811.19012807</v>
      </c>
      <c r="X18" s="5" t="n">
        <v>33584858.3994522</v>
      </c>
      <c r="Y18" s="5" t="n">
        <v>208605150.56082</v>
      </c>
      <c r="Z18" s="5" t="n">
        <v>168861489.204758</v>
      </c>
      <c r="AA18" s="5" t="n">
        <v>212208037.776557</v>
      </c>
      <c r="AB18" s="5" t="n">
        <v>481316522.349532</v>
      </c>
      <c r="AC18" s="5" t="n">
        <v>528133403.407838</v>
      </c>
      <c r="AD18" s="5" t="n">
        <v>745165361.443818</v>
      </c>
      <c r="AE18" s="5" t="n">
        <v>1133527140.34273</v>
      </c>
      <c r="AF18" s="5" t="n">
        <v>862837404.483269</v>
      </c>
      <c r="AG18" s="5" t="n">
        <v>881599331.728541</v>
      </c>
      <c r="AH18" s="5" t="n">
        <v>822924821.600654</v>
      </c>
      <c r="AI18" s="5" t="n">
        <v>1190084662.58319</v>
      </c>
      <c r="AJ18" s="5" t="n">
        <v>1206443463.13842</v>
      </c>
      <c r="AK18" s="5" t="n">
        <v>1040093010.73968</v>
      </c>
      <c r="AL18" s="5" t="n">
        <v>932740729.760848</v>
      </c>
      <c r="AM18" s="5" t="n">
        <v>1049358544.24243</v>
      </c>
      <c r="AN18" s="5" t="n">
        <v>672555369.765082</v>
      </c>
      <c r="AO18" s="5" t="n">
        <v>879295610.178216</v>
      </c>
      <c r="AP18" s="5" t="n">
        <v>1380577772.20009</v>
      </c>
      <c r="AQ18" s="5" t="n">
        <v>2032424791.55144</v>
      </c>
      <c r="AR18" s="5" t="n">
        <v>1622818722.66008</v>
      </c>
      <c r="AS18" s="5" t="n">
        <v>1838987760.53739</v>
      </c>
      <c r="AT18" s="5" t="n">
        <v>4433636385.43835</v>
      </c>
      <c r="AU18" s="5" t="n">
        <v>5531030829.12015</v>
      </c>
      <c r="AV18" s="5" t="n">
        <v>7107391310.3156</v>
      </c>
      <c r="AW18" s="5" t="n">
        <v>7513385262.41302</v>
      </c>
      <c r="AX18" s="5" t="n">
        <v>2774051136.66127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 t="n">
        <v>88936.1233006111</v>
      </c>
      <c r="P19" s="5" t="n">
        <v>207676.75445452</v>
      </c>
      <c r="Q19" s="5" t="n">
        <v>132473.029065981</v>
      </c>
      <c r="R19" s="5" t="n">
        <v>3296822.70329925</v>
      </c>
      <c r="S19" s="5" t="n">
        <v>389327.483789102</v>
      </c>
      <c r="T19" s="5" t="n">
        <v>1026978.63198395</v>
      </c>
      <c r="U19" s="5"/>
      <c r="V19" s="5" t="n">
        <v>170959504.768396</v>
      </c>
      <c r="W19" s="5" t="n">
        <v>297093222.629986</v>
      </c>
      <c r="X19" s="5" t="n">
        <v>362796403.996625</v>
      </c>
      <c r="Y19" s="5" t="n">
        <v>1331719547.53579</v>
      </c>
      <c r="Z19" s="5" t="n">
        <v>1429778696.62659</v>
      </c>
      <c r="AA19" s="5" t="n">
        <v>1811624295.65869</v>
      </c>
      <c r="AB19" s="5" t="n">
        <v>2321712575.23741</v>
      </c>
      <c r="AC19" s="5" t="n">
        <v>1996314785.04364</v>
      </c>
      <c r="AD19" s="5" t="n">
        <v>2265691328.22245</v>
      </c>
      <c r="AE19" s="5" t="n">
        <v>2109741311.45063</v>
      </c>
      <c r="AF19" s="5" t="n">
        <v>2242749791.40754</v>
      </c>
      <c r="AG19" s="5" t="n">
        <v>2169040759.88133</v>
      </c>
      <c r="AH19" s="5" t="n">
        <v>2190150249.11472</v>
      </c>
      <c r="AI19" s="5" t="n">
        <v>2737575952.28065</v>
      </c>
      <c r="AJ19" s="5" t="n">
        <v>2617930234.56383</v>
      </c>
      <c r="AK19" s="5" t="n">
        <v>2728572260.80388</v>
      </c>
      <c r="AL19" s="5" t="n">
        <v>2418985417.48846</v>
      </c>
      <c r="AM19" s="5" t="n">
        <v>2157713241.4114</v>
      </c>
      <c r="AN19" s="5" t="n">
        <v>2363632521.84323</v>
      </c>
      <c r="AO19" s="5" t="n">
        <v>2879939335.03829</v>
      </c>
      <c r="AP19" s="5" t="n">
        <v>3430492602.22084</v>
      </c>
      <c r="AQ19" s="5" t="n">
        <v>5199741217.31536</v>
      </c>
      <c r="AR19" s="5" t="n">
        <v>5867839547.8232</v>
      </c>
      <c r="AS19" s="5" t="n">
        <v>6040001816.6803</v>
      </c>
      <c r="AT19" s="5" t="n">
        <v>2874680123.98928</v>
      </c>
      <c r="AU19" s="5" t="n">
        <v>1968657239.95779</v>
      </c>
      <c r="AV19" s="5" t="n">
        <v>1507213903.7002</v>
      </c>
      <c r="AW19" s="5" t="n">
        <v>1720194566.81351</v>
      </c>
      <c r="AX19" s="5" t="n">
        <v>785730678.205614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7072045.1458101</v>
      </c>
      <c r="W20" s="5" t="n">
        <v>9691195.68456384</v>
      </c>
      <c r="X20" s="5" t="n">
        <v>10392574.3739577</v>
      </c>
      <c r="Y20" s="5" t="n">
        <v>10702667.5512754</v>
      </c>
      <c r="Z20" s="5" t="n">
        <v>2678442.63826147</v>
      </c>
      <c r="AA20" s="5" t="n">
        <v>2013683.1388319</v>
      </c>
      <c r="AB20" s="5" t="n">
        <v>-14610275.90777</v>
      </c>
      <c r="AC20" s="5" t="n">
        <v>2751348.22035514</v>
      </c>
      <c r="AD20" s="5" t="n">
        <v>252612.95288661</v>
      </c>
      <c r="AE20" s="5" t="n">
        <v>78196.9567080513</v>
      </c>
      <c r="AF20" s="5" t="n">
        <v>58514.4711309179</v>
      </c>
      <c r="AG20" s="5" t="n">
        <v>1946.85075253554</v>
      </c>
      <c r="AH20" s="5" t="n">
        <v>3981.58812053918</v>
      </c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22090610970.4429</v>
      </c>
      <c r="P21" s="5" t="n">
        <v>18995974493.6362</v>
      </c>
      <c r="Q21" s="5" t="n">
        <v>16754101708.8253</v>
      </c>
      <c r="R21" s="5" t="n">
        <v>18088307988.644</v>
      </c>
      <c r="S21" s="5" t="n">
        <v>13764359577.6929</v>
      </c>
      <c r="T21" s="5" t="n">
        <v>17610689302.8955</v>
      </c>
      <c r="U21" s="5" t="n">
        <v>14268884308.6678</v>
      </c>
      <c r="V21" s="5" t="n">
        <v>14672538942.6214</v>
      </c>
      <c r="W21" s="5" t="n">
        <v>16278142636.9465</v>
      </c>
      <c r="X21" s="5" t="n">
        <v>14278623872.1636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7"/>
      <c r="O2" s="7"/>
      <c r="P2" s="7"/>
      <c r="Q2" s="7"/>
      <c r="R2" s="7" t="n">
        <v>168306228</v>
      </c>
      <c r="S2" s="7" t="n">
        <v>609170639</v>
      </c>
      <c r="T2" s="7" t="n">
        <v>654516219</v>
      </c>
      <c r="U2" s="7" t="n">
        <v>831789115.6211</v>
      </c>
      <c r="V2" s="7" t="n">
        <v>2551440895.1563</v>
      </c>
      <c r="W2" s="7" t="n">
        <v>2490854652.1377</v>
      </c>
      <c r="X2" s="7" t="n">
        <v>767227263.1692</v>
      </c>
      <c r="Y2" s="7" t="n">
        <v>817655058.2351</v>
      </c>
      <c r="Z2" s="7" t="n">
        <v>1006989502.9744</v>
      </c>
      <c r="AA2" s="7" t="n">
        <v>640168664.9294</v>
      </c>
      <c r="AB2" s="7" t="n">
        <v>1293837691.2202</v>
      </c>
      <c r="AC2" s="7" t="n">
        <v>1404005908.234</v>
      </c>
      <c r="AD2" s="7" t="n">
        <v>1165471109.1283</v>
      </c>
      <c r="AE2" s="7" t="n">
        <v>1233292361.7636</v>
      </c>
      <c r="AF2" s="7" t="n">
        <v>1494000025.9266</v>
      </c>
      <c r="AG2" s="7" t="n">
        <v>1873090114.598</v>
      </c>
      <c r="AH2" s="7" t="n">
        <v>2058614313.7305</v>
      </c>
      <c r="AI2" s="7" t="n">
        <v>1488032306.0787</v>
      </c>
      <c r="AJ2" s="7" t="n">
        <v>1447916677.2671</v>
      </c>
      <c r="AK2" s="7" t="n">
        <v>1916942835.0782</v>
      </c>
      <c r="AL2" s="7"/>
      <c r="AM2" s="7"/>
    </row>
    <row r="3">
      <c r="A3" t="str">
        <f>M3</f>
      </c>
      <c r="M3" t="s">
        <v>73</v>
      </c>
      <c r="N3" s="7"/>
      <c r="O3" s="7"/>
      <c r="P3" s="7"/>
      <c r="Q3" s="7"/>
      <c r="R3" s="7" t="n">
        <v>1089800</v>
      </c>
      <c r="S3" s="7" t="n">
        <v>185499760</v>
      </c>
      <c r="T3" s="7" t="n">
        <v>1483041760</v>
      </c>
      <c r="U3" s="7" t="n">
        <v>2405161321.7945</v>
      </c>
      <c r="V3" s="7" t="n">
        <v>2286886347.8635</v>
      </c>
      <c r="W3" s="7" t="n">
        <v>1707481680.0137</v>
      </c>
      <c r="X3" s="7" t="n">
        <v>468819761.4258</v>
      </c>
      <c r="Y3" s="7" t="n">
        <v>4290156702.3711</v>
      </c>
      <c r="Z3" s="7" t="n">
        <v>512418799.4375</v>
      </c>
      <c r="AA3" s="7" t="n">
        <v>703164296.0492</v>
      </c>
      <c r="AB3" s="7" t="n">
        <v>327626030.94</v>
      </c>
      <c r="AC3" s="7" t="n">
        <v>252006287.2086</v>
      </c>
      <c r="AD3" s="7" t="n">
        <v>704782225.7641</v>
      </c>
      <c r="AE3" s="7" t="n">
        <v>323385846.5538</v>
      </c>
      <c r="AF3" s="7" t="n">
        <v>372554547.9729</v>
      </c>
      <c r="AG3" s="7" t="n">
        <v>404519090.0352</v>
      </c>
      <c r="AH3" s="7" t="n">
        <v>297073821.4268</v>
      </c>
      <c r="AI3" s="7" t="n">
        <v>241754898.0356</v>
      </c>
      <c r="AJ3" s="7" t="n">
        <v>157251771.4038</v>
      </c>
      <c r="AK3" s="7" t="n">
        <v>90204488.1685</v>
      </c>
      <c r="AL3" s="7"/>
      <c r="AM3" s="7"/>
    </row>
    <row r="4">
      <c r="A4" t="str">
        <f>M4</f>
      </c>
      <c r="M4" t="s">
        <v>74</v>
      </c>
      <c r="N4" s="7"/>
      <c r="O4" s="7" t="n">
        <v>20376460</v>
      </c>
      <c r="P4" s="7" t="n">
        <v>1224827</v>
      </c>
      <c r="Q4" s="7" t="n">
        <v>-26492</v>
      </c>
      <c r="R4" s="7" t="n">
        <v>197023353</v>
      </c>
      <c r="S4" s="7" t="n">
        <v>314254997.9006</v>
      </c>
      <c r="T4" s="7" t="n">
        <v>435409420.8555</v>
      </c>
      <c r="U4" s="7" t="n">
        <v>338422492.1084</v>
      </c>
      <c r="V4" s="7" t="n">
        <v>328967009.6473</v>
      </c>
      <c r="W4" s="7" t="n">
        <v>313576047.0245</v>
      </c>
      <c r="X4" s="7" t="n">
        <v>703283178.8159</v>
      </c>
      <c r="Y4" s="7" t="n">
        <v>2415498483.0455</v>
      </c>
      <c r="Z4" s="7" t="n">
        <v>1011634819.587</v>
      </c>
      <c r="AA4" s="7" t="n">
        <v>1726500687.7114</v>
      </c>
      <c r="AB4" s="7" t="n">
        <v>1672151721.0201</v>
      </c>
      <c r="AC4" s="7" t="n">
        <v>1414280797.5816</v>
      </c>
      <c r="AD4" s="7" t="n">
        <v>1606933343.2715</v>
      </c>
      <c r="AE4" s="7" t="n">
        <v>2050710430.1875</v>
      </c>
      <c r="AF4" s="7" t="n">
        <v>2076491465.1311</v>
      </c>
      <c r="AG4" s="7" t="n">
        <v>3149392381.0223</v>
      </c>
      <c r="AH4" s="7" t="n">
        <v>3826482425.6815</v>
      </c>
      <c r="AI4" s="7" t="n">
        <v>1730147315.375</v>
      </c>
      <c r="AJ4" s="7" t="n">
        <v>2245320071.1841</v>
      </c>
      <c r="AK4" s="7" t="n">
        <v>322181271.8004</v>
      </c>
      <c r="AL4" s="7"/>
      <c r="AM4" s="7"/>
    </row>
    <row r="5">
      <c r="A5" t="str">
        <f>M5</f>
      </c>
      <c r="M5" t="s">
        <v>75</v>
      </c>
      <c r="N5" s="7" t="n">
        <v>105041959</v>
      </c>
      <c r="O5" s="7" t="n">
        <v>85892792</v>
      </c>
      <c r="P5" s="7" t="n">
        <v>47894151</v>
      </c>
      <c r="Q5" s="7" t="n">
        <v>478760818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 t="n">
        <v>0</v>
      </c>
      <c r="AH5" s="7"/>
      <c r="AI5" s="7"/>
      <c r="AJ5" s="7"/>
      <c r="AK5" s="7"/>
      <c r="AL5" s="7"/>
      <c r="AM5" s="7"/>
    </row>
    <row r="6">
      <c r="A6" t="str">
        <f>M6</f>
      </c>
      <c r="M6" t="s">
        <v>76</v>
      </c>
      <c r="N6" s="7"/>
      <c r="O6" s="7"/>
      <c r="P6" s="7"/>
      <c r="Q6" s="7"/>
      <c r="R6" s="7" t="n">
        <v>2591384</v>
      </c>
      <c r="S6" s="7" t="n">
        <v>6249474</v>
      </c>
      <c r="T6" s="7" t="n">
        <v>28164204</v>
      </c>
      <c r="U6" s="7" t="n">
        <v>37644599.375</v>
      </c>
      <c r="V6" s="7" t="n">
        <v>67272593.7559</v>
      </c>
      <c r="W6" s="7" t="n">
        <v>886600388.3037</v>
      </c>
      <c r="X6" s="7" t="n">
        <v>129234583.1241</v>
      </c>
      <c r="Y6" s="7" t="n">
        <v>1903734510.3088</v>
      </c>
      <c r="Z6" s="7" t="n">
        <v>1737958356.1516</v>
      </c>
      <c r="AA6" s="7" t="n">
        <v>1840967614.82</v>
      </c>
      <c r="AB6" s="7" t="n">
        <v>1659903287.31</v>
      </c>
      <c r="AC6" s="7" t="n">
        <v>1641127325.4464</v>
      </c>
      <c r="AD6" s="7" t="n">
        <v>1589903596.1289</v>
      </c>
      <c r="AE6" s="7" t="n">
        <v>1016839253.8222</v>
      </c>
      <c r="AF6" s="7" t="n">
        <v>3081050641.4419</v>
      </c>
      <c r="AG6" s="7" t="n">
        <v>2036956556.9494</v>
      </c>
      <c r="AH6" s="7" t="n">
        <v>2868031027.4206</v>
      </c>
      <c r="AI6" s="7" t="n">
        <v>558515197.0979</v>
      </c>
      <c r="AJ6" s="7" t="n">
        <v>435069417.8358</v>
      </c>
      <c r="AK6" s="7" t="n">
        <v>144446370.3211</v>
      </c>
      <c r="AL6" s="7"/>
      <c r="AM6" s="7"/>
    </row>
    <row r="7">
      <c r="A7" t="str">
        <f>M7</f>
      </c>
      <c r="M7" t="s">
        <v>77</v>
      </c>
      <c r="N7" s="7"/>
      <c r="O7" s="7"/>
      <c r="P7" s="7"/>
      <c r="Q7" s="7"/>
      <c r="R7" s="7" t="n">
        <v>23740497</v>
      </c>
      <c r="S7" s="7" t="n">
        <v>22067259</v>
      </c>
      <c r="T7" s="7" t="n">
        <v>2556355074</v>
      </c>
      <c r="U7" s="7" t="n">
        <v>1325317784.9063</v>
      </c>
      <c r="V7" s="7" t="n">
        <v>1190987692.5</v>
      </c>
      <c r="W7" s="7" t="n">
        <v>489834497.25</v>
      </c>
      <c r="X7" s="7" t="n">
        <v>257657101.8755</v>
      </c>
      <c r="Y7" s="7" t="n">
        <v>1736821585.649</v>
      </c>
      <c r="Z7" s="7" t="n">
        <v>1701228895.7251</v>
      </c>
      <c r="AA7" s="7" t="n">
        <v>1600609663.63</v>
      </c>
      <c r="AB7" s="7" t="n">
        <v>105729417.6094</v>
      </c>
      <c r="AC7" s="7" t="n">
        <v>152543994.5812</v>
      </c>
      <c r="AD7" s="7" t="n">
        <v>412315356.3418</v>
      </c>
      <c r="AE7" s="7" t="n">
        <v>1619292612.3359</v>
      </c>
      <c r="AF7" s="7" t="n">
        <v>1421990575.3915</v>
      </c>
      <c r="AG7" s="7" t="n">
        <v>192793496.3437</v>
      </c>
      <c r="AH7" s="7" t="n">
        <v>80995767.7725</v>
      </c>
      <c r="AI7" s="7" t="n">
        <v>39992566.8213</v>
      </c>
      <c r="AJ7" s="7" t="n">
        <v>52581649.4336</v>
      </c>
      <c r="AK7" s="7" t="n">
        <v>7519409</v>
      </c>
      <c r="AL7" s="7"/>
      <c r="AM7" s="7"/>
    </row>
    <row r="8">
      <c r="A8" t="str">
        <f>M8</f>
      </c>
      <c r="M8" t="s">
        <v>78</v>
      </c>
      <c r="N8" s="7" t="n">
        <v>1477027827</v>
      </c>
      <c r="O8" s="7" t="n">
        <v>1395202921</v>
      </c>
      <c r="P8" s="7" t="n">
        <v>1927491884</v>
      </c>
      <c r="Q8" s="7" t="n">
        <v>2713058186</v>
      </c>
      <c r="R8" s="7" t="n">
        <v>2372162939</v>
      </c>
      <c r="S8" s="7" t="n">
        <v>2306250314.3125</v>
      </c>
      <c r="T8" s="7" t="n">
        <v>2783345374.5837</v>
      </c>
      <c r="U8" s="7" t="n">
        <v>3390107298.4368</v>
      </c>
      <c r="V8" s="7" t="n">
        <v>2445708075.3767</v>
      </c>
      <c r="W8" s="7" t="n">
        <v>2022381510.2102</v>
      </c>
      <c r="X8" s="7" t="n">
        <v>2026874374.101</v>
      </c>
      <c r="Y8" s="7" t="n">
        <v>1971399735.8904</v>
      </c>
      <c r="Z8" s="7" t="n">
        <v>2936860148.6247</v>
      </c>
      <c r="AA8" s="7" t="n">
        <v>1788305593.0308</v>
      </c>
      <c r="AB8" s="7" t="n">
        <v>1700625496.05</v>
      </c>
      <c r="AC8" s="7" t="n">
        <v>450082871.9564</v>
      </c>
      <c r="AD8" s="7" t="n">
        <v>1621625338.8895</v>
      </c>
      <c r="AE8" s="7" t="n">
        <v>1467887989.4611</v>
      </c>
      <c r="AF8" s="7" t="n">
        <v>818386205.897</v>
      </c>
      <c r="AG8" s="7" t="n">
        <v>14507310.5232</v>
      </c>
      <c r="AH8" s="7" t="n">
        <v>1964368141.207</v>
      </c>
      <c r="AI8" s="7" t="n">
        <v>755853059.2085</v>
      </c>
      <c r="AJ8" s="7" t="n">
        <v>868305393.9962</v>
      </c>
      <c r="AK8" s="7" t="n">
        <v>833431989.7915</v>
      </c>
      <c r="AL8" s="7"/>
      <c r="AM8" s="7"/>
    </row>
    <row r="9">
      <c r="A9" t="str">
        <f>M9</f>
      </c>
      <c r="M9" t="s">
        <v>79</v>
      </c>
      <c r="N9" s="7"/>
      <c r="O9" s="7"/>
      <c r="P9" s="7"/>
      <c r="Q9" s="7"/>
      <c r="R9" s="7" t="n">
        <v>21923679</v>
      </c>
      <c r="S9" s="7" t="n">
        <v>52808525</v>
      </c>
      <c r="T9" s="7" t="n">
        <v>264510756.625</v>
      </c>
      <c r="U9" s="7" t="n">
        <v>118828072.7608</v>
      </c>
      <c r="V9" s="7" t="n">
        <v>528320531.721</v>
      </c>
      <c r="W9" s="7" t="n">
        <v>3065727748.5034</v>
      </c>
      <c r="X9" s="7" t="n">
        <v>2725073206.2548</v>
      </c>
      <c r="Y9" s="7" t="n">
        <v>3696675076.4201</v>
      </c>
      <c r="Z9" s="7" t="n">
        <v>3170239312.6382</v>
      </c>
      <c r="AA9" s="7" t="n">
        <v>3320477792.21</v>
      </c>
      <c r="AB9" s="7" t="n">
        <v>6080579078.82</v>
      </c>
      <c r="AC9" s="7" t="n">
        <v>4237183816.3412</v>
      </c>
      <c r="AD9" s="7" t="n">
        <v>4188587647.3904</v>
      </c>
      <c r="AE9" s="7" t="n">
        <v>3662263189.1562</v>
      </c>
      <c r="AF9" s="7" t="n">
        <v>4094100678.9788</v>
      </c>
      <c r="AG9" s="7" t="n">
        <v>2746126388.6599</v>
      </c>
      <c r="AH9" s="7" t="n">
        <v>9627898165.9981</v>
      </c>
      <c r="AI9" s="7" t="n">
        <v>5768512253.7366</v>
      </c>
      <c r="AJ9" s="7" t="n">
        <v>5033945702.0625</v>
      </c>
      <c r="AK9" s="7" t="n">
        <v>3990432901.5771</v>
      </c>
      <c r="AL9" s="7"/>
      <c r="AM9" s="7"/>
    </row>
    <row r="10">
      <c r="A10" t="str">
        <f>M10</f>
      </c>
      <c r="M10"/>
      <c r="N10" s="7" t="n">
        <v>7773751977</v>
      </c>
      <c r="O10" s="7" t="n">
        <v>10902855120</v>
      </c>
      <c r="P10" s="7" t="n">
        <v>10718940526.9302</v>
      </c>
      <c r="Q10" s="7" t="n">
        <v>9480846496.0506</v>
      </c>
      <c r="R10" s="7" t="n">
        <v>12055983827.1636</v>
      </c>
      <c r="S10" s="7" t="n">
        <v>10546042991.9175</v>
      </c>
      <c r="T10" s="7" t="n">
        <v>8613861072.4256</v>
      </c>
      <c r="U10" s="7" t="n">
        <v>8805224272.1062</v>
      </c>
      <c r="V10" s="7" t="n">
        <v>9953502347.6886</v>
      </c>
      <c r="W10" s="7" t="n">
        <v>10525037991.9492</v>
      </c>
      <c r="X10" s="7" t="n">
        <v>10484020464.2783</v>
      </c>
      <c r="Y10" s="7" t="n">
        <v>11557630111.6133</v>
      </c>
      <c r="Z10" s="7" t="n">
        <v>11746187700.7793</v>
      </c>
      <c r="AA10" s="7" t="n">
        <v>11431084214.8801</v>
      </c>
      <c r="AB10" s="7" t="n">
        <v>10986973650.0998</v>
      </c>
      <c r="AC10" s="7" t="n">
        <v>11926978071.5592</v>
      </c>
      <c r="AD10" s="7" t="n">
        <v>13363040606.8502</v>
      </c>
      <c r="AE10" s="7" t="n">
        <v>15834245681.82</v>
      </c>
      <c r="AF10" s="7" t="n">
        <v>17951157164.8781</v>
      </c>
      <c r="AG10" s="7" t="n">
        <v>22888416319.0053</v>
      </c>
      <c r="AH10" s="7" t="n">
        <v>19359839043.0697</v>
      </c>
      <c r="AI10" s="7" t="n">
        <v>21378336645.2601</v>
      </c>
      <c r="AJ10" s="7" t="n">
        <v>24143083817.9365</v>
      </c>
      <c r="AK10" s="7" t="n">
        <v>15355078130.1452</v>
      </c>
      <c r="AL10" s="7"/>
      <c r="AM10" s="7"/>
    </row>
    <row r="11">
      <c r="A11" t="str">
        <f>M11</f>
      </c>
      <c r="M11" t="s">
        <v>256</v>
      </c>
      <c r="N11" s="7" t="str">
        <f>Sum(N2:N10)</f>
      </c>
      <c r="O11" s="7" t="str">
        <f>Sum(O2:O10)</f>
      </c>
      <c r="P11" s="7" t="str">
        <f>Sum(P2:P10)</f>
      </c>
      <c r="Q11" s="7" t="str">
        <f>Sum(Q2:Q10)</f>
      </c>
      <c r="R11" s="7" t="str">
        <f>Sum(R2:R10)</f>
      </c>
      <c r="S11" s="7" t="str">
        <f>Sum(S2:S10)</f>
      </c>
      <c r="T11" s="7" t="str">
        <f>Sum(T2:T10)</f>
      </c>
      <c r="U11" s="7" t="str">
        <f>Sum(U2:U10)</f>
      </c>
      <c r="V11" s="7" t="str">
        <f>Sum(V2:V10)</f>
      </c>
      <c r="W11" s="7" t="str">
        <f>Sum(W2:W10)</f>
      </c>
      <c r="X11" s="7" t="str">
        <f>Sum(X2:X10)</f>
      </c>
      <c r="Y11" s="7" t="str">
        <f>Sum(Y2:Y10)</f>
      </c>
      <c r="Z11" s="7" t="str">
        <f>Sum(Z2:Z10)</f>
      </c>
      <c r="AA11" s="7" t="str">
        <f>Sum(AA2:AA10)</f>
      </c>
      <c r="AB11" s="7" t="str">
        <f>Sum(AB2:AB10)</f>
      </c>
      <c r="AC11" s="7" t="str">
        <f>Sum(AC2:AC10)</f>
      </c>
      <c r="AD11" s="7" t="str">
        <f>Sum(AD2:AD10)</f>
      </c>
      <c r="AE11" s="7" t="str">
        <f>Sum(AE2:AE10)</f>
      </c>
      <c r="AF11" s="7" t="str">
        <f>Sum(AF2:AF10)</f>
      </c>
      <c r="AG11" s="7" t="str">
        <f>Sum(AG2:AG10)</f>
      </c>
      <c r="AH11" s="7" t="str">
        <f>Sum(AH2:AH10)</f>
      </c>
      <c r="AI11" s="7" t="str">
        <f>Sum(AI2:AI10)</f>
      </c>
      <c r="AJ11" s="7" t="str">
        <f>Sum(AJ2:AJ10)</f>
      </c>
      <c r="AK11" s="7" t="str">
        <f>Sum(AK2:AK10)</f>
      </c>
      <c r="AL11" s="7"/>
      <c r="AM11" s="7"/>
    </row>
    <row r="12">
      <c r="M12" t="str">
        <f>Sum(A2:A10)</f>
      </c>
    </row>
    <row r="13">
      <c r="M13" t="str">
        <f>Sum(B2:B10)</f>
      </c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71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7" t="str">
        <f>AC15</f>
      </c>
      <c r="C15" s="7" t="str">
        <f>AI15</f>
      </c>
      <c r="D15" s="7" t="str">
        <f>AJ15</f>
      </c>
      <c r="E15" s="7" t="str">
        <f>AK15</f>
      </c>
      <c r="F15" s="6" t="str">
        <f>AJ15/AI15-1</f>
      </c>
      <c r="G15" s="6" t="str">
        <f>AJ15/AC15-1</f>
      </c>
      <c r="H15" s="6" t="str">
        <f>AK15/AJ15</f>
      </c>
      <c r="I15" s="6" t="str">
        <f>AJ15/Sum(AJ$14:AJ$23)</f>
      </c>
      <c r="J15" s="6" t="str">
        <f>AK15/Sum(AK14:AK$23)</f>
      </c>
      <c r="M15" t="s">
        <v>72</v>
      </c>
      <c r="N15" s="7"/>
      <c r="O15" s="7"/>
      <c r="P15" s="7"/>
      <c r="Q15" s="7"/>
      <c r="R15" s="7" t="n">
        <v>250352035.039063</v>
      </c>
      <c r="S15" s="7" t="n">
        <v>879432059.828781</v>
      </c>
      <c r="T15" s="7" t="n">
        <v>915101892.043372</v>
      </c>
      <c r="U15" s="7" t="n">
        <v>1131912722.30306</v>
      </c>
      <c r="V15" s="7" t="n">
        <v>3401110953.68146</v>
      </c>
      <c r="W15" s="7" t="n">
        <v>3286946730.9722</v>
      </c>
      <c r="X15" s="7" t="n">
        <v>1003707970.21553</v>
      </c>
      <c r="Y15" s="7" t="n">
        <v>1048546857.80484</v>
      </c>
      <c r="Z15" s="7" t="n">
        <v>1268101880.85371</v>
      </c>
      <c r="AA15" s="7" t="n">
        <v>791676715.493667</v>
      </c>
      <c r="AB15" s="7" t="n">
        <v>1569681892.95865</v>
      </c>
      <c r="AC15" s="7" t="n">
        <v>1684031470.79101</v>
      </c>
      <c r="AD15" s="7" t="n">
        <v>1386432806.09343</v>
      </c>
      <c r="AE15" s="7" t="n">
        <v>1441378257.02413</v>
      </c>
      <c r="AF15" s="7" t="n">
        <v>1706015807.44958</v>
      </c>
      <c r="AG15" s="7" t="n">
        <v>2097814284.70783</v>
      </c>
      <c r="AH15" s="7" t="n">
        <v>2275243993.94029</v>
      </c>
      <c r="AI15" s="7" t="n">
        <v>1591134485.73655</v>
      </c>
      <c r="AJ15" s="7" t="n">
        <v>1447916677.2671</v>
      </c>
      <c r="AK15" s="7" t="n">
        <v>1828376969.56773</v>
      </c>
      <c r="AL15" s="7"/>
      <c r="AM15" s="7"/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AJ16/Sum(AJ$14:AJ$23)</f>
      </c>
      <c r="J16" s="6" t="str">
        <f>AK16/Sum(AK14:AK$23)</f>
      </c>
      <c r="M16" t="s">
        <v>73</v>
      </c>
      <c r="N16" s="7"/>
      <c r="O16" s="7"/>
      <c r="P16" s="7"/>
      <c r="Q16" s="7"/>
      <c r="R16" s="7" t="n">
        <v>1621054.97240168</v>
      </c>
      <c r="S16" s="7" t="n">
        <v>267797601.51005</v>
      </c>
      <c r="T16" s="7" t="n">
        <v>2073492269.80017</v>
      </c>
      <c r="U16" s="7" t="n">
        <v>3272984279.55213</v>
      </c>
      <c r="V16" s="7" t="n">
        <v>3048455569.67788</v>
      </c>
      <c r="W16" s="7" t="n">
        <v>2253203060.84471</v>
      </c>
      <c r="X16" s="7" t="n">
        <v>613323005.746533</v>
      </c>
      <c r="Y16" s="7" t="n">
        <v>5501623556.8473</v>
      </c>
      <c r="Z16" s="7" t="n">
        <v>645288994.008523</v>
      </c>
      <c r="AA16" s="7" t="n">
        <v>869581456.958753</v>
      </c>
      <c r="AB16" s="7" t="n">
        <v>397475395.807514</v>
      </c>
      <c r="AC16" s="7" t="n">
        <v>302268328.080105</v>
      </c>
      <c r="AD16" s="7" t="n">
        <v>838401905.716678</v>
      </c>
      <c r="AE16" s="7" t="n">
        <v>377948767.302376</v>
      </c>
      <c r="AF16" s="7" t="n">
        <v>425424321.920477</v>
      </c>
      <c r="AG16" s="7" t="n">
        <v>453051307.515432</v>
      </c>
      <c r="AH16" s="7" t="n">
        <v>328335144.397866</v>
      </c>
      <c r="AI16" s="7" t="n">
        <v>258505513.481655</v>
      </c>
      <c r="AJ16" s="7" t="n">
        <v>157251771.4038</v>
      </c>
      <c r="AK16" s="7" t="n">
        <v>86036894.6329077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AJ17/Sum(AJ$14:AJ$23)</f>
      </c>
      <c r="J17" s="6" t="str">
        <f>AK17/Sum(AK14:AK$23)</f>
      </c>
      <c r="M17" t="s">
        <v>74</v>
      </c>
      <c r="N17" s="7"/>
      <c r="O17" s="7" t="n">
        <v>32143399.840064</v>
      </c>
      <c r="P17" s="7" t="n">
        <v>1902114.491422</v>
      </c>
      <c r="Q17" s="7" t="n">
        <v>-40369.5251886759</v>
      </c>
      <c r="R17" s="7" t="n">
        <v>293068164.855847</v>
      </c>
      <c r="S17" s="7" t="n">
        <v>453675706.644184</v>
      </c>
      <c r="T17" s="7" t="n">
        <v>608761056.291528</v>
      </c>
      <c r="U17" s="7" t="n">
        <v>460531061.463779</v>
      </c>
      <c r="V17" s="7" t="n">
        <v>438518212.213074</v>
      </c>
      <c r="W17" s="7" t="n">
        <v>413796831.458549</v>
      </c>
      <c r="X17" s="7" t="n">
        <v>920054546.784739</v>
      </c>
      <c r="Y17" s="7" t="n">
        <v>3097593929.02999</v>
      </c>
      <c r="Z17" s="7" t="n">
        <v>1273951728.06284</v>
      </c>
      <c r="AA17" s="7" t="n">
        <v>2135109805.62546</v>
      </c>
      <c r="AB17" s="7" t="n">
        <v>2028651890.86394</v>
      </c>
      <c r="AC17" s="7" t="n">
        <v>1696355661.82096</v>
      </c>
      <c r="AD17" s="7" t="n">
        <v>1911591876.33861</v>
      </c>
      <c r="AE17" s="7" t="n">
        <v>2396714288.65254</v>
      </c>
      <c r="AF17" s="7" t="n">
        <v>2371169479.29814</v>
      </c>
      <c r="AG17" s="7" t="n">
        <v>3527241040.65678</v>
      </c>
      <c r="AH17" s="7" t="n">
        <v>4229146323.75847</v>
      </c>
      <c r="AI17" s="7" t="n">
        <v>1850025061.72206</v>
      </c>
      <c r="AJ17" s="7" t="n">
        <v>2245320071.1841</v>
      </c>
      <c r="AK17" s="7" t="n">
        <v>307295974.927632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AJ18/Sum(AJ$14:AJ$23)</f>
      </c>
      <c r="J18" s="6" t="str">
        <f>AK18/Sum(AK14:AK$23)</f>
      </c>
      <c r="M18" t="s">
        <v>75</v>
      </c>
      <c r="N18" s="7" t="n">
        <v>169719449.642921</v>
      </c>
      <c r="O18" s="7" t="n">
        <v>135493915.853659</v>
      </c>
      <c r="P18" s="7" t="n">
        <v>74377980.4588352</v>
      </c>
      <c r="Q18" s="7" t="n">
        <v>729554088.087048</v>
      </c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 t="n">
        <v>0</v>
      </c>
      <c r="AH18" s="7"/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AJ19/Sum(AJ$14:AJ$23)</f>
      </c>
      <c r="J19" s="6" t="str">
        <f>AK19/Sum(AK14:AK$23)</f>
      </c>
      <c r="M19" t="s">
        <v>76</v>
      </c>
      <c r="N19" s="7"/>
      <c r="O19" s="7"/>
      <c r="P19" s="7"/>
      <c r="Q19" s="7"/>
      <c r="R19" s="7" t="n">
        <v>3854630.13268687</v>
      </c>
      <c r="S19" s="7" t="n">
        <v>9022082.55093925</v>
      </c>
      <c r="T19" s="7" t="n">
        <v>39377353.2574531</v>
      </c>
      <c r="U19" s="7" t="n">
        <v>51227408.676473</v>
      </c>
      <c r="V19" s="7" t="n">
        <v>89675428.4765582</v>
      </c>
      <c r="W19" s="7" t="n">
        <v>1169963187.33913</v>
      </c>
      <c r="X19" s="7" t="n">
        <v>169068263.519899</v>
      </c>
      <c r="Y19" s="7" t="n">
        <v>2441316565.92158</v>
      </c>
      <c r="Z19" s="7" t="n">
        <v>2188610957.48412</v>
      </c>
      <c r="AA19" s="7" t="n">
        <v>2276667501.04309</v>
      </c>
      <c r="AB19" s="7" t="n">
        <v>2013792109.96382</v>
      </c>
      <c r="AC19" s="7" t="n">
        <v>1968446177.76794</v>
      </c>
      <c r="AD19" s="7" t="n">
        <v>1891333459.00587</v>
      </c>
      <c r="AE19" s="7" t="n">
        <v>1188404336.86955</v>
      </c>
      <c r="AF19" s="7" t="n">
        <v>3518287153.03569</v>
      </c>
      <c r="AG19" s="7" t="n">
        <v>2281340619.54346</v>
      </c>
      <c r="AH19" s="7" t="n">
        <v>3169836295.24466</v>
      </c>
      <c r="AI19" s="7" t="n">
        <v>597213371.833482</v>
      </c>
      <c r="AJ19" s="7" t="n">
        <v>435069417.8358</v>
      </c>
      <c r="AK19" s="7" t="n">
        <v>137772713.927579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AJ20/Sum(AJ$14:AJ$23)</f>
      </c>
      <c r="J20" s="6" t="str">
        <f>AK20/Sum(AK14:AK$23)</f>
      </c>
      <c r="M20" t="s">
        <v>77</v>
      </c>
      <c r="N20" s="7"/>
      <c r="O20" s="7"/>
      <c r="P20" s="7"/>
      <c r="Q20" s="7"/>
      <c r="R20" s="7" t="n">
        <v>35313498.540225</v>
      </c>
      <c r="S20" s="7" t="n">
        <v>31857502.3067473</v>
      </c>
      <c r="T20" s="7" t="n">
        <v>3574128947.52433</v>
      </c>
      <c r="U20" s="7" t="n">
        <v>1803514897.77524</v>
      </c>
      <c r="V20" s="7" t="n">
        <v>1587605377.94602</v>
      </c>
      <c r="W20" s="7" t="n">
        <v>646388538.998658</v>
      </c>
      <c r="X20" s="7" t="n">
        <v>337074161.920184</v>
      </c>
      <c r="Y20" s="7" t="n">
        <v>2227270286.97258</v>
      </c>
      <c r="Z20" s="7" t="n">
        <v>2142357547.97786</v>
      </c>
      <c r="AA20" s="7" t="n">
        <v>1979424284.11389</v>
      </c>
      <c r="AB20" s="7" t="n">
        <v>128270766.496239</v>
      </c>
      <c r="AC20" s="7" t="n">
        <v>182968523.172411</v>
      </c>
      <c r="AD20" s="7" t="n">
        <v>490486235.146517</v>
      </c>
      <c r="AE20" s="7" t="n">
        <v>1892505974.69293</v>
      </c>
      <c r="AF20" s="7" t="n">
        <v>1623787387.927</v>
      </c>
      <c r="AG20" s="7" t="n">
        <v>215923914.966249</v>
      </c>
      <c r="AH20" s="7" t="n">
        <v>89519019.1430333</v>
      </c>
      <c r="AI20" s="7" t="n">
        <v>42763555.591197</v>
      </c>
      <c r="AJ20" s="7" t="n">
        <v>52581649.4336</v>
      </c>
      <c r="AK20" s="7" t="n">
        <v>7172000.11851136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AJ21/Sum(AJ$14:AJ$23)</f>
      </c>
      <c r="J21" s="6" t="str">
        <f>AK21/Sum(AK14:AK$23)</f>
      </c>
      <c r="M21" t="s">
        <v>78</v>
      </c>
      <c r="N21" s="7" t="n">
        <v>2386478244.42916</v>
      </c>
      <c r="O21" s="7" t="n">
        <v>2200900713.26071</v>
      </c>
      <c r="P21" s="7" t="n">
        <v>2993329053.53548</v>
      </c>
      <c r="Q21" s="7" t="n">
        <v>4134262070.74099</v>
      </c>
      <c r="R21" s="7" t="n">
        <v>3528543336.03683</v>
      </c>
      <c r="S21" s="7" t="n">
        <v>3329429119.77184</v>
      </c>
      <c r="T21" s="7" t="n">
        <v>3891491982.25096</v>
      </c>
      <c r="U21" s="7" t="n">
        <v>4613315453.41</v>
      </c>
      <c r="V21" s="7" t="n">
        <v>3260167437.33401</v>
      </c>
      <c r="W21" s="7" t="n">
        <v>2668746764.51276</v>
      </c>
      <c r="X21" s="7" t="n">
        <v>2651613233.22545</v>
      </c>
      <c r="Y21" s="7" t="n">
        <v>2528089293.5549</v>
      </c>
      <c r="Z21" s="7" t="n">
        <v>3698387984.45743</v>
      </c>
      <c r="AA21" s="7" t="n">
        <v>2211542013.45627</v>
      </c>
      <c r="AB21" s="7" t="n">
        <v>2063196230.84716</v>
      </c>
      <c r="AC21" s="7" t="n">
        <v>539850805.750493</v>
      </c>
      <c r="AD21" s="7" t="n">
        <v>1929069327.77626</v>
      </c>
      <c r="AE21" s="7" t="n">
        <v>1715555773.59657</v>
      </c>
      <c r="AF21" s="7" t="n">
        <v>934524618.226185</v>
      </c>
      <c r="AG21" s="7" t="n">
        <v>16247826.5253099</v>
      </c>
      <c r="AH21" s="7" t="n">
        <v>2171080219.03805</v>
      </c>
      <c r="AI21" s="7" t="n">
        <v>808224299.797228</v>
      </c>
      <c r="AJ21" s="7" t="n">
        <v>868305393.9962</v>
      </c>
      <c r="AK21" s="7" t="n">
        <v>794926081.232686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AJ22/Sum(AJ$14:AJ$23)</f>
      </c>
      <c r="J22" s="6" t="str">
        <f>AK22/Sum(AK14:AK$23)</f>
      </c>
      <c r="M22" t="s">
        <v>79</v>
      </c>
      <c r="N22" s="7"/>
      <c r="O22" s="7"/>
      <c r="P22" s="7"/>
      <c r="Q22" s="7"/>
      <c r="R22" s="7" t="n">
        <v>32611019.3212409</v>
      </c>
      <c r="S22" s="7" t="n">
        <v>76237275.6400521</v>
      </c>
      <c r="T22" s="7" t="n">
        <v>369821689.404707</v>
      </c>
      <c r="U22" s="7" t="n">
        <v>161703254.825917</v>
      </c>
      <c r="V22" s="7" t="n">
        <v>704259601.271708</v>
      </c>
      <c r="W22" s="7" t="n">
        <v>4045552715.14773</v>
      </c>
      <c r="X22" s="7" t="n">
        <v>3565016296.78863</v>
      </c>
      <c r="Y22" s="7" t="n">
        <v>4740552873.32577</v>
      </c>
      <c r="Z22" s="7" t="n">
        <v>3992282365.64356</v>
      </c>
      <c r="AA22" s="7" t="n">
        <v>4106331809.75264</v>
      </c>
      <c r="AB22" s="7" t="n">
        <v>7376949167.19082</v>
      </c>
      <c r="AC22" s="7" t="n">
        <v>5082279819.76247</v>
      </c>
      <c r="AD22" s="7" t="n">
        <v>4982702085.06772</v>
      </c>
      <c r="AE22" s="7" t="n">
        <v>4280174511.74438</v>
      </c>
      <c r="AF22" s="7" t="n">
        <v>4675100638.83428</v>
      </c>
      <c r="AG22" s="7" t="n">
        <v>3075593171.33028</v>
      </c>
      <c r="AH22" s="7" t="n">
        <v>10641049821.887</v>
      </c>
      <c r="AI22" s="7" t="n">
        <v>6168198594.08934</v>
      </c>
      <c r="AJ22" s="7" t="n">
        <v>5033945702.0625</v>
      </c>
      <c r="AK22" s="7" t="n">
        <v>3806068434.76962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AJ23/Sum(AJ$14:AJ$23)</f>
      </c>
      <c r="J23" s="6" t="str">
        <f>AK23/Sum(AK14:AK$23)</f>
      </c>
      <c r="M23"/>
      <c r="N23" s="7" t="n">
        <v>12560284668.6914</v>
      </c>
      <c r="O23" s="7" t="n">
        <v>17199004710.3594</v>
      </c>
      <c r="P23" s="7" t="n">
        <v>16646148483.7978</v>
      </c>
      <c r="Q23" s="7" t="n">
        <v>14447277345.3225</v>
      </c>
      <c r="R23" s="7" t="n">
        <v>17933026729.875</v>
      </c>
      <c r="S23" s="7" t="n">
        <v>15224844596.3347</v>
      </c>
      <c r="T23" s="7" t="n">
        <v>12043338784.2073</v>
      </c>
      <c r="U23" s="7" t="n">
        <v>11982298384.4727</v>
      </c>
      <c r="V23" s="7" t="n">
        <v>13268175612.645</v>
      </c>
      <c r="W23" s="7" t="n">
        <v>13888903228.9802</v>
      </c>
      <c r="X23" s="7" t="n">
        <v>13715486147.3923</v>
      </c>
      <c r="Y23" s="7" t="n">
        <v>14821307121.0748</v>
      </c>
      <c r="Z23" s="7" t="n">
        <v>14791974168.7691</v>
      </c>
      <c r="AA23" s="7" t="n">
        <v>14136466999.3115</v>
      </c>
      <c r="AB23" s="7" t="n">
        <v>13329379499.4571</v>
      </c>
      <c r="AC23" s="7" t="n">
        <v>14305784830.4955</v>
      </c>
      <c r="AD23" s="7" t="n">
        <v>15896539812.4307</v>
      </c>
      <c r="AE23" s="7" t="n">
        <v>18505861342.98</v>
      </c>
      <c r="AF23" s="7" t="n">
        <v>20498632766.9571</v>
      </c>
      <c r="AG23" s="7" t="n">
        <v>25634456310.5305</v>
      </c>
      <c r="AH23" s="7" t="n">
        <v>21397090855.0486</v>
      </c>
      <c r="AI23" s="7" t="n">
        <v>22859590174.8921</v>
      </c>
      <c r="AJ23" s="7" t="n">
        <v>24143083817.9365</v>
      </c>
      <c r="AK23" s="7" t="n">
        <v>14645648636.6352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Sum(I$14:I$23)</f>
      </c>
      <c r="J24" s="6" t="str">
        <f>Sum(J$14:J$23)</f>
      </c>
      <c r="M24" t="s">
        <v>256</v>
      </c>
      <c r="N24" s="7" t="str">
        <f>Sum(N15:N23)</f>
      </c>
      <c r="O24" s="7" t="str">
        <f>Sum(O15:O23)</f>
      </c>
      <c r="P24" s="7" t="str">
        <f>Sum(P15:P23)</f>
      </c>
      <c r="Q24" s="7" t="str">
        <f>Sum(Q15:Q23)</f>
      </c>
      <c r="R24" s="7" t="str">
        <f>Sum(R15:R23)</f>
      </c>
      <c r="S24" s="7" t="str">
        <f>Sum(S15:S23)</f>
      </c>
      <c r="T24" s="7" t="str">
        <f>Sum(T15:T23)</f>
      </c>
      <c r="U24" s="7" t="str">
        <f>Sum(U15:U23)</f>
      </c>
      <c r="V24" s="7" t="str">
        <f>Sum(V15:V23)</f>
      </c>
      <c r="W24" s="7" t="str">
        <f>Sum(W15:W23)</f>
      </c>
      <c r="X24" s="7" t="str">
        <f>Sum(X15:X23)</f>
      </c>
      <c r="Y24" s="7" t="str">
        <f>Sum(Y15:Y23)</f>
      </c>
      <c r="Z24" s="7" t="str">
        <f>Sum(Z15:Z23)</f>
      </c>
      <c r="AA24" s="7" t="str">
        <f>Sum(AA15:AA23)</f>
      </c>
      <c r="AB24" s="7" t="str">
        <f>Sum(AB15:AB23)</f>
      </c>
      <c r="AC24" s="7" t="str">
        <f>Sum(AC15:AC23)</f>
      </c>
      <c r="AD24" s="7" t="str">
        <f>Sum(AD15:AD23)</f>
      </c>
      <c r="AE24" s="7" t="str">
        <f>Sum(AE15:AE23)</f>
      </c>
      <c r="AF24" s="7" t="str">
        <f>Sum(AF15:AF23)</f>
      </c>
      <c r="AG24" s="7" t="str">
        <f>Sum(AG15:AG23)</f>
      </c>
      <c r="AH24" s="7" t="str">
        <f>Sum(AH15:AH23)</f>
      </c>
      <c r="AI24" s="7" t="str">
        <f>Sum(AI15:AI23)</f>
      </c>
      <c r="AJ24" s="7" t="str">
        <f>Sum(AJ15:AJ23)</f>
      </c>
      <c r="AK24" s="7" t="str">
        <f>Sum(AK15:AK23)</f>
      </c>
      <c r="AL24" s="7"/>
      <c r="AM24" s="7"/>
    </row>
    <row r="25">
      <c r="M25" t="str">
        <f>Sum(A15:A23)</f>
      </c>
    </row>
    <row r="26">
      <c r="M26" t="str">
        <f>Sum(B15:B23)</f>
      </c>
    </row>
    <row r="27">
      <c r="M27" t="str">
        <f>Sum(C15:C23)</f>
      </c>
    </row>
    <row r="28">
      <c r="M28" t="str">
        <f>Sum(D15:D23)</f>
      </c>
    </row>
    <row r="29">
      <c r="M29" t="str">
        <f>Sum(E15:E23)</f>
      </c>
    </row>
    <row r="30">
      <c r="M30" t="str">
        <f>Sum(F15:F23)</f>
      </c>
    </row>
    <row r="31">
      <c r="M31" t="str">
        <f>Sum(G15:G23)</f>
      </c>
    </row>
    <row r="32">
      <c r="M32" t="str">
        <f>Sum(H15:H23)</f>
      </c>
    </row>
    <row r="33">
      <c r="M33" t="str">
        <f>Sum(I15:I23)</f>
      </c>
    </row>
    <row r="34">
      <c r="M34" t="str">
        <f>Sum(J15:J23)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 t="n">
        <v>236031048</v>
      </c>
      <c r="O2" s="8" t="n">
        <v>4036653514</v>
      </c>
      <c r="P2" s="8" t="n">
        <v>619399425</v>
      </c>
      <c r="Q2" s="8" t="n">
        <v>42073921</v>
      </c>
      <c r="R2" s="8" t="n">
        <v>506211043</v>
      </c>
      <c r="S2" s="8" t="n">
        <v>805665474</v>
      </c>
      <c r="T2" s="8" t="n">
        <v>1960642034</v>
      </c>
      <c r="U2" s="8" t="n">
        <v>1146811935</v>
      </c>
      <c r="V2" s="8" t="n">
        <v>2736080711.6011</v>
      </c>
      <c r="W2" s="8" t="n">
        <v>2633709562.5286</v>
      </c>
      <c r="X2" s="8" t="n">
        <v>2138004181.4523</v>
      </c>
      <c r="Y2" s="8" t="n">
        <v>2008286262.861</v>
      </c>
      <c r="Z2" s="8" t="n">
        <v>1465481792.8959</v>
      </c>
      <c r="AA2" s="8" t="n">
        <v>744343385.34</v>
      </c>
      <c r="AB2" s="8" t="n">
        <v>1199617768.69</v>
      </c>
      <c r="AC2" s="8" t="n">
        <v>1160567035.5253</v>
      </c>
      <c r="AD2" s="8" t="n">
        <v>629728691.25</v>
      </c>
      <c r="AE2" s="8" t="n">
        <v>346672073.3803</v>
      </c>
      <c r="AF2" s="8" t="n">
        <v>167224449.3125</v>
      </c>
      <c r="AG2" s="8" t="n">
        <v>27340188</v>
      </c>
      <c r="AH2" s="8" t="n">
        <v>45034823.4063</v>
      </c>
      <c r="AI2" s="8" t="n">
        <v>36354359.7969</v>
      </c>
      <c r="AJ2" s="8" t="n">
        <v>70036501.125</v>
      </c>
      <c r="AK2" s="8" t="n">
        <v>6111804</v>
      </c>
      <c r="AL2" s="8"/>
      <c r="AM2" s="8"/>
    </row>
    <row r="3">
      <c r="A3" t="str">
        <f>M3</f>
      </c>
      <c r="M3" t="s">
        <v>82</v>
      </c>
      <c r="N3" s="8" t="n">
        <v>1085679752</v>
      </c>
      <c r="O3" s="8" t="n">
        <v>482944737</v>
      </c>
      <c r="P3" s="8" t="n">
        <v>1041893262</v>
      </c>
      <c r="Q3" s="8" t="n">
        <v>717676811</v>
      </c>
      <c r="R3" s="8" t="n">
        <v>1289849954</v>
      </c>
      <c r="S3" s="8" t="n">
        <v>719493281</v>
      </c>
      <c r="T3" s="8" t="n">
        <v>3283530742</v>
      </c>
      <c r="U3" s="8" t="n">
        <v>2558642289.9063</v>
      </c>
      <c r="V3" s="8" t="n">
        <v>2157786982.5</v>
      </c>
      <c r="W3" s="8" t="n">
        <v>1501389384</v>
      </c>
      <c r="X3" s="8" t="n">
        <v>267208724.5</v>
      </c>
      <c r="Y3" s="8" t="n">
        <v>1843218030.625</v>
      </c>
      <c r="Z3" s="8" t="n">
        <v>3852766590.4609</v>
      </c>
      <c r="AA3" s="8" t="n">
        <v>1665530494.59</v>
      </c>
      <c r="AB3" s="8" t="n">
        <v>140540939.08</v>
      </c>
      <c r="AC3" s="8" t="n">
        <v>166687719.8663</v>
      </c>
      <c r="AD3" s="8" t="n">
        <v>861262468</v>
      </c>
      <c r="AE3" s="8" t="n">
        <v>109635415.4219</v>
      </c>
      <c r="AF3" s="8" t="n">
        <v>39211623.3438</v>
      </c>
      <c r="AG3" s="8" t="n">
        <v>10944096</v>
      </c>
      <c r="AH3" s="8" t="n">
        <v>2716871.4219</v>
      </c>
      <c r="AI3" s="8" t="n">
        <v>22632439</v>
      </c>
      <c r="AJ3" s="8" t="n">
        <v>-973045.9531</v>
      </c>
      <c r="AK3" s="8"/>
      <c r="AL3" s="8"/>
      <c r="AM3" s="8"/>
    </row>
    <row r="4">
      <c r="A4" t="str">
        <f>M4</f>
      </c>
      <c r="M4" t="s">
        <v>83</v>
      </c>
      <c r="N4" s="8"/>
      <c r="O4" s="8"/>
      <c r="P4" s="8"/>
      <c r="Q4" s="8" t="n">
        <v>185965</v>
      </c>
      <c r="R4" s="8" t="n">
        <v>16980</v>
      </c>
      <c r="S4" s="8" t="n">
        <v>123229</v>
      </c>
      <c r="T4" s="8" t="n">
        <v>53007878</v>
      </c>
      <c r="U4" s="8" t="n">
        <v>77877489.38</v>
      </c>
      <c r="V4" s="8" t="n">
        <v>134812065.8161</v>
      </c>
      <c r="W4" s="8" t="n">
        <v>1131116249.7867</v>
      </c>
      <c r="X4" s="8" t="n">
        <v>323742487.1949</v>
      </c>
      <c r="Y4" s="8" t="n">
        <v>2405125788.1859</v>
      </c>
      <c r="Z4" s="8" t="n">
        <v>2741337892.0989</v>
      </c>
      <c r="AA4" s="8" t="n">
        <v>6721858916.65</v>
      </c>
      <c r="AB4" s="8" t="n">
        <v>10219566930.42</v>
      </c>
      <c r="AC4" s="8" t="n">
        <v>8822111956.395</v>
      </c>
      <c r="AD4" s="8" t="n">
        <v>9938943123.8612</v>
      </c>
      <c r="AE4" s="8" t="n">
        <v>13317946229.8101</v>
      </c>
      <c r="AF4" s="8" t="n">
        <v>14467924228.5537</v>
      </c>
      <c r="AG4" s="8" t="n">
        <v>15168969466.6386</v>
      </c>
      <c r="AH4" s="8" t="n">
        <v>24066835420.3242</v>
      </c>
      <c r="AI4" s="8" t="n">
        <v>15819704301.7288</v>
      </c>
      <c r="AJ4" s="8" t="n">
        <v>15909335236.8888</v>
      </c>
      <c r="AK4" s="8" t="n">
        <v>13657972905.1128</v>
      </c>
      <c r="AL4" s="8"/>
      <c r="AM4" s="8"/>
    </row>
    <row r="5">
      <c r="A5" t="str">
        <f>M5</f>
      </c>
      <c r="M5" t="s">
        <v>84</v>
      </c>
      <c r="N5" s="8" t="n">
        <v>1189569549</v>
      </c>
      <c r="O5" s="8" t="n">
        <v>813477234</v>
      </c>
      <c r="P5" s="8" t="n">
        <v>1405618159</v>
      </c>
      <c r="Q5" s="8" t="n">
        <v>1320567364</v>
      </c>
      <c r="R5" s="8" t="n">
        <v>1724045610</v>
      </c>
      <c r="S5" s="8" t="n">
        <v>1897778247</v>
      </c>
      <c r="T5" s="8" t="n">
        <v>450603267.4063</v>
      </c>
      <c r="U5" s="8" t="n">
        <v>1277829341.6563</v>
      </c>
      <c r="V5" s="8" t="n">
        <v>1071278624.2969</v>
      </c>
      <c r="W5" s="8" t="n">
        <v>637297593.939</v>
      </c>
      <c r="X5" s="8" t="n">
        <v>181273596.9976</v>
      </c>
      <c r="Y5" s="8" t="n">
        <v>5839462007</v>
      </c>
      <c r="Z5" s="8" t="n">
        <v>1032156899.9375</v>
      </c>
      <c r="AA5" s="8" t="n">
        <v>463362600</v>
      </c>
      <c r="AB5" s="8" t="n">
        <v>-16199417.19</v>
      </c>
      <c r="AC5" s="8" t="n">
        <v>97476803.77</v>
      </c>
      <c r="AD5" s="8" t="n">
        <v>235074025.33</v>
      </c>
      <c r="AE5" s="8" t="n">
        <v>169793717.625</v>
      </c>
      <c r="AF5" s="8" t="n">
        <v>125674202.6951</v>
      </c>
      <c r="AG5" s="8" t="n">
        <v>45167308</v>
      </c>
      <c r="AH5" s="8" t="n">
        <v>71656528</v>
      </c>
      <c r="AI5" s="8" t="n">
        <v>2157784</v>
      </c>
      <c r="AJ5" s="8" t="n">
        <v>-20036115.875</v>
      </c>
      <c r="AK5" s="8" t="n">
        <v>-402984</v>
      </c>
      <c r="AL5" s="8"/>
      <c r="AM5" s="8"/>
    </row>
    <row r="6">
      <c r="A6" t="str">
        <f>M6</f>
      </c>
      <c r="M6" t="s">
        <v>85</v>
      </c>
      <c r="N6" s="8" t="n">
        <v>602163933</v>
      </c>
      <c r="O6" s="8" t="n">
        <v>1842155074</v>
      </c>
      <c r="P6" s="8" t="n">
        <v>1470709043</v>
      </c>
      <c r="Q6" s="8" t="n">
        <v>240221298</v>
      </c>
      <c r="R6" s="8" t="n">
        <v>489357549</v>
      </c>
      <c r="S6" s="8" t="n">
        <v>511856377</v>
      </c>
      <c r="T6" s="8" t="n">
        <v>362603014.8106</v>
      </c>
      <c r="U6" s="8" t="n">
        <v>1127250359.2338</v>
      </c>
      <c r="V6" s="8" t="n">
        <v>983648719.5714</v>
      </c>
      <c r="W6" s="8" t="n">
        <v>788409220.1498</v>
      </c>
      <c r="X6" s="8" t="n">
        <v>324299380.4726</v>
      </c>
      <c r="Y6" s="8" t="n">
        <v>348788516.6656</v>
      </c>
      <c r="Z6" s="8" t="n">
        <v>257673052.2817</v>
      </c>
      <c r="AA6" s="8" t="n">
        <v>201220003.93</v>
      </c>
      <c r="AB6" s="8" t="n">
        <v>176566709.98</v>
      </c>
      <c r="AC6" s="8" t="n">
        <v>135635171.8447</v>
      </c>
      <c r="AD6" s="8" t="n">
        <v>187376458.8038</v>
      </c>
      <c r="AE6" s="8" t="n">
        <v>387318464.1328</v>
      </c>
      <c r="AF6" s="8" t="n">
        <v>338614572.7675</v>
      </c>
      <c r="AG6" s="8" t="n">
        <v>540843653.1345</v>
      </c>
      <c r="AH6" s="8" t="n">
        <v>410361243.0523</v>
      </c>
      <c r="AI6" s="8" t="n">
        <v>394143533.6929</v>
      </c>
      <c r="AJ6" s="8" t="n">
        <v>415429716.0781</v>
      </c>
      <c r="AK6" s="8" t="n">
        <v>207885870.9824</v>
      </c>
      <c r="AL6" s="8"/>
      <c r="AM6" s="8"/>
    </row>
    <row r="7">
      <c r="A7" t="str">
        <f>M7</f>
      </c>
      <c r="M7" t="s">
        <v>86</v>
      </c>
      <c r="N7" s="8" t="n">
        <v>21418403</v>
      </c>
      <c r="O7" s="8" t="n">
        <v>31054879</v>
      </c>
      <c r="P7" s="8" t="n">
        <v>51280113</v>
      </c>
      <c r="Q7" s="8" t="n">
        <v>49740455</v>
      </c>
      <c r="R7" s="8" t="n">
        <v>71831035</v>
      </c>
      <c r="S7" s="8" t="n">
        <v>148217406</v>
      </c>
      <c r="T7" s="8" t="n">
        <v>183313023.4316</v>
      </c>
      <c r="U7" s="8" t="n">
        <v>270926690.529</v>
      </c>
      <c r="V7" s="8" t="n">
        <v>211193748.0655</v>
      </c>
      <c r="W7" s="8" t="n">
        <v>309643328.7118</v>
      </c>
      <c r="X7" s="8" t="n">
        <v>733968398.6469</v>
      </c>
      <c r="Y7" s="8" t="n">
        <v>700148198.2618</v>
      </c>
      <c r="Z7" s="8" t="n">
        <v>979309620.2771</v>
      </c>
      <c r="AA7" s="8" t="n">
        <v>842367464.5034</v>
      </c>
      <c r="AB7" s="8" t="n">
        <v>823762347.3435</v>
      </c>
      <c r="AC7" s="8" t="n">
        <v>1033622161.2663</v>
      </c>
      <c r="AD7" s="8" t="n">
        <v>1194280668.2992</v>
      </c>
      <c r="AE7" s="8" t="n">
        <v>1731540139.5248</v>
      </c>
      <c r="AF7" s="8" t="n">
        <v>3316182275.5912</v>
      </c>
      <c r="AG7" s="8" t="n">
        <v>3899664765.5005</v>
      </c>
      <c r="AH7" s="8" t="n">
        <v>3817812205.3736</v>
      </c>
      <c r="AI7" s="8" t="n">
        <v>3421947710.6928</v>
      </c>
      <c r="AJ7" s="8" t="n">
        <v>4144764422.1977</v>
      </c>
      <c r="AK7" s="8" t="n">
        <v>2423980982.3908</v>
      </c>
      <c r="AL7" s="8"/>
      <c r="AM7" s="8"/>
    </row>
    <row r="8">
      <c r="A8" t="str">
        <f>M8</f>
      </c>
      <c r="M8" t="s">
        <v>87</v>
      </c>
      <c r="N8" s="8" t="n">
        <v>634348033</v>
      </c>
      <c r="O8" s="8" t="n">
        <v>616906640</v>
      </c>
      <c r="P8" s="8" t="n">
        <v>602488226</v>
      </c>
      <c r="Q8" s="8" t="n">
        <v>1081353465</v>
      </c>
      <c r="R8" s="8" t="n">
        <v>812227386</v>
      </c>
      <c r="S8" s="8" t="n">
        <v>657737102.6854</v>
      </c>
      <c r="T8" s="8" t="n">
        <v>914049065.8473</v>
      </c>
      <c r="U8" s="8" t="n">
        <v>941310944.5109</v>
      </c>
      <c r="V8" s="8" t="n">
        <v>927513717.8748</v>
      </c>
      <c r="W8" s="8" t="n">
        <v>961417748.5831</v>
      </c>
      <c r="X8" s="8" t="n">
        <v>1201640294.1374</v>
      </c>
      <c r="Y8" s="8" t="n">
        <v>1384456111.1377</v>
      </c>
      <c r="Z8" s="8" t="n">
        <v>1351077536.0448</v>
      </c>
      <c r="AA8" s="8" t="n">
        <v>1419903149.7034</v>
      </c>
      <c r="AB8" s="8" t="n">
        <v>1577237698.4815</v>
      </c>
      <c r="AC8" s="8" t="n">
        <v>1321827989.0013</v>
      </c>
      <c r="AD8" s="8" t="n">
        <v>1574152037.7786</v>
      </c>
      <c r="AE8" s="8" t="n">
        <v>1450246460.7608</v>
      </c>
      <c r="AF8" s="8" t="n">
        <v>2316644350.6915</v>
      </c>
      <c r="AG8" s="8" t="n">
        <v>1608832975.6317</v>
      </c>
      <c r="AH8" s="8" t="n">
        <v>1843890788.525</v>
      </c>
      <c r="AI8" s="8" t="n">
        <v>1843569361.647</v>
      </c>
      <c r="AJ8" s="8" t="n">
        <v>1672112727.1595</v>
      </c>
      <c r="AK8" s="8" t="n">
        <v>1459360912.3014</v>
      </c>
      <c r="AL8" s="8"/>
      <c r="AM8" s="8"/>
    </row>
    <row r="9">
      <c r="A9" t="str">
        <f>M9</f>
      </c>
      <c r="M9" t="s">
        <v>88</v>
      </c>
      <c r="N9" s="8" t="n">
        <v>482218841</v>
      </c>
      <c r="O9" s="8" t="n">
        <v>547576266</v>
      </c>
      <c r="P9" s="8" t="n">
        <v>647735758</v>
      </c>
      <c r="Q9" s="8" t="n">
        <v>682224127</v>
      </c>
      <c r="R9" s="8" t="n">
        <v>602382356.375</v>
      </c>
      <c r="S9" s="8" t="n">
        <v>756329836.3019</v>
      </c>
      <c r="T9" s="8" t="n">
        <v>596050956.3716</v>
      </c>
      <c r="U9" s="8" t="n">
        <v>686789813.7897</v>
      </c>
      <c r="V9" s="8" t="n">
        <v>607600772.2739</v>
      </c>
      <c r="W9" s="8" t="n">
        <v>911272674.8262</v>
      </c>
      <c r="X9" s="8" t="n">
        <v>919121832.1143</v>
      </c>
      <c r="Y9" s="8" t="n">
        <v>1200325135.9174</v>
      </c>
      <c r="Z9" s="8" t="n">
        <v>1340303073.7906</v>
      </c>
      <c r="AA9" s="8" t="n">
        <v>1106323464.9356</v>
      </c>
      <c r="AB9" s="8" t="n">
        <v>1354418441.9917</v>
      </c>
      <c r="AC9" s="8" t="n">
        <v>1460781667.5604</v>
      </c>
      <c r="AD9" s="8" t="n">
        <v>1172175037.418</v>
      </c>
      <c r="AE9" s="8" t="n">
        <v>1066772488.9373</v>
      </c>
      <c r="AF9" s="8" t="n">
        <v>1746187480.1071</v>
      </c>
      <c r="AG9" s="8" t="n">
        <v>1753122702.9697</v>
      </c>
      <c r="AH9" s="8" t="n">
        <v>2033087616.6515</v>
      </c>
      <c r="AI9" s="8" t="n">
        <v>1790048004.2467</v>
      </c>
      <c r="AJ9" s="8" t="n">
        <v>1597905953.3138</v>
      </c>
      <c r="AK9" s="8" t="n">
        <v>1056899192.4422</v>
      </c>
      <c r="AL9" s="8"/>
      <c r="AM9" s="8"/>
    </row>
    <row r="10">
      <c r="A10" t="str">
        <f>M10</f>
      </c>
      <c r="M10" t="s">
        <v>89</v>
      </c>
      <c r="N10" s="8" t="n">
        <v>750027402</v>
      </c>
      <c r="O10" s="8" t="n">
        <v>372285256</v>
      </c>
      <c r="P10" s="8" t="n">
        <v>218594372</v>
      </c>
      <c r="Q10" s="8" t="n">
        <v>680943286</v>
      </c>
      <c r="R10" s="8" t="n">
        <v>477599459</v>
      </c>
      <c r="S10" s="8" t="n">
        <v>155070606</v>
      </c>
      <c r="T10" s="8" t="n">
        <v>859220907.0438</v>
      </c>
      <c r="U10" s="8" t="n">
        <v>865854029.9539</v>
      </c>
      <c r="V10" s="8" t="n">
        <v>1514798800.3875</v>
      </c>
      <c r="W10" s="8" t="n">
        <v>1895340342.5674</v>
      </c>
      <c r="X10" s="8" t="n">
        <v>1710142845.9383</v>
      </c>
      <c r="Y10" s="8" t="n">
        <v>2694383773.2332</v>
      </c>
      <c r="Z10" s="8" t="n">
        <v>2517605300.7244</v>
      </c>
      <c r="AA10" s="8" t="n">
        <v>2464465149.34</v>
      </c>
      <c r="AB10" s="8" t="n">
        <v>2104992374.22</v>
      </c>
      <c r="AC10" s="8" t="n">
        <v>2792672012.5006</v>
      </c>
      <c r="AD10" s="8" t="n">
        <v>2581067178.0723</v>
      </c>
      <c r="AE10" s="8" t="n">
        <v>3151560888.7541</v>
      </c>
      <c r="AF10" s="8" t="n">
        <v>2586697662.0045</v>
      </c>
      <c r="AG10" s="8" t="n">
        <v>3489323062.5131</v>
      </c>
      <c r="AH10" s="8" t="n">
        <v>3131610408.2982</v>
      </c>
      <c r="AI10" s="8" t="n">
        <v>3474392048.7558</v>
      </c>
      <c r="AJ10" s="8" t="n">
        <v>3898703039.9926</v>
      </c>
      <c r="AK10" s="8" t="n">
        <v>2872461369.1517</v>
      </c>
      <c r="AL10" s="8"/>
      <c r="AM10" s="8"/>
    </row>
    <row r="11">
      <c r="A11" t="str">
        <f>M11</f>
      </c>
      <c r="M11" t="s">
        <v>90</v>
      </c>
      <c r="N11" s="8" t="n">
        <v>3241769160</v>
      </c>
      <c r="O11" s="8" t="n">
        <v>3590899388</v>
      </c>
      <c r="P11" s="8" t="n">
        <v>5986056553.9302</v>
      </c>
      <c r="Q11" s="8" t="n">
        <v>5498145365.0506</v>
      </c>
      <c r="R11" s="8" t="n">
        <v>6283546704.2886</v>
      </c>
      <c r="S11" s="8" t="n">
        <v>6155650284.1433</v>
      </c>
      <c r="T11" s="8" t="n">
        <v>5923255545.4254</v>
      </c>
      <c r="U11" s="8" t="n">
        <v>6183080910.4817</v>
      </c>
      <c r="V11" s="8" t="n">
        <v>6731646893.5564</v>
      </c>
      <c r="W11" s="8" t="n">
        <v>6834872895.5357</v>
      </c>
      <c r="X11" s="8" t="n">
        <v>5777988913.6845</v>
      </c>
      <c r="Y11" s="8" t="n">
        <v>5164896685.6193</v>
      </c>
      <c r="Z11" s="8" t="n">
        <v>4345133343.9944</v>
      </c>
      <c r="AA11" s="8" t="n">
        <v>3732630593.3085</v>
      </c>
      <c r="AB11" s="8" t="n">
        <v>4030285438.5028</v>
      </c>
      <c r="AC11" s="8" t="n">
        <v>3781567578.385</v>
      </c>
      <c r="AD11" s="8" t="n">
        <v>5455819942.2648</v>
      </c>
      <c r="AE11" s="8" t="n">
        <v>4520134234.0561</v>
      </c>
      <c r="AF11" s="8" t="n">
        <v>5153895419.7945</v>
      </c>
      <c r="AG11" s="8" t="n">
        <v>6364562330.0635</v>
      </c>
      <c r="AH11" s="8" t="n">
        <v>4384968209.9923</v>
      </c>
      <c r="AI11" s="8" t="n">
        <v>3697276523.68</v>
      </c>
      <c r="AJ11" s="8" t="n">
        <v>6009592010.6785</v>
      </c>
      <c r="AK11" s="8" t="n">
        <v>882819464.4548</v>
      </c>
      <c r="AL11" s="8"/>
      <c r="AM11" s="8"/>
    </row>
    <row r="12">
      <c r="A12" t="str">
        <f>M12</f>
      </c>
      <c r="M12" t="s">
        <v>91</v>
      </c>
      <c r="N12" s="8" t="n">
        <v>799381447</v>
      </c>
      <c r="O12" s="8" t="n">
        <v>-163730449</v>
      </c>
      <c r="P12" s="8" t="n">
        <v>322018341</v>
      </c>
      <c r="Q12" s="8" t="n">
        <v>495241183</v>
      </c>
      <c r="R12" s="8" t="n">
        <v>662918485.5</v>
      </c>
      <c r="S12" s="8" t="n">
        <v>254561498</v>
      </c>
      <c r="T12" s="8" t="n">
        <v>519059687.7232</v>
      </c>
      <c r="U12" s="8" t="n">
        <v>244405488.8304</v>
      </c>
      <c r="V12" s="8" t="n">
        <v>369723021.1117</v>
      </c>
      <c r="W12" s="8" t="n">
        <v>613004300.5116</v>
      </c>
      <c r="X12" s="8" t="n">
        <v>766892525.0278</v>
      </c>
      <c r="Y12" s="8" t="n">
        <v>610584703.0686</v>
      </c>
      <c r="Z12" s="8" t="n">
        <v>500766683.6852</v>
      </c>
      <c r="AA12" s="8" t="n">
        <v>802752448.6</v>
      </c>
      <c r="AB12" s="8" t="n">
        <v>565019323.22</v>
      </c>
      <c r="AC12" s="8" t="n">
        <v>567665379.7937</v>
      </c>
      <c r="AD12" s="8" t="n">
        <v>546997271.0268</v>
      </c>
      <c r="AE12" s="8" t="n">
        <v>862655627.3651</v>
      </c>
      <c r="AF12" s="8" t="n">
        <v>959775282.2565</v>
      </c>
      <c r="AG12" s="8" t="n">
        <v>284350417.6854</v>
      </c>
      <c r="AH12" s="8" t="n">
        <v>203043760.2614</v>
      </c>
      <c r="AI12" s="8" t="n">
        <v>1347749661.3728</v>
      </c>
      <c r="AJ12" s="8" t="n">
        <v>611215056.8809</v>
      </c>
      <c r="AK12" s="8" t="n">
        <v>93147879.0459</v>
      </c>
      <c r="AL12" s="8"/>
      <c r="AM12" s="8"/>
    </row>
    <row r="13">
      <c r="A13" t="str">
        <f>M13</f>
      </c>
      <c r="M13" t="s">
        <v>92</v>
      </c>
      <c r="N13" s="8" t="n">
        <v>313214195</v>
      </c>
      <c r="O13" s="8" t="n">
        <v>234104754</v>
      </c>
      <c r="P13" s="8" t="n">
        <v>329758136</v>
      </c>
      <c r="Q13" s="8" t="n">
        <v>1864265768</v>
      </c>
      <c r="R13" s="8" t="n">
        <v>1922835145</v>
      </c>
      <c r="S13" s="8" t="n">
        <v>1979860620</v>
      </c>
      <c r="T13" s="8" t="n">
        <v>1713867759.43</v>
      </c>
      <c r="U13" s="8" t="n">
        <v>1871715663.8371</v>
      </c>
      <c r="V13" s="8" t="n">
        <v>1907001436.654</v>
      </c>
      <c r="W13" s="8" t="n">
        <v>3284021214.2525</v>
      </c>
      <c r="X13" s="8" t="n">
        <v>3217906752.878</v>
      </c>
      <c r="Y13" s="8" t="n">
        <v>4189896050.9578</v>
      </c>
      <c r="Z13" s="8" t="n">
        <v>3439905749.7264</v>
      </c>
      <c r="AA13" s="8" t="n">
        <v>2886520856.36</v>
      </c>
      <c r="AB13" s="8" t="n">
        <v>1651617818.33</v>
      </c>
      <c r="AC13" s="8" t="n">
        <v>137593597</v>
      </c>
      <c r="AD13" s="8" t="n">
        <v>275782321.66</v>
      </c>
      <c r="AE13" s="8" t="n">
        <v>93641625.332</v>
      </c>
      <c r="AF13" s="8" t="n">
        <v>91699758.5</v>
      </c>
      <c r="AG13" s="8" t="n">
        <v>112680691</v>
      </c>
      <c r="AH13" s="8" t="n">
        <v>72284831</v>
      </c>
      <c r="AI13" s="8" t="n">
        <v>111168513</v>
      </c>
      <c r="AJ13" s="8" t="n">
        <v>75388998.6328</v>
      </c>
      <c r="AK13" s="8" t="n">
        <v>0</v>
      </c>
      <c r="AL13" s="8"/>
      <c r="AM13" s="8"/>
    </row>
    <row r="14">
      <c r="A14" t="str">
        <f>M14</f>
      </c>
      <c r="M14"/>
      <c r="N14" s="8" t="n">
        <v>0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>
      <c r="A15" t="str">
        <f>M15</f>
      </c>
      <c r="M15" t="s">
        <v>256</v>
      </c>
      <c r="N15" s="8" t="str">
        <f>Sum(N2:N14)</f>
      </c>
      <c r="O15" s="8" t="str">
        <f>Sum(O2:O14)</f>
      </c>
      <c r="P15" s="8" t="str">
        <f>Sum(P2:P14)</f>
      </c>
      <c r="Q15" s="8" t="str">
        <f>Sum(Q2:Q14)</f>
      </c>
      <c r="R15" s="8" t="str">
        <f>Sum(R2:R14)</f>
      </c>
      <c r="S15" s="8" t="str">
        <f>Sum(S2:S14)</f>
      </c>
      <c r="T15" s="8" t="str">
        <f>Sum(T2:T14)</f>
      </c>
      <c r="U15" s="8" t="str">
        <f>Sum(U2:U14)</f>
      </c>
      <c r="V15" s="8" t="str">
        <f>Sum(V2:V14)</f>
      </c>
      <c r="W15" s="8" t="str">
        <f>Sum(W2:W14)</f>
      </c>
      <c r="X15" s="8" t="str">
        <f>Sum(X2:X14)</f>
      </c>
      <c r="Y15" s="8" t="str">
        <f>Sum(Y2:Y14)</f>
      </c>
      <c r="Z15" s="8" t="str">
        <f>Sum(Z2:Z14)</f>
      </c>
      <c r="AA15" s="8" t="str">
        <f>Sum(AA2:AA14)</f>
      </c>
      <c r="AB15" s="8" t="str">
        <f>Sum(AB2:AB14)</f>
      </c>
      <c r="AC15" s="8" t="str">
        <f>Sum(AC2:AC14)</f>
      </c>
      <c r="AD15" s="8" t="str">
        <f>Sum(AD2:AD14)</f>
      </c>
      <c r="AE15" s="8" t="str">
        <f>Sum(AE2:AE14)</f>
      </c>
      <c r="AF15" s="8" t="str">
        <f>Sum(AF2:AF14)</f>
      </c>
      <c r="AG15" s="8" t="str">
        <f>Sum(AG2:AG14)</f>
      </c>
      <c r="AH15" s="8" t="str">
        <f>Sum(AH2:AH14)</f>
      </c>
      <c r="AI15" s="8" t="str">
        <f>Sum(AI2:AI14)</f>
      </c>
      <c r="AJ15" s="8" t="str">
        <f>Sum(AJ2:AJ14)</f>
      </c>
      <c r="AK15" s="8" t="str">
        <f>Sum(AK2:AK14)</f>
      </c>
      <c r="AL15" s="8"/>
      <c r="AM15" s="8"/>
    </row>
    <row r="18">
      <c r="A18" t="str">
        <f>M18</f>
      </c>
      <c r="B18" t="str">
        <f>AC18</f>
      </c>
      <c r="C18" t="str">
        <f>AI18</f>
      </c>
      <c r="D18" t="str">
        <f>AJ18</f>
      </c>
      <c r="E18" t="str">
        <f>AK18</f>
      </c>
      <c r="F18" t="str">
        <f>AI18&amp;"-"&amp;AJ18</f>
      </c>
      <c r="G18" t="str">
        <f>AC18&amp;"-"&amp;AJ18</f>
      </c>
      <c r="H18" t="str">
        <f>AK18&amp;"/"&amp;AJ18</f>
      </c>
      <c r="I18" t="str">
        <f>"Share "&amp;AJ18</f>
      </c>
      <c r="J18" t="str">
        <f>"Share "&amp;AK18</f>
      </c>
      <c r="M18" t="s">
        <v>80</v>
      </c>
      <c r="N18" t="s">
        <v>11</v>
      </c>
      <c r="O18" t="s">
        <v>12</v>
      </c>
      <c r="P18" t="s">
        <v>13</v>
      </c>
      <c r="Q18" t="s">
        <v>14</v>
      </c>
      <c r="R18" t="s">
        <v>15</v>
      </c>
      <c r="S18" t="s">
        <v>16</v>
      </c>
      <c r="T18" t="s">
        <v>17</v>
      </c>
      <c r="U18" t="s">
        <v>18</v>
      </c>
      <c r="V18" t="s">
        <v>19</v>
      </c>
      <c r="W18" t="s">
        <v>20</v>
      </c>
      <c r="X18" t="s">
        <v>21</v>
      </c>
      <c r="Y18" t="s">
        <v>22</v>
      </c>
      <c r="Z18" t="s">
        <v>23</v>
      </c>
      <c r="AA18" t="s">
        <v>24</v>
      </c>
      <c r="AB18" t="s">
        <v>25</v>
      </c>
      <c r="AC18" t="s">
        <v>26</v>
      </c>
      <c r="AD18" t="s">
        <v>27</v>
      </c>
      <c r="AE18" t="s">
        <v>28</v>
      </c>
      <c r="AF18" t="s">
        <v>29</v>
      </c>
      <c r="AG18" t="s">
        <v>30</v>
      </c>
      <c r="AH18" t="s">
        <v>31</v>
      </c>
      <c r="AI18" t="s">
        <v>32</v>
      </c>
      <c r="AJ18" t="s">
        <v>33</v>
      </c>
      <c r="AK18" t="s">
        <v>34</v>
      </c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AJ19/Sum(AJ$18:AJ$31)</f>
      </c>
      <c r="J19" s="6" t="str">
        <f>AK19/Sum(AK18:AK$31)</f>
      </c>
      <c r="M19" t="s">
        <v>81</v>
      </c>
      <c r="N19" s="8" t="n">
        <v>381362456.93211</v>
      </c>
      <c r="O19" s="8" t="n">
        <v>6367728639.63129</v>
      </c>
      <c r="P19" s="8" t="n">
        <v>961906148.599726</v>
      </c>
      <c r="Q19" s="8" t="n">
        <v>64113853.7519198</v>
      </c>
      <c r="R19" s="8" t="n">
        <v>752978462.41493</v>
      </c>
      <c r="S19" s="8" t="n">
        <v>1163102753.10684</v>
      </c>
      <c r="T19" s="8" t="n">
        <v>2741241825.41176</v>
      </c>
      <c r="U19" s="8" t="n">
        <v>1560601112.63442</v>
      </c>
      <c r="V19" s="8" t="n">
        <v>3647238741.07732</v>
      </c>
      <c r="W19" s="8" t="n">
        <v>3475458927.10123</v>
      </c>
      <c r="X19" s="8" t="n">
        <v>2796996327.28583</v>
      </c>
      <c r="Y19" s="8" t="n">
        <v>2575391944.66775</v>
      </c>
      <c r="Z19" s="8" t="n">
        <v>1845481221.44169</v>
      </c>
      <c r="AA19" s="8" t="n">
        <v>920506358.38353</v>
      </c>
      <c r="AB19" s="8" t="n">
        <v>1455374428.15436</v>
      </c>
      <c r="AC19" s="8" t="n">
        <v>1392039307.18894</v>
      </c>
      <c r="AD19" s="8" t="n">
        <v>749118969.701694</v>
      </c>
      <c r="AE19" s="8" t="n">
        <v>405163937.100276</v>
      </c>
      <c r="AF19" s="8" t="n">
        <v>190955521.397823</v>
      </c>
      <c r="AG19" s="8" t="n">
        <v>30620329.7353405</v>
      </c>
      <c r="AH19" s="8" t="n">
        <v>49773874.9749895</v>
      </c>
      <c r="AI19" s="8" t="n">
        <v>38873265.9522397</v>
      </c>
      <c r="AJ19" s="8" t="n">
        <v>70036501.125</v>
      </c>
      <c r="AK19" s="8" t="n">
        <v>5829428.7506263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AJ20/Sum(AJ$18:AJ$31)</f>
      </c>
      <c r="J20" s="6" t="str">
        <f>AK20/Sum(AK18:AK$31)</f>
      </c>
      <c r="M20" t="s">
        <v>82</v>
      </c>
      <c r="N20" s="8" t="n">
        <v>1754165399.73234</v>
      </c>
      <c r="O20" s="8" t="n">
        <v>761834282.404576</v>
      </c>
      <c r="P20" s="8" t="n">
        <v>1618024645.24798</v>
      </c>
      <c r="Q20" s="8" t="n">
        <v>1093623437.22607</v>
      </c>
      <c r="R20" s="8" t="n">
        <v>1918625143.68121</v>
      </c>
      <c r="S20" s="8" t="n">
        <v>1038699861.14481</v>
      </c>
      <c r="T20" s="8" t="n">
        <v>4590818542.55284</v>
      </c>
      <c r="U20" s="8" t="n">
        <v>3481843781.52747</v>
      </c>
      <c r="V20" s="8" t="n">
        <v>2876364079.53806</v>
      </c>
      <c r="W20" s="8" t="n">
        <v>1981242431.55652</v>
      </c>
      <c r="X20" s="8" t="n">
        <v>349569859.371159</v>
      </c>
      <c r="Y20" s="8" t="n">
        <v>2363711267.72306</v>
      </c>
      <c r="Z20" s="8" t="n">
        <v>4851788966.44169</v>
      </c>
      <c r="AA20" s="8" t="n">
        <v>2059709860.45837</v>
      </c>
      <c r="AB20" s="8" t="n">
        <v>170504050.69374</v>
      </c>
      <c r="AC20" s="8" t="n">
        <v>199933180.055009</v>
      </c>
      <c r="AD20" s="8" t="n">
        <v>1024549241.02348</v>
      </c>
      <c r="AE20" s="8" t="n">
        <v>128133530.124972</v>
      </c>
      <c r="AF20" s="8" t="n">
        <v>44776203.5471131</v>
      </c>
      <c r="AG20" s="8" t="n">
        <v>12257114.9904025</v>
      </c>
      <c r="AH20" s="8" t="n">
        <v>3002770.03990328</v>
      </c>
      <c r="AI20" s="8" t="n">
        <v>24200586.2655808</v>
      </c>
      <c r="AJ20" s="8" t="n">
        <v>-973045.9531</v>
      </c>
      <c r="AK20" s="8"/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AJ21/Sum(AJ$18:AJ$31)</f>
      </c>
      <c r="J21" s="6" t="str">
        <f>AK21/Sum(AK18:AK$31)</f>
      </c>
      <c r="M21" t="s">
        <v>83</v>
      </c>
      <c r="N21" s="8"/>
      <c r="O21" s="8"/>
      <c r="P21" s="8"/>
      <c r="Q21" s="8" t="n">
        <v>283380.596093617</v>
      </c>
      <c r="R21" s="8" t="n">
        <v>25257.3990010833</v>
      </c>
      <c r="S21" s="8" t="n">
        <v>177900.125781737</v>
      </c>
      <c r="T21" s="8" t="n">
        <v>74112158.0227858</v>
      </c>
      <c r="U21" s="8" t="n">
        <v>105977007.098032</v>
      </c>
      <c r="V21" s="8" t="n">
        <v>179706609.94186</v>
      </c>
      <c r="W21" s="8" t="n">
        <v>1492627783.95967</v>
      </c>
      <c r="X21" s="8" t="n">
        <v>423528894.623313</v>
      </c>
      <c r="Y21" s="8" t="n">
        <v>3084292162.6036</v>
      </c>
      <c r="Z21" s="8" t="n">
        <v>3452166806.86147</v>
      </c>
      <c r="AA21" s="8" t="n">
        <v>8312714259.03386</v>
      </c>
      <c r="AB21" s="8" t="n">
        <v>12398362849.8493</v>
      </c>
      <c r="AC21" s="8" t="n">
        <v>10581660722.5664</v>
      </c>
      <c r="AD21" s="8" t="n">
        <v>11823267601.3087</v>
      </c>
      <c r="AE21" s="8" t="n">
        <v>15565002037.6469</v>
      </c>
      <c r="AF21" s="8" t="n">
        <v>16521089027.1484</v>
      </c>
      <c r="AG21" s="8" t="n">
        <v>16988868065.3471</v>
      </c>
      <c r="AH21" s="8" t="n">
        <v>26599408338.9098</v>
      </c>
      <c r="AI21" s="8" t="n">
        <v>16915813565.2091</v>
      </c>
      <c r="AJ21" s="8" t="n">
        <v>15909335236.8888</v>
      </c>
      <c r="AK21" s="8" t="n">
        <v>13026952423.2681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AJ22/Sum(AJ$18:AJ$31)</f>
      </c>
      <c r="J22" s="6" t="str">
        <f>AK22/Sum(AK18:AK$31)</f>
      </c>
      <c r="M22" t="s">
        <v>84</v>
      </c>
      <c r="N22" s="8" t="n">
        <v>1922023266.60966</v>
      </c>
      <c r="O22" s="8" t="n">
        <v>1283241740.38333</v>
      </c>
      <c r="P22" s="8" t="n">
        <v>2182876985.59863</v>
      </c>
      <c r="Q22" s="8" t="n">
        <v>2012331174.10317</v>
      </c>
      <c r="R22" s="8" t="n">
        <v>2564482206.58634</v>
      </c>
      <c r="S22" s="8" t="n">
        <v>2739736497.47335</v>
      </c>
      <c r="T22" s="8" t="n">
        <v>630004101.646915</v>
      </c>
      <c r="U22" s="8" t="n">
        <v>1738891819.56039</v>
      </c>
      <c r="V22" s="8" t="n">
        <v>1428031302.02152</v>
      </c>
      <c r="W22" s="8" t="n">
        <v>840981725.391515</v>
      </c>
      <c r="X22" s="8" t="n">
        <v>237147143.787048</v>
      </c>
      <c r="Y22" s="8" t="n">
        <v>7488426173.16757</v>
      </c>
      <c r="Z22" s="8" t="n">
        <v>1299795183.84329</v>
      </c>
      <c r="AA22" s="8" t="n">
        <v>573026143.494639</v>
      </c>
      <c r="AB22" s="8" t="n">
        <v>-19653107.9687788</v>
      </c>
      <c r="AC22" s="8" t="n">
        <v>116918315.12823</v>
      </c>
      <c r="AD22" s="8" t="n">
        <v>279641715.719332</v>
      </c>
      <c r="AE22" s="8" t="n">
        <v>198441975.602603</v>
      </c>
      <c r="AF22" s="8" t="n">
        <v>143508817.04536</v>
      </c>
      <c r="AG22" s="8" t="n">
        <v>50586260.2048561</v>
      </c>
      <c r="AH22" s="8" t="n">
        <v>79197003.4752016</v>
      </c>
      <c r="AI22" s="8" t="n">
        <v>2307291.66372613</v>
      </c>
      <c r="AJ22" s="8" t="n">
        <v>-20036115.875</v>
      </c>
      <c r="AK22" s="8" t="n">
        <v>-384365.486138363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AJ23/Sum(AJ$18:AJ$31)</f>
      </c>
      <c r="J23" s="6" t="str">
        <f>AK23/Sum(AK18:AK$31)</f>
      </c>
      <c r="M23" t="s">
        <v>85</v>
      </c>
      <c r="N23" s="8" t="n">
        <v>972934361.43529</v>
      </c>
      <c r="O23" s="8" t="n">
        <v>2905957517.20292</v>
      </c>
      <c r="P23" s="8" t="n">
        <v>2283960904.97326</v>
      </c>
      <c r="Q23" s="8" t="n">
        <v>366058422.93777</v>
      </c>
      <c r="R23" s="8" t="n">
        <v>727909238.473802</v>
      </c>
      <c r="S23" s="8" t="n">
        <v>738943867.51888</v>
      </c>
      <c r="T23" s="8" t="n">
        <v>506967887.550256</v>
      </c>
      <c r="U23" s="8" t="n">
        <v>1533981388.88205</v>
      </c>
      <c r="V23" s="8" t="n">
        <v>1311219256.95405</v>
      </c>
      <c r="W23" s="8" t="n">
        <v>1040389533.2133</v>
      </c>
      <c r="X23" s="8" t="n">
        <v>424257437.844103</v>
      </c>
      <c r="Y23" s="8" t="n">
        <v>447280426.513266</v>
      </c>
      <c r="Z23" s="8" t="n">
        <v>324487674.676433</v>
      </c>
      <c r="AA23" s="8" t="n">
        <v>248842532.491798</v>
      </c>
      <c r="AB23" s="8" t="n">
        <v>214210460.42762</v>
      </c>
      <c r="AC23" s="8" t="n">
        <v>162687276.879003</v>
      </c>
      <c r="AD23" s="8" t="n">
        <v>222901166.352812</v>
      </c>
      <c r="AE23" s="8" t="n">
        <v>452668345.360277</v>
      </c>
      <c r="AF23" s="8" t="n">
        <v>386667873.99542</v>
      </c>
      <c r="AG23" s="8" t="n">
        <v>605731423.435879</v>
      </c>
      <c r="AH23" s="8" t="n">
        <v>453543894.732118</v>
      </c>
      <c r="AI23" s="8" t="n">
        <v>421452791.197444</v>
      </c>
      <c r="AJ23" s="8" t="n">
        <v>415429716.0781</v>
      </c>
      <c r="AK23" s="8" t="n">
        <v>198281206.850513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AJ24/Sum(AJ$18:AJ$31)</f>
      </c>
      <c r="J24" s="6" t="str">
        <f>AK24/Sum(AK18:AK$31)</f>
      </c>
      <c r="M24" t="s">
        <v>86</v>
      </c>
      <c r="N24" s="8" t="n">
        <v>34606357.3451662</v>
      </c>
      <c r="O24" s="8" t="n">
        <v>48988361.7017778</v>
      </c>
      <c r="P24" s="8" t="n">
        <v>79636263.7817895</v>
      </c>
      <c r="Q24" s="8" t="n">
        <v>75796412.162868</v>
      </c>
      <c r="R24" s="8" t="n">
        <v>106847179.720599</v>
      </c>
      <c r="S24" s="8" t="n">
        <v>213974755.702332</v>
      </c>
      <c r="T24" s="8" t="n">
        <v>256296314.298742</v>
      </c>
      <c r="U24" s="8" t="n">
        <v>368681631.031262</v>
      </c>
      <c r="V24" s="8" t="n">
        <v>281524597.045628</v>
      </c>
      <c r="W24" s="8" t="n">
        <v>408607192.797509</v>
      </c>
      <c r="X24" s="8" t="n">
        <v>960197801.841877</v>
      </c>
      <c r="Y24" s="8" t="n">
        <v>897858070.944681</v>
      </c>
      <c r="Z24" s="8" t="n">
        <v>1233244604.57965</v>
      </c>
      <c r="AA24" s="8" t="n">
        <v>1041729694.17415</v>
      </c>
      <c r="AB24" s="8" t="n">
        <v>999387210.235586</v>
      </c>
      <c r="AC24" s="8" t="n">
        <v>1239775586.60627</v>
      </c>
      <c r="AD24" s="8" t="n">
        <v>1420704370.31393</v>
      </c>
      <c r="AE24" s="8" t="n">
        <v>2023692342.26553</v>
      </c>
      <c r="AF24" s="8" t="n">
        <v>3786786669.58781</v>
      </c>
      <c r="AG24" s="8" t="n">
        <v>4367527428.00871</v>
      </c>
      <c r="AH24" s="8" t="n">
        <v>4219563729.02466</v>
      </c>
      <c r="AI24" s="8" t="n">
        <v>3659046237.5234</v>
      </c>
      <c r="AJ24" s="8" t="n">
        <v>4144764422.1977</v>
      </c>
      <c r="AK24" s="8" t="n">
        <v>2311989132.78638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AJ25/Sum(AJ$18:AJ$31)</f>
      </c>
      <c r="J25" s="6" t="str">
        <f>AK25/Sum(AK18:AK$31)</f>
      </c>
      <c r="M25" t="s">
        <v>87</v>
      </c>
      <c r="N25" s="8" t="n">
        <v>1024935178.93007</v>
      </c>
      <c r="O25" s="8" t="n">
        <v>973156121.991279</v>
      </c>
      <c r="P25" s="8" t="n">
        <v>935643634.232211</v>
      </c>
      <c r="Q25" s="8" t="n">
        <v>1647807864.38092</v>
      </c>
      <c r="R25" s="8" t="n">
        <v>1208171446.86742</v>
      </c>
      <c r="S25" s="8" t="n">
        <v>949545263.688318</v>
      </c>
      <c r="T25" s="8" t="n">
        <v>1277963792.63955</v>
      </c>
      <c r="U25" s="8" t="n">
        <v>1280951882.78509</v>
      </c>
      <c r="V25" s="8" t="n">
        <v>1236390414.35077</v>
      </c>
      <c r="W25" s="8" t="n">
        <v>1268692624.47401</v>
      </c>
      <c r="X25" s="8" t="n">
        <v>1572019137.5575</v>
      </c>
      <c r="Y25" s="8" t="n">
        <v>1775402830.91448</v>
      </c>
      <c r="Z25" s="8" t="n">
        <v>1701411940.81659</v>
      </c>
      <c r="AA25" s="8" t="n">
        <v>1755950147.91964</v>
      </c>
      <c r="AB25" s="8" t="n">
        <v>1913502344.99919</v>
      </c>
      <c r="AC25" s="8" t="n">
        <v>1585463365.50001</v>
      </c>
      <c r="AD25" s="8" t="n">
        <v>1872595562.31078</v>
      </c>
      <c r="AE25" s="8" t="n">
        <v>1694937697.39855</v>
      </c>
      <c r="AF25" s="8" t="n">
        <v>2645402820.57039</v>
      </c>
      <c r="AG25" s="8" t="n">
        <v>1801852869.59006</v>
      </c>
      <c r="AH25" s="8" t="n">
        <v>2037924935.27884</v>
      </c>
      <c r="AI25" s="8" t="n">
        <v>1971305848.79164</v>
      </c>
      <c r="AJ25" s="8" t="n">
        <v>1672112727.1595</v>
      </c>
      <c r="AK25" s="8" t="n">
        <v>1391936073.16432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AJ26/Sum(AJ$18:AJ$31)</f>
      </c>
      <c r="J26" s="6" t="str">
        <f>AK26/Sum(AK18:AK$31)</f>
      </c>
      <c r="M26" t="s">
        <v>88</v>
      </c>
      <c r="N26" s="8" t="n">
        <v>779135471.968562</v>
      </c>
      <c r="O26" s="8" t="n">
        <v>863789041.912444</v>
      </c>
      <c r="P26" s="8" t="n">
        <v>1005911505.79144</v>
      </c>
      <c r="Q26" s="8" t="n">
        <v>1039599278.24433</v>
      </c>
      <c r="R26" s="8" t="n">
        <v>896031303.072798</v>
      </c>
      <c r="S26" s="8" t="n">
        <v>1091879127.56403</v>
      </c>
      <c r="T26" s="8" t="n">
        <v>833359574.745561</v>
      </c>
      <c r="U26" s="8" t="n">
        <v>934595215.514729</v>
      </c>
      <c r="V26" s="8" t="n">
        <v>809941412.309095</v>
      </c>
      <c r="W26" s="8" t="n">
        <v>1202520884.53802</v>
      </c>
      <c r="X26" s="8" t="n">
        <v>1202420655.2326</v>
      </c>
      <c r="Y26" s="8" t="n">
        <v>1539276418.50222</v>
      </c>
      <c r="Z26" s="8" t="n">
        <v>1687843660.50246</v>
      </c>
      <c r="AA26" s="8" t="n">
        <v>1368155886.05915</v>
      </c>
      <c r="AB26" s="8" t="n">
        <v>1643178366.42912</v>
      </c>
      <c r="AC26" s="8" t="n">
        <v>1752131017.18393</v>
      </c>
      <c r="AD26" s="8" t="n">
        <v>1394407732.31661</v>
      </c>
      <c r="AE26" s="8" t="n">
        <v>1246762502.07773</v>
      </c>
      <c r="AF26" s="8" t="n">
        <v>1993991561.00123</v>
      </c>
      <c r="AG26" s="8" t="n">
        <v>1963453771.10954</v>
      </c>
      <c r="AH26" s="8" t="n">
        <v>2247031101.49766</v>
      </c>
      <c r="AI26" s="8" t="n">
        <v>1914076125.25999</v>
      </c>
      <c r="AJ26" s="8" t="n">
        <v>1597905953.3138</v>
      </c>
      <c r="AK26" s="8" t="n">
        <v>1008068736.97787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AJ27/Sum(AJ$18:AJ$31)</f>
      </c>
      <c r="J27" s="6" t="str">
        <f>AK27/Sum(AK18:AK$31)</f>
      </c>
      <c r="M27" t="s">
        <v>89</v>
      </c>
      <c r="N27" s="8" t="n">
        <v>1211841811.5617</v>
      </c>
      <c r="O27" s="8" t="n">
        <v>587271480.824863</v>
      </c>
      <c r="P27" s="8" t="n">
        <v>339469592.623687</v>
      </c>
      <c r="Q27" s="8" t="n">
        <v>1037647483.62663</v>
      </c>
      <c r="R27" s="8" t="n">
        <v>710419322.653976</v>
      </c>
      <c r="S27" s="8" t="n">
        <v>223868410.134385</v>
      </c>
      <c r="T27" s="8" t="n">
        <v>1201306636.70995</v>
      </c>
      <c r="U27" s="8" t="n">
        <v>1178268834.92022</v>
      </c>
      <c r="V27" s="8" t="n">
        <v>2019250691.79619</v>
      </c>
      <c r="W27" s="8" t="n">
        <v>2501102478.1133</v>
      </c>
      <c r="X27" s="8" t="n">
        <v>2237256269.52441</v>
      </c>
      <c r="Y27" s="8" t="n">
        <v>3455231653.84942</v>
      </c>
      <c r="Z27" s="8" t="n">
        <v>3170420354.59732</v>
      </c>
      <c r="AA27" s="8" t="n">
        <v>3047727547.07272</v>
      </c>
      <c r="AB27" s="8" t="n">
        <v>2553773504.24307</v>
      </c>
      <c r="AC27" s="8" t="n">
        <v>3349663651.03391</v>
      </c>
      <c r="AD27" s="8" t="n">
        <v>3070411769.44053</v>
      </c>
      <c r="AE27" s="8" t="n">
        <v>3683304528.24821</v>
      </c>
      <c r="AF27" s="8" t="n">
        <v>2953779801.80125</v>
      </c>
      <c r="AG27" s="8" t="n">
        <v>3907954938.98138</v>
      </c>
      <c r="AH27" s="8" t="n">
        <v>3461152351.52016</v>
      </c>
      <c r="AI27" s="8" t="n">
        <v>3715124317.63818</v>
      </c>
      <c r="AJ27" s="8" t="n">
        <v>3898703039.9926</v>
      </c>
      <c r="AK27" s="8" t="n">
        <v>2739748998.88745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AJ28/Sum(AJ$18:AJ$31)</f>
      </c>
      <c r="J28" s="6" t="str">
        <f>AK28/Sum(AK18:AK$31)</f>
      </c>
      <c r="M28" t="s">
        <v>90</v>
      </c>
      <c r="N28" s="8" t="n">
        <v>5237823846.22696</v>
      </c>
      <c r="O28" s="8" t="n">
        <v>5664561695.89444</v>
      </c>
      <c r="P28" s="8" t="n">
        <v>9296141347.06558</v>
      </c>
      <c r="Q28" s="8" t="n">
        <v>8378284682.37248</v>
      </c>
      <c r="R28" s="8" t="n">
        <v>9346645833.46048</v>
      </c>
      <c r="S28" s="8" t="n">
        <v>8886633501.99609</v>
      </c>
      <c r="T28" s="8" t="n">
        <v>8281509608.66438</v>
      </c>
      <c r="U28" s="8" t="n">
        <v>8414041268.59419</v>
      </c>
      <c r="V28" s="8" t="n">
        <v>8973391478.30344</v>
      </c>
      <c r="W28" s="8" t="n">
        <v>9019339246.19445</v>
      </c>
      <c r="X28" s="8" t="n">
        <v>7558925240.12556</v>
      </c>
      <c r="Y28" s="8" t="n">
        <v>6623375145.8498</v>
      </c>
      <c r="Z28" s="8" t="n">
        <v>5471826419.04812</v>
      </c>
      <c r="AA28" s="8" t="n">
        <v>4616028384.62508</v>
      </c>
      <c r="AB28" s="8" t="n">
        <v>4889536082.61833</v>
      </c>
      <c r="AC28" s="8" t="n">
        <v>4535792031.62578</v>
      </c>
      <c r="AD28" s="8" t="n">
        <v>6490188982.6786</v>
      </c>
      <c r="AE28" s="8" t="n">
        <v>5282788903.74554</v>
      </c>
      <c r="AF28" s="8" t="n">
        <v>5885292438.77227</v>
      </c>
      <c r="AG28" s="8" t="n">
        <v>7128151319.50342</v>
      </c>
      <c r="AH28" s="8" t="n">
        <v>4846402027.25715</v>
      </c>
      <c r="AI28" s="8" t="n">
        <v>3953451921.77585</v>
      </c>
      <c r="AJ28" s="8" t="n">
        <v>6009592010.6785</v>
      </c>
      <c r="AK28" s="8" t="n">
        <v>842031774.530945</v>
      </c>
      <c r="AL28" s="8"/>
      <c r="AM28" s="8"/>
    </row>
    <row r="29">
      <c r="A29" t="str">
        <f>M29</f>
      </c>
      <c r="B29" s="8" t="str">
        <f>AC29</f>
      </c>
      <c r="C29" s="8" t="str">
        <f>AI29</f>
      </c>
      <c r="D29" s="8" t="str">
        <f>AJ29</f>
      </c>
      <c r="E29" s="8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AJ29/Sum(AJ$18:AJ$31)</f>
      </c>
      <c r="J29" s="6" t="str">
        <f>AK29/Sum(AK18:AK$31)</f>
      </c>
      <c r="M29" t="s">
        <v>91</v>
      </c>
      <c r="N29" s="8" t="n">
        <v>1291584625.14586</v>
      </c>
      <c r="O29" s="8" t="n">
        <v>-258281040.386809</v>
      </c>
      <c r="P29" s="8" t="n">
        <v>500083483.561166</v>
      </c>
      <c r="Q29" s="8" t="n">
        <v>754667500.059948</v>
      </c>
      <c r="R29" s="8" t="n">
        <v>986077543.784884</v>
      </c>
      <c r="S29" s="8" t="n">
        <v>367498904.587291</v>
      </c>
      <c r="T29" s="8" t="n">
        <v>725715404.034842</v>
      </c>
      <c r="U29" s="8" t="n">
        <v>332591130.386763</v>
      </c>
      <c r="V29" s="8" t="n">
        <v>492846618.284753</v>
      </c>
      <c r="W29" s="8" t="n">
        <v>808924149.752884</v>
      </c>
      <c r="X29" s="8" t="n">
        <v>1003270056.50132</v>
      </c>
      <c r="Y29" s="8" t="n">
        <v>783003377.00864</v>
      </c>
      <c r="Z29" s="8" t="n">
        <v>630615484.644451</v>
      </c>
      <c r="AA29" s="8" t="n">
        <v>992739033.754853</v>
      </c>
      <c r="AB29" s="8" t="n">
        <v>685480572.137114</v>
      </c>
      <c r="AC29" s="8" t="n">
        <v>680884858.706588</v>
      </c>
      <c r="AD29" s="8" t="n">
        <v>650702497.432436</v>
      </c>
      <c r="AE29" s="8" t="n">
        <v>1008206247.87256</v>
      </c>
      <c r="AF29" s="8" t="n">
        <v>1095978430.19677</v>
      </c>
      <c r="AG29" s="8" t="n">
        <v>318465386.920849</v>
      </c>
      <c r="AH29" s="8" t="n">
        <v>224410222.42998</v>
      </c>
      <c r="AI29" s="8" t="n">
        <v>1441131993.96935</v>
      </c>
      <c r="AJ29" s="8" t="n">
        <v>611215056.8809</v>
      </c>
      <c r="AK29" s="8" t="n">
        <v>88844296.0818166</v>
      </c>
      <c r="AL29" s="8"/>
      <c r="AM29" s="8"/>
    </row>
    <row r="30">
      <c r="A30" t="str">
        <f>M30</f>
      </c>
      <c r="B30" s="8" t="str">
        <f>AC30</f>
      </c>
      <c r="C30" s="8" t="str">
        <f>AI30</f>
      </c>
      <c r="D30" s="8" t="str">
        <f>AJ30</f>
      </c>
      <c r="E30" s="8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AJ30/Sum(AJ$18:AJ$31)</f>
      </c>
      <c r="J30" s="6" t="str">
        <f>AK30/Sum(AK18:AK$31)</f>
      </c>
      <c r="M30" t="s">
        <v>92</v>
      </c>
      <c r="N30" s="8" t="n">
        <v>506069586.875761</v>
      </c>
      <c r="O30" s="8" t="n">
        <v>369294897.753674</v>
      </c>
      <c r="P30" s="8" t="n">
        <v>512103120.808006</v>
      </c>
      <c r="Q30" s="8" t="n">
        <v>2840839645.16315</v>
      </c>
      <c r="R30" s="8" t="n">
        <v>2860177530.65788</v>
      </c>
      <c r="S30" s="8" t="n">
        <v>2858235101.54515</v>
      </c>
      <c r="T30" s="8" t="n">
        <v>2396218128.50222</v>
      </c>
      <c r="U30" s="8" t="n">
        <v>2547062389.54467</v>
      </c>
      <c r="V30" s="8" t="n">
        <v>2542062991.62296</v>
      </c>
      <c r="W30" s="8" t="n">
        <v>4333614081.16152</v>
      </c>
      <c r="X30" s="8" t="n">
        <v>4209754801.89856</v>
      </c>
      <c r="Y30" s="8" t="n">
        <v>5373051012.78722</v>
      </c>
      <c r="Z30" s="8" t="n">
        <v>4331873309.80393</v>
      </c>
      <c r="AA30" s="8" t="n">
        <v>3569670738.2875</v>
      </c>
      <c r="AB30" s="8" t="n">
        <v>2003740191.76664</v>
      </c>
      <c r="AC30" s="8" t="n">
        <v>165036305.166828</v>
      </c>
      <c r="AD30" s="8" t="n">
        <v>328067898.976932</v>
      </c>
      <c r="AE30" s="8" t="n">
        <v>109441205.419398</v>
      </c>
      <c r="AF30" s="8" t="n">
        <v>104713008.584643</v>
      </c>
      <c r="AG30" s="8" t="n">
        <v>126199567.948326</v>
      </c>
      <c r="AH30" s="8" t="n">
        <v>79891423.3175149</v>
      </c>
      <c r="AI30" s="8" t="n">
        <v>118871111.89708</v>
      </c>
      <c r="AJ30" s="8" t="n">
        <v>75388998.6328</v>
      </c>
      <c r="AK30" s="8" t="n">
        <v>0</v>
      </c>
      <c r="AL30" s="8"/>
      <c r="AM30" s="8"/>
    </row>
    <row r="31">
      <c r="A31" t="str">
        <f>M31</f>
      </c>
      <c r="B31" s="8" t="str">
        <f>AC31</f>
      </c>
      <c r="C31" s="8" t="str">
        <f>AI31</f>
      </c>
      <c r="D31" s="8" t="str">
        <f>AJ31</f>
      </c>
      <c r="E31" s="8" t="str">
        <f>AK31</f>
      </c>
      <c r="F31" s="6" t="str">
        <f>AJ31/AI31-1</f>
      </c>
      <c r="G31" s="6" t="str">
        <f>AJ31/AC31-1</f>
      </c>
      <c r="H31" s="6" t="str">
        <f>AK31/AJ31</f>
      </c>
      <c r="I31" s="6" t="str">
        <f>AJ31/Sum(AJ$18:AJ$31)</f>
      </c>
      <c r="J31" s="6" t="str">
        <f>AK31/Sum(AK18:AK$31)</f>
      </c>
      <c r="M31"/>
      <c r="N31" s="8" t="n">
        <v>0</v>
      </c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</row>
    <row r="32">
      <c r="A32" t="str">
        <f>M32</f>
      </c>
      <c r="B32" s="8" t="str">
        <f>AC32</f>
      </c>
      <c r="C32" s="8" t="str">
        <f>AI32</f>
      </c>
      <c r="D32" s="8" t="str">
        <f>AJ32</f>
      </c>
      <c r="E32" s="8" t="str">
        <f>AK32</f>
      </c>
      <c r="F32" s="6" t="str">
        <f>AJ32/AI32-1</f>
      </c>
      <c r="G32" s="6" t="str">
        <f>AJ32/AC32-1</f>
      </c>
      <c r="H32" s="6" t="str">
        <f>AK32/AJ32</f>
      </c>
      <c r="I32" s="6" t="str">
        <f>Sum(I$18:I$31)</f>
      </c>
      <c r="J32" s="6" t="str">
        <f>Sum(J$18:J$31)</f>
      </c>
      <c r="M32" t="s">
        <v>256</v>
      </c>
      <c r="N32" s="8" t="str">
        <f>Sum(N19:N31)</f>
      </c>
      <c r="O32" s="8" t="str">
        <f>Sum(O19:O31)</f>
      </c>
      <c r="P32" s="8" t="str">
        <f>Sum(P19:P31)</f>
      </c>
      <c r="Q32" s="8" t="str">
        <f>Sum(Q19:Q31)</f>
      </c>
      <c r="R32" s="8" t="str">
        <f>Sum(R19:R31)</f>
      </c>
      <c r="S32" s="8" t="str">
        <f>Sum(S19:S31)</f>
      </c>
      <c r="T32" s="8" t="str">
        <f>Sum(T19:T31)</f>
      </c>
      <c r="U32" s="8" t="str">
        <f>Sum(U19:U31)</f>
      </c>
      <c r="V32" s="8" t="str">
        <f>Sum(V19:V31)</f>
      </c>
      <c r="W32" s="8" t="str">
        <f>Sum(W19:W31)</f>
      </c>
      <c r="X32" s="8" t="str">
        <f>Sum(X19:X31)</f>
      </c>
      <c r="Y32" s="8" t="str">
        <f>Sum(Y19:Y31)</f>
      </c>
      <c r="Z32" s="8" t="str">
        <f>Sum(Z19:Z31)</f>
      </c>
      <c r="AA32" s="8" t="str">
        <f>Sum(AA19:AA31)</f>
      </c>
      <c r="AB32" s="8" t="str">
        <f>Sum(AB19:AB31)</f>
      </c>
      <c r="AC32" s="8" t="str">
        <f>Sum(AC19:AC31)</f>
      </c>
      <c r="AD32" s="8" t="str">
        <f>Sum(AD19:AD31)</f>
      </c>
      <c r="AE32" s="8" t="str">
        <f>Sum(AE19:AE31)</f>
      </c>
      <c r="AF32" s="8" t="str">
        <f>Sum(AF19:AF31)</f>
      </c>
      <c r="AG32" s="8" t="str">
        <f>Sum(AG19:AG31)</f>
      </c>
      <c r="AH32" s="8" t="str">
        <f>Sum(AH19:AH31)</f>
      </c>
      <c r="AI32" s="8" t="str">
        <f>Sum(AI19:AI31)</f>
      </c>
      <c r="AJ32" s="8" t="str">
        <f>Sum(AJ19:AJ31)</f>
      </c>
      <c r="AK32" s="8" t="str">
        <f>Sum(AK19:AK31)</f>
      </c>
      <c r="AL32" s="8"/>
      <c r="AM32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2228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 t="n">
        <v>5424.28159143852</v>
      </c>
      <c r="AG2" s="9" t="n">
        <v>-5299.83987237705</v>
      </c>
      <c r="AH2" s="9"/>
      <c r="AI2" s="9"/>
      <c r="AJ2" s="9"/>
      <c r="AK2" s="9"/>
      <c r="AL2" s="9"/>
      <c r="AM2" s="9"/>
    </row>
    <row r="3">
      <c r="M3" t="s">
        <v>96</v>
      </c>
      <c r="N3" t="n">
        <v>1162</v>
      </c>
      <c r="O3" s="9"/>
      <c r="P3" s="9"/>
      <c r="Q3" s="9" t="n">
        <v>77263.1564924904</v>
      </c>
      <c r="R3" s="9" t="n">
        <v>129526.258532291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97</v>
      </c>
      <c r="N4" t="n">
        <v>1148</v>
      </c>
      <c r="O4" s="9" t="n">
        <v>2546270.99441253</v>
      </c>
      <c r="P4" s="9" t="n">
        <v>17950443.6439919</v>
      </c>
      <c r="Q4" s="9" t="n">
        <v>16479755.1405215</v>
      </c>
      <c r="R4" s="9" t="n">
        <v>12153599.6980801</v>
      </c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 t="n">
        <v>0</v>
      </c>
      <c r="AJ4" s="9"/>
      <c r="AK4" s="9"/>
      <c r="AL4" s="9"/>
      <c r="AM4" s="9"/>
    </row>
    <row r="5">
      <c r="M5" t="s">
        <v>98</v>
      </c>
      <c r="N5" t="n">
        <v>1026</v>
      </c>
      <c r="O5" s="9"/>
      <c r="P5" s="9" t="n">
        <v>346899.842859299</v>
      </c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1048</v>
      </c>
      <c r="O6" s="9"/>
      <c r="P6" s="9" t="n">
        <v>-46062.3324821814</v>
      </c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100</v>
      </c>
      <c r="N7" t="n">
        <v>1369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 t="n">
        <v>2795742.96556657</v>
      </c>
      <c r="AB7" s="9" t="n">
        <v>85744.442169482</v>
      </c>
      <c r="AC7" s="9" t="n">
        <v>33969.5568471132</v>
      </c>
      <c r="AD7" s="9" t="n">
        <v>-539751.405184011</v>
      </c>
      <c r="AE7" s="9" t="n">
        <v>-14275.0803025609</v>
      </c>
      <c r="AF7" s="9"/>
      <c r="AG7" s="9"/>
      <c r="AH7" s="9"/>
      <c r="AI7" s="9"/>
      <c r="AJ7" s="9"/>
      <c r="AK7" s="9"/>
      <c r="AL7" s="9"/>
      <c r="AM7" s="9"/>
    </row>
    <row r="8">
      <c r="M8" t="s">
        <v>101</v>
      </c>
      <c r="N8" t="n">
        <v>1143</v>
      </c>
      <c r="O8" s="9"/>
      <c r="P8" s="9" t="n">
        <v>41621.7343336423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2043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 t="n">
        <v>10087360.6944623</v>
      </c>
      <c r="AH9" s="9" t="n">
        <v>111997.509802568</v>
      </c>
      <c r="AI9" s="9" t="n">
        <v>0</v>
      </c>
      <c r="AJ9" s="9" t="n">
        <v>0</v>
      </c>
      <c r="AK9" s="9" t="n">
        <v>0</v>
      </c>
      <c r="AL9" s="9" t="n">
        <v>0</v>
      </c>
      <c r="AM9" s="9"/>
    </row>
    <row r="10">
      <c r="M10" t="s">
        <v>103</v>
      </c>
      <c r="N10" t="n">
        <v>1180</v>
      </c>
      <c r="O10" s="9" t="n">
        <v>15001677.0470052</v>
      </c>
      <c r="P10" s="9" t="n">
        <v>8826326.90972443</v>
      </c>
      <c r="Q10" s="9" t="n">
        <v>3237283.08458498</v>
      </c>
      <c r="R10" s="9" t="n">
        <v>150194.077879037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1183</v>
      </c>
      <c r="O11" s="9" t="n">
        <v>82405.4639983273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1175</v>
      </c>
      <c r="O12" s="9" t="n">
        <v>1299281.24087163</v>
      </c>
      <c r="P12" s="9" t="n">
        <v>1153228.86034558</v>
      </c>
      <c r="Q12" s="9" t="n">
        <v>1883787.94153923</v>
      </c>
      <c r="R12" s="9" t="n">
        <v>3340505.06512282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1172</v>
      </c>
      <c r="O13" s="9" t="n">
        <v>157984.46853638</v>
      </c>
      <c r="P13" s="9" t="n">
        <v>4106023.13457302</v>
      </c>
      <c r="Q13" s="9" t="n">
        <v>3878383.10172398</v>
      </c>
      <c r="R13" s="9" t="n">
        <v>3295835.26815087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1184</v>
      </c>
      <c r="O14" s="9"/>
      <c r="P14" s="9" t="n">
        <v>78416.3886194943</v>
      </c>
      <c r="Q14" s="9" t="n">
        <v>699303.623872034</v>
      </c>
      <c r="R14" s="9" t="n">
        <v>2199532.63512524</v>
      </c>
      <c r="S14" s="9"/>
      <c r="T14" s="9"/>
      <c r="U14" s="9"/>
      <c r="V14" s="9"/>
      <c r="W14" s="9"/>
      <c r="X14" s="9" t="n">
        <v>0</v>
      </c>
      <c r="Y14" s="9" t="n">
        <v>0</v>
      </c>
      <c r="Z14" s="9" t="n">
        <v>0</v>
      </c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1251</v>
      </c>
      <c r="O15" s="9" t="n">
        <v>21940796.5164602</v>
      </c>
      <c r="P15" s="9" t="n">
        <v>23164729.6530405</v>
      </c>
      <c r="Q15" s="9" t="n">
        <v>27084135.7928426</v>
      </c>
      <c r="R15" s="9" t="n">
        <v>62727339.1555417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226</v>
      </c>
      <c r="O16" s="9" t="n">
        <v>97254.0231557059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1101</v>
      </c>
      <c r="O17" s="9" t="n">
        <v>791707.724386894</v>
      </c>
      <c r="P17" s="9" t="n">
        <v>740963.097244361</v>
      </c>
      <c r="Q17" s="9" t="n">
        <v>1785194.79922859</v>
      </c>
      <c r="R17" s="9" t="n">
        <v>2377626.66909213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6</v>
      </c>
      <c r="O18" s="9"/>
      <c r="P18" s="9"/>
      <c r="Q18" s="9"/>
      <c r="R18" s="9"/>
      <c r="S18" s="9"/>
      <c r="T18" s="9"/>
      <c r="U18" s="9"/>
      <c r="V18" s="9" t="n">
        <v>2604853.85087299</v>
      </c>
      <c r="W18" s="9"/>
      <c r="X18" s="9" t="n">
        <v>2889.93712846765</v>
      </c>
      <c r="Y18" s="9" t="n">
        <v>10999.7485756399</v>
      </c>
      <c r="Z18" s="9" t="n">
        <v>1065540.9212029</v>
      </c>
      <c r="AA18" s="9" t="n">
        <v>0</v>
      </c>
      <c r="AB18" s="9" t="n">
        <v>0</v>
      </c>
      <c r="AC18" s="9" t="n">
        <v>-5921.62167752712</v>
      </c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112</v>
      </c>
      <c r="N19" t="n">
        <v>1112</v>
      </c>
      <c r="O19" s="9" t="n">
        <v>190038.93699375</v>
      </c>
      <c r="P19" s="9" t="n">
        <v>664893.99460889</v>
      </c>
      <c r="Q19" s="9" t="n">
        <v>117245.8150199</v>
      </c>
      <c r="R19" s="9" t="n">
        <v>106629.063700453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1105</v>
      </c>
      <c r="O20" s="9" t="n">
        <v>126026.943881995</v>
      </c>
      <c r="P20" s="9" t="n">
        <v>1823312.75474442</v>
      </c>
      <c r="Q20" s="9" t="n">
        <v>5925960.79748629</v>
      </c>
      <c r="R20" s="9" t="n">
        <v>2820201.13227527</v>
      </c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>
      <c r="M21" t="s">
        <v>114</v>
      </c>
      <c r="N21" t="n">
        <v>1102</v>
      </c>
      <c r="O21" s="9"/>
      <c r="P21" s="9"/>
      <c r="Q21" s="9" t="n">
        <v>201885.559254377</v>
      </c>
      <c r="R21" s="9" t="n">
        <v>2594279.90830492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115</v>
      </c>
      <c r="N22" t="n">
        <v>444</v>
      </c>
      <c r="O22" s="9"/>
      <c r="P22" s="9"/>
      <c r="Q22" s="9"/>
      <c r="R22" s="9" t="n">
        <v>438327.525741622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116</v>
      </c>
      <c r="N23" t="n">
        <v>961</v>
      </c>
      <c r="O23" s="9" t="n">
        <v>421482.572242885</v>
      </c>
      <c r="P23" s="9" t="n">
        <v>214954.922454947</v>
      </c>
      <c r="Q23" s="9" t="n">
        <v>876206.621651602</v>
      </c>
      <c r="R23" s="9" t="n">
        <v>4192202.69234439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117</v>
      </c>
      <c r="N24" t="n">
        <v>1080</v>
      </c>
      <c r="O24" s="9"/>
      <c r="P24" s="9"/>
      <c r="Q24" s="9" t="n">
        <v>1133665.06350535</v>
      </c>
      <c r="R24" s="9" t="n">
        <v>101621.730929428</v>
      </c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118</v>
      </c>
      <c r="N25" t="n">
        <v>1375</v>
      </c>
      <c r="O25" s="9"/>
      <c r="P25" s="9"/>
      <c r="Q25" s="9"/>
      <c r="R25" s="9"/>
      <c r="S25" s="9"/>
      <c r="T25" s="9"/>
      <c r="U25" s="9"/>
      <c r="V25" s="9"/>
      <c r="W25" s="9" t="n">
        <v>3685126.0997795</v>
      </c>
      <c r="X25" s="9" t="n">
        <v>2780729.17555545</v>
      </c>
      <c r="Y25" s="9" t="n">
        <v>50910.9897992422</v>
      </c>
      <c r="Z25" s="9" t="n">
        <v>10901.5369603889</v>
      </c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119</v>
      </c>
      <c r="N26" t="n">
        <v>1215</v>
      </c>
      <c r="O26" s="9" t="n">
        <v>207727096.473157</v>
      </c>
      <c r="P26" s="9" t="n">
        <v>26652938.598242</v>
      </c>
      <c r="Q26" s="9" t="n">
        <v>16461507.7918966</v>
      </c>
      <c r="R26" s="9" t="n">
        <v>20096902.647418</v>
      </c>
      <c r="S26" s="9"/>
      <c r="T26" s="9"/>
      <c r="U26" s="9"/>
      <c r="V26" s="9"/>
      <c r="W26" s="9" t="n">
        <v>0</v>
      </c>
      <c r="X26" s="9" t="n">
        <v>527842.397893635</v>
      </c>
      <c r="Y26" s="9" t="n">
        <v>-16943.5367753414</v>
      </c>
      <c r="Z26" s="9"/>
      <c r="AA26" s="9"/>
      <c r="AB26" s="9"/>
      <c r="AC26" s="9"/>
      <c r="AD26" s="9"/>
      <c r="AE26" s="9"/>
      <c r="AF26" s="9"/>
      <c r="AG26" s="9"/>
      <c r="AH26" s="9" t="n">
        <v>0</v>
      </c>
      <c r="AI26" s="9" t="n">
        <v>0</v>
      </c>
      <c r="AJ26" s="9"/>
      <c r="AK26" s="9"/>
      <c r="AL26" s="9"/>
      <c r="AM26" s="9"/>
    </row>
    <row r="27">
      <c r="M27" t="s">
        <v>120</v>
      </c>
      <c r="N27" t="n">
        <v>2234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 t="n">
        <v>259873.421870389</v>
      </c>
      <c r="AI27" s="9" t="n">
        <v>64532.2173425716</v>
      </c>
      <c r="AJ27" s="9"/>
      <c r="AK27" s="9"/>
      <c r="AL27" s="9"/>
      <c r="AM27" s="9"/>
    </row>
    <row r="28">
      <c r="M28" t="s">
        <v>121</v>
      </c>
      <c r="N28" t="n">
        <v>1252</v>
      </c>
      <c r="O28" s="9" t="n">
        <v>620926.673856342</v>
      </c>
      <c r="P28" s="9"/>
      <c r="Q28" s="9"/>
      <c r="R28" s="9" t="n">
        <v>505329.173522873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122</v>
      </c>
      <c r="N29" t="n">
        <v>1167</v>
      </c>
      <c r="O29" s="9" t="n">
        <v>210046.522200042</v>
      </c>
      <c r="P29" s="9"/>
      <c r="Q29" s="9" t="n">
        <v>341228.525217588</v>
      </c>
      <c r="R29" s="9" t="n">
        <v>3017277.62038966</v>
      </c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M30" t="s">
        <v>123</v>
      </c>
      <c r="N30" t="n">
        <v>1221</v>
      </c>
      <c r="O30" s="9" t="n">
        <v>-161573.004976917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>
      <c r="M31" t="s">
        <v>124</v>
      </c>
      <c r="N31" t="n">
        <v>1256</v>
      </c>
      <c r="O31" s="9"/>
      <c r="P31" s="9"/>
      <c r="Q31" s="9"/>
      <c r="R31" s="9" t="n">
        <v>1809588.5003796</v>
      </c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125</v>
      </c>
      <c r="N32" t="n">
        <v>1220</v>
      </c>
      <c r="O32" s="9"/>
      <c r="P32" s="9"/>
      <c r="Q32" s="9" t="n">
        <v>98479.775804285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126</v>
      </c>
      <c r="N33" t="n">
        <v>1185</v>
      </c>
      <c r="O33" s="9" t="n">
        <v>52316920.5374429</v>
      </c>
      <c r="P33" s="9" t="n">
        <v>8120256.02933532</v>
      </c>
      <c r="Q33" s="9" t="n">
        <v>33422387.2794381</v>
      </c>
      <c r="R33" s="9" t="n">
        <v>25261529.0591277</v>
      </c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127</v>
      </c>
      <c r="N34" t="n">
        <v>1178</v>
      </c>
      <c r="O34" s="9" t="n">
        <v>11557194.2505151</v>
      </c>
      <c r="P34" s="9" t="n">
        <v>162721.499401865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128</v>
      </c>
      <c r="N35" t="n">
        <v>1179</v>
      </c>
      <c r="O35" s="9" t="n">
        <v>6858639.955676</v>
      </c>
      <c r="P35" s="9" t="n">
        <v>23628294.972728</v>
      </c>
      <c r="Q35" s="9" t="n">
        <v>18701668.7815292</v>
      </c>
      <c r="R35" s="9" t="n">
        <v>32201771.5193615</v>
      </c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>
      <c r="M36" t="s">
        <v>129</v>
      </c>
      <c r="N36" t="n">
        <v>1181</v>
      </c>
      <c r="O36" s="9"/>
      <c r="P36" s="9"/>
      <c r="Q36" s="9" t="n">
        <v>61526.953631532</v>
      </c>
      <c r="R36" s="9" t="n">
        <v>203432.41781248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130</v>
      </c>
      <c r="N37" t="n">
        <v>1182</v>
      </c>
      <c r="O37" s="9"/>
      <c r="P37" s="9"/>
      <c r="Q37" s="9"/>
      <c r="R37" s="9" t="n">
        <v>-76191.9167837005</v>
      </c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>
      <c r="M38" t="s">
        <v>131</v>
      </c>
      <c r="N38" t="n">
        <v>1173</v>
      </c>
      <c r="O38" s="9"/>
      <c r="P38" s="9"/>
      <c r="Q38" s="9"/>
      <c r="R38" s="9" t="n">
        <v>-18930.6436440782</v>
      </c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132</v>
      </c>
      <c r="N39" t="n">
        <v>1174</v>
      </c>
      <c r="O39" s="9"/>
      <c r="P39" s="9" t="n">
        <v>48117.7851953417</v>
      </c>
      <c r="Q39" s="9" t="n">
        <v>1985266.49438136</v>
      </c>
      <c r="R39" s="9" t="n">
        <v>205893.416724594</v>
      </c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133</v>
      </c>
      <c r="N40" t="n">
        <v>588</v>
      </c>
      <c r="O40" s="9"/>
      <c r="P40" s="9"/>
      <c r="Q40" s="9" t="n">
        <v>55850.8634848031</v>
      </c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>
      <c r="M41" t="s">
        <v>134</v>
      </c>
      <c r="N41" t="n">
        <v>653</v>
      </c>
      <c r="O41" s="9"/>
      <c r="P41" s="9"/>
      <c r="Q41" s="9"/>
      <c r="R41" s="9"/>
      <c r="S41" s="9"/>
      <c r="T41" s="9"/>
      <c r="U41" s="9" t="n">
        <v>4078.35916299962</v>
      </c>
      <c r="V41" s="9"/>
      <c r="W41" s="9"/>
      <c r="X41" s="9" t="n">
        <v>1738917.39759082</v>
      </c>
      <c r="Y41" s="9" t="n">
        <v>0</v>
      </c>
      <c r="Z41" s="9"/>
      <c r="AA41" s="9"/>
      <c r="AB41" s="9" t="n">
        <v>-126140.233666794</v>
      </c>
      <c r="AC41" s="9" t="n">
        <v>-13216.5840104447</v>
      </c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135</v>
      </c>
      <c r="N42" t="n">
        <v>55</v>
      </c>
      <c r="O42" s="9"/>
      <c r="P42" s="9"/>
      <c r="Q42" s="9"/>
      <c r="R42" s="9"/>
      <c r="S42" s="9"/>
      <c r="T42" s="9"/>
      <c r="U42" s="9"/>
      <c r="V42" s="9"/>
      <c r="W42" s="9" t="n">
        <v>1423114.30765805</v>
      </c>
      <c r="X42" s="9" t="n">
        <v>234144.289675643</v>
      </c>
      <c r="Y42" s="9" t="n">
        <v>1222561.57208741</v>
      </c>
      <c r="Z42" s="9" t="n">
        <v>986772.565820197</v>
      </c>
      <c r="AA42" s="9" t="n">
        <v>53861.5448460732</v>
      </c>
      <c r="AB42" s="9" t="n">
        <v>1130050.78001417</v>
      </c>
      <c r="AC42" s="9" t="n">
        <v>3069648.21915508</v>
      </c>
      <c r="AD42" s="9" t="n">
        <v>7423715.63850197</v>
      </c>
      <c r="AE42" s="9" t="n">
        <v>1778727.3476602</v>
      </c>
      <c r="AF42" s="9" t="n">
        <v>252861.456259757</v>
      </c>
      <c r="AG42" s="9" t="n">
        <v>25635.9131275709</v>
      </c>
      <c r="AH42" s="9"/>
      <c r="AI42" s="9" t="n">
        <v>0</v>
      </c>
      <c r="AJ42" s="9" t="n">
        <v>0</v>
      </c>
      <c r="AK42" s="9" t="n">
        <v>0</v>
      </c>
      <c r="AL42" s="9" t="n">
        <v>5834585.49885824</v>
      </c>
      <c r="AM42" s="9"/>
    </row>
    <row r="43">
      <c r="M43" t="s">
        <v>136</v>
      </c>
      <c r="N43" t="n">
        <v>589</v>
      </c>
      <c r="O43" s="9"/>
      <c r="P43" s="9" t="n">
        <v>3989818.2810696</v>
      </c>
      <c r="Q43" s="9" t="n">
        <v>21962303.8134566</v>
      </c>
      <c r="R43" s="9" t="n">
        <v>52203031.9774793</v>
      </c>
      <c r="S43" s="9" t="n">
        <v>1052605.82206847</v>
      </c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137</v>
      </c>
      <c r="N44" t="n">
        <v>1249</v>
      </c>
      <c r="O44" s="9" t="n">
        <v>31566390.3396664</v>
      </c>
      <c r="P44" s="9" t="n">
        <v>149841.398555392</v>
      </c>
      <c r="Q44" s="9" t="n">
        <v>1311447.03995059</v>
      </c>
      <c r="R44" s="9" t="n">
        <v>865203.406390654</v>
      </c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>
      <c r="M45" t="s">
        <v>138</v>
      </c>
      <c r="N45" t="n">
        <v>2072</v>
      </c>
      <c r="O45" s="9" t="n">
        <v>130849723.581711</v>
      </c>
      <c r="P45" s="9" t="n">
        <v>135822125.747366</v>
      </c>
      <c r="Q45" s="9"/>
      <c r="R45" s="9" t="n">
        <v>2599933.34853027</v>
      </c>
      <c r="S45" s="9" t="n">
        <v>2811179.74588647</v>
      </c>
      <c r="T45" s="9" t="n">
        <v>4948051.43521705</v>
      </c>
      <c r="U45" s="9"/>
      <c r="V45" s="9"/>
      <c r="W45" s="9"/>
      <c r="X45" s="9" t="n">
        <v>0</v>
      </c>
      <c r="Y45" s="9" t="n">
        <v>0</v>
      </c>
      <c r="Z45" s="9" t="n">
        <v>29893.6275830639</v>
      </c>
      <c r="AA45" s="9"/>
      <c r="AB45" s="9" t="n">
        <v>0</v>
      </c>
      <c r="AC45" s="9"/>
      <c r="AD45" s="9" t="n">
        <v>-431825.11309855</v>
      </c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139</v>
      </c>
      <c r="N46" t="n">
        <v>1248</v>
      </c>
      <c r="O46" s="9" t="n">
        <v>1915249.23920523</v>
      </c>
      <c r="P46" s="9" t="n">
        <v>1852598.61784482</v>
      </c>
      <c r="Q46" s="9" t="n">
        <v>34502459.4917907</v>
      </c>
      <c r="R46" s="9" t="n">
        <v>47028329.9466941</v>
      </c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140</v>
      </c>
      <c r="N47" t="n">
        <v>886</v>
      </c>
      <c r="O47" s="9"/>
      <c r="P47" s="9" t="n">
        <v>1494280.99544764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141</v>
      </c>
      <c r="N48" t="n">
        <v>1169</v>
      </c>
      <c r="O48" s="9"/>
      <c r="P48" s="9"/>
      <c r="Q48" s="9" t="n">
        <v>241810.75804569</v>
      </c>
      <c r="R48" s="9" t="n">
        <v>93149.1897830809</v>
      </c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142</v>
      </c>
      <c r="N49" t="n">
        <v>1168</v>
      </c>
      <c r="O49" s="9" t="n">
        <v>134445781.24563</v>
      </c>
      <c r="P49" s="9" t="n">
        <v>8503999.42827181</v>
      </c>
      <c r="Q49" s="9" t="n">
        <v>4203254.23774444</v>
      </c>
      <c r="R49" s="9" t="n">
        <v>6711721.56806281</v>
      </c>
      <c r="S49" s="9" t="n">
        <v>223129.336699499</v>
      </c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72</v>
      </c>
      <c r="N50" t="n">
        <v>634</v>
      </c>
      <c r="O50" s="9"/>
      <c r="P50" s="9"/>
      <c r="Q50" s="9"/>
      <c r="R50" s="9"/>
      <c r="S50" s="9" t="n">
        <v>250352035.039063</v>
      </c>
      <c r="T50" s="9" t="n">
        <v>879432059.828781</v>
      </c>
      <c r="U50" s="9" t="n">
        <v>915101892.043372</v>
      </c>
      <c r="V50" s="9" t="n">
        <v>1131912722.30306</v>
      </c>
      <c r="W50" s="9" t="n">
        <v>3401110953.68146</v>
      </c>
      <c r="X50" s="9" t="n">
        <v>3286946730.9722</v>
      </c>
      <c r="Y50" s="9" t="n">
        <v>1003707970.21553</v>
      </c>
      <c r="Z50" s="9" t="n">
        <v>1048546857.80484</v>
      </c>
      <c r="AA50" s="9" t="n">
        <v>1268101880.85371</v>
      </c>
      <c r="AB50" s="9" t="n">
        <v>791676715.493667</v>
      </c>
      <c r="AC50" s="9" t="n">
        <v>1569681892.95865</v>
      </c>
      <c r="AD50" s="9" t="n">
        <v>1684031470.79101</v>
      </c>
      <c r="AE50" s="9" t="n">
        <v>1386432806.09343</v>
      </c>
      <c r="AF50" s="9" t="n">
        <v>1441378257.02413</v>
      </c>
      <c r="AG50" s="9" t="n">
        <v>1706015807.44958</v>
      </c>
      <c r="AH50" s="9" t="n">
        <v>2097814284.70783</v>
      </c>
      <c r="AI50" s="9" t="n">
        <v>2275243993.94029</v>
      </c>
      <c r="AJ50" s="9" t="n">
        <v>1591134485.73655</v>
      </c>
      <c r="AK50" s="9" t="n">
        <v>1447916677.2671</v>
      </c>
      <c r="AL50" s="9" t="n">
        <v>1828376969.56773</v>
      </c>
      <c r="AM50" s="9"/>
    </row>
    <row r="51">
      <c r="M51" t="s">
        <v>143</v>
      </c>
      <c r="N51" t="n">
        <v>57</v>
      </c>
      <c r="O51" s="9"/>
      <c r="P51" s="9"/>
      <c r="Q51" s="9"/>
      <c r="R51" s="9"/>
      <c r="S51" s="9" t="n">
        <v>17356988.7170974</v>
      </c>
      <c r="T51" s="9" t="n">
        <v>128776770.160208</v>
      </c>
      <c r="U51" s="9" t="n">
        <v>1648074155.05545</v>
      </c>
      <c r="V51" s="9" t="n">
        <v>1330354979.41822</v>
      </c>
      <c r="W51" s="9" t="n">
        <v>403137302.234097</v>
      </c>
      <c r="X51" s="9" t="n">
        <v>670517695.92655</v>
      </c>
      <c r="Y51" s="9" t="n">
        <v>1853967424.71019</v>
      </c>
      <c r="Z51" s="9" t="n">
        <v>1531471350.8532</v>
      </c>
      <c r="AA51" s="9" t="n">
        <v>716056431.433616</v>
      </c>
      <c r="AB51" s="9" t="n">
        <v>1661447316.26048</v>
      </c>
      <c r="AC51" s="9" t="n">
        <v>1698227020.59871</v>
      </c>
      <c r="AD51" s="9" t="n">
        <v>355308397.602533</v>
      </c>
      <c r="AE51" s="9" t="n">
        <v>616344261.488261</v>
      </c>
      <c r="AF51" s="9" t="n">
        <v>132911781.07197</v>
      </c>
      <c r="AG51" s="9" t="n">
        <v>-13998501.3955455</v>
      </c>
      <c r="AH51" s="9" t="n">
        <v>-14204891.5815106</v>
      </c>
      <c r="AI51" s="9" t="n">
        <v>11346765.6078658</v>
      </c>
      <c r="AJ51" s="9" t="n">
        <v>-1927903.31374535</v>
      </c>
      <c r="AK51" s="9" t="n">
        <v>-3755258.57</v>
      </c>
      <c r="AL51" s="9" t="n">
        <v>-3213.16561400534</v>
      </c>
      <c r="AM51" s="9"/>
    </row>
    <row r="52">
      <c r="M52" t="s">
        <v>144</v>
      </c>
      <c r="N52" t="n">
        <v>1801</v>
      </c>
      <c r="O52" s="9"/>
      <c r="P52" s="9"/>
      <c r="Q52" s="9"/>
      <c r="R52" s="9"/>
      <c r="S52" s="9"/>
      <c r="T52" s="9"/>
      <c r="U52" s="9" t="n">
        <v>2570771.39814702</v>
      </c>
      <c r="V52" s="9"/>
      <c r="W52" s="9" t="n">
        <v>3629466.02623417</v>
      </c>
      <c r="X52" s="9" t="n">
        <v>-1922642.81483054</v>
      </c>
      <c r="Y52" s="9" t="n">
        <v>0</v>
      </c>
      <c r="Z52" s="9" t="n">
        <v>0</v>
      </c>
      <c r="AA52" s="9"/>
      <c r="AB52" s="9"/>
      <c r="AC52" s="9"/>
      <c r="AD52" s="9" t="n">
        <v>-4442.75378844794</v>
      </c>
      <c r="AE52" s="9" t="n">
        <v>-341.971444548098</v>
      </c>
      <c r="AF52" s="9"/>
      <c r="AG52" s="9"/>
      <c r="AH52" s="9"/>
      <c r="AI52" s="9"/>
      <c r="AJ52" s="9"/>
      <c r="AK52" s="9"/>
      <c r="AL52" s="9"/>
      <c r="AM52" s="9"/>
    </row>
    <row r="53">
      <c r="M53" t="s">
        <v>145</v>
      </c>
      <c r="N53" t="n">
        <v>1802</v>
      </c>
      <c r="O53" s="9"/>
      <c r="P53" s="9"/>
      <c r="Q53" s="9"/>
      <c r="R53" s="9"/>
      <c r="S53" s="9"/>
      <c r="T53" s="9" t="n">
        <v>12271.065002108</v>
      </c>
      <c r="U53" s="9" t="n">
        <v>2297914.21010016</v>
      </c>
      <c r="V53" s="9" t="n">
        <v>3361539.00427413</v>
      </c>
      <c r="W53" s="9" t="n">
        <v>7595202.14405029</v>
      </c>
      <c r="X53" s="9" t="n">
        <v>1102926.69039875</v>
      </c>
      <c r="Y53" s="9" t="n">
        <v>1353421.75076696</v>
      </c>
      <c r="Z53" s="9" t="n">
        <v>4970699.46809233</v>
      </c>
      <c r="AA53" s="9" t="n">
        <v>372536.82997892</v>
      </c>
      <c r="AB53" s="9" t="n">
        <v>0</v>
      </c>
      <c r="AC53" s="9" t="n">
        <v>-232422.134344866</v>
      </c>
      <c r="AD53" s="9" t="n">
        <v>0</v>
      </c>
      <c r="AE53" s="9" t="n">
        <v>-49846.2012364922</v>
      </c>
      <c r="AF53" s="9" t="n">
        <v>-152526.558543515</v>
      </c>
      <c r="AG53" s="9"/>
      <c r="AH53" s="9" t="n">
        <v>-267076.830554919</v>
      </c>
      <c r="AI53" s="9" t="n">
        <v>0</v>
      </c>
      <c r="AJ53" s="9"/>
      <c r="AK53" s="9" t="n">
        <v>-3.34</v>
      </c>
      <c r="AL53" s="9" t="n">
        <v>0</v>
      </c>
      <c r="AM53" s="9"/>
    </row>
    <row r="54">
      <c r="M54" t="s">
        <v>73</v>
      </c>
      <c r="N54" t="n">
        <v>86</v>
      </c>
      <c r="O54" s="9"/>
      <c r="P54" s="9"/>
      <c r="Q54" s="9"/>
      <c r="R54" s="9"/>
      <c r="S54" s="9" t="n">
        <v>1621054.97240168</v>
      </c>
      <c r="T54" s="9" t="n">
        <v>267797601.51005</v>
      </c>
      <c r="U54" s="9" t="n">
        <v>2073492269.80017</v>
      </c>
      <c r="V54" s="9" t="n">
        <v>3272984279.55213</v>
      </c>
      <c r="W54" s="9" t="n">
        <v>3048455569.67788</v>
      </c>
      <c r="X54" s="9" t="n">
        <v>2253203060.84471</v>
      </c>
      <c r="Y54" s="9" t="n">
        <v>613323005.746533</v>
      </c>
      <c r="Z54" s="9" t="n">
        <v>5501623556.8473</v>
      </c>
      <c r="AA54" s="9" t="n">
        <v>645288994.008523</v>
      </c>
      <c r="AB54" s="9" t="n">
        <v>869581456.958753</v>
      </c>
      <c r="AC54" s="9" t="n">
        <v>397475395.807514</v>
      </c>
      <c r="AD54" s="9" t="n">
        <v>302268328.080105</v>
      </c>
      <c r="AE54" s="9" t="n">
        <v>838401905.716678</v>
      </c>
      <c r="AF54" s="9" t="n">
        <v>377948767.302376</v>
      </c>
      <c r="AG54" s="9" t="n">
        <v>425424321.920477</v>
      </c>
      <c r="AH54" s="9" t="n">
        <v>453051307.515432</v>
      </c>
      <c r="AI54" s="9" t="n">
        <v>328335144.397866</v>
      </c>
      <c r="AJ54" s="9" t="n">
        <v>258505513.481655</v>
      </c>
      <c r="AK54" s="9" t="n">
        <v>157251771.4038</v>
      </c>
      <c r="AL54" s="9" t="n">
        <v>86036894.6329077</v>
      </c>
      <c r="AM54" s="9"/>
    </row>
    <row r="55">
      <c r="M55" t="s">
        <v>74</v>
      </c>
      <c r="N55" t="n">
        <v>76</v>
      </c>
      <c r="O55" s="9"/>
      <c r="P55" s="9" t="n">
        <v>32143399.840064</v>
      </c>
      <c r="Q55" s="9" t="n">
        <v>1902114.491422</v>
      </c>
      <c r="R55" s="9" t="n">
        <v>-40369.5251886759</v>
      </c>
      <c r="S55" s="9" t="n">
        <v>293068164.855847</v>
      </c>
      <c r="T55" s="9" t="n">
        <v>453675706.644184</v>
      </c>
      <c r="U55" s="9" t="n">
        <v>608761056.291528</v>
      </c>
      <c r="V55" s="9" t="n">
        <v>460531061.463779</v>
      </c>
      <c r="W55" s="9" t="n">
        <v>438518212.213074</v>
      </c>
      <c r="X55" s="9" t="n">
        <v>413796831.458549</v>
      </c>
      <c r="Y55" s="9" t="n">
        <v>920054546.784739</v>
      </c>
      <c r="Z55" s="9" t="n">
        <v>3097593929.02999</v>
      </c>
      <c r="AA55" s="9" t="n">
        <v>1273951728.06284</v>
      </c>
      <c r="AB55" s="9" t="n">
        <v>2135109805.62546</v>
      </c>
      <c r="AC55" s="9" t="n">
        <v>2028651890.86394</v>
      </c>
      <c r="AD55" s="9" t="n">
        <v>1696355661.82096</v>
      </c>
      <c r="AE55" s="9" t="n">
        <v>1911591876.33861</v>
      </c>
      <c r="AF55" s="9" t="n">
        <v>2396714288.65254</v>
      </c>
      <c r="AG55" s="9" t="n">
        <v>2371169479.29814</v>
      </c>
      <c r="AH55" s="9" t="n">
        <v>3527241040.65678</v>
      </c>
      <c r="AI55" s="9" t="n">
        <v>4229146323.75847</v>
      </c>
      <c r="AJ55" s="9" t="n">
        <v>1850025061.72206</v>
      </c>
      <c r="AK55" s="9" t="n">
        <v>2245320071.1841</v>
      </c>
      <c r="AL55" s="9" t="n">
        <v>307295974.927632</v>
      </c>
      <c r="AM55" s="9"/>
    </row>
    <row r="56">
      <c r="M56" t="s">
        <v>146</v>
      </c>
      <c r="N56" t="n">
        <v>1187</v>
      </c>
      <c r="O56" s="9" t="n">
        <v>1761887.37434124</v>
      </c>
      <c r="P56" s="9" t="n">
        <v>571278.613747415</v>
      </c>
      <c r="Q56" s="9" t="n">
        <v>89638.7412747837</v>
      </c>
      <c r="R56" s="9" t="n">
        <v>259992.725317693</v>
      </c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147</v>
      </c>
      <c r="N57" t="n">
        <v>1194</v>
      </c>
      <c r="O57" s="9" t="n">
        <v>346362.435038967</v>
      </c>
      <c r="P57" s="9" t="n">
        <v>681036.318180471</v>
      </c>
      <c r="Q57" s="9" t="n">
        <v>335543.117275817</v>
      </c>
      <c r="R57" s="9" t="n">
        <v>197743.929305409</v>
      </c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>
      <c r="M58" t="s">
        <v>148</v>
      </c>
      <c r="N58" t="n">
        <v>1200</v>
      </c>
      <c r="O58" s="9" t="n">
        <v>141781.927597295</v>
      </c>
      <c r="P58" s="9"/>
      <c r="Q58" s="9" t="n">
        <v>660333.499072577</v>
      </c>
      <c r="R58" s="9" t="n">
        <v>1346768.32106869</v>
      </c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>
      <c r="M59" t="s">
        <v>149</v>
      </c>
      <c r="N59" t="n">
        <v>1186</v>
      </c>
      <c r="O59" s="9" t="n">
        <v>48121525.5845925</v>
      </c>
      <c r="P59" s="9" t="n">
        <v>43096423.0630136</v>
      </c>
      <c r="Q59" s="9" t="n">
        <v>28069842.0359021</v>
      </c>
      <c r="R59" s="9" t="n">
        <v>69174808.8701386</v>
      </c>
      <c r="S59" s="9"/>
      <c r="T59" s="9"/>
      <c r="U59" s="9"/>
      <c r="V59" s="9"/>
      <c r="W59" s="9"/>
      <c r="X59" s="9"/>
      <c r="Y59" s="9"/>
      <c r="Z59" s="9" t="n">
        <v>-2780.69328596806</v>
      </c>
      <c r="AA59" s="9" t="n">
        <v>-1230.83981976516</v>
      </c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75</v>
      </c>
      <c r="N60" t="n">
        <v>1203</v>
      </c>
      <c r="O60" s="9" t="n">
        <v>169719449.642921</v>
      </c>
      <c r="P60" s="9" t="n">
        <v>135493915.853659</v>
      </c>
      <c r="Q60" s="9" t="n">
        <v>74377980.4588352</v>
      </c>
      <c r="R60" s="9" t="n">
        <v>729554088.087048</v>
      </c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 t="n">
        <v>0</v>
      </c>
      <c r="AI60" s="9"/>
      <c r="AJ60" s="9"/>
      <c r="AK60" s="9"/>
      <c r="AL60" s="9"/>
      <c r="AM60" s="9"/>
    </row>
    <row r="61">
      <c r="M61" t="s">
        <v>150</v>
      </c>
      <c r="N61" t="n">
        <v>1191</v>
      </c>
      <c r="O61" s="9" t="n">
        <v>4667026.55437795</v>
      </c>
      <c r="P61" s="9" t="n">
        <v>27773015.1990175</v>
      </c>
      <c r="Q61" s="9" t="n">
        <v>23372441.8325657</v>
      </c>
      <c r="R61" s="9" t="n">
        <v>1345116.48031282</v>
      </c>
      <c r="S61" s="9"/>
      <c r="T61" s="9"/>
      <c r="U61" s="9"/>
      <c r="V61" s="9"/>
      <c r="W61" s="9"/>
      <c r="X61" s="9"/>
      <c r="Y61" s="9"/>
      <c r="Z61" s="9" t="n">
        <v>0</v>
      </c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151</v>
      </c>
      <c r="N62" t="n">
        <v>1193</v>
      </c>
      <c r="O62" s="9" t="n">
        <v>88029.8203015738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>
      <c r="M63" t="s">
        <v>152</v>
      </c>
      <c r="N63" t="n">
        <v>1967</v>
      </c>
      <c r="O63" s="9"/>
      <c r="P63" s="9"/>
      <c r="Q63" s="9"/>
      <c r="R63" s="9"/>
      <c r="S63" s="9" t="n">
        <v>50999.7162633181</v>
      </c>
      <c r="T63" s="9"/>
      <c r="U63" s="9" t="n">
        <v>279362.709193732</v>
      </c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>
      <c r="M64" t="s">
        <v>153</v>
      </c>
      <c r="N64" t="n">
        <v>1959</v>
      </c>
      <c r="O64" s="9"/>
      <c r="P64" s="9"/>
      <c r="Q64" s="9"/>
      <c r="R64" s="9"/>
      <c r="S64" s="9"/>
      <c r="T64" s="9" t="n">
        <v>5292.43815267386</v>
      </c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154</v>
      </c>
      <c r="N65" t="n">
        <v>1222</v>
      </c>
      <c r="O65" s="9" t="n">
        <v>64102220.3249243</v>
      </c>
      <c r="P65" s="9" t="n">
        <v>186677307.023404</v>
      </c>
      <c r="Q65" s="9" t="n">
        <v>154346962.513037</v>
      </c>
      <c r="R65" s="9" t="n">
        <v>24921181.2906933</v>
      </c>
      <c r="S65" s="9"/>
      <c r="T65" s="9"/>
      <c r="U65" s="9"/>
      <c r="V65" s="9"/>
      <c r="W65" s="9"/>
      <c r="X65" s="9"/>
      <c r="Y65" s="9"/>
      <c r="Z65" s="9" t="n">
        <v>0</v>
      </c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>
      <c r="M66" t="s">
        <v>155</v>
      </c>
      <c r="N66" t="n">
        <v>1970</v>
      </c>
      <c r="O66" s="9"/>
      <c r="P66" s="9"/>
      <c r="Q66" s="9"/>
      <c r="R66" s="9"/>
      <c r="S66" s="9" t="n">
        <v>10422.7676561007</v>
      </c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156</v>
      </c>
      <c r="N67" t="n">
        <v>632</v>
      </c>
      <c r="O67" s="9"/>
      <c r="P67" s="9"/>
      <c r="Q67" s="9"/>
      <c r="R67" s="9"/>
      <c r="S67" s="9"/>
      <c r="T67" s="9"/>
      <c r="U67" s="9" t="n">
        <v>15099.8556600603</v>
      </c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>
      <c r="M68" t="s">
        <v>157</v>
      </c>
      <c r="N68" t="n">
        <v>2252</v>
      </c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 t="n">
        <v>878787242.241908</v>
      </c>
      <c r="AJ68" s="9" t="n">
        <v>598150276.173034</v>
      </c>
      <c r="AK68" s="9" t="n">
        <v>631351536</v>
      </c>
      <c r="AL68" s="9" t="n">
        <v>1643459.46605686</v>
      </c>
      <c r="AM68" s="9"/>
    </row>
    <row r="69">
      <c r="M69" t="s">
        <v>158</v>
      </c>
      <c r="N69" t="n">
        <v>26</v>
      </c>
      <c r="O69" s="9"/>
      <c r="P69" s="9"/>
      <c r="Q69" s="9"/>
      <c r="R69" s="9"/>
      <c r="S69" s="9"/>
      <c r="T69" s="9"/>
      <c r="U69" s="9" t="n">
        <v>531178.099896381</v>
      </c>
      <c r="V69" s="9"/>
      <c r="W69" s="9" t="n">
        <v>392060.870922842</v>
      </c>
      <c r="X69" s="9" t="n">
        <v>-4668.37012757078</v>
      </c>
      <c r="Y69" s="9" t="n">
        <v>135932.984972963</v>
      </c>
      <c r="Z69" s="9" t="n">
        <v>365227.777022305</v>
      </c>
      <c r="AA69" s="9" t="n">
        <v>-73851.6484859091</v>
      </c>
      <c r="AB69" s="9"/>
      <c r="AC69" s="9" t="n">
        <v>6429.95183177499</v>
      </c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>
      <c r="M70" t="s">
        <v>159</v>
      </c>
      <c r="N70" t="n">
        <v>1259</v>
      </c>
      <c r="O70" s="9"/>
      <c r="P70" s="9" t="n">
        <v>395034.980303179</v>
      </c>
      <c r="Q70" s="9"/>
      <c r="R70" s="9" t="n">
        <v>-67009.2669729289</v>
      </c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>
      <c r="M71" t="s">
        <v>160</v>
      </c>
      <c r="N71" t="n">
        <v>1195</v>
      </c>
      <c r="O71" s="9"/>
      <c r="P71" s="9" t="n">
        <v>53328.1921881035</v>
      </c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161</v>
      </c>
      <c r="N72" t="n">
        <v>1201</v>
      </c>
      <c r="O72" s="9" t="n">
        <v>175468.283404932</v>
      </c>
      <c r="P72" s="9" t="n">
        <v>227748.262058731</v>
      </c>
      <c r="Q72" s="9" t="n">
        <v>419313.20063966</v>
      </c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162</v>
      </c>
      <c r="N73" t="n">
        <v>1199</v>
      </c>
      <c r="O73" s="9" t="n">
        <v>43972025.4438059</v>
      </c>
      <c r="P73" s="9" t="n">
        <v>35753776.5023574</v>
      </c>
      <c r="Q73" s="9" t="n">
        <v>21555184.5005959</v>
      </c>
      <c r="R73" s="9" t="n">
        <v>1977862.92011141</v>
      </c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>
      <c r="M74" t="s">
        <v>163</v>
      </c>
      <c r="N74" t="n">
        <v>1304</v>
      </c>
      <c r="O74" s="9" t="n">
        <v>2208929.18024142</v>
      </c>
      <c r="P74" s="9"/>
      <c r="Q74" s="9" t="n">
        <v>124734.216302396</v>
      </c>
      <c r="R74" s="9" t="n">
        <v>222356.966103216</v>
      </c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>
      <c r="M75" t="s">
        <v>164</v>
      </c>
      <c r="N75" t="n">
        <v>2094</v>
      </c>
      <c r="O75" s="9"/>
      <c r="P75" s="9"/>
      <c r="Q75" s="9" t="n">
        <v>9935484.09960439</v>
      </c>
      <c r="R75" s="9"/>
      <c r="S75" s="9" t="n">
        <v>2883203.49498143</v>
      </c>
      <c r="T75" s="9" t="n">
        <v>8497477.19824266</v>
      </c>
      <c r="U75" s="9"/>
      <c r="V75" s="9"/>
      <c r="W75" s="9"/>
      <c r="X75" s="9"/>
      <c r="Y75" s="9"/>
      <c r="Z75" s="9"/>
      <c r="AA75" s="9" t="n">
        <v>-338.89022293534</v>
      </c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>
      <c r="M76" t="s">
        <v>165</v>
      </c>
      <c r="N76" t="n">
        <v>1149</v>
      </c>
      <c r="O76" s="9" t="n">
        <v>1820850.21104747</v>
      </c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>
      <c r="M77" t="s">
        <v>166</v>
      </c>
      <c r="N77" t="n">
        <v>1261</v>
      </c>
      <c r="O77" s="9" t="n">
        <v>243689.253296336</v>
      </c>
      <c r="P77" s="9" t="n">
        <v>4755945.29364806</v>
      </c>
      <c r="Q77" s="9" t="n">
        <v>9054193.06779126</v>
      </c>
      <c r="R77" s="9" t="n">
        <v>8008425.70445126</v>
      </c>
      <c r="S77" s="9"/>
      <c r="T77" s="9"/>
      <c r="U77" s="9"/>
      <c r="V77" s="9"/>
      <c r="W77" s="9" t="n">
        <v>66650.7885826042</v>
      </c>
      <c r="X77" s="9" t="n">
        <v>-537913.795796195</v>
      </c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167</v>
      </c>
      <c r="N78" t="n">
        <v>1262</v>
      </c>
      <c r="O78" s="9"/>
      <c r="P78" s="9"/>
      <c r="Q78" s="9"/>
      <c r="R78" s="9" t="n">
        <v>6145.64000777328</v>
      </c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>
      <c r="M79" t="s">
        <v>168</v>
      </c>
      <c r="N79" t="n">
        <v>804</v>
      </c>
      <c r="O79" s="9"/>
      <c r="P79" s="9"/>
      <c r="Q79" s="9" t="n">
        <v>205441.851028935</v>
      </c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>
      <c r="M80" t="s">
        <v>169</v>
      </c>
      <c r="N80" t="n">
        <v>1331</v>
      </c>
      <c r="O80" s="9"/>
      <c r="P80" s="9"/>
      <c r="Q80" s="9"/>
      <c r="R80" s="9"/>
      <c r="S80" s="9" t="n">
        <v>578401.87452145</v>
      </c>
      <c r="T80" s="9"/>
      <c r="U80" s="9"/>
      <c r="V80" s="9"/>
      <c r="W80" s="9" t="n">
        <v>5629.39198787218</v>
      </c>
      <c r="X80" s="9" t="n">
        <v>1319780.93015023</v>
      </c>
      <c r="Y80" s="9" t="n">
        <v>0</v>
      </c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>
      <c r="M81" t="s">
        <v>170</v>
      </c>
      <c r="N81" t="n">
        <v>814</v>
      </c>
      <c r="O81" s="9"/>
      <c r="P81" s="9" t="n">
        <v>236108.890899674</v>
      </c>
      <c r="Q81" s="9" t="n">
        <v>58764.2274014278</v>
      </c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>
      <c r="M82" t="s">
        <v>171</v>
      </c>
      <c r="N82" t="n">
        <v>1216</v>
      </c>
      <c r="O82" s="9" t="n">
        <v>3052910.6189285</v>
      </c>
      <c r="P82" s="9" t="n">
        <v>3098015.24224036</v>
      </c>
      <c r="Q82" s="9" t="n">
        <v>4356342.5043612</v>
      </c>
      <c r="R82" s="9" t="n">
        <v>2847997.4673563</v>
      </c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>
      <c r="M83" t="s">
        <v>172</v>
      </c>
      <c r="N83" t="n">
        <v>1219</v>
      </c>
      <c r="O83" s="9" t="n">
        <v>5473568.29635178</v>
      </c>
      <c r="P83" s="9" t="n">
        <v>5931522.2726332</v>
      </c>
      <c r="Q83" s="9" t="n">
        <v>7228868.07828042</v>
      </c>
      <c r="R83" s="9" t="n">
        <v>3887534.07470141</v>
      </c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>
      <c r="M84" t="s">
        <v>173</v>
      </c>
      <c r="N84" t="n">
        <v>1223</v>
      </c>
      <c r="O84" s="9" t="n">
        <v>65330044.2886148</v>
      </c>
      <c r="P84" s="9" t="n">
        <v>13361893.9145109</v>
      </c>
      <c r="Q84" s="9" t="n">
        <v>294666135.227262</v>
      </c>
      <c r="R84" s="9" t="n">
        <v>7870253.18720236</v>
      </c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>
      <c r="M85" t="s">
        <v>174</v>
      </c>
      <c r="N85" t="n">
        <v>1225</v>
      </c>
      <c r="O85" s="9" t="n">
        <v>9191298.51166865</v>
      </c>
      <c r="P85" s="9" t="n">
        <v>50032.8424430598</v>
      </c>
      <c r="Q85" s="9" t="n">
        <v>270377.564680185</v>
      </c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>
      <c r="M86" t="s">
        <v>175</v>
      </c>
      <c r="N86" t="n">
        <v>627</v>
      </c>
      <c r="O86" s="9"/>
      <c r="P86" s="9"/>
      <c r="Q86" s="9"/>
      <c r="R86" s="9"/>
      <c r="S86" s="9"/>
      <c r="T86" s="9"/>
      <c r="U86" s="9" t="n">
        <v>31754761.5664632</v>
      </c>
      <c r="V86" s="9" t="n">
        <v>40316814.7320779</v>
      </c>
      <c r="W86" s="9" t="n">
        <v>27951158.8991844</v>
      </c>
      <c r="X86" s="9" t="n">
        <v>82045708.2233199</v>
      </c>
      <c r="Y86" s="9" t="n">
        <v>-1373152.62773425</v>
      </c>
      <c r="Z86" s="9" t="n">
        <v>60163878.9890105</v>
      </c>
      <c r="AA86" s="9" t="n">
        <v>2921133.57473678</v>
      </c>
      <c r="AB86" s="9" t="n">
        <v>617712.026172407</v>
      </c>
      <c r="AC86" s="9" t="n">
        <v>0</v>
      </c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>
      <c r="M87" t="s">
        <v>76</v>
      </c>
      <c r="N87" t="n">
        <v>1368</v>
      </c>
      <c r="O87" s="9"/>
      <c r="P87" s="9"/>
      <c r="Q87" s="9"/>
      <c r="R87" s="9"/>
      <c r="S87" s="9" t="n">
        <v>3854630.13268687</v>
      </c>
      <c r="T87" s="9" t="n">
        <v>9022082.55093925</v>
      </c>
      <c r="U87" s="9" t="n">
        <v>39377353.2574531</v>
      </c>
      <c r="V87" s="9" t="n">
        <v>51227408.676473</v>
      </c>
      <c r="W87" s="9" t="n">
        <v>89675428.4765582</v>
      </c>
      <c r="X87" s="9" t="n">
        <v>1169963187.33913</v>
      </c>
      <c r="Y87" s="9" t="n">
        <v>169068263.519899</v>
      </c>
      <c r="Z87" s="9" t="n">
        <v>2441316565.92158</v>
      </c>
      <c r="AA87" s="9" t="n">
        <v>2188610957.48412</v>
      </c>
      <c r="AB87" s="9" t="n">
        <v>2276667501.04309</v>
      </c>
      <c r="AC87" s="9" t="n">
        <v>2013792109.96382</v>
      </c>
      <c r="AD87" s="9" t="n">
        <v>1968446177.76794</v>
      </c>
      <c r="AE87" s="9" t="n">
        <v>1891333459.00587</v>
      </c>
      <c r="AF87" s="9" t="n">
        <v>1188404336.86955</v>
      </c>
      <c r="AG87" s="9" t="n">
        <v>3518287153.03569</v>
      </c>
      <c r="AH87" s="9" t="n">
        <v>2281340619.54346</v>
      </c>
      <c r="AI87" s="9" t="n">
        <v>3169836295.24466</v>
      </c>
      <c r="AJ87" s="9" t="n">
        <v>597213371.833482</v>
      </c>
      <c r="AK87" s="9" t="n">
        <v>435069417.8358</v>
      </c>
      <c r="AL87" s="9" t="n">
        <v>137772713.927579</v>
      </c>
      <c r="AM87" s="9"/>
    </row>
    <row r="88">
      <c r="M88" t="s">
        <v>176</v>
      </c>
      <c r="N88" t="n">
        <v>33</v>
      </c>
      <c r="O88" s="9"/>
      <c r="P88" s="9"/>
      <c r="Q88" s="9"/>
      <c r="R88" s="9"/>
      <c r="S88" s="9"/>
      <c r="T88" s="9"/>
      <c r="U88" s="9"/>
      <c r="V88" s="9" t="n">
        <v>5225841.67507769</v>
      </c>
      <c r="W88" s="9" t="n">
        <v>77620.3733203713</v>
      </c>
      <c r="X88" s="9" t="n">
        <v>952474.518101433</v>
      </c>
      <c r="Y88" s="9" t="n">
        <v>684530.15244253</v>
      </c>
      <c r="Z88" s="9"/>
      <c r="AA88" s="9"/>
      <c r="AB88" s="9" t="n">
        <v>-2976.43958033248</v>
      </c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</row>
    <row r="89">
      <c r="M89" t="s">
        <v>177</v>
      </c>
      <c r="N89" t="n">
        <v>1332</v>
      </c>
      <c r="O89" s="9"/>
      <c r="P89" s="9"/>
      <c r="Q89" s="9"/>
      <c r="R89" s="9"/>
      <c r="S89" s="9" t="n">
        <v>703998.679118356</v>
      </c>
      <c r="T89" s="9" t="n">
        <v>102777459.84892</v>
      </c>
      <c r="U89" s="9" t="n">
        <v>163688819.238474</v>
      </c>
      <c r="V89" s="9" t="n">
        <v>1080570388.21832</v>
      </c>
      <c r="W89" s="9" t="n">
        <v>434644084.942399</v>
      </c>
      <c r="X89" s="9" t="n">
        <v>1383883490.99531</v>
      </c>
      <c r="Y89" s="9" t="n">
        <v>129727549.888979</v>
      </c>
      <c r="Z89" s="9" t="n">
        <v>211408585.769668</v>
      </c>
      <c r="AA89" s="9" t="n">
        <v>2801857124.76931</v>
      </c>
      <c r="AB89" s="9" t="n">
        <v>228573432.609374</v>
      </c>
      <c r="AC89" s="9" t="n">
        <v>144206086.082861</v>
      </c>
      <c r="AD89" s="9" t="n">
        <v>134857761.783054</v>
      </c>
      <c r="AE89" s="9" t="n">
        <v>1295634984.2411</v>
      </c>
      <c r="AF89" s="9" t="n">
        <v>1577597260.62431</v>
      </c>
      <c r="AG89" s="9" t="n">
        <v>912729554.229074</v>
      </c>
      <c r="AH89" s="9" t="n">
        <v>43233058.098893</v>
      </c>
      <c r="AI89" s="9" t="n">
        <v>1279135709.32975</v>
      </c>
      <c r="AJ89" s="9" t="n">
        <v>209580527.929014</v>
      </c>
      <c r="AK89" s="9" t="n">
        <v>236374226.5937</v>
      </c>
      <c r="AL89" s="9" t="n">
        <v>785330747.707854</v>
      </c>
      <c r="AM89" s="9"/>
    </row>
    <row r="90">
      <c r="M90" t="s">
        <v>178</v>
      </c>
      <c r="N90" t="n">
        <v>628</v>
      </c>
      <c r="O90" s="9"/>
      <c r="P90" s="9"/>
      <c r="Q90" s="9"/>
      <c r="R90" s="9"/>
      <c r="S90" s="9" t="n">
        <v>78397065.5007804</v>
      </c>
      <c r="T90" s="9" t="n">
        <v>132168547.38567</v>
      </c>
      <c r="U90" s="9" t="n">
        <v>13713266.6737622</v>
      </c>
      <c r="V90" s="9" t="n">
        <v>19049046.7910048</v>
      </c>
      <c r="W90" s="9" t="n">
        <v>167993005.276339</v>
      </c>
      <c r="X90" s="9" t="n">
        <v>32871935.9236067</v>
      </c>
      <c r="Y90" s="9" t="n">
        <v>58414288.6010023</v>
      </c>
      <c r="Z90" s="9" t="n">
        <v>96505201.1845817</v>
      </c>
      <c r="AA90" s="9" t="n">
        <v>80532454.4403268</v>
      </c>
      <c r="AB90" s="9" t="n">
        <v>71073686.5995364</v>
      </c>
      <c r="AC90" s="9" t="n">
        <v>73989302.052386</v>
      </c>
      <c r="AD90" s="9" t="n">
        <v>9090778.66593565</v>
      </c>
      <c r="AE90" s="9" t="n">
        <v>-2466798.92270822</v>
      </c>
      <c r="AF90" s="9" t="n">
        <v>-548606.538326275</v>
      </c>
      <c r="AG90" s="9" t="n">
        <v>-600661.800518158</v>
      </c>
      <c r="AH90" s="9" t="n">
        <v>0</v>
      </c>
      <c r="AI90" s="9"/>
      <c r="AJ90" s="9"/>
      <c r="AK90" s="9"/>
      <c r="AL90" s="9" t="n">
        <v>185990.683989887</v>
      </c>
      <c r="AM90" s="9"/>
    </row>
    <row r="91">
      <c r="M91" t="s">
        <v>77</v>
      </c>
      <c r="N91" t="n">
        <v>1825</v>
      </c>
      <c r="O91" s="9"/>
      <c r="P91" s="9"/>
      <c r="Q91" s="9"/>
      <c r="R91" s="9"/>
      <c r="S91" s="9" t="n">
        <v>35313498.540225</v>
      </c>
      <c r="T91" s="9" t="n">
        <v>31857502.3067473</v>
      </c>
      <c r="U91" s="9" t="n">
        <v>3574128947.52433</v>
      </c>
      <c r="V91" s="9" t="n">
        <v>1803514897.77524</v>
      </c>
      <c r="W91" s="9" t="n">
        <v>1587605377.94602</v>
      </c>
      <c r="X91" s="9" t="n">
        <v>646388538.998658</v>
      </c>
      <c r="Y91" s="9" t="n">
        <v>337074161.920184</v>
      </c>
      <c r="Z91" s="9" t="n">
        <v>2227270286.97258</v>
      </c>
      <c r="AA91" s="9" t="n">
        <v>2142357547.97786</v>
      </c>
      <c r="AB91" s="9" t="n">
        <v>1979424284.11389</v>
      </c>
      <c r="AC91" s="9" t="n">
        <v>128270766.496239</v>
      </c>
      <c r="AD91" s="9" t="n">
        <v>182968523.172411</v>
      </c>
      <c r="AE91" s="9" t="n">
        <v>490486235.146517</v>
      </c>
      <c r="AF91" s="9" t="n">
        <v>1892505974.69293</v>
      </c>
      <c r="AG91" s="9" t="n">
        <v>1623787387.927</v>
      </c>
      <c r="AH91" s="9" t="n">
        <v>215923914.966249</v>
      </c>
      <c r="AI91" s="9" t="n">
        <v>89519019.1430333</v>
      </c>
      <c r="AJ91" s="9" t="n">
        <v>42763555.591197</v>
      </c>
      <c r="AK91" s="9" t="n">
        <v>52581649.4336</v>
      </c>
      <c r="AL91" s="9" t="n">
        <v>7172000.11851136</v>
      </c>
      <c r="AM91" s="9"/>
    </row>
    <row r="92">
      <c r="M92" t="s">
        <v>179</v>
      </c>
      <c r="N92" t="n">
        <v>1864</v>
      </c>
      <c r="O92" s="9"/>
      <c r="P92" s="9"/>
      <c r="Q92" s="9"/>
      <c r="R92" s="9"/>
      <c r="S92" s="9"/>
      <c r="T92" s="9"/>
      <c r="U92" s="9"/>
      <c r="V92" s="9"/>
      <c r="W92" s="9" t="n">
        <v>4332.30125786927</v>
      </c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>
      <c r="M93" t="s">
        <v>180</v>
      </c>
      <c r="N93" t="n">
        <v>629</v>
      </c>
      <c r="O93" s="9"/>
      <c r="P93" s="9"/>
      <c r="Q93" s="9"/>
      <c r="R93" s="9"/>
      <c r="S93" s="9"/>
      <c r="T93" s="9"/>
      <c r="U93" s="9"/>
      <c r="V93" s="9" t="n">
        <v>0</v>
      </c>
      <c r="W93" s="9" t="n">
        <v>335216.142128893</v>
      </c>
      <c r="X93" s="9" t="n">
        <v>0</v>
      </c>
      <c r="Y93" s="9" t="n">
        <v>0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>
      <c r="M94" t="s">
        <v>181</v>
      </c>
      <c r="N94" t="n">
        <v>509</v>
      </c>
      <c r="O94" s="9" t="n">
        <v>2026429.2396599</v>
      </c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>
      <c r="M95" t="s">
        <v>182</v>
      </c>
      <c r="N95" t="n">
        <v>1865</v>
      </c>
      <c r="O95" s="9"/>
      <c r="P95" s="9"/>
      <c r="Q95" s="9"/>
      <c r="R95" s="9"/>
      <c r="S95" s="9"/>
      <c r="T95" s="9"/>
      <c r="U95" s="9" t="n">
        <v>1258321.30500503</v>
      </c>
      <c r="V95" s="9" t="n">
        <v>0</v>
      </c>
      <c r="W95" s="9" t="n">
        <v>404702.255257801</v>
      </c>
      <c r="X95" s="9" t="n">
        <v>19736212.0020823</v>
      </c>
      <c r="Y95" s="9" t="n">
        <v>30125896.6270615</v>
      </c>
      <c r="Z95" s="9" t="n">
        <v>57995177.6529967</v>
      </c>
      <c r="AA95" s="9" t="n">
        <v>35737864.8474812</v>
      </c>
      <c r="AB95" s="9" t="n">
        <v>18635937.0985599</v>
      </c>
      <c r="AC95" s="9" t="n">
        <v>27749866.8666341</v>
      </c>
      <c r="AD95" s="9" t="n">
        <v>13810282.1596769</v>
      </c>
      <c r="AE95" s="9" t="n">
        <v>17152647.421181</v>
      </c>
      <c r="AF95" s="9" t="n">
        <v>5488434.94992992</v>
      </c>
      <c r="AG95" s="9" t="n">
        <v>-1690140.92420006</v>
      </c>
      <c r="AH95" s="9" t="n">
        <v>-1032614.80042948</v>
      </c>
      <c r="AI95" s="9"/>
      <c r="AJ95" s="9"/>
      <c r="AK95" s="9"/>
      <c r="AL95" s="9"/>
      <c r="AM95" s="9"/>
    </row>
    <row r="96">
      <c r="M96" t="s">
        <v>183</v>
      </c>
      <c r="N96" t="n">
        <v>1227</v>
      </c>
      <c r="O96" s="9" t="n">
        <v>24130288.4642029</v>
      </c>
      <c r="P96" s="9" t="n">
        <v>8208489.05819579</v>
      </c>
      <c r="Q96" s="9" t="n">
        <v>24646176.6500476</v>
      </c>
      <c r="R96" s="9" t="n">
        <v>1692984.39093383</v>
      </c>
      <c r="S96" s="9"/>
      <c r="T96" s="9"/>
      <c r="U96" s="9"/>
      <c r="V96" s="9"/>
      <c r="W96" s="9"/>
      <c r="X96" s="9" t="n">
        <v>-6445.89259853755</v>
      </c>
      <c r="Y96" s="9" t="n">
        <v>-167381.573343386</v>
      </c>
      <c r="Z96" s="9" t="n">
        <v>-37026.4716696273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>
      <c r="M97" t="s">
        <v>184</v>
      </c>
      <c r="N97" t="n">
        <v>1228</v>
      </c>
      <c r="O97" s="9" t="n">
        <v>38386.514522416</v>
      </c>
      <c r="P97" s="9"/>
      <c r="Q97" s="9"/>
      <c r="R97" s="9"/>
      <c r="S97" s="9" t="n">
        <v>44624.3798605711</v>
      </c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>
      <c r="M98" t="s">
        <v>185</v>
      </c>
      <c r="N98" t="n">
        <v>1233</v>
      </c>
      <c r="O98" s="9" t="n">
        <v>3732.33641496679</v>
      </c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186</v>
      </c>
      <c r="N99" t="n">
        <v>1267</v>
      </c>
      <c r="O99" s="9" t="n">
        <v>104961430.342476</v>
      </c>
      <c r="P99" s="9" t="n">
        <v>56026526.779864</v>
      </c>
      <c r="Q99" s="9" t="n">
        <v>232832894.801922</v>
      </c>
      <c r="R99" s="9" t="n">
        <v>77672555.8263965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>
      <c r="M100" t="s">
        <v>187</v>
      </c>
      <c r="N100" t="n">
        <v>900</v>
      </c>
      <c r="O100" s="9"/>
      <c r="P100" s="9"/>
      <c r="Q100" s="9" t="n">
        <v>353299.728695159</v>
      </c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>
      <c r="M101" t="s">
        <v>188</v>
      </c>
      <c r="N101" t="n">
        <v>1235</v>
      </c>
      <c r="O101" s="9" t="n">
        <v>170281.789945173</v>
      </c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189</v>
      </c>
      <c r="N102" t="n">
        <v>1334</v>
      </c>
      <c r="O102" s="9"/>
      <c r="P102" s="9"/>
      <c r="Q102" s="9"/>
      <c r="R102" s="9"/>
      <c r="S102" s="9" t="n">
        <v>262107.245028379</v>
      </c>
      <c r="T102" s="9" t="n">
        <v>99043.3747687787</v>
      </c>
      <c r="U102" s="9"/>
      <c r="V102" s="9"/>
      <c r="W102" s="9" t="n">
        <v>22837.2261999435</v>
      </c>
      <c r="X102" s="9"/>
      <c r="Y102" s="9"/>
      <c r="Z102" s="9"/>
      <c r="AA102" s="9"/>
      <c r="AB102" s="9" t="n">
        <v>43096168.2295889</v>
      </c>
      <c r="AC102" s="9" t="n">
        <v>2820518.9953819</v>
      </c>
      <c r="AD102" s="9"/>
      <c r="AE102" s="9" t="n">
        <v>-159836.884557749</v>
      </c>
      <c r="AF102" s="9"/>
      <c r="AG102" s="9" t="n">
        <v>258848.748191339</v>
      </c>
      <c r="AH102" s="9" t="n">
        <v>-31577.6978888341</v>
      </c>
      <c r="AI102" s="9"/>
      <c r="AJ102" s="9"/>
      <c r="AK102" s="9" t="n">
        <v>6285</v>
      </c>
      <c r="AL102" s="9" t="n">
        <v>0</v>
      </c>
      <c r="AM102" s="9"/>
    </row>
    <row r="103">
      <c r="M103" t="s">
        <v>190</v>
      </c>
      <c r="N103" t="n">
        <v>39</v>
      </c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 t="n">
        <v>1048028.70043699</v>
      </c>
      <c r="AA103" s="9" t="n">
        <v>384455.474826646</v>
      </c>
      <c r="AB103" s="9" t="n">
        <v>76329.6813959006</v>
      </c>
      <c r="AC103" s="9"/>
      <c r="AD103" s="9"/>
      <c r="AE103" s="9" t="n">
        <v>-211803.232616678</v>
      </c>
      <c r="AF103" s="9" t="n">
        <v>1570.35586621244</v>
      </c>
      <c r="AG103" s="9"/>
      <c r="AH103" s="9"/>
      <c r="AI103" s="9" t="n">
        <v>-1485.04339645726</v>
      </c>
      <c r="AJ103" s="9"/>
      <c r="AK103" s="9"/>
      <c r="AL103" s="9"/>
      <c r="AM103" s="9"/>
    </row>
    <row r="104">
      <c r="M104" t="s">
        <v>191</v>
      </c>
      <c r="N104" t="n">
        <v>1987</v>
      </c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 t="n">
        <v>146265</v>
      </c>
      <c r="AL104" s="9"/>
      <c r="AM104" s="9"/>
    </row>
    <row r="105">
      <c r="M105" t="s">
        <v>192</v>
      </c>
      <c r="N105" t="n">
        <v>664</v>
      </c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 t="n">
        <v>1989415.48291822</v>
      </c>
      <c r="AJ105" s="9" t="n">
        <v>2673218.98731074</v>
      </c>
      <c r="AK105" s="9" t="n">
        <v>2200000</v>
      </c>
      <c r="AL105" s="9"/>
      <c r="AM105" s="9"/>
    </row>
    <row r="106">
      <c r="M106" t="s">
        <v>193</v>
      </c>
      <c r="N106" t="n">
        <v>1268</v>
      </c>
      <c r="O106" s="9" t="n">
        <v>16779492.288177</v>
      </c>
      <c r="P106" s="9" t="n">
        <v>45327961.6619042</v>
      </c>
      <c r="Q106" s="9" t="n">
        <v>20056389.214623</v>
      </c>
      <c r="R106" s="9" t="n">
        <v>60848028.9559517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194</v>
      </c>
      <c r="N107" t="n">
        <v>2258</v>
      </c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 t="n">
        <v>28241421.7982282</v>
      </c>
      <c r="AD107" s="9"/>
      <c r="AE107" s="9"/>
      <c r="AF107" s="9"/>
      <c r="AG107" s="9" t="n">
        <v>51361891.0988032</v>
      </c>
      <c r="AH107" s="9"/>
      <c r="AI107" s="9"/>
      <c r="AJ107" s="9"/>
      <c r="AK107" s="9"/>
      <c r="AL107" s="9"/>
      <c r="AM107" s="9"/>
    </row>
    <row r="108">
      <c r="M108" t="s">
        <v>195</v>
      </c>
      <c r="N108" t="n">
        <v>1240</v>
      </c>
      <c r="O108" s="9" t="n">
        <v>3305303.81000294</v>
      </c>
      <c r="P108" s="9" t="n">
        <v>15047964.5806155</v>
      </c>
      <c r="Q108" s="9" t="n">
        <v>21815438.2809624</v>
      </c>
      <c r="R108" s="9" t="n">
        <v>4531303.96102026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>
      <c r="M109" t="s">
        <v>196</v>
      </c>
      <c r="N109" t="n">
        <v>1245</v>
      </c>
      <c r="O109" s="9" t="n">
        <v>5061177.43709894</v>
      </c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>
      <c r="M110" t="s">
        <v>197</v>
      </c>
      <c r="N110" t="n">
        <v>1241</v>
      </c>
      <c r="O110" s="9" t="n">
        <v>16102554.7164154</v>
      </c>
      <c r="P110" s="9" t="n">
        <v>8501172.58923728</v>
      </c>
      <c r="Q110" s="9" t="n">
        <v>56394117.3362007</v>
      </c>
      <c r="R110" s="9" t="n">
        <v>54425079.3240141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>
      <c r="M111" t="s">
        <v>198</v>
      </c>
      <c r="N111" t="n">
        <v>1254</v>
      </c>
      <c r="O111" s="9" t="n">
        <v>3255576.4862612</v>
      </c>
      <c r="P111" s="9" t="n">
        <v>34464916.1575317</v>
      </c>
      <c r="Q111" s="9" t="n">
        <v>13496645.9750378</v>
      </c>
      <c r="R111" s="9" t="n">
        <v>8749017.23094217</v>
      </c>
      <c r="S111" s="9"/>
      <c r="T111" s="9"/>
      <c r="U111" s="9"/>
      <c r="V111" s="9"/>
      <c r="W111" s="9"/>
      <c r="X111" s="9"/>
      <c r="Y111" s="9" t="n">
        <v>-5481948.6900086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>
      <c r="M112" t="s">
        <v>199</v>
      </c>
      <c r="N112" t="n">
        <v>1328</v>
      </c>
      <c r="O112" s="9"/>
      <c r="P112" s="9"/>
      <c r="Q112" s="9"/>
      <c r="R112" s="9"/>
      <c r="S112" s="9"/>
      <c r="T112" s="9"/>
      <c r="U112" s="9"/>
      <c r="V112" s="9"/>
      <c r="W112" s="9"/>
      <c r="X112" s="9" t="n">
        <v>0</v>
      </c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>
      <c r="M113" t="s">
        <v>200</v>
      </c>
      <c r="N113" t="n">
        <v>1272</v>
      </c>
      <c r="O113" s="9"/>
      <c r="P113" s="9"/>
      <c r="Q113" s="9" t="n">
        <v>1008965.01245144</v>
      </c>
      <c r="R113" s="9" t="n">
        <v>14802521.4014256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>
      <c r="M114" t="s">
        <v>201</v>
      </c>
      <c r="N114" t="n">
        <v>1274</v>
      </c>
      <c r="O114" s="9" t="n">
        <v>1244756.81461212</v>
      </c>
      <c r="P114" s="9" t="n">
        <v>2908363.05310781</v>
      </c>
      <c r="Q114" s="9" t="n">
        <v>16225017.4948202</v>
      </c>
      <c r="R114" s="9" t="n">
        <v>5909594.40190071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>
      <c r="M115" t="s">
        <v>202</v>
      </c>
      <c r="N115" t="n">
        <v>1335</v>
      </c>
      <c r="O115" s="9"/>
      <c r="P115" s="9"/>
      <c r="Q115" s="9"/>
      <c r="R115" s="9"/>
      <c r="S115" s="9"/>
      <c r="T115" s="9"/>
      <c r="U115" s="9"/>
      <c r="V115" s="9"/>
      <c r="W115" s="9" t="n">
        <v>0</v>
      </c>
      <c r="X115" s="9" t="n">
        <v>13582.704503798</v>
      </c>
      <c r="Y115" s="9"/>
      <c r="Z115" s="9" t="n">
        <v>324267.826277298</v>
      </c>
      <c r="AA115" s="9" t="n">
        <v>19301.8580331772</v>
      </c>
      <c r="AB115" s="9" t="n">
        <v>634347.622788796</v>
      </c>
      <c r="AC115" s="9" t="n">
        <v>5127774.64401876</v>
      </c>
      <c r="AD115" s="9" t="n">
        <v>0</v>
      </c>
      <c r="AE115" s="9" t="n">
        <v>0</v>
      </c>
      <c r="AF115" s="9"/>
      <c r="AG115" s="9"/>
      <c r="AH115" s="9"/>
      <c r="AI115" s="9"/>
      <c r="AJ115" s="9"/>
      <c r="AK115" s="9"/>
      <c r="AL115" s="9"/>
      <c r="AM115" s="9"/>
    </row>
    <row r="116">
      <c r="M116" t="s">
        <v>203</v>
      </c>
      <c r="N116" t="n">
        <v>1279</v>
      </c>
      <c r="O116" s="9" t="n">
        <v>4281775.11277109</v>
      </c>
      <c r="P116" s="9" t="n">
        <v>2725071.25180295</v>
      </c>
      <c r="Q116" s="9" t="n">
        <v>2438588.09396034</v>
      </c>
      <c r="R116" s="9" t="n">
        <v>1947480.63137474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>
      <c r="M117" t="s">
        <v>204</v>
      </c>
      <c r="N117" t="n">
        <v>2006</v>
      </c>
      <c r="O117" s="9"/>
      <c r="P117" s="9"/>
      <c r="Q117" s="9"/>
      <c r="R117" s="9"/>
      <c r="S117" s="9"/>
      <c r="T117" s="9"/>
      <c r="U117" s="9"/>
      <c r="V117" s="9"/>
      <c r="W117" s="9"/>
      <c r="X117" s="9" t="n">
        <v>0</v>
      </c>
      <c r="Y117" s="9" t="n">
        <v>0</v>
      </c>
      <c r="Z117" s="9" t="n">
        <v>0</v>
      </c>
      <c r="AA117" s="9" t="n">
        <v>0</v>
      </c>
      <c r="AB117" s="9" t="n">
        <v>0</v>
      </c>
      <c r="AC117" s="9" t="n">
        <v>0</v>
      </c>
      <c r="AD117" s="9" t="n">
        <v>0</v>
      </c>
      <c r="AE117" s="9"/>
      <c r="AF117" s="9"/>
      <c r="AG117" s="9"/>
      <c r="AH117" s="9"/>
      <c r="AI117" s="9"/>
      <c r="AJ117" s="9"/>
      <c r="AK117" s="9"/>
      <c r="AL117" s="9"/>
      <c r="AM117" s="9"/>
    </row>
    <row r="118">
      <c r="M118" t="s">
        <v>205</v>
      </c>
      <c r="N118" t="n">
        <v>2007</v>
      </c>
      <c r="O118" s="9" t="n">
        <v>51087514.7740336</v>
      </c>
      <c r="P118" s="9" t="n">
        <v>52006427.2476188</v>
      </c>
      <c r="Q118" s="9" t="n">
        <v>96281148.8860544</v>
      </c>
      <c r="R118" s="9" t="n">
        <v>81693974.3372702</v>
      </c>
      <c r="S118" s="9" t="n">
        <v>85500363.8746308</v>
      </c>
      <c r="T118" s="9" t="n">
        <v>-56755.8411168085</v>
      </c>
      <c r="U118" s="9" t="n">
        <v>-373212.506525357</v>
      </c>
      <c r="V118" s="9" t="n">
        <v>-3018592.05984324</v>
      </c>
      <c r="W118" s="9" t="n">
        <v>0</v>
      </c>
      <c r="X118" s="9" t="n">
        <v>0</v>
      </c>
      <c r="Y118" s="9" t="n">
        <v>0</v>
      </c>
      <c r="Z118" s="9" t="n">
        <v>0</v>
      </c>
      <c r="AA118" s="9" t="n">
        <v>-7283.31279054034</v>
      </c>
      <c r="AB118" s="9" t="n">
        <v>0</v>
      </c>
      <c r="AC118" s="9" t="n">
        <v>314008.65095425</v>
      </c>
      <c r="AD118" s="9" t="n">
        <v>0</v>
      </c>
      <c r="AE118" s="9" t="n">
        <v>-8934976.18126718</v>
      </c>
      <c r="AF118" s="9"/>
      <c r="AG118" s="9"/>
      <c r="AH118" s="9"/>
      <c r="AI118" s="9"/>
      <c r="AJ118" s="9"/>
      <c r="AK118" s="9" t="n">
        <v>714976.3125</v>
      </c>
      <c r="AL118" s="9"/>
      <c r="AM118" s="9"/>
    </row>
    <row r="119">
      <c r="M119" t="s">
        <v>206</v>
      </c>
      <c r="N119" t="n">
        <v>2103</v>
      </c>
      <c r="O119" s="9" t="n">
        <v>14738132.0871272</v>
      </c>
      <c r="P119" s="9" t="n">
        <v>11181410.36325</v>
      </c>
      <c r="Q119" s="9" t="n">
        <v>759190.645576084</v>
      </c>
      <c r="R119" s="9" t="n">
        <v>-57425.8476798751</v>
      </c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>
      <c r="M120" t="s">
        <v>207</v>
      </c>
      <c r="N120" t="n">
        <v>2008</v>
      </c>
      <c r="O120" s="9" t="n">
        <v>713539627.16092</v>
      </c>
      <c r="P120" s="9" t="n">
        <v>899510267.174022</v>
      </c>
      <c r="Q120" s="9" t="n">
        <v>557018574.994911</v>
      </c>
      <c r="R120" s="9" t="n">
        <v>312875812.81994</v>
      </c>
      <c r="S120" s="9" t="n">
        <v>819634373.118571</v>
      </c>
      <c r="T120" s="9" t="n">
        <v>598305956.666715</v>
      </c>
      <c r="U120" s="9" t="n">
        <v>-42351771.7600892</v>
      </c>
      <c r="V120" s="9" t="n">
        <v>24874510.360373</v>
      </c>
      <c r="W120" s="9" t="n">
        <v>11952524.5739758</v>
      </c>
      <c r="X120" s="9" t="n">
        <v>3857055.24831235</v>
      </c>
      <c r="Y120" s="9" t="n">
        <v>6381334.39493919</v>
      </c>
      <c r="Z120" s="9" t="n">
        <v>266187.781806926</v>
      </c>
      <c r="AA120" s="9" t="n">
        <v>-4144965.80040914</v>
      </c>
      <c r="AB120" s="9" t="n">
        <v>341883.316650525</v>
      </c>
      <c r="AC120" s="9" t="n">
        <v>-838283.083967467</v>
      </c>
      <c r="AD120" s="9" t="n">
        <v>-2125860.27414113</v>
      </c>
      <c r="AE120" s="9" t="n">
        <v>0</v>
      </c>
      <c r="AF120" s="9"/>
      <c r="AG120" s="9" t="n">
        <v>-28070840.704215</v>
      </c>
      <c r="AH120" s="9" t="n">
        <v>-4666083.93242341</v>
      </c>
      <c r="AI120" s="9" t="n">
        <v>0</v>
      </c>
      <c r="AJ120" s="9"/>
      <c r="AK120" s="9" t="n">
        <v>0</v>
      </c>
      <c r="AL120" s="9"/>
      <c r="AM120" s="9"/>
    </row>
    <row r="121">
      <c r="M121" t="s">
        <v>208</v>
      </c>
      <c r="N121" t="n">
        <v>2011</v>
      </c>
      <c r="O121" s="9" t="n">
        <v>158897438.416732</v>
      </c>
      <c r="P121" s="9" t="n">
        <v>156464635.088965</v>
      </c>
      <c r="Q121" s="9" t="n">
        <v>276432019.424273</v>
      </c>
      <c r="R121" s="9" t="n">
        <v>202181602.543732</v>
      </c>
      <c r="S121" s="9" t="n">
        <v>145180166.099379</v>
      </c>
      <c r="T121" s="9" t="n">
        <v>-36478597.7114293</v>
      </c>
      <c r="U121" s="9" t="n">
        <v>1450847.26094036</v>
      </c>
      <c r="V121" s="9" t="n">
        <v>-5451235.35887524</v>
      </c>
      <c r="W121" s="9"/>
      <c r="X121" s="9"/>
      <c r="Y121" s="9" t="n">
        <v>-949308.901039961</v>
      </c>
      <c r="Z121" s="9"/>
      <c r="AA121" s="9"/>
      <c r="AB121" s="9" t="n">
        <v>0</v>
      </c>
      <c r="AC121" s="9" t="n">
        <v>0</v>
      </c>
      <c r="AD121" s="9" t="n">
        <v>0</v>
      </c>
      <c r="AE121" s="9"/>
      <c r="AF121" s="9"/>
      <c r="AG121" s="9"/>
      <c r="AH121" s="9"/>
      <c r="AI121" s="9"/>
      <c r="AJ121" s="9"/>
      <c r="AK121" s="9" t="n">
        <v>0</v>
      </c>
      <c r="AL121" s="9"/>
      <c r="AM121" s="9"/>
    </row>
    <row r="122">
      <c r="M122" t="s">
        <v>209</v>
      </c>
      <c r="N122" t="n">
        <v>2104</v>
      </c>
      <c r="O122" s="9"/>
      <c r="P122" s="9"/>
      <c r="Q122" s="9"/>
      <c r="R122" s="9" t="n">
        <v>112225740.9478</v>
      </c>
      <c r="S122" s="9" t="n">
        <v>50723671.3369799</v>
      </c>
      <c r="T122" s="9" t="n">
        <v>2238863.02790813</v>
      </c>
      <c r="U122" s="9" t="n">
        <v>2317528.64297562</v>
      </c>
      <c r="V122" s="9" t="n">
        <v>217527561.469272</v>
      </c>
      <c r="W122" s="9" t="n">
        <v>77582.8509259229</v>
      </c>
      <c r="X122" s="9"/>
      <c r="Y122" s="9"/>
      <c r="Z122" s="9"/>
      <c r="AA122" s="9"/>
      <c r="AB122" s="9"/>
      <c r="AC122" s="9"/>
      <c r="AD122" s="9" t="n">
        <v>0</v>
      </c>
      <c r="AE122" s="9" t="n">
        <v>0</v>
      </c>
      <c r="AF122" s="9"/>
      <c r="AG122" s="9"/>
      <c r="AH122" s="9"/>
      <c r="AI122" s="9"/>
      <c r="AJ122" s="9"/>
      <c r="AK122" s="9"/>
      <c r="AL122" s="9"/>
      <c r="AM122" s="9"/>
    </row>
    <row r="123">
      <c r="M123" t="s">
        <v>210</v>
      </c>
      <c r="N123" t="n">
        <v>2105</v>
      </c>
      <c r="O123" s="9" t="n">
        <v>702666.457074165</v>
      </c>
      <c r="P123" s="9" t="n">
        <v>17960859.725546</v>
      </c>
      <c r="Q123" s="9" t="n">
        <v>118260567.936038</v>
      </c>
      <c r="R123" s="9" t="n">
        <v>107435488.090722</v>
      </c>
      <c r="S123" s="9" t="n">
        <v>31968620.136082</v>
      </c>
      <c r="T123" s="9" t="n">
        <v>78967316.1959364</v>
      </c>
      <c r="U123" s="9" t="n">
        <v>2700493.13961477</v>
      </c>
      <c r="V123" s="9" t="n">
        <v>33736.0128566501</v>
      </c>
      <c r="W123" s="9"/>
      <c r="X123" s="9" t="n">
        <v>-552488.679057284</v>
      </c>
      <c r="Y123" s="9" t="n">
        <v>-602500.349960726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</row>
    <row r="124">
      <c r="M124" t="s">
        <v>211</v>
      </c>
      <c r="N124" t="n">
        <v>2106</v>
      </c>
      <c r="O124" s="9" t="n">
        <v>525758.558194888</v>
      </c>
      <c r="P124" s="9" t="n">
        <v>-873598.952635946</v>
      </c>
      <c r="Q124" s="9"/>
      <c r="R124" s="9"/>
      <c r="S124" s="9"/>
      <c r="T124" s="9"/>
      <c r="U124" s="9"/>
      <c r="V124" s="9"/>
      <c r="W124" s="9"/>
      <c r="X124" s="9"/>
      <c r="Y124" s="9"/>
      <c r="Z124" s="9" t="n">
        <v>0</v>
      </c>
      <c r="AA124" s="9"/>
      <c r="AB124" s="9"/>
      <c r="AC124" s="9"/>
      <c r="AD124" s="9" t="n">
        <v>0</v>
      </c>
      <c r="AE124" s="9"/>
      <c r="AF124" s="9"/>
      <c r="AG124" s="9"/>
      <c r="AH124" s="9"/>
      <c r="AI124" s="9"/>
      <c r="AJ124" s="9"/>
      <c r="AK124" s="9"/>
      <c r="AL124" s="9"/>
      <c r="AM124" s="9"/>
    </row>
    <row r="125">
      <c r="M125" t="s">
        <v>212</v>
      </c>
      <c r="N125" t="n">
        <v>1283</v>
      </c>
      <c r="O125" s="9" t="n">
        <v>8071468.32877463</v>
      </c>
      <c r="P125" s="9" t="n">
        <v>4669845.0138806</v>
      </c>
      <c r="Q125" s="9" t="n">
        <v>3781860.06287862</v>
      </c>
      <c r="R125" s="9" t="n">
        <v>11636034.1027217</v>
      </c>
      <c r="S125" s="9"/>
      <c r="T125" s="9"/>
      <c r="U125" s="9"/>
      <c r="V125" s="9"/>
      <c r="W125" s="9"/>
      <c r="X125" s="9" t="n">
        <v>-104758.581692386</v>
      </c>
      <c r="Y125" s="9" t="n">
        <v>0</v>
      </c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</row>
    <row r="126">
      <c r="M126" t="s">
        <v>213</v>
      </c>
      <c r="N126" t="n">
        <v>2012</v>
      </c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 t="n">
        <v>0</v>
      </c>
      <c r="AA126" s="9"/>
      <c r="AB126" s="9"/>
      <c r="AC126" s="9"/>
      <c r="AD126" s="9" t="n">
        <v>0</v>
      </c>
      <c r="AE126" s="9"/>
      <c r="AF126" s="9"/>
      <c r="AG126" s="9"/>
      <c r="AH126" s="9"/>
      <c r="AI126" s="9"/>
      <c r="AJ126" s="9"/>
      <c r="AK126" s="9"/>
      <c r="AL126" s="9"/>
      <c r="AM126" s="9"/>
    </row>
    <row r="127">
      <c r="M127" t="s">
        <v>214</v>
      </c>
      <c r="N127" t="n">
        <v>2107</v>
      </c>
      <c r="O127" s="9"/>
      <c r="P127" s="9"/>
      <c r="Q127" s="9"/>
      <c r="R127" s="9" t="n">
        <v>1689199.17650801</v>
      </c>
      <c r="S127" s="9" t="n">
        <v>2024459.36634124</v>
      </c>
      <c r="T127" s="9" t="n">
        <v>1713159.05398017</v>
      </c>
      <c r="U127" s="9"/>
      <c r="V127" s="9"/>
      <c r="W127" s="9"/>
      <c r="X127" s="9"/>
      <c r="Y127" s="9"/>
      <c r="Z127" s="9"/>
      <c r="AA127" s="9"/>
      <c r="AB127" s="9" t="n">
        <v>-363566.192116678</v>
      </c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</row>
    <row r="128">
      <c r="M128" t="s">
        <v>215</v>
      </c>
      <c r="N128" t="n">
        <v>2108</v>
      </c>
      <c r="O128" s="9"/>
      <c r="P128" s="9"/>
      <c r="Q128" s="9" t="n">
        <v>231702.503390408</v>
      </c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 t="n">
        <v>0</v>
      </c>
      <c r="AE128" s="9"/>
      <c r="AF128" s="9"/>
      <c r="AG128" s="9"/>
      <c r="AH128" s="9"/>
      <c r="AI128" s="9"/>
      <c r="AJ128" s="9"/>
      <c r="AK128" s="9"/>
      <c r="AL128" s="9"/>
      <c r="AM128" s="9"/>
    </row>
    <row r="129">
      <c r="M129" t="s">
        <v>216</v>
      </c>
      <c r="N129" t="n">
        <v>1282</v>
      </c>
      <c r="O129" s="9" t="n">
        <v>3692440.80857788</v>
      </c>
      <c r="P129" s="9" t="n">
        <v>3671331.95645239</v>
      </c>
      <c r="Q129" s="9" t="n">
        <v>5707264.38300938</v>
      </c>
      <c r="R129" s="9" t="n">
        <v>17300986.9266983</v>
      </c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</row>
    <row r="130">
      <c r="M130" t="s">
        <v>217</v>
      </c>
      <c r="N130" t="n">
        <v>1281</v>
      </c>
      <c r="O130" s="9"/>
      <c r="P130" s="9" t="n">
        <v>18730.9635579939</v>
      </c>
      <c r="Q130" s="9" t="n">
        <v>11407832.3773149</v>
      </c>
      <c r="R130" s="9" t="n">
        <v>-29135.7889780871</v>
      </c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</row>
    <row r="131">
      <c r="M131" t="s">
        <v>218</v>
      </c>
      <c r="N131" t="n">
        <v>58</v>
      </c>
      <c r="O131" s="9"/>
      <c r="P131" s="9"/>
      <c r="Q131" s="9"/>
      <c r="R131" s="9"/>
      <c r="S131" s="9"/>
      <c r="T131" s="9"/>
      <c r="U131" s="9"/>
      <c r="V131" s="9"/>
      <c r="W131" s="9" t="n">
        <v>1034857.46797512</v>
      </c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</row>
    <row r="132">
      <c r="M132" t="s">
        <v>219</v>
      </c>
      <c r="N132" t="n">
        <v>2013</v>
      </c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 t="n">
        <v>0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</row>
    <row r="133">
      <c r="M133" t="s">
        <v>220</v>
      </c>
      <c r="N133" t="n">
        <v>2109</v>
      </c>
      <c r="O133" s="9"/>
      <c r="P133" s="9"/>
      <c r="Q133" s="9" t="n">
        <v>838601.553825873</v>
      </c>
      <c r="R133" s="9" t="n">
        <v>4711194.60038492</v>
      </c>
      <c r="S133" s="9" t="n">
        <v>5069180.80422801</v>
      </c>
      <c r="T133" s="9" t="n">
        <v>8603515.08006264</v>
      </c>
      <c r="U133" s="9" t="n">
        <v>3574990.09508889</v>
      </c>
      <c r="V133" s="9" t="n">
        <v>0</v>
      </c>
      <c r="W133" s="9"/>
      <c r="X133" s="9"/>
      <c r="Y133" s="9" t="n">
        <v>-24.5685165081141</v>
      </c>
      <c r="Z133" s="9"/>
      <c r="AA133" s="9"/>
      <c r="AB133" s="9" t="n">
        <v>-6512.07612987526</v>
      </c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</row>
    <row r="134">
      <c r="M134" t="s">
        <v>221</v>
      </c>
      <c r="N134" t="n">
        <v>2110</v>
      </c>
      <c r="O134" s="9"/>
      <c r="P134" s="9"/>
      <c r="Q134" s="9" t="n">
        <v>5748610.54554468</v>
      </c>
      <c r="R134" s="9" t="n">
        <v>10423998.9957783</v>
      </c>
      <c r="S134" s="9" t="n">
        <v>14238043.5481886</v>
      </c>
      <c r="T134" s="9" t="n">
        <v>290333.397949874</v>
      </c>
      <c r="U134" s="9" t="n">
        <v>12502514.1084907</v>
      </c>
      <c r="V134" s="9" t="n">
        <v>-4728838.8801121</v>
      </c>
      <c r="W134" s="9" t="n">
        <v>7627609.55649724</v>
      </c>
      <c r="X134" s="9" t="n">
        <v>-725783.297103749</v>
      </c>
      <c r="Y134" s="9" t="n">
        <v>0</v>
      </c>
      <c r="Z134" s="9" t="n">
        <v>-166709.775891138</v>
      </c>
      <c r="AA134" s="9" t="n">
        <v>0</v>
      </c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</row>
    <row r="135">
      <c r="M135" t="s">
        <v>222</v>
      </c>
      <c r="N135" t="n">
        <v>1961</v>
      </c>
      <c r="O135" s="9"/>
      <c r="P135" s="9"/>
      <c r="Q135" s="9"/>
      <c r="R135" s="9"/>
      <c r="S135" s="9"/>
      <c r="T135" s="9"/>
      <c r="U135" s="9"/>
      <c r="V135" s="9"/>
      <c r="W135" s="9"/>
      <c r="X135" s="9" t="n">
        <v>43676.3192137089</v>
      </c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</row>
    <row r="136">
      <c r="M136" t="s">
        <v>223</v>
      </c>
      <c r="N136" t="n">
        <v>2144</v>
      </c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 t="n">
        <v>538229.055235786</v>
      </c>
      <c r="AF136" s="9" t="n">
        <v>4041.44724099478</v>
      </c>
      <c r="AG136" s="9"/>
      <c r="AH136" s="9"/>
      <c r="AI136" s="9"/>
      <c r="AJ136" s="9"/>
      <c r="AK136" s="9" t="n">
        <v>1360963</v>
      </c>
      <c r="AL136" s="9" t="n">
        <v>1273915.05293654</v>
      </c>
      <c r="AM136" s="9"/>
    </row>
    <row r="137">
      <c r="M137" t="s">
        <v>224</v>
      </c>
      <c r="N137" t="n">
        <v>652</v>
      </c>
      <c r="O137" s="9"/>
      <c r="P137" s="9"/>
      <c r="Q137" s="9"/>
      <c r="R137" s="9"/>
      <c r="S137" s="9"/>
      <c r="T137" s="9"/>
      <c r="U137" s="9" t="n">
        <v>2088454.04566902</v>
      </c>
      <c r="V137" s="9" t="n">
        <v>10542248.8645262</v>
      </c>
      <c r="W137" s="9" t="n">
        <v>2163475.28707598</v>
      </c>
      <c r="X137" s="9" t="n">
        <v>1485216.53678029</v>
      </c>
      <c r="Y137" s="9" t="n">
        <v>2359627.97925821</v>
      </c>
      <c r="Z137" s="9" t="n">
        <v>1089326.36876827</v>
      </c>
      <c r="AA137" s="9"/>
      <c r="AB137" s="9"/>
      <c r="AC137" s="9"/>
      <c r="AD137" s="9" t="n">
        <v>-350.40661224546</v>
      </c>
      <c r="AE137" s="9"/>
      <c r="AF137" s="9"/>
      <c r="AG137" s="9"/>
      <c r="AH137" s="9" t="n">
        <v>-3821.35503446362</v>
      </c>
      <c r="AI137" s="9"/>
      <c r="AJ137" s="9"/>
      <c r="AK137" s="9"/>
      <c r="AL137" s="9"/>
      <c r="AM137" s="9"/>
    </row>
    <row r="138">
      <c r="M138" t="s">
        <v>225</v>
      </c>
      <c r="N138" t="n">
        <v>1336</v>
      </c>
      <c r="O138" s="9"/>
      <c r="P138" s="9"/>
      <c r="Q138" s="9"/>
      <c r="R138" s="9"/>
      <c r="S138" s="9" t="n">
        <v>24881905.6692672</v>
      </c>
      <c r="T138" s="9" t="n">
        <v>20179670.1222433</v>
      </c>
      <c r="U138" s="9" t="n">
        <v>14590799.6789183</v>
      </c>
      <c r="V138" s="9" t="n">
        <v>9091770.41380821</v>
      </c>
      <c r="W138" s="9" t="n">
        <v>22148203.6777343</v>
      </c>
      <c r="X138" s="9" t="n">
        <v>64406121.5699981</v>
      </c>
      <c r="Y138" s="9" t="n">
        <v>6977512.45646354</v>
      </c>
      <c r="Z138" s="9" t="n">
        <v>171882358.297034</v>
      </c>
      <c r="AA138" s="9" t="n">
        <v>-178794578.784526</v>
      </c>
      <c r="AB138" s="9" t="n">
        <v>120691.260006249</v>
      </c>
      <c r="AC138" s="9" t="n">
        <v>-1236542.82357019</v>
      </c>
      <c r="AD138" s="9" t="n">
        <v>-433284.840787681</v>
      </c>
      <c r="AE138" s="9" t="n">
        <v>0</v>
      </c>
      <c r="AF138" s="9"/>
      <c r="AG138" s="9" t="n">
        <v>383960.889695633</v>
      </c>
      <c r="AH138" s="9" t="n">
        <v>-319384.103742084</v>
      </c>
      <c r="AI138" s="9"/>
      <c r="AJ138" s="9"/>
      <c r="AK138" s="9"/>
      <c r="AL138" s="9"/>
      <c r="AM138" s="9"/>
    </row>
    <row r="139">
      <c r="M139" t="s">
        <v>226</v>
      </c>
      <c r="N139" t="n">
        <v>665</v>
      </c>
      <c r="O139" s="9"/>
      <c r="P139" s="9"/>
      <c r="Q139" s="9"/>
      <c r="R139" s="9" t="n">
        <v>1181325.19296456</v>
      </c>
      <c r="S139" s="9" t="n">
        <v>6430529.32323781</v>
      </c>
      <c r="T139" s="9" t="n">
        <v>15871184.7001393</v>
      </c>
      <c r="U139" s="9" t="n">
        <v>22128823.0903358</v>
      </c>
      <c r="V139" s="9" t="n">
        <v>54590239.3725449</v>
      </c>
      <c r="W139" s="9" t="n">
        <v>42695747.822721</v>
      </c>
      <c r="X139" s="9" t="n">
        <v>29026750.8497698</v>
      </c>
      <c r="Y139" s="9" t="n">
        <v>49628008.6025444</v>
      </c>
      <c r="Z139" s="9" t="n">
        <v>9954947.21397194</v>
      </c>
      <c r="AA139" s="9" t="n">
        <v>4131436.20019241</v>
      </c>
      <c r="AB139" s="9" t="n">
        <v>2800185.14269897</v>
      </c>
      <c r="AC139" s="9" t="n">
        <v>1833549.34129693</v>
      </c>
      <c r="AD139" s="9" t="n">
        <v>-2858386.70483187</v>
      </c>
      <c r="AE139" s="9" t="n">
        <v>-291849.174797578</v>
      </c>
      <c r="AF139" s="9" t="n">
        <v>-1384.59888978569</v>
      </c>
      <c r="AG139" s="9" t="n">
        <v>-5659.09653453623</v>
      </c>
      <c r="AH139" s="9" t="n">
        <v>-85627.5299152488</v>
      </c>
      <c r="AI139" s="9" t="n">
        <v>0</v>
      </c>
      <c r="AJ139" s="9" t="n">
        <v>-127430.821754702</v>
      </c>
      <c r="AK139" s="9" t="n">
        <v>-5355</v>
      </c>
      <c r="AL139" s="9"/>
      <c r="AM139" s="9"/>
    </row>
    <row r="140">
      <c r="M140" t="s">
        <v>227</v>
      </c>
      <c r="N140" t="n">
        <v>1377</v>
      </c>
      <c r="O140" s="9"/>
      <c r="P140" s="9"/>
      <c r="Q140" s="9"/>
      <c r="R140" s="9"/>
      <c r="S140" s="9"/>
      <c r="T140" s="9"/>
      <c r="U140" s="9"/>
      <c r="V140" s="9"/>
      <c r="W140" s="9" t="n">
        <v>19191.4280644751</v>
      </c>
      <c r="X140" s="9" t="n">
        <v>3034.53968533121</v>
      </c>
      <c r="Y140" s="9" t="n">
        <v>-780.070022548364</v>
      </c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</row>
    <row r="141">
      <c r="M141" t="s">
        <v>228</v>
      </c>
      <c r="N141" t="n">
        <v>45</v>
      </c>
      <c r="O141" s="9"/>
      <c r="P141" s="9"/>
      <c r="Q141" s="9"/>
      <c r="R141" s="9"/>
      <c r="S141" s="9" t="n">
        <v>528055.161683425</v>
      </c>
      <c r="T141" s="9" t="n">
        <v>14096780.0389063</v>
      </c>
      <c r="U141" s="9" t="n">
        <v>17197914.094754</v>
      </c>
      <c r="V141" s="9" t="n">
        <v>23890887.3786047</v>
      </c>
      <c r="W141" s="9" t="n">
        <v>56080673.6410132</v>
      </c>
      <c r="X141" s="9" t="n">
        <v>217208507.379104</v>
      </c>
      <c r="Y141" s="9" t="n">
        <v>183734160.935586</v>
      </c>
      <c r="Z141" s="9" t="n">
        <v>109854870.76369</v>
      </c>
      <c r="AA141" s="9" t="n">
        <v>41482533.1619402</v>
      </c>
      <c r="AB141" s="9" t="n">
        <v>22724453.3412773</v>
      </c>
      <c r="AC141" s="9" t="n">
        <v>5933706.77199494</v>
      </c>
      <c r="AD141" s="9" t="n">
        <v>1903882.21139903</v>
      </c>
      <c r="AE141" s="9" t="n">
        <v>3056299.01206071</v>
      </c>
      <c r="AF141" s="9" t="n">
        <v>-1216924.61953613</v>
      </c>
      <c r="AG141" s="9" t="n">
        <v>-3523.93888248035</v>
      </c>
      <c r="AH141" s="9" t="n">
        <v>-810567.347521368</v>
      </c>
      <c r="AI141" s="9" t="n">
        <v>-95076.3763903094</v>
      </c>
      <c r="AJ141" s="9" t="n">
        <v>-108083.590094948</v>
      </c>
      <c r="AK141" s="9" t="n">
        <v>-88241</v>
      </c>
      <c r="AL141" s="9" t="n">
        <v>0</v>
      </c>
      <c r="AM141" s="9"/>
    </row>
    <row r="142">
      <c r="M142" t="s">
        <v>79</v>
      </c>
      <c r="N142" t="n">
        <v>1813</v>
      </c>
      <c r="O142" s="9"/>
      <c r="P142" s="9"/>
      <c r="Q142" s="9"/>
      <c r="R142" s="9"/>
      <c r="S142" s="9" t="n">
        <v>32611019.3212409</v>
      </c>
      <c r="T142" s="9" t="n">
        <v>76237275.6400521</v>
      </c>
      <c r="U142" s="9" t="n">
        <v>369821689.404707</v>
      </c>
      <c r="V142" s="9" t="n">
        <v>161703254.825917</v>
      </c>
      <c r="W142" s="9" t="n">
        <v>704259601.271708</v>
      </c>
      <c r="X142" s="9" t="n">
        <v>4045552715.14773</v>
      </c>
      <c r="Y142" s="9" t="n">
        <v>3565016296.78863</v>
      </c>
      <c r="Z142" s="9" t="n">
        <v>4740552873.32577</v>
      </c>
      <c r="AA142" s="9" t="n">
        <v>3992282365.64356</v>
      </c>
      <c r="AB142" s="9" t="n">
        <v>4106331809.75264</v>
      </c>
      <c r="AC142" s="9" t="n">
        <v>7376949167.19082</v>
      </c>
      <c r="AD142" s="9" t="n">
        <v>5082279819.76247</v>
      </c>
      <c r="AE142" s="9" t="n">
        <v>4982702085.06772</v>
      </c>
      <c r="AF142" s="9" t="n">
        <v>4280174511.74438</v>
      </c>
      <c r="AG142" s="9" t="n">
        <v>4675100638.83428</v>
      </c>
      <c r="AH142" s="9" t="n">
        <v>3075593171.33028</v>
      </c>
      <c r="AI142" s="9" t="n">
        <v>10641049821.887</v>
      </c>
      <c r="AJ142" s="9" t="n">
        <v>6168198594.08934</v>
      </c>
      <c r="AK142" s="9" t="n">
        <v>5033945702.0625</v>
      </c>
      <c r="AL142" s="9" t="n">
        <v>3806068434.76962</v>
      </c>
      <c r="AM142" s="9"/>
    </row>
    <row r="143">
      <c r="M143" t="s">
        <v>229</v>
      </c>
      <c r="N143" t="n">
        <v>1204</v>
      </c>
      <c r="O143" s="9" t="n">
        <v>43438139.7634607</v>
      </c>
      <c r="P143" s="9" t="n">
        <v>2646807.87846601</v>
      </c>
      <c r="Q143" s="9" t="n">
        <v>26943741.4690054</v>
      </c>
      <c r="R143" s="9" t="n">
        <v>7516667.8351459</v>
      </c>
      <c r="S143" s="9" t="n">
        <v>-55468.1041666899</v>
      </c>
      <c r="T143" s="9" t="n">
        <v>-4.33096411839104</v>
      </c>
      <c r="U143" s="9" t="n">
        <v>-879239.428659211</v>
      </c>
      <c r="V143" s="9"/>
      <c r="W143" s="9" t="n">
        <v>0</v>
      </c>
      <c r="X143" s="9" t="n">
        <v>0</v>
      </c>
      <c r="Y143" s="9" t="n">
        <v>0</v>
      </c>
      <c r="Z143" s="9" t="n">
        <v>0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</row>
    <row r="144">
      <c r="M144" t="s">
        <v>230</v>
      </c>
      <c r="N144" t="n">
        <v>2202</v>
      </c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 t="n">
        <v>71177.9460730758</v>
      </c>
      <c r="AI144" s="9" t="n">
        <v>-94.4972354386154</v>
      </c>
      <c r="AJ144" s="9"/>
      <c r="AK144" s="9"/>
      <c r="AL144" s="9"/>
      <c r="AM144" s="9"/>
    </row>
    <row r="145">
      <c r="M145" t="s">
        <v>231</v>
      </c>
      <c r="N145" t="n">
        <v>1836</v>
      </c>
      <c r="O145" s="9"/>
      <c r="P145" s="9"/>
      <c r="Q145" s="9"/>
      <c r="R145" s="9"/>
      <c r="S145" s="9" t="n">
        <v>397957.244637916</v>
      </c>
      <c r="T145" s="9" t="n">
        <v>23195.2001633963</v>
      </c>
      <c r="U145" s="9" t="n">
        <v>3874.23148463214</v>
      </c>
      <c r="V145" s="9"/>
      <c r="W145" s="9"/>
      <c r="X145" s="9"/>
      <c r="Y145" s="9" t="n">
        <v>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</row>
    <row r="146">
      <c r="M146" t="s">
        <v>232</v>
      </c>
      <c r="N146" t="n">
        <v>1284</v>
      </c>
      <c r="O146" s="9" t="n">
        <v>9293.67924627227</v>
      </c>
      <c r="P146" s="9" t="n">
        <v>53192.5291540807</v>
      </c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</row>
    <row r="147">
      <c r="M147" t="s">
        <v>233</v>
      </c>
      <c r="N147" t="n">
        <v>1285</v>
      </c>
      <c r="O147" s="9"/>
      <c r="P147" s="9"/>
      <c r="Q147" s="9"/>
      <c r="R147" s="9" t="n">
        <v>685727.251053305</v>
      </c>
      <c r="S147" s="9"/>
      <c r="T147" s="9"/>
      <c r="U147" s="9"/>
      <c r="V147" s="9"/>
      <c r="W147" s="9"/>
      <c r="X147" s="9"/>
      <c r="Y147" s="9" t="n">
        <v>-9092.53584828809</v>
      </c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</row>
    <row r="148">
      <c r="M148" t="s">
        <v>234</v>
      </c>
      <c r="N148" t="n">
        <v>1246</v>
      </c>
      <c r="O148" s="9" t="n">
        <v>1241029.3253873</v>
      </c>
      <c r="P148" s="9" t="n">
        <v>704741.067160256</v>
      </c>
      <c r="Q148" s="9" t="n">
        <v>3554414.2388568</v>
      </c>
      <c r="R148" s="9" t="n">
        <v>50711.8159728954</v>
      </c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</row>
    <row r="149">
      <c r="M149" t="s">
        <v>235</v>
      </c>
      <c r="N149" t="n">
        <v>1211</v>
      </c>
      <c r="O149" s="9"/>
      <c r="P149" s="9"/>
      <c r="Q149" s="9" t="n">
        <v>443562.762237791</v>
      </c>
      <c r="R149" s="9" t="n">
        <v>604398.475240047</v>
      </c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</row>
    <row r="150">
      <c r="M150" t="s">
        <v>236</v>
      </c>
      <c r="N150" t="n">
        <v>1209</v>
      </c>
      <c r="O150" s="9" t="n">
        <v>92904.4778617273</v>
      </c>
      <c r="P150" s="9"/>
      <c r="Q150" s="9"/>
      <c r="R150" s="9" t="n">
        <v>907710.87676428</v>
      </c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</row>
    <row r="151">
      <c r="M151" t="s">
        <v>237</v>
      </c>
      <c r="N151" t="n">
        <v>2010</v>
      </c>
      <c r="O151" s="9" t="n">
        <v>60149734.2277562</v>
      </c>
      <c r="P151" s="9" t="n">
        <v>82636460.1963207</v>
      </c>
      <c r="Q151" s="9" t="n">
        <v>629098785.643297</v>
      </c>
      <c r="R151" s="9" t="n">
        <v>2471270717.75553</v>
      </c>
      <c r="S151" s="9" t="n">
        <v>2237646751.1778</v>
      </c>
      <c r="T151" s="9" t="n">
        <v>2248143653.13673</v>
      </c>
      <c r="U151" s="9" t="n">
        <v>1988160091.32616</v>
      </c>
      <c r="V151" s="9" t="n">
        <v>1788413084.8994</v>
      </c>
      <c r="W151" s="9" t="n">
        <v>2001659336.69954</v>
      </c>
      <c r="X151" s="9" t="n">
        <v>67067673.5508492</v>
      </c>
      <c r="Y151" s="9" t="n">
        <v>247474383.648691</v>
      </c>
      <c r="Z151" s="9" t="n">
        <v>241310206.72588</v>
      </c>
      <c r="AA151" s="9" t="n">
        <v>116103611.557047</v>
      </c>
      <c r="AB151" s="9" t="n">
        <v>115227356.041379</v>
      </c>
      <c r="AC151" s="9" t="n">
        <v>29913229.0132287</v>
      </c>
      <c r="AD151" s="9" t="n">
        <v>16577019.0759086</v>
      </c>
      <c r="AE151" s="9" t="n">
        <v>9731620.82935209</v>
      </c>
      <c r="AF151" s="9" t="n">
        <v>1221644.88534247</v>
      </c>
      <c r="AG151" s="9" t="n">
        <v>-2680878.1846166</v>
      </c>
      <c r="AH151" s="9" t="n">
        <v>-5868689.67320633</v>
      </c>
      <c r="AI151" s="9" t="n">
        <v>0</v>
      </c>
      <c r="AJ151" s="9" t="n">
        <v>0</v>
      </c>
      <c r="AK151" s="9" t="n">
        <v>0</v>
      </c>
      <c r="AL151" s="9" t="n">
        <v>0</v>
      </c>
      <c r="AM151" s="9"/>
    </row>
    <row r="152">
      <c r="M152" t="s">
        <v>238</v>
      </c>
      <c r="N152" t="n">
        <v>1212</v>
      </c>
      <c r="O152" s="9" t="n">
        <v>237192313.901061</v>
      </c>
      <c r="P152" s="9" t="n">
        <v>82291544.8197033</v>
      </c>
      <c r="Q152" s="9" t="n">
        <v>68308592.3952254</v>
      </c>
      <c r="R152" s="9" t="n">
        <v>87818995.2885235</v>
      </c>
      <c r="S152" s="9"/>
      <c r="T152" s="9"/>
      <c r="U152" s="9"/>
      <c r="V152" s="9"/>
      <c r="W152" s="9"/>
      <c r="X152" s="9" t="n">
        <v>-106348.366721615</v>
      </c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>
      <c r="M153" t="s">
        <v>239</v>
      </c>
      <c r="N153" t="n">
        <v>1210</v>
      </c>
      <c r="O153" s="9"/>
      <c r="P153" s="9"/>
      <c r="Q153" s="9" t="n">
        <v>32835.9097298042</v>
      </c>
      <c r="R153" s="9" t="n">
        <v>151832.204089887</v>
      </c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</row>
    <row r="154">
      <c r="M154" t="s">
        <v>240</v>
      </c>
      <c r="N154" t="n">
        <v>2009</v>
      </c>
      <c r="O154" s="9" t="n">
        <v>18416328.6195863</v>
      </c>
      <c r="P154" s="9" t="n">
        <v>75949140.2314204</v>
      </c>
      <c r="Q154" s="9" t="n">
        <v>15828615.1992242</v>
      </c>
      <c r="R154" s="9" t="n">
        <v>22194295.4465797</v>
      </c>
      <c r="S154" s="9"/>
      <c r="T154" s="9" t="n">
        <v>-2.8873094122607</v>
      </c>
      <c r="U154" s="9"/>
      <c r="V154" s="9"/>
      <c r="W154" s="9"/>
      <c r="X154" s="9" t="n">
        <v>0</v>
      </c>
      <c r="Y154" s="9" t="n">
        <v>0</v>
      </c>
      <c r="Z154" s="9" t="n">
        <v>0</v>
      </c>
      <c r="AA154" s="9" t="n">
        <v>0</v>
      </c>
      <c r="AB154" s="9" t="n">
        <v>0</v>
      </c>
      <c r="AC154" s="9" t="n">
        <v>0</v>
      </c>
      <c r="AD154" s="9" t="n">
        <v>0</v>
      </c>
      <c r="AE154" s="9"/>
      <c r="AF154" s="9"/>
      <c r="AG154" s="9"/>
      <c r="AH154" s="9"/>
      <c r="AI154" s="9"/>
      <c r="AJ154" s="9"/>
      <c r="AK154" s="9"/>
      <c r="AL154" s="9"/>
      <c r="AM154" s="9"/>
    </row>
    <row r="155">
      <c r="M155" t="s">
        <v>241</v>
      </c>
      <c r="N155" t="n">
        <v>1286</v>
      </c>
      <c r="O155" s="9" t="n">
        <v>155097.158937442</v>
      </c>
      <c r="P155" s="9" t="n">
        <v>9286229.32749335</v>
      </c>
      <c r="Q155" s="9" t="n">
        <v>1913570.72042677</v>
      </c>
      <c r="R155" s="9" t="n">
        <v>2099360.07445303</v>
      </c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</row>
    <row r="156">
      <c r="M156" t="s">
        <v>242</v>
      </c>
      <c r="N156" t="n">
        <v>1287</v>
      </c>
      <c r="O156" s="9"/>
      <c r="P156" s="9" t="n">
        <v>176298.84514413</v>
      </c>
      <c r="Q156" s="9" t="n">
        <v>201885.559254377</v>
      </c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>
      <c r="M157" t="s">
        <v>243</v>
      </c>
      <c r="N157" t="n">
        <v>1290</v>
      </c>
      <c r="O157" s="9" t="n">
        <v>3829950.74592359</v>
      </c>
      <c r="P157" s="9" t="n">
        <v>4083575.63487366</v>
      </c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</row>
    <row r="158">
      <c r="M158" t="s">
        <v>244</v>
      </c>
      <c r="N158" t="n">
        <v>1289</v>
      </c>
      <c r="O158" s="9"/>
      <c r="P158" s="9"/>
      <c r="Q158" s="9"/>
      <c r="R158" s="9" t="n">
        <v>17565964.127212</v>
      </c>
      <c r="S158" s="9"/>
      <c r="T158" s="9"/>
      <c r="U158" s="9"/>
      <c r="V158" s="9"/>
      <c r="W158" s="9"/>
      <c r="X158" s="9"/>
      <c r="Y158" s="9"/>
      <c r="Z158" s="9" t="n">
        <v>-5869816.58478889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</row>
    <row r="159">
      <c r="M159" t="s">
        <v>245</v>
      </c>
      <c r="N159" t="n">
        <v>1288</v>
      </c>
      <c r="O159" s="9" t="n">
        <v>3185936.9053861</v>
      </c>
      <c r="P159" s="9" t="n">
        <v>2642575.50729993</v>
      </c>
      <c r="Q159" s="9" t="n">
        <v>3375492.38548469</v>
      </c>
      <c r="R159" s="9" t="n">
        <v>311954.088725841</v>
      </c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</row>
    <row r="160">
      <c r="M160" t="s">
        <v>246</v>
      </c>
      <c r="N160" t="n">
        <v>1844</v>
      </c>
      <c r="O160" s="9"/>
      <c r="P160" s="9"/>
      <c r="Q160" s="9"/>
      <c r="R160" s="9"/>
      <c r="S160" s="9"/>
      <c r="T160" s="9"/>
      <c r="U160" s="9" t="n">
        <v>4192147.76047644</v>
      </c>
      <c r="V160" s="9" t="n">
        <v>16071618.2498703</v>
      </c>
      <c r="W160" s="9" t="n">
        <v>61666563.9644665</v>
      </c>
      <c r="X160" s="9" t="n">
        <v>90222401.901358</v>
      </c>
      <c r="Y160" s="9" t="n">
        <v>86072681.9069937</v>
      </c>
      <c r="Z160" s="9" t="n">
        <v>32737471.7491209</v>
      </c>
      <c r="AA160" s="9" t="n">
        <v>45672962.4332072</v>
      </c>
      <c r="AB160" s="9" t="n">
        <v>40093379.3024126</v>
      </c>
      <c r="AC160" s="9" t="n">
        <v>33031343.2005595</v>
      </c>
      <c r="AD160" s="9" t="n">
        <v>176952.455712006</v>
      </c>
      <c r="AE160" s="9" t="n">
        <v>-183767.866381213</v>
      </c>
      <c r="AF160" s="9" t="n">
        <v>-7803.16065062962</v>
      </c>
      <c r="AG160" s="9" t="n">
        <v>6810057.5202632</v>
      </c>
      <c r="AH160" s="9" t="n">
        <v>-137944.501526775</v>
      </c>
      <c r="AI160" s="9" t="n">
        <v>-146789.924712273</v>
      </c>
      <c r="AJ160" s="9"/>
      <c r="AK160" s="9"/>
      <c r="AL160" s="9"/>
      <c r="AM160" s="9"/>
    </row>
    <row r="161">
      <c r="M161" t="s">
        <v>247</v>
      </c>
      <c r="N161" t="n">
        <v>666</v>
      </c>
      <c r="O161" s="9"/>
      <c r="P161" s="9"/>
      <c r="Q161" s="9"/>
      <c r="R161" s="9"/>
      <c r="S161" s="9"/>
      <c r="T161" s="9"/>
      <c r="U161" s="9"/>
      <c r="V161" s="9" t="n">
        <v>-5001.00226889553</v>
      </c>
      <c r="W161" s="9"/>
      <c r="X161" s="9"/>
      <c r="Y161" s="9" t="n">
        <v>226150.402175953</v>
      </c>
      <c r="Z161" s="9" t="n">
        <v>1525.39444940391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</row>
    <row r="162">
      <c r="M162" t="s">
        <v>248</v>
      </c>
      <c r="N162" t="n">
        <v>1296</v>
      </c>
      <c r="O162" s="9" t="n">
        <v>87918.3349281397</v>
      </c>
      <c r="P162" s="9"/>
      <c r="Q162" s="9" t="n">
        <v>54965.6729557647</v>
      </c>
      <c r="R162" s="9" t="n">
        <v>224520.816539873</v>
      </c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</row>
    <row r="163">
      <c r="M163" t="s">
        <v>249</v>
      </c>
      <c r="N163" t="n">
        <v>1295</v>
      </c>
      <c r="O163" s="9" t="n">
        <v>98389.8813806937</v>
      </c>
      <c r="P163" s="9"/>
      <c r="Q163" s="9" t="n">
        <v>166159.580095554</v>
      </c>
      <c r="R163" s="9" t="n">
        <v>73845.2057467625</v>
      </c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</row>
    <row r="164">
      <c r="M164" t="s">
        <v>250</v>
      </c>
      <c r="N164" t="n">
        <v>1213</v>
      </c>
      <c r="O164" s="9" t="n">
        <v>12742571.3700682</v>
      </c>
      <c r="P164" s="9" t="n">
        <v>18162508.6283267</v>
      </c>
      <c r="Q164" s="9" t="n">
        <v>23749834.2733091</v>
      </c>
      <c r="R164" s="9" t="n">
        <v>9473463.69026662</v>
      </c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</row>
    <row r="165">
      <c r="M165" t="s">
        <v>251</v>
      </c>
      <c r="N165" t="n">
        <v>51</v>
      </c>
      <c r="O165" s="9"/>
      <c r="P165" s="9"/>
      <c r="Q165" s="9"/>
      <c r="R165" s="9"/>
      <c r="S165" s="9"/>
      <c r="T165" s="9" t="n">
        <v>245941.015736366</v>
      </c>
      <c r="U165" s="9"/>
      <c r="V165" s="9"/>
      <c r="W165" s="9" t="n">
        <v>1674161.0846198</v>
      </c>
      <c r="X165" s="9" t="n">
        <v>1659045.30375366</v>
      </c>
      <c r="Y165" s="9" t="n">
        <v>1666988.72616581</v>
      </c>
      <c r="Z165" s="9" t="n">
        <v>723205.912960818</v>
      </c>
      <c r="AA165" s="9" t="n">
        <v>3236563.44908246</v>
      </c>
      <c r="AB165" s="9" t="n">
        <v>5362534.6432558</v>
      </c>
      <c r="AC165" s="9" t="n">
        <v>1639989.47186377</v>
      </c>
      <c r="AD165" s="9" t="n">
        <v>497870.36477206</v>
      </c>
      <c r="AE165" s="9" t="n">
        <v>-53185.6778347726</v>
      </c>
      <c r="AF165" s="9"/>
      <c r="AG165" s="9" t="n">
        <v>-77184.9830475644</v>
      </c>
      <c r="AH165" s="9" t="n">
        <v>-1.09757559606517</v>
      </c>
      <c r="AI165" s="9"/>
      <c r="AJ165" s="9" t="n">
        <v>-16305.5665350006</v>
      </c>
      <c r="AK165" s="9"/>
      <c r="AL165" s="9" t="n">
        <v>660595.988605005</v>
      </c>
      <c r="AM165" s="9"/>
    </row>
    <row r="166">
      <c r="M166" t="s">
        <v>252</v>
      </c>
      <c r="N166" t="n">
        <v>1303</v>
      </c>
      <c r="O166" s="9" t="n">
        <v>1735765.86662662</v>
      </c>
      <c r="P166" s="9" t="n">
        <v>10003389.8721753</v>
      </c>
      <c r="Q166" s="9" t="n">
        <v>775443.986061902</v>
      </c>
      <c r="R166" s="9" t="n">
        <v>277842.967581778</v>
      </c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</row>
    <row r="167">
      <c r="M167" t="s">
        <v>253</v>
      </c>
      <c r="N167" t="n">
        <v>1301</v>
      </c>
      <c r="O167" s="9" t="n">
        <v>170372.27082796</v>
      </c>
      <c r="P167" s="9" t="n">
        <v>2244402.92496568</v>
      </c>
      <c r="Q167" s="9" t="n">
        <v>1667385.25760862</v>
      </c>
      <c r="R167" s="9" t="n">
        <v>7852130.17787619</v>
      </c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</row>
    <row r="168">
      <c r="M168" t="s">
        <v>254</v>
      </c>
      <c r="N168" t="n">
        <v>1152</v>
      </c>
      <c r="O168" s="9" t="n">
        <v>57326.1021658102</v>
      </c>
      <c r="P168" s="9" t="n">
        <v>46259.5171246564</v>
      </c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</row>
    <row r="169">
      <c r="M169" t="s">
        <v>255</v>
      </c>
      <c r="N169" t="n">
        <v>2015</v>
      </c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 t="n">
        <v>30052219.193491</v>
      </c>
      <c r="AB169" s="9" t="n">
        <v>0</v>
      </c>
      <c r="AC169" s="9" t="n">
        <v>9384751.8787743</v>
      </c>
      <c r="AD169" s="9" t="n">
        <v>6598047.29144445</v>
      </c>
      <c r="AE169" s="9" t="n">
        <v>-2800760.42543851</v>
      </c>
      <c r="AF169" s="9"/>
      <c r="AG169" s="9"/>
      <c r="AH169" s="9"/>
      <c r="AI169" s="9"/>
      <c r="AJ169" s="9"/>
      <c r="AK169" s="9"/>
      <c r="AL169" s="9"/>
      <c r="AM169" s="9"/>
    </row>
    <row r="170">
      <c r="M170"/>
      <c r="N170"/>
      <c r="O170" s="9" t="n">
        <v>12560284668.6914</v>
      </c>
      <c r="P170" s="9" t="n">
        <v>17199004710.3594</v>
      </c>
      <c r="Q170" s="9" t="n">
        <v>16646148483.7978</v>
      </c>
      <c r="R170" s="9" t="n">
        <v>14447277345.3225</v>
      </c>
      <c r="S170" s="9" t="n">
        <v>17933026729.875</v>
      </c>
      <c r="T170" s="9" t="n">
        <v>15224844596.3347</v>
      </c>
      <c r="U170" s="9" t="n">
        <v>12043338784.2073</v>
      </c>
      <c r="V170" s="9" t="n">
        <v>11982298384.4727</v>
      </c>
      <c r="W170" s="9" t="n">
        <v>13268175612.645</v>
      </c>
      <c r="X170" s="9" t="n">
        <v>13888903228.9802</v>
      </c>
      <c r="Y170" s="9" t="n">
        <v>13715486147.3923</v>
      </c>
      <c r="Z170" s="9" t="n">
        <v>14821307121.0748</v>
      </c>
      <c r="AA170" s="9" t="n">
        <v>14791974168.7691</v>
      </c>
      <c r="AB170" s="9" t="n">
        <v>14136466999.3115</v>
      </c>
      <c r="AC170" s="9" t="n">
        <v>13329379499.4571</v>
      </c>
      <c r="AD170" s="9" t="n">
        <v>14305784830.4955</v>
      </c>
      <c r="AE170" s="9" t="n">
        <v>15896539812.4307</v>
      </c>
      <c r="AF170" s="9" t="n">
        <v>18505861342.98</v>
      </c>
      <c r="AG170" s="9" t="n">
        <v>20498632766.9571</v>
      </c>
      <c r="AH170" s="9" t="n">
        <v>25634456310.5305</v>
      </c>
      <c r="AI170" s="9" t="n">
        <v>21397090855.0486</v>
      </c>
      <c r="AJ170" s="9" t="n">
        <v>22859590174.8921</v>
      </c>
      <c r="AK170" s="9" t="n">
        <v>24143083817.9365</v>
      </c>
      <c r="AL170" s="9" t="n">
        <v>14645648636.6352</v>
      </c>
      <c r="AM17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AM2/Sum(AM$1:AM$170)</f>
      </c>
      <c r="K2" s="6" t="str">
        <f>AN2/Sum(AN1:AN$170)</f>
      </c>
      <c r="O2" t="s">
        <v>95</v>
      </c>
      <c r="P2" t="n">
        <v>2228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 t="n">
        <v>5424.28159143852</v>
      </c>
      <c r="AI2" s="10" t="n">
        <v>-5299.83987237705</v>
      </c>
      <c r="AJ2" s="10"/>
      <c r="AK2" s="10"/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AM3/Sum(AM$1:AM$170)</f>
      </c>
      <c r="K3" s="6" t="str">
        <f>AN3/Sum(AN1:AN$170)</f>
      </c>
      <c r="O3" t="s">
        <v>96</v>
      </c>
      <c r="P3" t="n">
        <v>1162</v>
      </c>
      <c r="Q3" s="10"/>
      <c r="R3" s="10"/>
      <c r="S3" s="10" t="n">
        <v>77263.1564924904</v>
      </c>
      <c r="T3" s="10" t="n">
        <v>129526.258532291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AM4/Sum(AM$1:AM$170)</f>
      </c>
      <c r="K4" s="6" t="str">
        <f>AN4/Sum(AN1:AN$170)</f>
      </c>
      <c r="O4" t="s">
        <v>97</v>
      </c>
      <c r="P4" t="n">
        <v>1148</v>
      </c>
      <c r="Q4" s="10" t="n">
        <v>2546270.99441253</v>
      </c>
      <c r="R4" s="10" t="n">
        <v>17950443.6439919</v>
      </c>
      <c r="S4" s="10" t="n">
        <v>16479755.1405215</v>
      </c>
      <c r="T4" s="10" t="n">
        <v>12153599.6980801</v>
      </c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 t="n">
        <v>0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AM5/Sum(AM$1:AM$170)</f>
      </c>
      <c r="K5" s="6" t="str">
        <f>AN5/Sum(AN1:AN$170)</f>
      </c>
      <c r="O5" t="s">
        <v>98</v>
      </c>
      <c r="P5" t="n">
        <v>1026</v>
      </c>
      <c r="Q5" s="10"/>
      <c r="R5" s="10" t="n">
        <v>346899.842859299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AM6/Sum(AM$1:AM$170)</f>
      </c>
      <c r="K6" s="6" t="str">
        <f>AN6/Sum(AN1:AN$170)</f>
      </c>
      <c r="O6" t="s">
        <v>99</v>
      </c>
      <c r="P6" t="n">
        <v>1048</v>
      </c>
      <c r="Q6" s="10"/>
      <c r="R6" s="10" t="n">
        <v>-46062.3324821814</v>
      </c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AM7/Sum(AM$1:AM$170)</f>
      </c>
      <c r="K7" s="6" t="str">
        <f>AN7/Sum(AN1:AN$170)</f>
      </c>
      <c r="O7" t="s">
        <v>100</v>
      </c>
      <c r="P7" t="n">
        <v>1369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 t="n">
        <v>2795742.96556657</v>
      </c>
      <c r="AD7" s="10" t="n">
        <v>85744.442169482</v>
      </c>
      <c r="AE7" s="10" t="n">
        <v>33969.5568471132</v>
      </c>
      <c r="AF7" s="10" t="n">
        <v>-539751.405184011</v>
      </c>
      <c r="AG7" s="10" t="n">
        <v>-14275.0803025609</v>
      </c>
      <c r="AH7" s="10"/>
      <c r="AI7" s="10"/>
      <c r="AJ7" s="10"/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AM8/Sum(AM$1:AM$170)</f>
      </c>
      <c r="K8" s="6" t="str">
        <f>AN8/Sum(AN1:AN$170)</f>
      </c>
      <c r="O8" t="s">
        <v>101</v>
      </c>
      <c r="P8" t="n">
        <v>1143</v>
      </c>
      <c r="Q8" s="10"/>
      <c r="R8" s="10" t="n">
        <v>41621.7343336423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AM9/Sum(AM$1:AM$170)</f>
      </c>
      <c r="K9" s="6" t="str">
        <f>AN9/Sum(AN1:AN$170)</f>
      </c>
      <c r="O9" t="s">
        <v>102</v>
      </c>
      <c r="P9" t="n">
        <v>2043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 t="n">
        <v>10087360.6944623</v>
      </c>
      <c r="AJ9" s="10" t="n">
        <v>111997.509802568</v>
      </c>
      <c r="AK9" s="10" t="n">
        <v>0</v>
      </c>
      <c r="AL9" s="10" t="n">
        <v>0</v>
      </c>
      <c r="AM9" s="10" t="n">
        <v>0</v>
      </c>
      <c r="AN9" s="10" t="n">
        <v>0</v>
      </c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AM10/Sum(AM$1:AM$170)</f>
      </c>
      <c r="K10" s="6" t="str">
        <f>AN10/Sum(AN1:AN$170)</f>
      </c>
      <c r="O10" t="s">
        <v>103</v>
      </c>
      <c r="P10" t="n">
        <v>1180</v>
      </c>
      <c r="Q10" s="10" t="n">
        <v>15001677.0470052</v>
      </c>
      <c r="R10" s="10" t="n">
        <v>8826326.90972443</v>
      </c>
      <c r="S10" s="10" t="n">
        <v>3237283.08458498</v>
      </c>
      <c r="T10" s="10" t="n">
        <v>150194.077879037</v>
      </c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AM11/Sum(AM$1:AM$170)</f>
      </c>
      <c r="K11" s="6" t="str">
        <f>AN11/Sum(AN1:AN$170)</f>
      </c>
      <c r="O11" t="s">
        <v>104</v>
      </c>
      <c r="P11" t="n">
        <v>1183</v>
      </c>
      <c r="Q11" s="10" t="n">
        <v>82405.4639983273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AM12/Sum(AM$1:AM$170)</f>
      </c>
      <c r="K12" s="6" t="str">
        <f>AN12/Sum(AN1:AN$170)</f>
      </c>
      <c r="O12" t="s">
        <v>105</v>
      </c>
      <c r="P12" t="n">
        <v>1175</v>
      </c>
      <c r="Q12" s="10" t="n">
        <v>1299281.24087163</v>
      </c>
      <c r="R12" s="10" t="n">
        <v>1153228.86034558</v>
      </c>
      <c r="S12" s="10" t="n">
        <v>1883787.94153923</v>
      </c>
      <c r="T12" s="10" t="n">
        <v>3340505.06512282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AM13/Sum(AM$1:AM$170)</f>
      </c>
      <c r="K13" s="6" t="str">
        <f>AN13/Sum(AN1:AN$170)</f>
      </c>
      <c r="O13" t="s">
        <v>106</v>
      </c>
      <c r="P13" t="n">
        <v>1172</v>
      </c>
      <c r="Q13" s="10" t="n">
        <v>157984.46853638</v>
      </c>
      <c r="R13" s="10" t="n">
        <v>4106023.13457302</v>
      </c>
      <c r="S13" s="10" t="n">
        <v>3878383.10172398</v>
      </c>
      <c r="T13" s="10" t="n">
        <v>3295835.26815087</v>
      </c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AM14/Sum(AM$1:AM$170)</f>
      </c>
      <c r="K14" s="6" t="str">
        <f>AN14/Sum(AN1:AN$170)</f>
      </c>
      <c r="O14" t="s">
        <v>107</v>
      </c>
      <c r="P14" t="n">
        <v>1184</v>
      </c>
      <c r="Q14" s="10"/>
      <c r="R14" s="10" t="n">
        <v>78416.3886194943</v>
      </c>
      <c r="S14" s="10" t="n">
        <v>699303.623872034</v>
      </c>
      <c r="T14" s="10" t="n">
        <v>2199532.63512524</v>
      </c>
      <c r="U14" s="10"/>
      <c r="V14" s="10"/>
      <c r="W14" s="10"/>
      <c r="X14" s="10"/>
      <c r="Y14" s="10"/>
      <c r="Z14" s="10" t="n">
        <v>0</v>
      </c>
      <c r="AA14" s="10" t="n">
        <v>0</v>
      </c>
      <c r="AB14" s="10" t="n">
        <v>0</v>
      </c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AM15/Sum(AM$1:AM$170)</f>
      </c>
      <c r="K15" s="6" t="str">
        <f>AN15/Sum(AN1:AN$170)</f>
      </c>
      <c r="O15" t="s">
        <v>108</v>
      </c>
      <c r="P15" t="n">
        <v>1251</v>
      </c>
      <c r="Q15" s="10" t="n">
        <v>21940796.5164602</v>
      </c>
      <c r="R15" s="10" t="n">
        <v>23164729.6530405</v>
      </c>
      <c r="S15" s="10" t="n">
        <v>27084135.7928426</v>
      </c>
      <c r="T15" s="10" t="n">
        <v>62727339.1555417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AM16/Sum(AM$1:AM$170)</f>
      </c>
      <c r="K16" s="6" t="str">
        <f>AN16/Sum(AN1:AN$170)</f>
      </c>
      <c r="O16" t="s">
        <v>109</v>
      </c>
      <c r="P16" t="n">
        <v>226</v>
      </c>
      <c r="Q16" s="10" t="n">
        <v>97254.0231557059</v>
      </c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AM17/Sum(AM$1:AM$170)</f>
      </c>
      <c r="K17" s="6" t="str">
        <f>AN17/Sum(AN1:AN$170)</f>
      </c>
      <c r="O17" t="s">
        <v>110</v>
      </c>
      <c r="P17" t="n">
        <v>1101</v>
      </c>
      <c r="Q17" s="10" t="n">
        <v>791707.724386894</v>
      </c>
      <c r="R17" s="10" t="n">
        <v>740963.097244361</v>
      </c>
      <c r="S17" s="10" t="n">
        <v>1785194.79922859</v>
      </c>
      <c r="T17" s="10" t="n">
        <v>2377626.66909213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AM18/Sum(AM$1:AM$170)</f>
      </c>
      <c r="K18" s="6" t="str">
        <f>AN18/Sum(AN1:AN$170)</f>
      </c>
      <c r="O18" t="s">
        <v>111</v>
      </c>
      <c r="P18" t="n">
        <v>6</v>
      </c>
      <c r="Q18" s="10"/>
      <c r="R18" s="10"/>
      <c r="S18" s="10"/>
      <c r="T18" s="10"/>
      <c r="U18" s="10"/>
      <c r="V18" s="10"/>
      <c r="W18" s="10"/>
      <c r="X18" s="10" t="n">
        <v>2604853.85087299</v>
      </c>
      <c r="Y18" s="10"/>
      <c r="Z18" s="10" t="n">
        <v>2889.93712846765</v>
      </c>
      <c r="AA18" s="10" t="n">
        <v>10999.7485756399</v>
      </c>
      <c r="AB18" s="10" t="n">
        <v>1065540.9212029</v>
      </c>
      <c r="AC18" s="10" t="n">
        <v>0</v>
      </c>
      <c r="AD18" s="10" t="n">
        <v>0</v>
      </c>
      <c r="AE18" s="10" t="n">
        <v>-5921.62167752712</v>
      </c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AM19/Sum(AM$1:AM$170)</f>
      </c>
      <c r="K19" s="6" t="str">
        <f>AN19/Sum(AN1:AN$170)</f>
      </c>
      <c r="O19" t="s">
        <v>112</v>
      </c>
      <c r="P19" t="n">
        <v>1112</v>
      </c>
      <c r="Q19" s="10" t="n">
        <v>190038.93699375</v>
      </c>
      <c r="R19" s="10" t="n">
        <v>664893.99460889</v>
      </c>
      <c r="S19" s="10" t="n">
        <v>117245.8150199</v>
      </c>
      <c r="T19" s="10" t="n">
        <v>106629.063700453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AM20/Sum(AM$1:AM$170)</f>
      </c>
      <c r="K20" s="6" t="str">
        <f>AN20/Sum(AN1:AN$170)</f>
      </c>
      <c r="O20" t="s">
        <v>113</v>
      </c>
      <c r="P20" t="n">
        <v>1105</v>
      </c>
      <c r="Q20" s="10" t="n">
        <v>126026.943881995</v>
      </c>
      <c r="R20" s="10" t="n">
        <v>1823312.75474442</v>
      </c>
      <c r="S20" s="10" t="n">
        <v>5925960.79748629</v>
      </c>
      <c r="T20" s="10" t="n">
        <v>2820201.13227527</v>
      </c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AM21/Sum(AM$1:AM$170)</f>
      </c>
      <c r="K21" s="6" t="str">
        <f>AN21/Sum(AN1:AN$170)</f>
      </c>
      <c r="O21" t="s">
        <v>114</v>
      </c>
      <c r="P21" t="n">
        <v>1102</v>
      </c>
      <c r="Q21" s="10"/>
      <c r="R21" s="10"/>
      <c r="S21" s="10" t="n">
        <v>201885.559254377</v>
      </c>
      <c r="T21" s="10" t="n">
        <v>2594279.90830492</v>
      </c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AM22/Sum(AM$1:AM$170)</f>
      </c>
      <c r="K22" s="6" t="str">
        <f>AN22/Sum(AN1:AN$170)</f>
      </c>
      <c r="O22" t="s">
        <v>115</v>
      </c>
      <c r="P22" t="n">
        <v>444</v>
      </c>
      <c r="Q22" s="10"/>
      <c r="R22" s="10"/>
      <c r="S22" s="10"/>
      <c r="T22" s="10" t="n">
        <v>438327.525741622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AM23/Sum(AM$1:AM$170)</f>
      </c>
      <c r="K23" s="6" t="str">
        <f>AN23/Sum(AN1:AN$170)</f>
      </c>
      <c r="O23" t="s">
        <v>116</v>
      </c>
      <c r="P23" t="n">
        <v>961</v>
      </c>
      <c r="Q23" s="10" t="n">
        <v>421482.572242885</v>
      </c>
      <c r="R23" s="10" t="n">
        <v>214954.922454947</v>
      </c>
      <c r="S23" s="10" t="n">
        <v>876206.621651602</v>
      </c>
      <c r="T23" s="10" t="n">
        <v>4192202.69234439</v>
      </c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AM24/Sum(AM$1:AM$170)</f>
      </c>
      <c r="K24" s="6" t="str">
        <f>AN24/Sum(AN1:AN$170)</f>
      </c>
      <c r="O24" t="s">
        <v>117</v>
      </c>
      <c r="P24" t="n">
        <v>1080</v>
      </c>
      <c r="Q24" s="10"/>
      <c r="R24" s="10"/>
      <c r="S24" s="10" t="n">
        <v>1133665.06350535</v>
      </c>
      <c r="T24" s="10" t="n">
        <v>101621.730929428</v>
      </c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AM25/Sum(AM$1:AM$170)</f>
      </c>
      <c r="K25" s="6" t="str">
        <f>AN25/Sum(AN1:AN$170)</f>
      </c>
      <c r="O25" t="s">
        <v>118</v>
      </c>
      <c r="P25" t="n">
        <v>1375</v>
      </c>
      <c r="Q25" s="10"/>
      <c r="R25" s="10"/>
      <c r="S25" s="10"/>
      <c r="T25" s="10"/>
      <c r="U25" s="10"/>
      <c r="V25" s="10"/>
      <c r="W25" s="10"/>
      <c r="X25" s="10"/>
      <c r="Y25" s="10" t="n">
        <v>3685126.0997795</v>
      </c>
      <c r="Z25" s="10" t="n">
        <v>2780729.17555545</v>
      </c>
      <c r="AA25" s="10" t="n">
        <v>50910.9897992422</v>
      </c>
      <c r="AB25" s="10" t="n">
        <v>10901.5369603889</v>
      </c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AM26/Sum(AM$1:AM$170)</f>
      </c>
      <c r="K26" s="6" t="str">
        <f>AN26/Sum(AN1:AN$170)</f>
      </c>
      <c r="O26" t="s">
        <v>119</v>
      </c>
      <c r="P26" t="n">
        <v>1215</v>
      </c>
      <c r="Q26" s="10" t="n">
        <v>207727096.473157</v>
      </c>
      <c r="R26" s="10" t="n">
        <v>26652938.598242</v>
      </c>
      <c r="S26" s="10" t="n">
        <v>16461507.7918966</v>
      </c>
      <c r="T26" s="10" t="n">
        <v>20096902.647418</v>
      </c>
      <c r="U26" s="10"/>
      <c r="V26" s="10"/>
      <c r="W26" s="10"/>
      <c r="X26" s="10"/>
      <c r="Y26" s="10" t="n">
        <v>0</v>
      </c>
      <c r="Z26" s="10" t="n">
        <v>527842.397893635</v>
      </c>
      <c r="AA26" s="10" t="n">
        <v>-16943.5367753414</v>
      </c>
      <c r="AB26" s="10"/>
      <c r="AC26" s="10"/>
      <c r="AD26" s="10"/>
      <c r="AE26" s="10"/>
      <c r="AF26" s="10"/>
      <c r="AG26" s="10"/>
      <c r="AH26" s="10"/>
      <c r="AI26" s="10"/>
      <c r="AJ26" s="10" t="n">
        <v>0</v>
      </c>
      <c r="AK26" s="10" t="n">
        <v>0</v>
      </c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AM27/Sum(AM$1:AM$170)</f>
      </c>
      <c r="K27" s="6" t="str">
        <f>AN27/Sum(AN1:AN$170)</f>
      </c>
      <c r="O27" t="s">
        <v>120</v>
      </c>
      <c r="P27" t="n">
        <v>2234</v>
      </c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 t="n">
        <v>259873.421870389</v>
      </c>
      <c r="AK27" s="10" t="n">
        <v>64532.2173425716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AM28/Sum(AM$1:AM$170)</f>
      </c>
      <c r="K28" s="6" t="str">
        <f>AN28/Sum(AN1:AN$170)</f>
      </c>
      <c r="O28" t="s">
        <v>121</v>
      </c>
      <c r="P28" t="n">
        <v>1252</v>
      </c>
      <c r="Q28" s="10" t="n">
        <v>620926.673856342</v>
      </c>
      <c r="R28" s="10"/>
      <c r="S28" s="10"/>
      <c r="T28" s="10" t="n">
        <v>505329.173522873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AM29/Sum(AM$1:AM$170)</f>
      </c>
      <c r="K29" s="6" t="str">
        <f>AN29/Sum(AN1:AN$170)</f>
      </c>
      <c r="O29" t="s">
        <v>122</v>
      </c>
      <c r="P29" t="n">
        <v>1167</v>
      </c>
      <c r="Q29" s="10" t="n">
        <v>210046.522200042</v>
      </c>
      <c r="R29" s="10"/>
      <c r="S29" s="10" t="n">
        <v>341228.525217588</v>
      </c>
      <c r="T29" s="10" t="n">
        <v>3017277.62038966</v>
      </c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AM30/Sum(AM$1:AM$170)</f>
      </c>
      <c r="K30" s="6" t="str">
        <f>AN30/Sum(AN1:AN$170)</f>
      </c>
      <c r="O30" t="s">
        <v>123</v>
      </c>
      <c r="P30" t="n">
        <v>1221</v>
      </c>
      <c r="Q30" s="10" t="n">
        <v>-161573.004976917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AM31/Sum(AM$1:AM$170)</f>
      </c>
      <c r="K31" s="6" t="str">
        <f>AN31/Sum(AN1:AN$170)</f>
      </c>
      <c r="O31" t="s">
        <v>124</v>
      </c>
      <c r="P31" t="n">
        <v>1256</v>
      </c>
      <c r="Q31" s="10"/>
      <c r="R31" s="10"/>
      <c r="S31" s="10"/>
      <c r="T31" s="10" t="n">
        <v>1809588.5003796</v>
      </c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AM32/Sum(AM$1:AM$170)</f>
      </c>
      <c r="K32" s="6" t="str">
        <f>AN32/Sum(AN1:AN$170)</f>
      </c>
      <c r="O32" t="s">
        <v>125</v>
      </c>
      <c r="P32" t="n">
        <v>1220</v>
      </c>
      <c r="Q32" s="10"/>
      <c r="R32" s="10"/>
      <c r="S32" s="10" t="n">
        <v>98479.775804285</v>
      </c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AM33/Sum(AM$1:AM$170)</f>
      </c>
      <c r="K33" s="6" t="str">
        <f>AN33/Sum(AN1:AN$170)</f>
      </c>
      <c r="O33" t="s">
        <v>126</v>
      </c>
      <c r="P33" t="n">
        <v>1185</v>
      </c>
      <c r="Q33" s="10" t="n">
        <v>52316920.5374429</v>
      </c>
      <c r="R33" s="10" t="n">
        <v>8120256.02933532</v>
      </c>
      <c r="S33" s="10" t="n">
        <v>33422387.2794381</v>
      </c>
      <c r="T33" s="10" t="n">
        <v>25261529.0591277</v>
      </c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AM34/Sum(AM$1:AM$170)</f>
      </c>
      <c r="K34" s="6" t="str">
        <f>AN34/Sum(AN1:AN$170)</f>
      </c>
      <c r="O34" t="s">
        <v>127</v>
      </c>
      <c r="P34" t="n">
        <v>1178</v>
      </c>
      <c r="Q34" s="10" t="n">
        <v>11557194.2505151</v>
      </c>
      <c r="R34" s="10" t="n">
        <v>162721.499401865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AM35/Sum(AM$1:AM$170)</f>
      </c>
      <c r="K35" s="6" t="str">
        <f>AN35/Sum(AN1:AN$170)</f>
      </c>
      <c r="O35" t="s">
        <v>128</v>
      </c>
      <c r="P35" t="n">
        <v>1179</v>
      </c>
      <c r="Q35" s="10" t="n">
        <v>6858639.955676</v>
      </c>
      <c r="R35" s="10" t="n">
        <v>23628294.972728</v>
      </c>
      <c r="S35" s="10" t="n">
        <v>18701668.7815292</v>
      </c>
      <c r="T35" s="10" t="n">
        <v>32201771.5193615</v>
      </c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AM36/Sum(AM$1:AM$170)</f>
      </c>
      <c r="K36" s="6" t="str">
        <f>AN36/Sum(AN1:AN$170)</f>
      </c>
      <c r="O36" t="s">
        <v>129</v>
      </c>
      <c r="P36" t="n">
        <v>1181</v>
      </c>
      <c r="Q36" s="10"/>
      <c r="R36" s="10"/>
      <c r="S36" s="10" t="n">
        <v>61526.953631532</v>
      </c>
      <c r="T36" s="10" t="n">
        <v>203432.41781248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AM37/Sum(AM$1:AM$170)</f>
      </c>
      <c r="K37" s="6" t="str">
        <f>AN37/Sum(AN1:AN$170)</f>
      </c>
      <c r="O37" t="s">
        <v>130</v>
      </c>
      <c r="P37" t="n">
        <v>1182</v>
      </c>
      <c r="Q37" s="10"/>
      <c r="R37" s="10"/>
      <c r="S37" s="10"/>
      <c r="T37" s="10" t="n">
        <v>-76191.9167837005</v>
      </c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AM38/Sum(AM$1:AM$170)</f>
      </c>
      <c r="K38" s="6" t="str">
        <f>AN38/Sum(AN1:AN$170)</f>
      </c>
      <c r="O38" t="s">
        <v>131</v>
      </c>
      <c r="P38" t="n">
        <v>1173</v>
      </c>
      <c r="Q38" s="10"/>
      <c r="R38" s="10"/>
      <c r="S38" s="10"/>
      <c r="T38" s="10" t="n">
        <v>-18930.6436440782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AM39/Sum(AM$1:AM$170)</f>
      </c>
      <c r="K39" s="6" t="str">
        <f>AN39/Sum(AN1:AN$170)</f>
      </c>
      <c r="O39" t="s">
        <v>132</v>
      </c>
      <c r="P39" t="n">
        <v>1174</v>
      </c>
      <c r="Q39" s="10"/>
      <c r="R39" s="10" t="n">
        <v>48117.7851953417</v>
      </c>
      <c r="S39" s="10" t="n">
        <v>1985266.49438136</v>
      </c>
      <c r="T39" s="10" t="n">
        <v>205893.416724594</v>
      </c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AM40/Sum(AM$1:AM$170)</f>
      </c>
      <c r="K40" s="6" t="str">
        <f>AN40/Sum(AN1:AN$170)</f>
      </c>
      <c r="O40" t="s">
        <v>133</v>
      </c>
      <c r="P40" t="n">
        <v>588</v>
      </c>
      <c r="Q40" s="10"/>
      <c r="R40" s="10"/>
      <c r="S40" s="10" t="n">
        <v>55850.8634848031</v>
      </c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AM41/Sum(AM$1:AM$170)</f>
      </c>
      <c r="K41" s="6" t="str">
        <f>AN41/Sum(AN1:AN$170)</f>
      </c>
      <c r="O41" t="s">
        <v>134</v>
      </c>
      <c r="P41" t="n">
        <v>653</v>
      </c>
      <c r="Q41" s="10"/>
      <c r="R41" s="10"/>
      <c r="S41" s="10"/>
      <c r="T41" s="10"/>
      <c r="U41" s="10"/>
      <c r="V41" s="10"/>
      <c r="W41" s="10" t="n">
        <v>4078.35916299962</v>
      </c>
      <c r="X41" s="10"/>
      <c r="Y41" s="10"/>
      <c r="Z41" s="10" t="n">
        <v>1738917.39759082</v>
      </c>
      <c r="AA41" s="10" t="n">
        <v>0</v>
      </c>
      <c r="AB41" s="10"/>
      <c r="AC41" s="10"/>
      <c r="AD41" s="10" t="n">
        <v>-126140.233666794</v>
      </c>
      <c r="AE41" s="10" t="n">
        <v>-13216.5840104447</v>
      </c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AM42/Sum(AM$1:AM$170)</f>
      </c>
      <c r="K42" s="6" t="str">
        <f>AN42/Sum(AN1:AN$170)</f>
      </c>
      <c r="O42" t="s">
        <v>135</v>
      </c>
      <c r="P42" t="n">
        <v>55</v>
      </c>
      <c r="Q42" s="10"/>
      <c r="R42" s="10"/>
      <c r="S42" s="10"/>
      <c r="T42" s="10"/>
      <c r="U42" s="10"/>
      <c r="V42" s="10"/>
      <c r="W42" s="10"/>
      <c r="X42" s="10"/>
      <c r="Y42" s="10" t="n">
        <v>1423114.30765805</v>
      </c>
      <c r="Z42" s="10" t="n">
        <v>234144.289675643</v>
      </c>
      <c r="AA42" s="10" t="n">
        <v>1222561.57208741</v>
      </c>
      <c r="AB42" s="10" t="n">
        <v>986772.565820197</v>
      </c>
      <c r="AC42" s="10" t="n">
        <v>53861.5448460732</v>
      </c>
      <c r="AD42" s="10" t="n">
        <v>1130050.78001417</v>
      </c>
      <c r="AE42" s="10" t="n">
        <v>3069648.21915508</v>
      </c>
      <c r="AF42" s="10" t="n">
        <v>7423715.63850197</v>
      </c>
      <c r="AG42" s="10" t="n">
        <v>1778727.3476602</v>
      </c>
      <c r="AH42" s="10" t="n">
        <v>252861.456259757</v>
      </c>
      <c r="AI42" s="10" t="n">
        <v>25635.9131275709</v>
      </c>
      <c r="AJ42" s="10"/>
      <c r="AK42" s="10" t="n">
        <v>0</v>
      </c>
      <c r="AL42" s="10" t="n">
        <v>0</v>
      </c>
      <c r="AM42" s="10" t="n">
        <v>0</v>
      </c>
      <c r="AN42" s="10" t="n">
        <v>5834585.49885824</v>
      </c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AM43/Sum(AM$1:AM$170)</f>
      </c>
      <c r="K43" s="6" t="str">
        <f>AN43/Sum(AN1:AN$170)</f>
      </c>
      <c r="O43" t="s">
        <v>136</v>
      </c>
      <c r="P43" t="n">
        <v>589</v>
      </c>
      <c r="Q43" s="10"/>
      <c r="R43" s="10" t="n">
        <v>3989818.2810696</v>
      </c>
      <c r="S43" s="10" t="n">
        <v>21962303.8134566</v>
      </c>
      <c r="T43" s="10" t="n">
        <v>52203031.9774793</v>
      </c>
      <c r="U43" s="10" t="n">
        <v>1052605.82206847</v>
      </c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AM44/Sum(AM$1:AM$170)</f>
      </c>
      <c r="K44" s="6" t="str">
        <f>AN44/Sum(AN1:AN$170)</f>
      </c>
      <c r="O44" t="s">
        <v>137</v>
      </c>
      <c r="P44" t="n">
        <v>1249</v>
      </c>
      <c r="Q44" s="10" t="n">
        <v>31566390.3396664</v>
      </c>
      <c r="R44" s="10" t="n">
        <v>149841.398555392</v>
      </c>
      <c r="S44" s="10" t="n">
        <v>1311447.03995059</v>
      </c>
      <c r="T44" s="10" t="n">
        <v>865203.406390654</v>
      </c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AM45/Sum(AM$1:AM$170)</f>
      </c>
      <c r="K45" s="6" t="str">
        <f>AN45/Sum(AN1:AN$170)</f>
      </c>
      <c r="O45" t="s">
        <v>138</v>
      </c>
      <c r="P45" t="n">
        <v>2072</v>
      </c>
      <c r="Q45" s="10" t="n">
        <v>130849723.581711</v>
      </c>
      <c r="R45" s="10" t="n">
        <v>135822125.747366</v>
      </c>
      <c r="S45" s="10"/>
      <c r="T45" s="10" t="n">
        <v>2599933.34853027</v>
      </c>
      <c r="U45" s="10" t="n">
        <v>2811179.74588647</v>
      </c>
      <c r="V45" s="10" t="n">
        <v>4948051.43521705</v>
      </c>
      <c r="W45" s="10"/>
      <c r="X45" s="10"/>
      <c r="Y45" s="10"/>
      <c r="Z45" s="10" t="n">
        <v>0</v>
      </c>
      <c r="AA45" s="10" t="n">
        <v>0</v>
      </c>
      <c r="AB45" s="10" t="n">
        <v>29893.6275830639</v>
      </c>
      <c r="AC45" s="10"/>
      <c r="AD45" s="10" t="n">
        <v>0</v>
      </c>
      <c r="AE45" s="10"/>
      <c r="AF45" s="10" t="n">
        <v>-431825.11309855</v>
      </c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AM46/Sum(AM$1:AM$170)</f>
      </c>
      <c r="K46" s="6" t="str">
        <f>AN46/Sum(AN1:AN$170)</f>
      </c>
      <c r="O46" t="s">
        <v>139</v>
      </c>
      <c r="P46" t="n">
        <v>1248</v>
      </c>
      <c r="Q46" s="10" t="n">
        <v>1915249.23920523</v>
      </c>
      <c r="R46" s="10" t="n">
        <v>1852598.61784482</v>
      </c>
      <c r="S46" s="10" t="n">
        <v>34502459.4917907</v>
      </c>
      <c r="T46" s="10" t="n">
        <v>47028329.9466941</v>
      </c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AM47/Sum(AM$1:AM$170)</f>
      </c>
      <c r="K47" s="6" t="str">
        <f>AN47/Sum(AN1:AN$170)</f>
      </c>
      <c r="O47" t="s">
        <v>140</v>
      </c>
      <c r="P47" t="n">
        <v>886</v>
      </c>
      <c r="Q47" s="10"/>
      <c r="R47" s="10" t="n">
        <v>1494280.99544764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AM48/Sum(AM$1:AM$170)</f>
      </c>
      <c r="K48" s="6" t="str">
        <f>AN48/Sum(AN1:AN$170)</f>
      </c>
      <c r="O48" t="s">
        <v>141</v>
      </c>
      <c r="P48" t="n">
        <v>1169</v>
      </c>
      <c r="Q48" s="10"/>
      <c r="R48" s="10"/>
      <c r="S48" s="10" t="n">
        <v>241810.75804569</v>
      </c>
      <c r="T48" s="10" t="n">
        <v>93149.1897830809</v>
      </c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AM49/Sum(AM$1:AM$170)</f>
      </c>
      <c r="K49" s="6" t="str">
        <f>AN49/Sum(AN1:AN$170)</f>
      </c>
      <c r="O49" t="s">
        <v>142</v>
      </c>
      <c r="P49" t="n">
        <v>1168</v>
      </c>
      <c r="Q49" s="10" t="n">
        <v>134445781.24563</v>
      </c>
      <c r="R49" s="10" t="n">
        <v>8503999.42827181</v>
      </c>
      <c r="S49" s="10" t="n">
        <v>4203254.23774444</v>
      </c>
      <c r="T49" s="10" t="n">
        <v>6711721.56806281</v>
      </c>
      <c r="U49" s="10" t="n">
        <v>223129.336699499</v>
      </c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AM50/Sum(AM$1:AM$170)</f>
      </c>
      <c r="K50" s="6" t="str">
        <f>AN50/Sum(AN1:AN$170)</f>
      </c>
      <c r="O50" t="s">
        <v>72</v>
      </c>
      <c r="P50" t="n">
        <v>634</v>
      </c>
      <c r="Q50" s="10"/>
      <c r="R50" s="10"/>
      <c r="S50" s="10"/>
      <c r="T50" s="10"/>
      <c r="U50" s="10" t="n">
        <v>250352035.039063</v>
      </c>
      <c r="V50" s="10" t="n">
        <v>879432059.828781</v>
      </c>
      <c r="W50" s="10" t="n">
        <v>915101892.043372</v>
      </c>
      <c r="X50" s="10" t="n">
        <v>1131912722.30306</v>
      </c>
      <c r="Y50" s="10" t="n">
        <v>3401110953.68146</v>
      </c>
      <c r="Z50" s="10" t="n">
        <v>3286946730.9722</v>
      </c>
      <c r="AA50" s="10" t="n">
        <v>1003707970.21553</v>
      </c>
      <c r="AB50" s="10" t="n">
        <v>1048546857.80484</v>
      </c>
      <c r="AC50" s="10" t="n">
        <v>1268101880.85371</v>
      </c>
      <c r="AD50" s="10" t="n">
        <v>791676715.493667</v>
      </c>
      <c r="AE50" s="10" t="n">
        <v>1569681892.95865</v>
      </c>
      <c r="AF50" s="10" t="n">
        <v>1684031470.79101</v>
      </c>
      <c r="AG50" s="10" t="n">
        <v>1386432806.09343</v>
      </c>
      <c r="AH50" s="10" t="n">
        <v>1441378257.02413</v>
      </c>
      <c r="AI50" s="10" t="n">
        <v>1706015807.44958</v>
      </c>
      <c r="AJ50" s="10" t="n">
        <v>2097814284.70783</v>
      </c>
      <c r="AK50" s="10" t="n">
        <v>2275243993.94029</v>
      </c>
      <c r="AL50" s="10" t="n">
        <v>1591134485.73655</v>
      </c>
      <c r="AM50" s="10" t="n">
        <v>1447916677.2671</v>
      </c>
      <c r="AN50" s="10" t="n">
        <v>1828376969.56773</v>
      </c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AM51/Sum(AM$1:AM$170)</f>
      </c>
      <c r="K51" s="6" t="str">
        <f>AN51/Sum(AN1:AN$170)</f>
      </c>
      <c r="O51" t="s">
        <v>143</v>
      </c>
      <c r="P51" t="n">
        <v>57</v>
      </c>
      <c r="Q51" s="10"/>
      <c r="R51" s="10"/>
      <c r="S51" s="10"/>
      <c r="T51" s="10"/>
      <c r="U51" s="10" t="n">
        <v>17356988.7170974</v>
      </c>
      <c r="V51" s="10" t="n">
        <v>128776770.160208</v>
      </c>
      <c r="W51" s="10" t="n">
        <v>1648074155.05545</v>
      </c>
      <c r="X51" s="10" t="n">
        <v>1330354979.41822</v>
      </c>
      <c r="Y51" s="10" t="n">
        <v>403137302.234097</v>
      </c>
      <c r="Z51" s="10" t="n">
        <v>670517695.92655</v>
      </c>
      <c r="AA51" s="10" t="n">
        <v>1853967424.71019</v>
      </c>
      <c r="AB51" s="10" t="n">
        <v>1531471350.8532</v>
      </c>
      <c r="AC51" s="10" t="n">
        <v>716056431.433616</v>
      </c>
      <c r="AD51" s="10" t="n">
        <v>1661447316.26048</v>
      </c>
      <c r="AE51" s="10" t="n">
        <v>1698227020.59871</v>
      </c>
      <c r="AF51" s="10" t="n">
        <v>355308397.602533</v>
      </c>
      <c r="AG51" s="10" t="n">
        <v>616344261.488261</v>
      </c>
      <c r="AH51" s="10" t="n">
        <v>132911781.07197</v>
      </c>
      <c r="AI51" s="10" t="n">
        <v>-13998501.3955455</v>
      </c>
      <c r="AJ51" s="10" t="n">
        <v>-14204891.5815106</v>
      </c>
      <c r="AK51" s="10" t="n">
        <v>11346765.6078658</v>
      </c>
      <c r="AL51" s="10" t="n">
        <v>-1927903.31374535</v>
      </c>
      <c r="AM51" s="10" t="n">
        <v>-3755258.57</v>
      </c>
      <c r="AN51" s="10" t="n">
        <v>-3213.16561400534</v>
      </c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AM52/Sum(AM$1:AM$170)</f>
      </c>
      <c r="K52" s="6" t="str">
        <f>AN52/Sum(AN1:AN$170)</f>
      </c>
      <c r="O52" t="s">
        <v>144</v>
      </c>
      <c r="P52" t="n">
        <v>1801</v>
      </c>
      <c r="Q52" s="10"/>
      <c r="R52" s="10"/>
      <c r="S52" s="10"/>
      <c r="T52" s="10"/>
      <c r="U52" s="10"/>
      <c r="V52" s="10"/>
      <c r="W52" s="10" t="n">
        <v>2570771.39814702</v>
      </c>
      <c r="X52" s="10"/>
      <c r="Y52" s="10" t="n">
        <v>3629466.02623417</v>
      </c>
      <c r="Z52" s="10" t="n">
        <v>-1922642.81483054</v>
      </c>
      <c r="AA52" s="10" t="n">
        <v>0</v>
      </c>
      <c r="AB52" s="10" t="n">
        <v>0</v>
      </c>
      <c r="AC52" s="10"/>
      <c r="AD52" s="10"/>
      <c r="AE52" s="10"/>
      <c r="AF52" s="10" t="n">
        <v>-4442.75378844794</v>
      </c>
      <c r="AG52" s="10" t="n">
        <v>-341.971444548098</v>
      </c>
      <c r="AH52" s="10"/>
      <c r="AI52" s="10"/>
      <c r="AJ52" s="10"/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AM53/Sum(AM$1:AM$170)</f>
      </c>
      <c r="K53" s="6" t="str">
        <f>AN53/Sum(AN1:AN$170)</f>
      </c>
      <c r="O53" t="s">
        <v>145</v>
      </c>
      <c r="P53" t="n">
        <v>1802</v>
      </c>
      <c r="Q53" s="10"/>
      <c r="R53" s="10"/>
      <c r="S53" s="10"/>
      <c r="T53" s="10"/>
      <c r="U53" s="10"/>
      <c r="V53" s="10" t="n">
        <v>12271.065002108</v>
      </c>
      <c r="W53" s="10" t="n">
        <v>2297914.21010016</v>
      </c>
      <c r="X53" s="10" t="n">
        <v>3361539.00427413</v>
      </c>
      <c r="Y53" s="10" t="n">
        <v>7595202.14405029</v>
      </c>
      <c r="Z53" s="10" t="n">
        <v>1102926.69039875</v>
      </c>
      <c r="AA53" s="10" t="n">
        <v>1353421.75076696</v>
      </c>
      <c r="AB53" s="10" t="n">
        <v>4970699.46809233</v>
      </c>
      <c r="AC53" s="10" t="n">
        <v>372536.82997892</v>
      </c>
      <c r="AD53" s="10" t="n">
        <v>0</v>
      </c>
      <c r="AE53" s="10" t="n">
        <v>-232422.134344866</v>
      </c>
      <c r="AF53" s="10" t="n">
        <v>0</v>
      </c>
      <c r="AG53" s="10" t="n">
        <v>-49846.2012364922</v>
      </c>
      <c r="AH53" s="10" t="n">
        <v>-152526.558543515</v>
      </c>
      <c r="AI53" s="10"/>
      <c r="AJ53" s="10" t="n">
        <v>-267076.830554919</v>
      </c>
      <c r="AK53" s="10" t="n">
        <v>0</v>
      </c>
      <c r="AL53" s="10"/>
      <c r="AM53" s="10" t="n">
        <v>-3.34</v>
      </c>
      <c r="AN53" s="10" t="n">
        <v>0</v>
      </c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AM54/Sum(AM$1:AM$170)</f>
      </c>
      <c r="K54" s="6" t="str">
        <f>AN54/Sum(AN1:AN$170)</f>
      </c>
      <c r="O54" t="s">
        <v>73</v>
      </c>
      <c r="P54" t="n">
        <v>86</v>
      </c>
      <c r="Q54" s="10"/>
      <c r="R54" s="10"/>
      <c r="S54" s="10"/>
      <c r="T54" s="10"/>
      <c r="U54" s="10" t="n">
        <v>1621054.97240168</v>
      </c>
      <c r="V54" s="10" t="n">
        <v>267797601.51005</v>
      </c>
      <c r="W54" s="10" t="n">
        <v>2073492269.80017</v>
      </c>
      <c r="X54" s="10" t="n">
        <v>3272984279.55213</v>
      </c>
      <c r="Y54" s="10" t="n">
        <v>3048455569.67788</v>
      </c>
      <c r="Z54" s="10" t="n">
        <v>2253203060.84471</v>
      </c>
      <c r="AA54" s="10" t="n">
        <v>613323005.746533</v>
      </c>
      <c r="AB54" s="10" t="n">
        <v>5501623556.8473</v>
      </c>
      <c r="AC54" s="10" t="n">
        <v>645288994.008523</v>
      </c>
      <c r="AD54" s="10" t="n">
        <v>869581456.958753</v>
      </c>
      <c r="AE54" s="10" t="n">
        <v>397475395.807514</v>
      </c>
      <c r="AF54" s="10" t="n">
        <v>302268328.080105</v>
      </c>
      <c r="AG54" s="10" t="n">
        <v>838401905.716678</v>
      </c>
      <c r="AH54" s="10" t="n">
        <v>377948767.302376</v>
      </c>
      <c r="AI54" s="10" t="n">
        <v>425424321.920477</v>
      </c>
      <c r="AJ54" s="10" t="n">
        <v>453051307.515432</v>
      </c>
      <c r="AK54" s="10" t="n">
        <v>328335144.397866</v>
      </c>
      <c r="AL54" s="10" t="n">
        <v>258505513.481655</v>
      </c>
      <c r="AM54" s="10" t="n">
        <v>157251771.4038</v>
      </c>
      <c r="AN54" s="10" t="n">
        <v>86036894.6329077</v>
      </c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AM55/Sum(AM$1:AM$170)</f>
      </c>
      <c r="K55" s="6" t="str">
        <f>AN55/Sum(AN1:AN$170)</f>
      </c>
      <c r="O55" t="s">
        <v>74</v>
      </c>
      <c r="P55" t="n">
        <v>76</v>
      </c>
      <c r="Q55" s="10"/>
      <c r="R55" s="10" t="n">
        <v>32143399.840064</v>
      </c>
      <c r="S55" s="10" t="n">
        <v>1902114.491422</v>
      </c>
      <c r="T55" s="10" t="n">
        <v>-40369.5251886759</v>
      </c>
      <c r="U55" s="10" t="n">
        <v>293068164.855847</v>
      </c>
      <c r="V55" s="10" t="n">
        <v>453675706.644184</v>
      </c>
      <c r="W55" s="10" t="n">
        <v>608761056.291528</v>
      </c>
      <c r="X55" s="10" t="n">
        <v>460531061.463779</v>
      </c>
      <c r="Y55" s="10" t="n">
        <v>438518212.213074</v>
      </c>
      <c r="Z55" s="10" t="n">
        <v>413796831.458549</v>
      </c>
      <c r="AA55" s="10" t="n">
        <v>920054546.784739</v>
      </c>
      <c r="AB55" s="10" t="n">
        <v>3097593929.02999</v>
      </c>
      <c r="AC55" s="10" t="n">
        <v>1273951728.06284</v>
      </c>
      <c r="AD55" s="10" t="n">
        <v>2135109805.62546</v>
      </c>
      <c r="AE55" s="10" t="n">
        <v>2028651890.86394</v>
      </c>
      <c r="AF55" s="10" t="n">
        <v>1696355661.82096</v>
      </c>
      <c r="AG55" s="10" t="n">
        <v>1911591876.33861</v>
      </c>
      <c r="AH55" s="10" t="n">
        <v>2396714288.65254</v>
      </c>
      <c r="AI55" s="10" t="n">
        <v>2371169479.29814</v>
      </c>
      <c r="AJ55" s="10" t="n">
        <v>3527241040.65678</v>
      </c>
      <c r="AK55" s="10" t="n">
        <v>4229146323.75847</v>
      </c>
      <c r="AL55" s="10" t="n">
        <v>1850025061.72206</v>
      </c>
      <c r="AM55" s="10" t="n">
        <v>2245320071.1841</v>
      </c>
      <c r="AN55" s="10" t="n">
        <v>307295974.927632</v>
      </c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AM56/Sum(AM$1:AM$170)</f>
      </c>
      <c r="K56" s="6" t="str">
        <f>AN56/Sum(AN1:AN$170)</f>
      </c>
      <c r="O56" t="s">
        <v>146</v>
      </c>
      <c r="P56" t="n">
        <v>1187</v>
      </c>
      <c r="Q56" s="10" t="n">
        <v>1761887.37434124</v>
      </c>
      <c r="R56" s="10" t="n">
        <v>571278.613747415</v>
      </c>
      <c r="S56" s="10" t="n">
        <v>89638.7412747837</v>
      </c>
      <c r="T56" s="10" t="n">
        <v>259992.725317693</v>
      </c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AM57/Sum(AM$1:AM$170)</f>
      </c>
      <c r="K57" s="6" t="str">
        <f>AN57/Sum(AN1:AN$170)</f>
      </c>
      <c r="O57" t="s">
        <v>147</v>
      </c>
      <c r="P57" t="n">
        <v>1194</v>
      </c>
      <c r="Q57" s="10" t="n">
        <v>346362.435038967</v>
      </c>
      <c r="R57" s="10" t="n">
        <v>681036.318180471</v>
      </c>
      <c r="S57" s="10" t="n">
        <v>335543.117275817</v>
      </c>
      <c r="T57" s="10" t="n">
        <v>197743.929305409</v>
      </c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AM58/Sum(AM$1:AM$170)</f>
      </c>
      <c r="K58" s="6" t="str">
        <f>AN58/Sum(AN1:AN$170)</f>
      </c>
      <c r="O58" t="s">
        <v>148</v>
      </c>
      <c r="P58" t="n">
        <v>1200</v>
      </c>
      <c r="Q58" s="10" t="n">
        <v>141781.927597295</v>
      </c>
      <c r="R58" s="10"/>
      <c r="S58" s="10" t="n">
        <v>660333.499072577</v>
      </c>
      <c r="T58" s="10" t="n">
        <v>1346768.32106869</v>
      </c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AM59/Sum(AM$1:AM$170)</f>
      </c>
      <c r="K59" s="6" t="str">
        <f>AN59/Sum(AN1:AN$170)</f>
      </c>
      <c r="O59" t="s">
        <v>149</v>
      </c>
      <c r="P59" t="n">
        <v>1186</v>
      </c>
      <c r="Q59" s="10" t="n">
        <v>48121525.5845925</v>
      </c>
      <c r="R59" s="10" t="n">
        <v>43096423.0630136</v>
      </c>
      <c r="S59" s="10" t="n">
        <v>28069842.0359021</v>
      </c>
      <c r="T59" s="10" t="n">
        <v>69174808.8701386</v>
      </c>
      <c r="U59" s="10"/>
      <c r="V59" s="10"/>
      <c r="W59" s="10"/>
      <c r="X59" s="10"/>
      <c r="Y59" s="10"/>
      <c r="Z59" s="10"/>
      <c r="AA59" s="10"/>
      <c r="AB59" s="10" t="n">
        <v>-2780.69328596806</v>
      </c>
      <c r="AC59" s="10" t="n">
        <v>-1230.83981976516</v>
      </c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AM60/Sum(AM$1:AM$170)</f>
      </c>
      <c r="K60" s="6" t="str">
        <f>AN60/Sum(AN1:AN$170)</f>
      </c>
      <c r="O60" t="s">
        <v>75</v>
      </c>
      <c r="P60" t="n">
        <v>1203</v>
      </c>
      <c r="Q60" s="10" t="n">
        <v>169719449.642921</v>
      </c>
      <c r="R60" s="10" t="n">
        <v>135493915.853659</v>
      </c>
      <c r="S60" s="10" t="n">
        <v>74377980.4588352</v>
      </c>
      <c r="T60" s="10" t="n">
        <v>729554088.087048</v>
      </c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 t="n">
        <v>0</v>
      </c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AM61/Sum(AM$1:AM$170)</f>
      </c>
      <c r="K61" s="6" t="str">
        <f>AN61/Sum(AN1:AN$170)</f>
      </c>
      <c r="O61" t="s">
        <v>150</v>
      </c>
      <c r="P61" t="n">
        <v>1191</v>
      </c>
      <c r="Q61" s="10" t="n">
        <v>4667026.55437795</v>
      </c>
      <c r="R61" s="10" t="n">
        <v>27773015.1990175</v>
      </c>
      <c r="S61" s="10" t="n">
        <v>23372441.8325657</v>
      </c>
      <c r="T61" s="10" t="n">
        <v>1345116.48031282</v>
      </c>
      <c r="U61" s="10"/>
      <c r="V61" s="10"/>
      <c r="W61" s="10"/>
      <c r="X61" s="10"/>
      <c r="Y61" s="10"/>
      <c r="Z61" s="10"/>
      <c r="AA61" s="10"/>
      <c r="AB61" s="10" t="n">
        <v>0</v>
      </c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AM62/Sum(AM$1:AM$170)</f>
      </c>
      <c r="K62" s="6" t="str">
        <f>AN62/Sum(AN1:AN$170)</f>
      </c>
      <c r="O62" t="s">
        <v>151</v>
      </c>
      <c r="P62" t="n">
        <v>1193</v>
      </c>
      <c r="Q62" s="10" t="n">
        <v>88029.8203015738</v>
      </c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AM63/Sum(AM$1:AM$170)</f>
      </c>
      <c r="K63" s="6" t="str">
        <f>AN63/Sum(AN1:AN$170)</f>
      </c>
      <c r="O63" t="s">
        <v>152</v>
      </c>
      <c r="P63" t="n">
        <v>1967</v>
      </c>
      <c r="Q63" s="10"/>
      <c r="R63" s="10"/>
      <c r="S63" s="10"/>
      <c r="T63" s="10"/>
      <c r="U63" s="10" t="n">
        <v>50999.7162633181</v>
      </c>
      <c r="V63" s="10"/>
      <c r="W63" s="10" t="n">
        <v>279362.709193732</v>
      </c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AM64/Sum(AM$1:AM$170)</f>
      </c>
      <c r="K64" s="6" t="str">
        <f>AN64/Sum(AN1:AN$170)</f>
      </c>
      <c r="O64" t="s">
        <v>153</v>
      </c>
      <c r="P64" t="n">
        <v>1959</v>
      </c>
      <c r="Q64" s="10"/>
      <c r="R64" s="10"/>
      <c r="S64" s="10"/>
      <c r="T64" s="10"/>
      <c r="U64" s="10"/>
      <c r="V64" s="10" t="n">
        <v>5292.43815267386</v>
      </c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AM65/Sum(AM$1:AM$170)</f>
      </c>
      <c r="K65" s="6" t="str">
        <f>AN65/Sum(AN1:AN$170)</f>
      </c>
      <c r="O65" t="s">
        <v>154</v>
      </c>
      <c r="P65" t="n">
        <v>1222</v>
      </c>
      <c r="Q65" s="10" t="n">
        <v>64102220.3249243</v>
      </c>
      <c r="R65" s="10" t="n">
        <v>186677307.023404</v>
      </c>
      <c r="S65" s="10" t="n">
        <v>154346962.513037</v>
      </c>
      <c r="T65" s="10" t="n">
        <v>24921181.2906933</v>
      </c>
      <c r="U65" s="10"/>
      <c r="V65" s="10"/>
      <c r="W65" s="10"/>
      <c r="X65" s="10"/>
      <c r="Y65" s="10"/>
      <c r="Z65" s="10"/>
      <c r="AA65" s="10"/>
      <c r="AB65" s="10" t="n">
        <v>0</v>
      </c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AM66/Sum(AM$1:AM$170)</f>
      </c>
      <c r="K66" s="6" t="str">
        <f>AN66/Sum(AN1:AN$170)</f>
      </c>
      <c r="O66" t="s">
        <v>155</v>
      </c>
      <c r="P66" t="n">
        <v>1970</v>
      </c>
      <c r="Q66" s="10"/>
      <c r="R66" s="10"/>
      <c r="S66" s="10"/>
      <c r="T66" s="10"/>
      <c r="U66" s="10" t="n">
        <v>10422.7676561007</v>
      </c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AM67/Sum(AM$1:AM$170)</f>
      </c>
      <c r="K67" s="6" t="str">
        <f>AN67/Sum(AN1:AN$170)</f>
      </c>
      <c r="O67" t="s">
        <v>156</v>
      </c>
      <c r="P67" t="n">
        <v>632</v>
      </c>
      <c r="Q67" s="10"/>
      <c r="R67" s="10"/>
      <c r="S67" s="10"/>
      <c r="T67" s="10"/>
      <c r="U67" s="10"/>
      <c r="V67" s="10"/>
      <c r="W67" s="10" t="n">
        <v>15099.8556600603</v>
      </c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AM68/Sum(AM$1:AM$170)</f>
      </c>
      <c r="K68" s="6" t="str">
        <f>AN68/Sum(AN1:AN$170)</f>
      </c>
      <c r="O68" t="s">
        <v>157</v>
      </c>
      <c r="P68" t="n">
        <v>2252</v>
      </c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 t="n">
        <v>878787242.241908</v>
      </c>
      <c r="AL68" s="10" t="n">
        <v>598150276.173034</v>
      </c>
      <c r="AM68" s="10" t="n">
        <v>631351536</v>
      </c>
      <c r="AN68" s="10" t="n">
        <v>1643459.46605686</v>
      </c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AM69/Sum(AM$1:AM$170)</f>
      </c>
      <c r="K69" s="6" t="str">
        <f>AN69/Sum(AN1:AN$170)</f>
      </c>
      <c r="O69" t="s">
        <v>158</v>
      </c>
      <c r="P69" t="n">
        <v>26</v>
      </c>
      <c r="Q69" s="10"/>
      <c r="R69" s="10"/>
      <c r="S69" s="10"/>
      <c r="T69" s="10"/>
      <c r="U69" s="10"/>
      <c r="V69" s="10"/>
      <c r="W69" s="10" t="n">
        <v>531178.099896381</v>
      </c>
      <c r="X69" s="10"/>
      <c r="Y69" s="10" t="n">
        <v>392060.870922842</v>
      </c>
      <c r="Z69" s="10" t="n">
        <v>-4668.37012757078</v>
      </c>
      <c r="AA69" s="10" t="n">
        <v>135932.984972963</v>
      </c>
      <c r="AB69" s="10" t="n">
        <v>365227.777022305</v>
      </c>
      <c r="AC69" s="10" t="n">
        <v>-73851.6484859091</v>
      </c>
      <c r="AD69" s="10"/>
      <c r="AE69" s="10" t="n">
        <v>6429.95183177499</v>
      </c>
      <c r="AF69" s="10"/>
      <c r="AG69" s="10"/>
      <c r="AH69" s="10"/>
      <c r="AI69" s="10"/>
      <c r="AJ69" s="10"/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AM70/Sum(AM$1:AM$170)</f>
      </c>
      <c r="K70" s="6" t="str">
        <f>AN70/Sum(AN1:AN$170)</f>
      </c>
      <c r="O70" t="s">
        <v>159</v>
      </c>
      <c r="P70" t="n">
        <v>1259</v>
      </c>
      <c r="Q70" s="10"/>
      <c r="R70" s="10" t="n">
        <v>395034.980303179</v>
      </c>
      <c r="S70" s="10"/>
      <c r="T70" s="10" t="n">
        <v>-67009.2669729289</v>
      </c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AM71/Sum(AM$1:AM$170)</f>
      </c>
      <c r="K71" s="6" t="str">
        <f>AN71/Sum(AN1:AN$170)</f>
      </c>
      <c r="O71" t="s">
        <v>160</v>
      </c>
      <c r="P71" t="n">
        <v>1195</v>
      </c>
      <c r="Q71" s="10"/>
      <c r="R71" s="10" t="n">
        <v>53328.1921881035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AM72/Sum(AM$1:AM$170)</f>
      </c>
      <c r="K72" s="6" t="str">
        <f>AN72/Sum(AN1:AN$170)</f>
      </c>
      <c r="O72" t="s">
        <v>161</v>
      </c>
      <c r="P72" t="n">
        <v>1201</v>
      </c>
      <c r="Q72" s="10" t="n">
        <v>175468.283404932</v>
      </c>
      <c r="R72" s="10" t="n">
        <v>227748.262058731</v>
      </c>
      <c r="S72" s="10" t="n">
        <v>419313.20063966</v>
      </c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AM73/Sum(AM$1:AM$170)</f>
      </c>
      <c r="K73" s="6" t="str">
        <f>AN73/Sum(AN1:AN$170)</f>
      </c>
      <c r="O73" t="s">
        <v>162</v>
      </c>
      <c r="P73" t="n">
        <v>1199</v>
      </c>
      <c r="Q73" s="10" t="n">
        <v>43972025.4438059</v>
      </c>
      <c r="R73" s="10" t="n">
        <v>35753776.5023574</v>
      </c>
      <c r="S73" s="10" t="n">
        <v>21555184.5005959</v>
      </c>
      <c r="T73" s="10" t="n">
        <v>1977862.92011141</v>
      </c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AM74/Sum(AM$1:AM$170)</f>
      </c>
      <c r="K74" s="6" t="str">
        <f>AN74/Sum(AN1:AN$170)</f>
      </c>
      <c r="O74" t="s">
        <v>163</v>
      </c>
      <c r="P74" t="n">
        <v>1304</v>
      </c>
      <c r="Q74" s="10" t="n">
        <v>2208929.18024142</v>
      </c>
      <c r="R74" s="10"/>
      <c r="S74" s="10" t="n">
        <v>124734.216302396</v>
      </c>
      <c r="T74" s="10" t="n">
        <v>222356.966103216</v>
      </c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AM75/Sum(AM$1:AM$170)</f>
      </c>
      <c r="K75" s="6" t="str">
        <f>AN75/Sum(AN1:AN$170)</f>
      </c>
      <c r="O75" t="s">
        <v>164</v>
      </c>
      <c r="P75" t="n">
        <v>2094</v>
      </c>
      <c r="Q75" s="10"/>
      <c r="R75" s="10"/>
      <c r="S75" s="10" t="n">
        <v>9935484.09960439</v>
      </c>
      <c r="T75" s="10"/>
      <c r="U75" s="10" t="n">
        <v>2883203.49498143</v>
      </c>
      <c r="V75" s="10" t="n">
        <v>8497477.19824266</v>
      </c>
      <c r="W75" s="10"/>
      <c r="X75" s="10"/>
      <c r="Y75" s="10"/>
      <c r="Z75" s="10"/>
      <c r="AA75" s="10"/>
      <c r="AB75" s="10"/>
      <c r="AC75" s="10" t="n">
        <v>-338.89022293534</v>
      </c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AM76/Sum(AM$1:AM$170)</f>
      </c>
      <c r="K76" s="6" t="str">
        <f>AN76/Sum(AN1:AN$170)</f>
      </c>
      <c r="O76" t="s">
        <v>165</v>
      </c>
      <c r="P76" t="n">
        <v>1149</v>
      </c>
      <c r="Q76" s="10" t="n">
        <v>1820850.21104747</v>
      </c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AM77/Sum(AM$1:AM$170)</f>
      </c>
      <c r="K77" s="6" t="str">
        <f>AN77/Sum(AN1:AN$170)</f>
      </c>
      <c r="O77" t="s">
        <v>166</v>
      </c>
      <c r="P77" t="n">
        <v>1261</v>
      </c>
      <c r="Q77" s="10" t="n">
        <v>243689.253296336</v>
      </c>
      <c r="R77" s="10" t="n">
        <v>4755945.29364806</v>
      </c>
      <c r="S77" s="10" t="n">
        <v>9054193.06779126</v>
      </c>
      <c r="T77" s="10" t="n">
        <v>8008425.70445126</v>
      </c>
      <c r="U77" s="10"/>
      <c r="V77" s="10"/>
      <c r="W77" s="10"/>
      <c r="X77" s="10"/>
      <c r="Y77" s="10" t="n">
        <v>66650.7885826042</v>
      </c>
      <c r="Z77" s="10" t="n">
        <v>-537913.795796195</v>
      </c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AM78/Sum(AM$1:AM$170)</f>
      </c>
      <c r="K78" s="6" t="str">
        <f>AN78/Sum(AN1:AN$170)</f>
      </c>
      <c r="O78" t="s">
        <v>167</v>
      </c>
      <c r="P78" t="n">
        <v>1262</v>
      </c>
      <c r="Q78" s="10"/>
      <c r="R78" s="10"/>
      <c r="S78" s="10"/>
      <c r="T78" s="10" t="n">
        <v>6145.64000777328</v>
      </c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AM79/Sum(AM$1:AM$170)</f>
      </c>
      <c r="K79" s="6" t="str">
        <f>AN79/Sum(AN1:AN$170)</f>
      </c>
      <c r="O79" t="s">
        <v>168</v>
      </c>
      <c r="P79" t="n">
        <v>804</v>
      </c>
      <c r="Q79" s="10"/>
      <c r="R79" s="10"/>
      <c r="S79" s="10" t="n">
        <v>205441.851028935</v>
      </c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AM80/Sum(AM$1:AM$170)</f>
      </c>
      <c r="K80" s="6" t="str">
        <f>AN80/Sum(AN1:AN$170)</f>
      </c>
      <c r="O80" t="s">
        <v>169</v>
      </c>
      <c r="P80" t="n">
        <v>1331</v>
      </c>
      <c r="Q80" s="10"/>
      <c r="R80" s="10"/>
      <c r="S80" s="10"/>
      <c r="T80" s="10"/>
      <c r="U80" s="10" t="n">
        <v>578401.87452145</v>
      </c>
      <c r="V80" s="10"/>
      <c r="W80" s="10"/>
      <c r="X80" s="10"/>
      <c r="Y80" s="10" t="n">
        <v>5629.39198787218</v>
      </c>
      <c r="Z80" s="10" t="n">
        <v>1319780.93015023</v>
      </c>
      <c r="AA80" s="10" t="n">
        <v>0</v>
      </c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AM81/Sum(AM$1:AM$170)</f>
      </c>
      <c r="K81" s="6" t="str">
        <f>AN81/Sum(AN1:AN$170)</f>
      </c>
      <c r="O81" t="s">
        <v>170</v>
      </c>
      <c r="P81" t="n">
        <v>814</v>
      </c>
      <c r="Q81" s="10"/>
      <c r="R81" s="10" t="n">
        <v>236108.890899674</v>
      </c>
      <c r="S81" s="10" t="n">
        <v>58764.2274014278</v>
      </c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AM82/Sum(AM$1:AM$170)</f>
      </c>
      <c r="K82" s="6" t="str">
        <f>AN82/Sum(AN1:AN$170)</f>
      </c>
      <c r="O82" t="s">
        <v>171</v>
      </c>
      <c r="P82" t="n">
        <v>1216</v>
      </c>
      <c r="Q82" s="10" t="n">
        <v>3052910.6189285</v>
      </c>
      <c r="R82" s="10" t="n">
        <v>3098015.24224036</v>
      </c>
      <c r="S82" s="10" t="n">
        <v>4356342.5043612</v>
      </c>
      <c r="T82" s="10" t="n">
        <v>2847997.4673563</v>
      </c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AM83/Sum(AM$1:AM$170)</f>
      </c>
      <c r="K83" s="6" t="str">
        <f>AN83/Sum(AN1:AN$170)</f>
      </c>
      <c r="O83" t="s">
        <v>172</v>
      </c>
      <c r="P83" t="n">
        <v>1219</v>
      </c>
      <c r="Q83" s="10" t="n">
        <v>5473568.29635178</v>
      </c>
      <c r="R83" s="10" t="n">
        <v>5931522.2726332</v>
      </c>
      <c r="S83" s="10" t="n">
        <v>7228868.07828042</v>
      </c>
      <c r="T83" s="10" t="n">
        <v>3887534.07470141</v>
      </c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AM84/Sum(AM$1:AM$170)</f>
      </c>
      <c r="K84" s="6" t="str">
        <f>AN84/Sum(AN1:AN$170)</f>
      </c>
      <c r="O84" t="s">
        <v>173</v>
      </c>
      <c r="P84" t="n">
        <v>1223</v>
      </c>
      <c r="Q84" s="10" t="n">
        <v>65330044.2886148</v>
      </c>
      <c r="R84" s="10" t="n">
        <v>13361893.9145109</v>
      </c>
      <c r="S84" s="10" t="n">
        <v>294666135.227262</v>
      </c>
      <c r="T84" s="10" t="n">
        <v>7870253.18720236</v>
      </c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AM85/Sum(AM$1:AM$170)</f>
      </c>
      <c r="K85" s="6" t="str">
        <f>AN85/Sum(AN1:AN$170)</f>
      </c>
      <c r="O85" t="s">
        <v>174</v>
      </c>
      <c r="P85" t="n">
        <v>1225</v>
      </c>
      <c r="Q85" s="10" t="n">
        <v>9191298.51166865</v>
      </c>
      <c r="R85" s="10" t="n">
        <v>50032.8424430598</v>
      </c>
      <c r="S85" s="10" t="n">
        <v>270377.564680185</v>
      </c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AM86/Sum(AM$1:AM$170)</f>
      </c>
      <c r="K86" s="6" t="str">
        <f>AN86/Sum(AN1:AN$170)</f>
      </c>
      <c r="O86" t="s">
        <v>175</v>
      </c>
      <c r="P86" t="n">
        <v>627</v>
      </c>
      <c r="Q86" s="10"/>
      <c r="R86" s="10"/>
      <c r="S86" s="10"/>
      <c r="T86" s="10"/>
      <c r="U86" s="10"/>
      <c r="V86" s="10"/>
      <c r="W86" s="10" t="n">
        <v>31754761.5664632</v>
      </c>
      <c r="X86" s="10" t="n">
        <v>40316814.7320779</v>
      </c>
      <c r="Y86" s="10" t="n">
        <v>27951158.8991844</v>
      </c>
      <c r="Z86" s="10" t="n">
        <v>82045708.2233199</v>
      </c>
      <c r="AA86" s="10" t="n">
        <v>-1373152.62773425</v>
      </c>
      <c r="AB86" s="10" t="n">
        <v>60163878.9890105</v>
      </c>
      <c r="AC86" s="10" t="n">
        <v>2921133.57473678</v>
      </c>
      <c r="AD86" s="10" t="n">
        <v>617712.026172407</v>
      </c>
      <c r="AE86" s="10" t="n">
        <v>0</v>
      </c>
      <c r="AF86" s="10"/>
      <c r="AG86" s="10"/>
      <c r="AH86" s="10"/>
      <c r="AI86" s="10"/>
      <c r="AJ86" s="10"/>
      <c r="AK86" s="10"/>
      <c r="AL86" s="10"/>
      <c r="AM86" s="10"/>
      <c r="AN86" s="10"/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AM87/Sum(AM$1:AM$170)</f>
      </c>
      <c r="K87" s="6" t="str">
        <f>AN87/Sum(AN1:AN$170)</f>
      </c>
      <c r="O87" t="s">
        <v>76</v>
      </c>
      <c r="P87" t="n">
        <v>1368</v>
      </c>
      <c r="Q87" s="10"/>
      <c r="R87" s="10"/>
      <c r="S87" s="10"/>
      <c r="T87" s="10"/>
      <c r="U87" s="10" t="n">
        <v>3854630.13268687</v>
      </c>
      <c r="V87" s="10" t="n">
        <v>9022082.55093925</v>
      </c>
      <c r="W87" s="10" t="n">
        <v>39377353.2574531</v>
      </c>
      <c r="X87" s="10" t="n">
        <v>51227408.676473</v>
      </c>
      <c r="Y87" s="10" t="n">
        <v>89675428.4765582</v>
      </c>
      <c r="Z87" s="10" t="n">
        <v>1169963187.33913</v>
      </c>
      <c r="AA87" s="10" t="n">
        <v>169068263.519899</v>
      </c>
      <c r="AB87" s="10" t="n">
        <v>2441316565.92158</v>
      </c>
      <c r="AC87" s="10" t="n">
        <v>2188610957.48412</v>
      </c>
      <c r="AD87" s="10" t="n">
        <v>2276667501.04309</v>
      </c>
      <c r="AE87" s="10" t="n">
        <v>2013792109.96382</v>
      </c>
      <c r="AF87" s="10" t="n">
        <v>1968446177.76794</v>
      </c>
      <c r="AG87" s="10" t="n">
        <v>1891333459.00587</v>
      </c>
      <c r="AH87" s="10" t="n">
        <v>1188404336.86955</v>
      </c>
      <c r="AI87" s="10" t="n">
        <v>3518287153.03569</v>
      </c>
      <c r="AJ87" s="10" t="n">
        <v>2281340619.54346</v>
      </c>
      <c r="AK87" s="10" t="n">
        <v>3169836295.24466</v>
      </c>
      <c r="AL87" s="10" t="n">
        <v>597213371.833482</v>
      </c>
      <c r="AM87" s="10" t="n">
        <v>435069417.8358</v>
      </c>
      <c r="AN87" s="10" t="n">
        <v>137772713.927579</v>
      </c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AM88/Sum(AM$1:AM$170)</f>
      </c>
      <c r="K88" s="6" t="str">
        <f>AN88/Sum(AN1:AN$170)</f>
      </c>
      <c r="O88" t="s">
        <v>176</v>
      </c>
      <c r="P88" t="n">
        <v>33</v>
      </c>
      <c r="Q88" s="10"/>
      <c r="R88" s="10"/>
      <c r="S88" s="10"/>
      <c r="T88" s="10"/>
      <c r="U88" s="10"/>
      <c r="V88" s="10"/>
      <c r="W88" s="10"/>
      <c r="X88" s="10" t="n">
        <v>5225841.67507769</v>
      </c>
      <c r="Y88" s="10" t="n">
        <v>77620.3733203713</v>
      </c>
      <c r="Z88" s="10" t="n">
        <v>952474.518101433</v>
      </c>
      <c r="AA88" s="10" t="n">
        <v>684530.15244253</v>
      </c>
      <c r="AB88" s="10"/>
      <c r="AC88" s="10"/>
      <c r="AD88" s="10" t="n">
        <v>-2976.43958033248</v>
      </c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AM89/Sum(AM$1:AM$170)</f>
      </c>
      <c r="K89" s="6" t="str">
        <f>AN89/Sum(AN1:AN$170)</f>
      </c>
      <c r="O89" t="s">
        <v>177</v>
      </c>
      <c r="P89" t="n">
        <v>1332</v>
      </c>
      <c r="Q89" s="10"/>
      <c r="R89" s="10"/>
      <c r="S89" s="10"/>
      <c r="T89" s="10"/>
      <c r="U89" s="10" t="n">
        <v>703998.679118356</v>
      </c>
      <c r="V89" s="10" t="n">
        <v>102777459.84892</v>
      </c>
      <c r="W89" s="10" t="n">
        <v>163688819.238474</v>
      </c>
      <c r="X89" s="10" t="n">
        <v>1080570388.21832</v>
      </c>
      <c r="Y89" s="10" t="n">
        <v>434644084.942399</v>
      </c>
      <c r="Z89" s="10" t="n">
        <v>1383883490.99531</v>
      </c>
      <c r="AA89" s="10" t="n">
        <v>129727549.888979</v>
      </c>
      <c r="AB89" s="10" t="n">
        <v>211408585.769668</v>
      </c>
      <c r="AC89" s="10" t="n">
        <v>2801857124.76931</v>
      </c>
      <c r="AD89" s="10" t="n">
        <v>228573432.609374</v>
      </c>
      <c r="AE89" s="10" t="n">
        <v>144206086.082861</v>
      </c>
      <c r="AF89" s="10" t="n">
        <v>134857761.783054</v>
      </c>
      <c r="AG89" s="10" t="n">
        <v>1295634984.2411</v>
      </c>
      <c r="AH89" s="10" t="n">
        <v>1577597260.62431</v>
      </c>
      <c r="AI89" s="10" t="n">
        <v>912729554.229074</v>
      </c>
      <c r="AJ89" s="10" t="n">
        <v>43233058.098893</v>
      </c>
      <c r="AK89" s="10" t="n">
        <v>1279135709.32975</v>
      </c>
      <c r="AL89" s="10" t="n">
        <v>209580527.929014</v>
      </c>
      <c r="AM89" s="10" t="n">
        <v>236374226.5937</v>
      </c>
      <c r="AN89" s="10" t="n">
        <v>785330747.707854</v>
      </c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AM90/Sum(AM$1:AM$170)</f>
      </c>
      <c r="K90" s="6" t="str">
        <f>AN90/Sum(AN1:AN$170)</f>
      </c>
      <c r="O90" t="s">
        <v>178</v>
      </c>
      <c r="P90" t="n">
        <v>628</v>
      </c>
      <c r="Q90" s="10"/>
      <c r="R90" s="10"/>
      <c r="S90" s="10"/>
      <c r="T90" s="10"/>
      <c r="U90" s="10" t="n">
        <v>78397065.5007804</v>
      </c>
      <c r="V90" s="10" t="n">
        <v>132168547.38567</v>
      </c>
      <c r="W90" s="10" t="n">
        <v>13713266.6737622</v>
      </c>
      <c r="X90" s="10" t="n">
        <v>19049046.7910048</v>
      </c>
      <c r="Y90" s="10" t="n">
        <v>167993005.276339</v>
      </c>
      <c r="Z90" s="10" t="n">
        <v>32871935.9236067</v>
      </c>
      <c r="AA90" s="10" t="n">
        <v>58414288.6010023</v>
      </c>
      <c r="AB90" s="10" t="n">
        <v>96505201.1845817</v>
      </c>
      <c r="AC90" s="10" t="n">
        <v>80532454.4403268</v>
      </c>
      <c r="AD90" s="10" t="n">
        <v>71073686.5995364</v>
      </c>
      <c r="AE90" s="10" t="n">
        <v>73989302.052386</v>
      </c>
      <c r="AF90" s="10" t="n">
        <v>9090778.66593565</v>
      </c>
      <c r="AG90" s="10" t="n">
        <v>-2466798.92270822</v>
      </c>
      <c r="AH90" s="10" t="n">
        <v>-548606.538326275</v>
      </c>
      <c r="AI90" s="10" t="n">
        <v>-600661.800518158</v>
      </c>
      <c r="AJ90" s="10" t="n">
        <v>0</v>
      </c>
      <c r="AK90" s="10"/>
      <c r="AL90" s="10"/>
      <c r="AM90" s="10"/>
      <c r="AN90" s="10" t="n">
        <v>185990.683989887</v>
      </c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AM91/Sum(AM$1:AM$170)</f>
      </c>
      <c r="K91" s="6" t="str">
        <f>AN91/Sum(AN1:AN$170)</f>
      </c>
      <c r="O91" t="s">
        <v>77</v>
      </c>
      <c r="P91" t="n">
        <v>1825</v>
      </c>
      <c r="Q91" s="10"/>
      <c r="R91" s="10"/>
      <c r="S91" s="10"/>
      <c r="T91" s="10"/>
      <c r="U91" s="10" t="n">
        <v>35313498.540225</v>
      </c>
      <c r="V91" s="10" t="n">
        <v>31857502.3067473</v>
      </c>
      <c r="W91" s="10" t="n">
        <v>3574128947.52433</v>
      </c>
      <c r="X91" s="10" t="n">
        <v>1803514897.77524</v>
      </c>
      <c r="Y91" s="10" t="n">
        <v>1587605377.94602</v>
      </c>
      <c r="Z91" s="10" t="n">
        <v>646388538.998658</v>
      </c>
      <c r="AA91" s="10" t="n">
        <v>337074161.920184</v>
      </c>
      <c r="AB91" s="10" t="n">
        <v>2227270286.97258</v>
      </c>
      <c r="AC91" s="10" t="n">
        <v>2142357547.97786</v>
      </c>
      <c r="AD91" s="10" t="n">
        <v>1979424284.11389</v>
      </c>
      <c r="AE91" s="10" t="n">
        <v>128270766.496239</v>
      </c>
      <c r="AF91" s="10" t="n">
        <v>182968523.172411</v>
      </c>
      <c r="AG91" s="10" t="n">
        <v>490486235.146517</v>
      </c>
      <c r="AH91" s="10" t="n">
        <v>1892505974.69293</v>
      </c>
      <c r="AI91" s="10" t="n">
        <v>1623787387.927</v>
      </c>
      <c r="AJ91" s="10" t="n">
        <v>215923914.966249</v>
      </c>
      <c r="AK91" s="10" t="n">
        <v>89519019.1430333</v>
      </c>
      <c r="AL91" s="10" t="n">
        <v>42763555.591197</v>
      </c>
      <c r="AM91" s="10" t="n">
        <v>52581649.4336</v>
      </c>
      <c r="AN91" s="10" t="n">
        <v>7172000.11851136</v>
      </c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AM92/Sum(AM$1:AM$170)</f>
      </c>
      <c r="K92" s="6" t="str">
        <f>AN92/Sum(AN1:AN$170)</f>
      </c>
      <c r="O92" t="s">
        <v>179</v>
      </c>
      <c r="P92" t="n">
        <v>1864</v>
      </c>
      <c r="Q92" s="10"/>
      <c r="R92" s="10"/>
      <c r="S92" s="10"/>
      <c r="T92" s="10"/>
      <c r="U92" s="10"/>
      <c r="V92" s="10"/>
      <c r="W92" s="10"/>
      <c r="X92" s="10"/>
      <c r="Y92" s="10" t="n">
        <v>4332.30125786927</v>
      </c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AM93/Sum(AM$1:AM$170)</f>
      </c>
      <c r="K93" s="6" t="str">
        <f>AN93/Sum(AN1:AN$170)</f>
      </c>
      <c r="O93" t="s">
        <v>180</v>
      </c>
      <c r="P93" t="n">
        <v>629</v>
      </c>
      <c r="Q93" s="10"/>
      <c r="R93" s="10"/>
      <c r="S93" s="10"/>
      <c r="T93" s="10"/>
      <c r="U93" s="10"/>
      <c r="V93" s="10"/>
      <c r="W93" s="10"/>
      <c r="X93" s="10" t="n">
        <v>0</v>
      </c>
      <c r="Y93" s="10" t="n">
        <v>335216.142128893</v>
      </c>
      <c r="Z93" s="10" t="n">
        <v>0</v>
      </c>
      <c r="AA93" s="10" t="n">
        <v>0</v>
      </c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AM94/Sum(AM$1:AM$170)</f>
      </c>
      <c r="K94" s="6" t="str">
        <f>AN94/Sum(AN1:AN$170)</f>
      </c>
      <c r="O94" t="s">
        <v>181</v>
      </c>
      <c r="P94" t="n">
        <v>509</v>
      </c>
      <c r="Q94" s="10" t="n">
        <v>2026429.2396599</v>
      </c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AM95/Sum(AM$1:AM$170)</f>
      </c>
      <c r="K95" s="6" t="str">
        <f>AN95/Sum(AN1:AN$170)</f>
      </c>
      <c r="O95" t="s">
        <v>182</v>
      </c>
      <c r="P95" t="n">
        <v>1865</v>
      </c>
      <c r="Q95" s="10"/>
      <c r="R95" s="10"/>
      <c r="S95" s="10"/>
      <c r="T95" s="10"/>
      <c r="U95" s="10"/>
      <c r="V95" s="10"/>
      <c r="W95" s="10" t="n">
        <v>1258321.30500503</v>
      </c>
      <c r="X95" s="10" t="n">
        <v>0</v>
      </c>
      <c r="Y95" s="10" t="n">
        <v>404702.255257801</v>
      </c>
      <c r="Z95" s="10" t="n">
        <v>19736212.0020823</v>
      </c>
      <c r="AA95" s="10" t="n">
        <v>30125896.6270615</v>
      </c>
      <c r="AB95" s="10" t="n">
        <v>57995177.6529967</v>
      </c>
      <c r="AC95" s="10" t="n">
        <v>35737864.8474812</v>
      </c>
      <c r="AD95" s="10" t="n">
        <v>18635937.0985599</v>
      </c>
      <c r="AE95" s="10" t="n">
        <v>27749866.8666341</v>
      </c>
      <c r="AF95" s="10" t="n">
        <v>13810282.1596769</v>
      </c>
      <c r="AG95" s="10" t="n">
        <v>17152647.421181</v>
      </c>
      <c r="AH95" s="10" t="n">
        <v>5488434.94992992</v>
      </c>
      <c r="AI95" s="10" t="n">
        <v>-1690140.92420006</v>
      </c>
      <c r="AJ95" s="10" t="n">
        <v>-1032614.80042948</v>
      </c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AM96/Sum(AM$1:AM$170)</f>
      </c>
      <c r="K96" s="6" t="str">
        <f>AN96/Sum(AN1:AN$170)</f>
      </c>
      <c r="O96" t="s">
        <v>183</v>
      </c>
      <c r="P96" t="n">
        <v>1227</v>
      </c>
      <c r="Q96" s="10" t="n">
        <v>24130288.4642029</v>
      </c>
      <c r="R96" s="10" t="n">
        <v>8208489.05819579</v>
      </c>
      <c r="S96" s="10" t="n">
        <v>24646176.6500476</v>
      </c>
      <c r="T96" s="10" t="n">
        <v>1692984.39093383</v>
      </c>
      <c r="U96" s="10"/>
      <c r="V96" s="10"/>
      <c r="W96" s="10"/>
      <c r="X96" s="10"/>
      <c r="Y96" s="10"/>
      <c r="Z96" s="10" t="n">
        <v>-6445.89259853755</v>
      </c>
      <c r="AA96" s="10" t="n">
        <v>-167381.573343386</v>
      </c>
      <c r="AB96" s="10" t="n">
        <v>-37026.4716696273</v>
      </c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AM97/Sum(AM$1:AM$170)</f>
      </c>
      <c r="K97" s="6" t="str">
        <f>AN97/Sum(AN1:AN$170)</f>
      </c>
      <c r="O97" t="s">
        <v>184</v>
      </c>
      <c r="P97" t="n">
        <v>1228</v>
      </c>
      <c r="Q97" s="10" t="n">
        <v>38386.514522416</v>
      </c>
      <c r="R97" s="10"/>
      <c r="S97" s="10"/>
      <c r="T97" s="10"/>
      <c r="U97" s="10" t="n">
        <v>44624.3798605711</v>
      </c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AM98/Sum(AM$1:AM$170)</f>
      </c>
      <c r="K98" s="6" t="str">
        <f>AN98/Sum(AN1:AN$170)</f>
      </c>
      <c r="O98" t="s">
        <v>185</v>
      </c>
      <c r="P98" t="n">
        <v>1233</v>
      </c>
      <c r="Q98" s="10" t="n">
        <v>3732.33641496679</v>
      </c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AM99/Sum(AM$1:AM$170)</f>
      </c>
      <c r="K99" s="6" t="str">
        <f>AN99/Sum(AN1:AN$170)</f>
      </c>
      <c r="O99" t="s">
        <v>186</v>
      </c>
      <c r="P99" t="n">
        <v>1267</v>
      </c>
      <c r="Q99" s="10" t="n">
        <v>104961430.342476</v>
      </c>
      <c r="R99" s="10" t="n">
        <v>56026526.779864</v>
      </c>
      <c r="S99" s="10" t="n">
        <v>232832894.801922</v>
      </c>
      <c r="T99" s="10" t="n">
        <v>77672555.8263965</v>
      </c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AM100/Sum(AM$1:AM$170)</f>
      </c>
      <c r="K100" s="6" t="str">
        <f>AN100/Sum(AN1:AN$170)</f>
      </c>
      <c r="O100" t="s">
        <v>187</v>
      </c>
      <c r="P100" t="n">
        <v>900</v>
      </c>
      <c r="Q100" s="10"/>
      <c r="R100" s="10"/>
      <c r="S100" s="10" t="n">
        <v>353299.728695159</v>
      </c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AM101/Sum(AM$1:AM$170)</f>
      </c>
      <c r="K101" s="6" t="str">
        <f>AN101/Sum(AN1:AN$170)</f>
      </c>
      <c r="O101" t="s">
        <v>188</v>
      </c>
      <c r="P101" t="n">
        <v>1235</v>
      </c>
      <c r="Q101" s="10" t="n">
        <v>170281.789945173</v>
      </c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AM102/Sum(AM$1:AM$170)</f>
      </c>
      <c r="K102" s="6" t="str">
        <f>AN102/Sum(AN1:AN$170)</f>
      </c>
      <c r="O102" t="s">
        <v>189</v>
      </c>
      <c r="P102" t="n">
        <v>1334</v>
      </c>
      <c r="Q102" s="10"/>
      <c r="R102" s="10"/>
      <c r="S102" s="10"/>
      <c r="T102" s="10"/>
      <c r="U102" s="10" t="n">
        <v>262107.245028379</v>
      </c>
      <c r="V102" s="10" t="n">
        <v>99043.3747687787</v>
      </c>
      <c r="W102" s="10"/>
      <c r="X102" s="10"/>
      <c r="Y102" s="10" t="n">
        <v>22837.2261999435</v>
      </c>
      <c r="Z102" s="10"/>
      <c r="AA102" s="10"/>
      <c r="AB102" s="10"/>
      <c r="AC102" s="10"/>
      <c r="AD102" s="10" t="n">
        <v>43096168.2295889</v>
      </c>
      <c r="AE102" s="10" t="n">
        <v>2820518.9953819</v>
      </c>
      <c r="AF102" s="10"/>
      <c r="AG102" s="10" t="n">
        <v>-159836.884557749</v>
      </c>
      <c r="AH102" s="10"/>
      <c r="AI102" s="10" t="n">
        <v>258848.748191339</v>
      </c>
      <c r="AJ102" s="10" t="n">
        <v>-31577.6978888341</v>
      </c>
      <c r="AK102" s="10"/>
      <c r="AL102" s="10"/>
      <c r="AM102" s="10" t="n">
        <v>6285</v>
      </c>
      <c r="AN102" s="10" t="n">
        <v>0</v>
      </c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AM103/Sum(AM$1:AM$170)</f>
      </c>
      <c r="K103" s="6" t="str">
        <f>AN103/Sum(AN1:AN$170)</f>
      </c>
      <c r="O103" t="s">
        <v>190</v>
      </c>
      <c r="P103" t="n">
        <v>39</v>
      </c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 t="n">
        <v>1048028.70043699</v>
      </c>
      <c r="AC103" s="10" t="n">
        <v>384455.474826646</v>
      </c>
      <c r="AD103" s="10" t="n">
        <v>76329.6813959006</v>
      </c>
      <c r="AE103" s="10"/>
      <c r="AF103" s="10"/>
      <c r="AG103" s="10" t="n">
        <v>-211803.232616678</v>
      </c>
      <c r="AH103" s="10" t="n">
        <v>1570.35586621244</v>
      </c>
      <c r="AI103" s="10"/>
      <c r="AJ103" s="10"/>
      <c r="AK103" s="10" t="n">
        <v>-1485.04339645726</v>
      </c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AM104/Sum(AM$1:AM$170)</f>
      </c>
      <c r="K104" s="6" t="str">
        <f>AN104/Sum(AN1:AN$170)</f>
      </c>
      <c r="O104" t="s">
        <v>191</v>
      </c>
      <c r="P104" t="n">
        <v>1987</v>
      </c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 t="n">
        <v>146265</v>
      </c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AM105/Sum(AM$1:AM$170)</f>
      </c>
      <c r="K105" s="6" t="str">
        <f>AN105/Sum(AN1:AN$170)</f>
      </c>
      <c r="O105" t="s">
        <v>192</v>
      </c>
      <c r="P105" t="n">
        <v>664</v>
      </c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 t="n">
        <v>1989415.48291822</v>
      </c>
      <c r="AL105" s="10" t="n">
        <v>2673218.98731074</v>
      </c>
      <c r="AM105" s="10" t="n">
        <v>2200000</v>
      </c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AM106/Sum(AM$1:AM$170)</f>
      </c>
      <c r="K106" s="6" t="str">
        <f>AN106/Sum(AN1:AN$170)</f>
      </c>
      <c r="O106" t="s">
        <v>193</v>
      </c>
      <c r="P106" t="n">
        <v>1268</v>
      </c>
      <c r="Q106" s="10" t="n">
        <v>16779492.288177</v>
      </c>
      <c r="R106" s="10" t="n">
        <v>45327961.6619042</v>
      </c>
      <c r="S106" s="10" t="n">
        <v>20056389.214623</v>
      </c>
      <c r="T106" s="10" t="n">
        <v>60848028.9559517</v>
      </c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AM107/Sum(AM$1:AM$170)</f>
      </c>
      <c r="K107" s="6" t="str">
        <f>AN107/Sum(AN1:AN$170)</f>
      </c>
      <c r="O107" t="s">
        <v>194</v>
      </c>
      <c r="P107" t="n">
        <v>2258</v>
      </c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 t="n">
        <v>28241421.7982282</v>
      </c>
      <c r="AF107" s="10"/>
      <c r="AG107" s="10"/>
      <c r="AH107" s="10"/>
      <c r="AI107" s="10" t="n">
        <v>51361891.0988032</v>
      </c>
      <c r="AJ107" s="10"/>
      <c r="AK107" s="10"/>
      <c r="AL107" s="10"/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AM108/Sum(AM$1:AM$170)</f>
      </c>
      <c r="K108" s="6" t="str">
        <f>AN108/Sum(AN1:AN$170)</f>
      </c>
      <c r="O108" t="s">
        <v>195</v>
      </c>
      <c r="P108" t="n">
        <v>1240</v>
      </c>
      <c r="Q108" s="10" t="n">
        <v>3305303.81000294</v>
      </c>
      <c r="R108" s="10" t="n">
        <v>15047964.5806155</v>
      </c>
      <c r="S108" s="10" t="n">
        <v>21815438.2809624</v>
      </c>
      <c r="T108" s="10" t="n">
        <v>4531303.96102026</v>
      </c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AM109/Sum(AM$1:AM$170)</f>
      </c>
      <c r="K109" s="6" t="str">
        <f>AN109/Sum(AN1:AN$170)</f>
      </c>
      <c r="O109" t="s">
        <v>196</v>
      </c>
      <c r="P109" t="n">
        <v>1245</v>
      </c>
      <c r="Q109" s="10" t="n">
        <v>5061177.43709894</v>
      </c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</row>
    <row r="110">
      <c r="A110" t="str">
        <f>O110</f>
      </c>
      <c r="B110" t="str">
        <f>P110</f>
      </c>
      <c r="C110" s="10" t="str">
        <f>AF110</f>
      </c>
      <c r="D110" s="10" t="str">
        <f>AL110</f>
      </c>
      <c r="E110" s="10" t="str">
        <f>AM110</f>
      </c>
      <c r="F110" s="10" t="str">
        <f>AN110</f>
      </c>
      <c r="G110" s="6" t="str">
        <f>AM110/AL110-1</f>
      </c>
      <c r="H110" s="6" t="str">
        <f>AM110/AF110-1</f>
      </c>
      <c r="I110" s="6" t="str">
        <f>AN110/AM110</f>
      </c>
      <c r="J110" s="6" t="str">
        <f>AM110/Sum(AM$1:AM$170)</f>
      </c>
      <c r="K110" s="6" t="str">
        <f>AN110/Sum(AN1:AN$170)</f>
      </c>
      <c r="O110" t="s">
        <v>197</v>
      </c>
      <c r="P110" t="n">
        <v>1241</v>
      </c>
      <c r="Q110" s="10" t="n">
        <v>16102554.7164154</v>
      </c>
      <c r="R110" s="10" t="n">
        <v>8501172.58923728</v>
      </c>
      <c r="S110" s="10" t="n">
        <v>56394117.3362007</v>
      </c>
      <c r="T110" s="10" t="n">
        <v>54425079.3240141</v>
      </c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</row>
    <row r="111">
      <c r="A111" t="str">
        <f>O111</f>
      </c>
      <c r="B111" t="str">
        <f>P111</f>
      </c>
      <c r="C111" s="10" t="str">
        <f>AF111</f>
      </c>
      <c r="D111" s="10" t="str">
        <f>AL111</f>
      </c>
      <c r="E111" s="10" t="str">
        <f>AM111</f>
      </c>
      <c r="F111" s="10" t="str">
        <f>AN111</f>
      </c>
      <c r="G111" s="6" t="str">
        <f>AM111/AL111-1</f>
      </c>
      <c r="H111" s="6" t="str">
        <f>AM111/AF111-1</f>
      </c>
      <c r="I111" s="6" t="str">
        <f>AN111/AM111</f>
      </c>
      <c r="J111" s="6" t="str">
        <f>AM111/Sum(AM$1:AM$170)</f>
      </c>
      <c r="K111" s="6" t="str">
        <f>AN111/Sum(AN1:AN$170)</f>
      </c>
      <c r="O111" t="s">
        <v>198</v>
      </c>
      <c r="P111" t="n">
        <v>1254</v>
      </c>
      <c r="Q111" s="10" t="n">
        <v>3255576.4862612</v>
      </c>
      <c r="R111" s="10" t="n">
        <v>34464916.1575317</v>
      </c>
      <c r="S111" s="10" t="n">
        <v>13496645.9750378</v>
      </c>
      <c r="T111" s="10" t="n">
        <v>8749017.23094217</v>
      </c>
      <c r="U111" s="10"/>
      <c r="V111" s="10"/>
      <c r="W111" s="10"/>
      <c r="X111" s="10"/>
      <c r="Y111" s="10"/>
      <c r="Z111" s="10"/>
      <c r="AA111" s="10" t="n">
        <v>-5481948.6900086</v>
      </c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</row>
    <row r="112">
      <c r="A112" t="str">
        <f>O112</f>
      </c>
      <c r="B112" t="str">
        <f>P112</f>
      </c>
      <c r="C112" s="10" t="str">
        <f>AF112</f>
      </c>
      <c r="D112" s="10" t="str">
        <f>AL112</f>
      </c>
      <c r="E112" s="10" t="str">
        <f>AM112</f>
      </c>
      <c r="F112" s="10" t="str">
        <f>AN112</f>
      </c>
      <c r="G112" s="6" t="str">
        <f>AM112/AL112-1</f>
      </c>
      <c r="H112" s="6" t="str">
        <f>AM112/AF112-1</f>
      </c>
      <c r="I112" s="6" t="str">
        <f>AN112/AM112</f>
      </c>
      <c r="J112" s="6" t="str">
        <f>AM112/Sum(AM$1:AM$170)</f>
      </c>
      <c r="K112" s="6" t="str">
        <f>AN112/Sum(AN1:AN$170)</f>
      </c>
      <c r="O112" t="s">
        <v>199</v>
      </c>
      <c r="P112" t="n">
        <v>1328</v>
      </c>
      <c r="Q112" s="10"/>
      <c r="R112" s="10"/>
      <c r="S112" s="10"/>
      <c r="T112" s="10"/>
      <c r="U112" s="10"/>
      <c r="V112" s="10"/>
      <c r="W112" s="10"/>
      <c r="X112" s="10"/>
      <c r="Y112" s="10"/>
      <c r="Z112" s="10" t="n">
        <v>0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</row>
    <row r="113">
      <c r="A113" t="str">
        <f>O113</f>
      </c>
      <c r="B113" t="str">
        <f>P113</f>
      </c>
      <c r="C113" s="10" t="str">
        <f>AF113</f>
      </c>
      <c r="D113" s="10" t="str">
        <f>AL113</f>
      </c>
      <c r="E113" s="10" t="str">
        <f>AM113</f>
      </c>
      <c r="F113" s="10" t="str">
        <f>AN113</f>
      </c>
      <c r="G113" s="6" t="str">
        <f>AM113/AL113-1</f>
      </c>
      <c r="H113" s="6" t="str">
        <f>AM113/AF113-1</f>
      </c>
      <c r="I113" s="6" t="str">
        <f>AN113/AM113</f>
      </c>
      <c r="J113" s="6" t="str">
        <f>AM113/Sum(AM$1:AM$170)</f>
      </c>
      <c r="K113" s="6" t="str">
        <f>AN113/Sum(AN1:AN$170)</f>
      </c>
      <c r="O113" t="s">
        <v>200</v>
      </c>
      <c r="P113" t="n">
        <v>1272</v>
      </c>
      <c r="Q113" s="10"/>
      <c r="R113" s="10"/>
      <c r="S113" s="10" t="n">
        <v>1008965.01245144</v>
      </c>
      <c r="T113" s="10" t="n">
        <v>14802521.4014256</v>
      </c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</row>
    <row r="114">
      <c r="A114" t="str">
        <f>O114</f>
      </c>
      <c r="B114" t="str">
        <f>P114</f>
      </c>
      <c r="C114" s="10" t="str">
        <f>AF114</f>
      </c>
      <c r="D114" s="10" t="str">
        <f>AL114</f>
      </c>
      <c r="E114" s="10" t="str">
        <f>AM114</f>
      </c>
      <c r="F114" s="10" t="str">
        <f>AN114</f>
      </c>
      <c r="G114" s="6" t="str">
        <f>AM114/AL114-1</f>
      </c>
      <c r="H114" s="6" t="str">
        <f>AM114/AF114-1</f>
      </c>
      <c r="I114" s="6" t="str">
        <f>AN114/AM114</f>
      </c>
      <c r="J114" s="6" t="str">
        <f>AM114/Sum(AM$1:AM$170)</f>
      </c>
      <c r="K114" s="6" t="str">
        <f>AN114/Sum(AN1:AN$170)</f>
      </c>
      <c r="O114" t="s">
        <v>201</v>
      </c>
      <c r="P114" t="n">
        <v>1274</v>
      </c>
      <c r="Q114" s="10" t="n">
        <v>1244756.81461212</v>
      </c>
      <c r="R114" s="10" t="n">
        <v>2908363.05310781</v>
      </c>
      <c r="S114" s="10" t="n">
        <v>16225017.4948202</v>
      </c>
      <c r="T114" s="10" t="n">
        <v>5909594.40190071</v>
      </c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</row>
    <row r="115">
      <c r="A115" t="str">
        <f>O115</f>
      </c>
      <c r="B115" t="str">
        <f>P115</f>
      </c>
      <c r="C115" s="10" t="str">
        <f>AF115</f>
      </c>
      <c r="D115" s="10" t="str">
        <f>AL115</f>
      </c>
      <c r="E115" s="10" t="str">
        <f>AM115</f>
      </c>
      <c r="F115" s="10" t="str">
        <f>AN115</f>
      </c>
      <c r="G115" s="6" t="str">
        <f>AM115/AL115-1</f>
      </c>
      <c r="H115" s="6" t="str">
        <f>AM115/AF115-1</f>
      </c>
      <c r="I115" s="6" t="str">
        <f>AN115/AM115</f>
      </c>
      <c r="J115" s="6" t="str">
        <f>AM115/Sum(AM$1:AM$170)</f>
      </c>
      <c r="K115" s="6" t="str">
        <f>AN115/Sum(AN1:AN$170)</f>
      </c>
      <c r="O115" t="s">
        <v>202</v>
      </c>
      <c r="P115" t="n">
        <v>1335</v>
      </c>
      <c r="Q115" s="10"/>
      <c r="R115" s="10"/>
      <c r="S115" s="10"/>
      <c r="T115" s="10"/>
      <c r="U115" s="10"/>
      <c r="V115" s="10"/>
      <c r="W115" s="10"/>
      <c r="X115" s="10"/>
      <c r="Y115" s="10" t="n">
        <v>0</v>
      </c>
      <c r="Z115" s="10" t="n">
        <v>13582.704503798</v>
      </c>
      <c r="AA115" s="10"/>
      <c r="AB115" s="10" t="n">
        <v>324267.826277298</v>
      </c>
      <c r="AC115" s="10" t="n">
        <v>19301.8580331772</v>
      </c>
      <c r="AD115" s="10" t="n">
        <v>634347.622788796</v>
      </c>
      <c r="AE115" s="10" t="n">
        <v>5127774.64401876</v>
      </c>
      <c r="AF115" s="10" t="n">
        <v>0</v>
      </c>
      <c r="AG115" s="10" t="n">
        <v>0</v>
      </c>
      <c r="AH115" s="10"/>
      <c r="AI115" s="10"/>
      <c r="AJ115" s="10"/>
      <c r="AK115" s="10"/>
      <c r="AL115" s="10"/>
      <c r="AM115" s="10"/>
      <c r="AN115" s="10"/>
      <c r="AO115" s="10"/>
    </row>
    <row r="116">
      <c r="A116" t="str">
        <f>O116</f>
      </c>
      <c r="B116" t="str">
        <f>P116</f>
      </c>
      <c r="C116" s="10" t="str">
        <f>AF116</f>
      </c>
      <c r="D116" s="10" t="str">
        <f>AL116</f>
      </c>
      <c r="E116" s="10" t="str">
        <f>AM116</f>
      </c>
      <c r="F116" s="10" t="str">
        <f>AN116</f>
      </c>
      <c r="G116" s="6" t="str">
        <f>AM116/AL116-1</f>
      </c>
      <c r="H116" s="6" t="str">
        <f>AM116/AF116-1</f>
      </c>
      <c r="I116" s="6" t="str">
        <f>AN116/AM116</f>
      </c>
      <c r="J116" s="6" t="str">
        <f>AM116/Sum(AM$1:AM$170)</f>
      </c>
      <c r="K116" s="6" t="str">
        <f>AN116/Sum(AN1:AN$170)</f>
      </c>
      <c r="O116" t="s">
        <v>203</v>
      </c>
      <c r="P116" t="n">
        <v>1279</v>
      </c>
      <c r="Q116" s="10" t="n">
        <v>4281775.11277109</v>
      </c>
      <c r="R116" s="10" t="n">
        <v>2725071.25180295</v>
      </c>
      <c r="S116" s="10" t="n">
        <v>2438588.09396034</v>
      </c>
      <c r="T116" s="10" t="n">
        <v>1947480.63137474</v>
      </c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</row>
    <row r="117">
      <c r="A117" t="str">
        <f>O117</f>
      </c>
      <c r="B117" t="str">
        <f>P117</f>
      </c>
      <c r="C117" s="10" t="str">
        <f>AF117</f>
      </c>
      <c r="D117" s="10" t="str">
        <f>AL117</f>
      </c>
      <c r="E117" s="10" t="str">
        <f>AM117</f>
      </c>
      <c r="F117" s="10" t="str">
        <f>AN117</f>
      </c>
      <c r="G117" s="6" t="str">
        <f>AM117/AL117-1</f>
      </c>
      <c r="H117" s="6" t="str">
        <f>AM117/AF117-1</f>
      </c>
      <c r="I117" s="6" t="str">
        <f>AN117/AM117</f>
      </c>
      <c r="J117" s="6" t="str">
        <f>AM117/Sum(AM$1:AM$170)</f>
      </c>
      <c r="K117" s="6" t="str">
        <f>AN117/Sum(AN1:AN$170)</f>
      </c>
      <c r="O117" t="s">
        <v>204</v>
      </c>
      <c r="P117" t="n">
        <v>2006</v>
      </c>
      <c r="Q117" s="10"/>
      <c r="R117" s="10"/>
      <c r="S117" s="10"/>
      <c r="T117" s="10"/>
      <c r="U117" s="10"/>
      <c r="V117" s="10"/>
      <c r="W117" s="10"/>
      <c r="X117" s="10"/>
      <c r="Y117" s="10"/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/>
      <c r="AH117" s="10"/>
      <c r="AI117" s="10"/>
      <c r="AJ117" s="10"/>
      <c r="AK117" s="10"/>
      <c r="AL117" s="10"/>
      <c r="AM117" s="10"/>
      <c r="AN117" s="10"/>
      <c r="AO117" s="10"/>
    </row>
    <row r="118">
      <c r="A118" t="str">
        <f>O118</f>
      </c>
      <c r="B118" t="str">
        <f>P118</f>
      </c>
      <c r="C118" s="10" t="str">
        <f>AF118</f>
      </c>
      <c r="D118" s="10" t="str">
        <f>AL118</f>
      </c>
      <c r="E118" s="10" t="str">
        <f>AM118</f>
      </c>
      <c r="F118" s="10" t="str">
        <f>AN118</f>
      </c>
      <c r="G118" s="6" t="str">
        <f>AM118/AL118-1</f>
      </c>
      <c r="H118" s="6" t="str">
        <f>AM118/AF118-1</f>
      </c>
      <c r="I118" s="6" t="str">
        <f>AN118/AM118</f>
      </c>
      <c r="J118" s="6" t="str">
        <f>AM118/Sum(AM$1:AM$170)</f>
      </c>
      <c r="K118" s="6" t="str">
        <f>AN118/Sum(AN1:AN$170)</f>
      </c>
      <c r="O118" t="s">
        <v>205</v>
      </c>
      <c r="P118" t="n">
        <v>2007</v>
      </c>
      <c r="Q118" s="10" t="n">
        <v>51087514.7740336</v>
      </c>
      <c r="R118" s="10" t="n">
        <v>52006427.2476188</v>
      </c>
      <c r="S118" s="10" t="n">
        <v>96281148.8860544</v>
      </c>
      <c r="T118" s="10" t="n">
        <v>81693974.3372702</v>
      </c>
      <c r="U118" s="10" t="n">
        <v>85500363.8746308</v>
      </c>
      <c r="V118" s="10" t="n">
        <v>-56755.8411168085</v>
      </c>
      <c r="W118" s="10" t="n">
        <v>-373212.506525357</v>
      </c>
      <c r="X118" s="10" t="n">
        <v>-3018592.05984324</v>
      </c>
      <c r="Y118" s="10" t="n">
        <v>0</v>
      </c>
      <c r="Z118" s="10" t="n">
        <v>0</v>
      </c>
      <c r="AA118" s="10" t="n">
        <v>0</v>
      </c>
      <c r="AB118" s="10" t="n">
        <v>0</v>
      </c>
      <c r="AC118" s="10" t="n">
        <v>-7283.31279054034</v>
      </c>
      <c r="AD118" s="10" t="n">
        <v>0</v>
      </c>
      <c r="AE118" s="10" t="n">
        <v>314008.65095425</v>
      </c>
      <c r="AF118" s="10" t="n">
        <v>0</v>
      </c>
      <c r="AG118" s="10" t="n">
        <v>-8934976.18126718</v>
      </c>
      <c r="AH118" s="10"/>
      <c r="AI118" s="10"/>
      <c r="AJ118" s="10"/>
      <c r="AK118" s="10"/>
      <c r="AL118" s="10"/>
      <c r="AM118" s="10" t="n">
        <v>714976.3125</v>
      </c>
      <c r="AN118" s="10"/>
      <c r="AO118" s="10"/>
    </row>
    <row r="119">
      <c r="A119" t="str">
        <f>O119</f>
      </c>
      <c r="B119" t="str">
        <f>P119</f>
      </c>
      <c r="C119" s="10" t="str">
        <f>AF119</f>
      </c>
      <c r="D119" s="10" t="str">
        <f>AL119</f>
      </c>
      <c r="E119" s="10" t="str">
        <f>AM119</f>
      </c>
      <c r="F119" s="10" t="str">
        <f>AN119</f>
      </c>
      <c r="G119" s="6" t="str">
        <f>AM119/AL119-1</f>
      </c>
      <c r="H119" s="6" t="str">
        <f>AM119/AF119-1</f>
      </c>
      <c r="I119" s="6" t="str">
        <f>AN119/AM119</f>
      </c>
      <c r="J119" s="6" t="str">
        <f>AM119/Sum(AM$1:AM$170)</f>
      </c>
      <c r="K119" s="6" t="str">
        <f>AN119/Sum(AN1:AN$170)</f>
      </c>
      <c r="O119" t="s">
        <v>206</v>
      </c>
      <c r="P119" t="n">
        <v>2103</v>
      </c>
      <c r="Q119" s="10" t="n">
        <v>14738132.0871272</v>
      </c>
      <c r="R119" s="10" t="n">
        <v>11181410.36325</v>
      </c>
      <c r="S119" s="10" t="n">
        <v>759190.645576084</v>
      </c>
      <c r="T119" s="10" t="n">
        <v>-57425.8476798751</v>
      </c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</row>
    <row r="120">
      <c r="A120" t="str">
        <f>O120</f>
      </c>
      <c r="B120" t="str">
        <f>P120</f>
      </c>
      <c r="C120" s="10" t="str">
        <f>AF120</f>
      </c>
      <c r="D120" s="10" t="str">
        <f>AL120</f>
      </c>
      <c r="E120" s="10" t="str">
        <f>AM120</f>
      </c>
      <c r="F120" s="10" t="str">
        <f>AN120</f>
      </c>
      <c r="G120" s="6" t="str">
        <f>AM120/AL120-1</f>
      </c>
      <c r="H120" s="6" t="str">
        <f>AM120/AF120-1</f>
      </c>
      <c r="I120" s="6" t="str">
        <f>AN120/AM120</f>
      </c>
      <c r="J120" s="6" t="str">
        <f>AM120/Sum(AM$1:AM$170)</f>
      </c>
      <c r="K120" s="6" t="str">
        <f>AN120/Sum(AN1:AN$170)</f>
      </c>
      <c r="O120" t="s">
        <v>207</v>
      </c>
      <c r="P120" t="n">
        <v>2008</v>
      </c>
      <c r="Q120" s="10" t="n">
        <v>713539627.16092</v>
      </c>
      <c r="R120" s="10" t="n">
        <v>899510267.174022</v>
      </c>
      <c r="S120" s="10" t="n">
        <v>557018574.994911</v>
      </c>
      <c r="T120" s="10" t="n">
        <v>312875812.81994</v>
      </c>
      <c r="U120" s="10" t="n">
        <v>819634373.118571</v>
      </c>
      <c r="V120" s="10" t="n">
        <v>598305956.666715</v>
      </c>
      <c r="W120" s="10" t="n">
        <v>-42351771.7600892</v>
      </c>
      <c r="X120" s="10" t="n">
        <v>24874510.360373</v>
      </c>
      <c r="Y120" s="10" t="n">
        <v>11952524.5739758</v>
      </c>
      <c r="Z120" s="10" t="n">
        <v>3857055.24831235</v>
      </c>
      <c r="AA120" s="10" t="n">
        <v>6381334.39493919</v>
      </c>
      <c r="AB120" s="10" t="n">
        <v>266187.781806926</v>
      </c>
      <c r="AC120" s="10" t="n">
        <v>-4144965.80040914</v>
      </c>
      <c r="AD120" s="10" t="n">
        <v>341883.316650525</v>
      </c>
      <c r="AE120" s="10" t="n">
        <v>-838283.083967467</v>
      </c>
      <c r="AF120" s="10" t="n">
        <v>-2125860.27414113</v>
      </c>
      <c r="AG120" s="10" t="n">
        <v>0</v>
      </c>
      <c r="AH120" s="10"/>
      <c r="AI120" s="10" t="n">
        <v>-28070840.704215</v>
      </c>
      <c r="AJ120" s="10" t="n">
        <v>-4666083.93242341</v>
      </c>
      <c r="AK120" s="10" t="n">
        <v>0</v>
      </c>
      <c r="AL120" s="10"/>
      <c r="AM120" s="10" t="n">
        <v>0</v>
      </c>
      <c r="AN120" s="10"/>
      <c r="AO120" s="10"/>
    </row>
    <row r="121">
      <c r="A121" t="str">
        <f>O121</f>
      </c>
      <c r="B121" t="str">
        <f>P121</f>
      </c>
      <c r="C121" s="10" t="str">
        <f>AF121</f>
      </c>
      <c r="D121" s="10" t="str">
        <f>AL121</f>
      </c>
      <c r="E121" s="10" t="str">
        <f>AM121</f>
      </c>
      <c r="F121" s="10" t="str">
        <f>AN121</f>
      </c>
      <c r="G121" s="6" t="str">
        <f>AM121/AL121-1</f>
      </c>
      <c r="H121" s="6" t="str">
        <f>AM121/AF121-1</f>
      </c>
      <c r="I121" s="6" t="str">
        <f>AN121/AM121</f>
      </c>
      <c r="J121" s="6" t="str">
        <f>AM121/Sum(AM$1:AM$170)</f>
      </c>
      <c r="K121" s="6" t="str">
        <f>AN121/Sum(AN1:AN$170)</f>
      </c>
      <c r="O121" t="s">
        <v>208</v>
      </c>
      <c r="P121" t="n">
        <v>2011</v>
      </c>
      <c r="Q121" s="10" t="n">
        <v>158897438.416732</v>
      </c>
      <c r="R121" s="10" t="n">
        <v>156464635.088965</v>
      </c>
      <c r="S121" s="10" t="n">
        <v>276432019.424273</v>
      </c>
      <c r="T121" s="10" t="n">
        <v>202181602.543732</v>
      </c>
      <c r="U121" s="10" t="n">
        <v>145180166.099379</v>
      </c>
      <c r="V121" s="10" t="n">
        <v>-36478597.7114293</v>
      </c>
      <c r="W121" s="10" t="n">
        <v>1450847.26094036</v>
      </c>
      <c r="X121" s="10" t="n">
        <v>-5451235.35887524</v>
      </c>
      <c r="Y121" s="10"/>
      <c r="Z121" s="10"/>
      <c r="AA121" s="10" t="n">
        <v>-949308.901039961</v>
      </c>
      <c r="AB121" s="10"/>
      <c r="AC121" s="10"/>
      <c r="AD121" s="10" t="n">
        <v>0</v>
      </c>
      <c r="AE121" s="10" t="n">
        <v>0</v>
      </c>
      <c r="AF121" s="10" t="n">
        <v>0</v>
      </c>
      <c r="AG121" s="10"/>
      <c r="AH121" s="10"/>
      <c r="AI121" s="10"/>
      <c r="AJ121" s="10"/>
      <c r="AK121" s="10"/>
      <c r="AL121" s="10"/>
      <c r="AM121" s="10" t="n">
        <v>0</v>
      </c>
      <c r="AN121" s="10"/>
      <c r="AO121" s="10"/>
    </row>
    <row r="122">
      <c r="A122" t="str">
        <f>O122</f>
      </c>
      <c r="B122" t="str">
        <f>P122</f>
      </c>
      <c r="C122" s="10" t="str">
        <f>AF122</f>
      </c>
      <c r="D122" s="10" t="str">
        <f>AL122</f>
      </c>
      <c r="E122" s="10" t="str">
        <f>AM122</f>
      </c>
      <c r="F122" s="10" t="str">
        <f>AN122</f>
      </c>
      <c r="G122" s="6" t="str">
        <f>AM122/AL122-1</f>
      </c>
      <c r="H122" s="6" t="str">
        <f>AM122/AF122-1</f>
      </c>
      <c r="I122" s="6" t="str">
        <f>AN122/AM122</f>
      </c>
      <c r="J122" s="6" t="str">
        <f>AM122/Sum(AM$1:AM$170)</f>
      </c>
      <c r="K122" s="6" t="str">
        <f>AN122/Sum(AN1:AN$170)</f>
      </c>
      <c r="O122" t="s">
        <v>209</v>
      </c>
      <c r="P122" t="n">
        <v>2104</v>
      </c>
      <c r="Q122" s="10"/>
      <c r="R122" s="10"/>
      <c r="S122" s="10"/>
      <c r="T122" s="10" t="n">
        <v>112225740.9478</v>
      </c>
      <c r="U122" s="10" t="n">
        <v>50723671.3369799</v>
      </c>
      <c r="V122" s="10" t="n">
        <v>2238863.02790813</v>
      </c>
      <c r="W122" s="10" t="n">
        <v>2317528.64297562</v>
      </c>
      <c r="X122" s="10" t="n">
        <v>217527561.469272</v>
      </c>
      <c r="Y122" s="10" t="n">
        <v>77582.8509259229</v>
      </c>
      <c r="Z122" s="10"/>
      <c r="AA122" s="10"/>
      <c r="AB122" s="10"/>
      <c r="AC122" s="10"/>
      <c r="AD122" s="10"/>
      <c r="AE122" s="10"/>
      <c r="AF122" s="10" t="n">
        <v>0</v>
      </c>
      <c r="AG122" s="10" t="n">
        <v>0</v>
      </c>
      <c r="AH122" s="10"/>
      <c r="AI122" s="10"/>
      <c r="AJ122" s="10"/>
      <c r="AK122" s="10"/>
      <c r="AL122" s="10"/>
      <c r="AM122" s="10"/>
      <c r="AN122" s="10"/>
      <c r="AO122" s="10"/>
    </row>
    <row r="123">
      <c r="A123" t="str">
        <f>O123</f>
      </c>
      <c r="B123" t="str">
        <f>P123</f>
      </c>
      <c r="C123" s="10" t="str">
        <f>AF123</f>
      </c>
      <c r="D123" s="10" t="str">
        <f>AL123</f>
      </c>
      <c r="E123" s="10" t="str">
        <f>AM123</f>
      </c>
      <c r="F123" s="10" t="str">
        <f>AN123</f>
      </c>
      <c r="G123" s="6" t="str">
        <f>AM123/AL123-1</f>
      </c>
      <c r="H123" s="6" t="str">
        <f>AM123/AF123-1</f>
      </c>
      <c r="I123" s="6" t="str">
        <f>AN123/AM123</f>
      </c>
      <c r="J123" s="6" t="str">
        <f>AM123/Sum(AM$1:AM$170)</f>
      </c>
      <c r="K123" s="6" t="str">
        <f>AN123/Sum(AN1:AN$170)</f>
      </c>
      <c r="O123" t="s">
        <v>210</v>
      </c>
      <c r="P123" t="n">
        <v>2105</v>
      </c>
      <c r="Q123" s="10" t="n">
        <v>702666.457074165</v>
      </c>
      <c r="R123" s="10" t="n">
        <v>17960859.725546</v>
      </c>
      <c r="S123" s="10" t="n">
        <v>118260567.936038</v>
      </c>
      <c r="T123" s="10" t="n">
        <v>107435488.090722</v>
      </c>
      <c r="U123" s="10" t="n">
        <v>31968620.136082</v>
      </c>
      <c r="V123" s="10" t="n">
        <v>78967316.1959364</v>
      </c>
      <c r="W123" s="10" t="n">
        <v>2700493.13961477</v>
      </c>
      <c r="X123" s="10" t="n">
        <v>33736.0128566501</v>
      </c>
      <c r="Y123" s="10"/>
      <c r="Z123" s="10" t="n">
        <v>-552488.679057284</v>
      </c>
      <c r="AA123" s="10" t="n">
        <v>-602500.349960726</v>
      </c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</row>
    <row r="124">
      <c r="A124" t="str">
        <f>O124</f>
      </c>
      <c r="B124" t="str">
        <f>P124</f>
      </c>
      <c r="C124" s="10" t="str">
        <f>AF124</f>
      </c>
      <c r="D124" s="10" t="str">
        <f>AL124</f>
      </c>
      <c r="E124" s="10" t="str">
        <f>AM124</f>
      </c>
      <c r="F124" s="10" t="str">
        <f>AN124</f>
      </c>
      <c r="G124" s="6" t="str">
        <f>AM124/AL124-1</f>
      </c>
      <c r="H124" s="6" t="str">
        <f>AM124/AF124-1</f>
      </c>
      <c r="I124" s="6" t="str">
        <f>AN124/AM124</f>
      </c>
      <c r="J124" s="6" t="str">
        <f>AM124/Sum(AM$1:AM$170)</f>
      </c>
      <c r="K124" s="6" t="str">
        <f>AN124/Sum(AN1:AN$170)</f>
      </c>
      <c r="O124" t="s">
        <v>211</v>
      </c>
      <c r="P124" t="n">
        <v>2106</v>
      </c>
      <c r="Q124" s="10" t="n">
        <v>525758.558194888</v>
      </c>
      <c r="R124" s="10" t="n">
        <v>-873598.952635946</v>
      </c>
      <c r="S124" s="10"/>
      <c r="T124" s="10"/>
      <c r="U124" s="10"/>
      <c r="V124" s="10"/>
      <c r="W124" s="10"/>
      <c r="X124" s="10"/>
      <c r="Y124" s="10"/>
      <c r="Z124" s="10"/>
      <c r="AA124" s="10"/>
      <c r="AB124" s="10" t="n">
        <v>0</v>
      </c>
      <c r="AC124" s="10"/>
      <c r="AD124" s="10"/>
      <c r="AE124" s="10"/>
      <c r="AF124" s="10" t="n">
        <v>0</v>
      </c>
      <c r="AG124" s="10"/>
      <c r="AH124" s="10"/>
      <c r="AI124" s="10"/>
      <c r="AJ124" s="10"/>
      <c r="AK124" s="10"/>
      <c r="AL124" s="10"/>
      <c r="AM124" s="10"/>
      <c r="AN124" s="10"/>
      <c r="AO124" s="10"/>
    </row>
    <row r="125">
      <c r="A125" t="str">
        <f>O125</f>
      </c>
      <c r="B125" t="str">
        <f>P125</f>
      </c>
      <c r="C125" s="10" t="str">
        <f>AF125</f>
      </c>
      <c r="D125" s="10" t="str">
        <f>AL125</f>
      </c>
      <c r="E125" s="10" t="str">
        <f>AM125</f>
      </c>
      <c r="F125" s="10" t="str">
        <f>AN125</f>
      </c>
      <c r="G125" s="6" t="str">
        <f>AM125/AL125-1</f>
      </c>
      <c r="H125" s="6" t="str">
        <f>AM125/AF125-1</f>
      </c>
      <c r="I125" s="6" t="str">
        <f>AN125/AM125</f>
      </c>
      <c r="J125" s="6" t="str">
        <f>AM125/Sum(AM$1:AM$170)</f>
      </c>
      <c r="K125" s="6" t="str">
        <f>AN125/Sum(AN1:AN$170)</f>
      </c>
      <c r="O125" t="s">
        <v>212</v>
      </c>
      <c r="P125" t="n">
        <v>1283</v>
      </c>
      <c r="Q125" s="10" t="n">
        <v>8071468.32877463</v>
      </c>
      <c r="R125" s="10" t="n">
        <v>4669845.0138806</v>
      </c>
      <c r="S125" s="10" t="n">
        <v>3781860.06287862</v>
      </c>
      <c r="T125" s="10" t="n">
        <v>11636034.1027217</v>
      </c>
      <c r="U125" s="10"/>
      <c r="V125" s="10"/>
      <c r="W125" s="10"/>
      <c r="X125" s="10"/>
      <c r="Y125" s="10"/>
      <c r="Z125" s="10" t="n">
        <v>-104758.581692386</v>
      </c>
      <c r="AA125" s="10" t="n">
        <v>0</v>
      </c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</row>
    <row r="126">
      <c r="A126" t="str">
        <f>O126</f>
      </c>
      <c r="B126" t="str">
        <f>P126</f>
      </c>
      <c r="C126" s="10" t="str">
        <f>AF126</f>
      </c>
      <c r="D126" s="10" t="str">
        <f>AL126</f>
      </c>
      <c r="E126" s="10" t="str">
        <f>AM126</f>
      </c>
      <c r="F126" s="10" t="str">
        <f>AN126</f>
      </c>
      <c r="G126" s="6" t="str">
        <f>AM126/AL126-1</f>
      </c>
      <c r="H126" s="6" t="str">
        <f>AM126/AF126-1</f>
      </c>
      <c r="I126" s="6" t="str">
        <f>AN126/AM126</f>
      </c>
      <c r="J126" s="6" t="str">
        <f>AM126/Sum(AM$1:AM$170)</f>
      </c>
      <c r="K126" s="6" t="str">
        <f>AN126/Sum(AN1:AN$170)</f>
      </c>
      <c r="O126" t="s">
        <v>213</v>
      </c>
      <c r="P126" t="n">
        <v>2012</v>
      </c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 t="n">
        <v>0</v>
      </c>
      <c r="AC126" s="10"/>
      <c r="AD126" s="10"/>
      <c r="AE126" s="10"/>
      <c r="AF126" s="10" t="n">
        <v>0</v>
      </c>
      <c r="AG126" s="10"/>
      <c r="AH126" s="10"/>
      <c r="AI126" s="10"/>
      <c r="AJ126" s="10"/>
      <c r="AK126" s="10"/>
      <c r="AL126" s="10"/>
      <c r="AM126" s="10"/>
      <c r="AN126" s="10"/>
      <c r="AO126" s="10"/>
    </row>
    <row r="127">
      <c r="A127" t="str">
        <f>O127</f>
      </c>
      <c r="B127" t="str">
        <f>P127</f>
      </c>
      <c r="C127" s="10" t="str">
        <f>AF127</f>
      </c>
      <c r="D127" s="10" t="str">
        <f>AL127</f>
      </c>
      <c r="E127" s="10" t="str">
        <f>AM127</f>
      </c>
      <c r="F127" s="10" t="str">
        <f>AN127</f>
      </c>
      <c r="G127" s="6" t="str">
        <f>AM127/AL127-1</f>
      </c>
      <c r="H127" s="6" t="str">
        <f>AM127/AF127-1</f>
      </c>
      <c r="I127" s="6" t="str">
        <f>AN127/AM127</f>
      </c>
      <c r="J127" s="6" t="str">
        <f>AM127/Sum(AM$1:AM$170)</f>
      </c>
      <c r="K127" s="6" t="str">
        <f>AN127/Sum(AN1:AN$170)</f>
      </c>
      <c r="O127" t="s">
        <v>214</v>
      </c>
      <c r="P127" t="n">
        <v>2107</v>
      </c>
      <c r="Q127" s="10"/>
      <c r="R127" s="10"/>
      <c r="S127" s="10"/>
      <c r="T127" s="10" t="n">
        <v>1689199.17650801</v>
      </c>
      <c r="U127" s="10" t="n">
        <v>2024459.36634124</v>
      </c>
      <c r="V127" s="10" t="n">
        <v>1713159.05398017</v>
      </c>
      <c r="W127" s="10"/>
      <c r="X127" s="10"/>
      <c r="Y127" s="10"/>
      <c r="Z127" s="10"/>
      <c r="AA127" s="10"/>
      <c r="AB127" s="10"/>
      <c r="AC127" s="10"/>
      <c r="AD127" s="10" t="n">
        <v>-363566.192116678</v>
      </c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</row>
    <row r="128">
      <c r="A128" t="str">
        <f>O128</f>
      </c>
      <c r="B128" t="str">
        <f>P128</f>
      </c>
      <c r="C128" s="10" t="str">
        <f>AF128</f>
      </c>
      <c r="D128" s="10" t="str">
        <f>AL128</f>
      </c>
      <c r="E128" s="10" t="str">
        <f>AM128</f>
      </c>
      <c r="F128" s="10" t="str">
        <f>AN128</f>
      </c>
      <c r="G128" s="6" t="str">
        <f>AM128/AL128-1</f>
      </c>
      <c r="H128" s="6" t="str">
        <f>AM128/AF128-1</f>
      </c>
      <c r="I128" s="6" t="str">
        <f>AN128/AM128</f>
      </c>
      <c r="J128" s="6" t="str">
        <f>AM128/Sum(AM$1:AM$170)</f>
      </c>
      <c r="K128" s="6" t="str">
        <f>AN128/Sum(AN1:AN$170)</f>
      </c>
      <c r="O128" t="s">
        <v>215</v>
      </c>
      <c r="P128" t="n">
        <v>2108</v>
      </c>
      <c r="Q128" s="10"/>
      <c r="R128" s="10"/>
      <c r="S128" s="10" t="n">
        <v>231702.503390408</v>
      </c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 t="n">
        <v>0</v>
      </c>
      <c r="AG128" s="10"/>
      <c r="AH128" s="10"/>
      <c r="AI128" s="10"/>
      <c r="AJ128" s="10"/>
      <c r="AK128" s="10"/>
      <c r="AL128" s="10"/>
      <c r="AM128" s="10"/>
      <c r="AN128" s="10"/>
      <c r="AO128" s="10"/>
    </row>
    <row r="129">
      <c r="A129" t="str">
        <f>O129</f>
      </c>
      <c r="B129" t="str">
        <f>P129</f>
      </c>
      <c r="C129" s="10" t="str">
        <f>AF129</f>
      </c>
      <c r="D129" s="10" t="str">
        <f>AL129</f>
      </c>
      <c r="E129" s="10" t="str">
        <f>AM129</f>
      </c>
      <c r="F129" s="10" t="str">
        <f>AN129</f>
      </c>
      <c r="G129" s="6" t="str">
        <f>AM129/AL129-1</f>
      </c>
      <c r="H129" s="6" t="str">
        <f>AM129/AF129-1</f>
      </c>
      <c r="I129" s="6" t="str">
        <f>AN129/AM129</f>
      </c>
      <c r="J129" s="6" t="str">
        <f>AM129/Sum(AM$1:AM$170)</f>
      </c>
      <c r="K129" s="6" t="str">
        <f>AN129/Sum(AN1:AN$170)</f>
      </c>
      <c r="O129" t="s">
        <v>216</v>
      </c>
      <c r="P129" t="n">
        <v>1282</v>
      </c>
      <c r="Q129" s="10" t="n">
        <v>3692440.80857788</v>
      </c>
      <c r="R129" s="10" t="n">
        <v>3671331.95645239</v>
      </c>
      <c r="S129" s="10" t="n">
        <v>5707264.38300938</v>
      </c>
      <c r="T129" s="10" t="n">
        <v>17300986.9266983</v>
      </c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</row>
    <row r="130">
      <c r="A130" t="str">
        <f>O130</f>
      </c>
      <c r="B130" t="str">
        <f>P130</f>
      </c>
      <c r="C130" s="10" t="str">
        <f>AF130</f>
      </c>
      <c r="D130" s="10" t="str">
        <f>AL130</f>
      </c>
      <c r="E130" s="10" t="str">
        <f>AM130</f>
      </c>
      <c r="F130" s="10" t="str">
        <f>AN130</f>
      </c>
      <c r="G130" s="6" t="str">
        <f>AM130/AL130-1</f>
      </c>
      <c r="H130" s="6" t="str">
        <f>AM130/AF130-1</f>
      </c>
      <c r="I130" s="6" t="str">
        <f>AN130/AM130</f>
      </c>
      <c r="J130" s="6" t="str">
        <f>AM130/Sum(AM$1:AM$170)</f>
      </c>
      <c r="K130" s="6" t="str">
        <f>AN130/Sum(AN1:AN$170)</f>
      </c>
      <c r="O130" t="s">
        <v>217</v>
      </c>
      <c r="P130" t="n">
        <v>1281</v>
      </c>
      <c r="Q130" s="10"/>
      <c r="R130" s="10" t="n">
        <v>18730.9635579939</v>
      </c>
      <c r="S130" s="10" t="n">
        <v>11407832.3773149</v>
      </c>
      <c r="T130" s="10" t="n">
        <v>-29135.7889780871</v>
      </c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</row>
    <row r="131">
      <c r="A131" t="str">
        <f>O131</f>
      </c>
      <c r="B131" t="str">
        <f>P131</f>
      </c>
      <c r="C131" s="10" t="str">
        <f>AF131</f>
      </c>
      <c r="D131" s="10" t="str">
        <f>AL131</f>
      </c>
      <c r="E131" s="10" t="str">
        <f>AM131</f>
      </c>
      <c r="F131" s="10" t="str">
        <f>AN131</f>
      </c>
      <c r="G131" s="6" t="str">
        <f>AM131/AL131-1</f>
      </c>
      <c r="H131" s="6" t="str">
        <f>AM131/AF131-1</f>
      </c>
      <c r="I131" s="6" t="str">
        <f>AN131/AM131</f>
      </c>
      <c r="J131" s="6" t="str">
        <f>AM131/Sum(AM$1:AM$170)</f>
      </c>
      <c r="K131" s="6" t="str">
        <f>AN131/Sum(AN1:AN$170)</f>
      </c>
      <c r="O131" t="s">
        <v>218</v>
      </c>
      <c r="P131" t="n">
        <v>58</v>
      </c>
      <c r="Q131" s="10"/>
      <c r="R131" s="10"/>
      <c r="S131" s="10"/>
      <c r="T131" s="10"/>
      <c r="U131" s="10"/>
      <c r="V131" s="10"/>
      <c r="W131" s="10"/>
      <c r="X131" s="10"/>
      <c r="Y131" s="10" t="n">
        <v>1034857.46797512</v>
      </c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</row>
    <row r="132">
      <c r="A132" t="str">
        <f>O132</f>
      </c>
      <c r="B132" t="str">
        <f>P132</f>
      </c>
      <c r="C132" s="10" t="str">
        <f>AF132</f>
      </c>
      <c r="D132" s="10" t="str">
        <f>AL132</f>
      </c>
      <c r="E132" s="10" t="str">
        <f>AM132</f>
      </c>
      <c r="F132" s="10" t="str">
        <f>AN132</f>
      </c>
      <c r="G132" s="6" t="str">
        <f>AM132/AL132-1</f>
      </c>
      <c r="H132" s="6" t="str">
        <f>AM132/AF132-1</f>
      </c>
      <c r="I132" s="6" t="str">
        <f>AN132/AM132</f>
      </c>
      <c r="J132" s="6" t="str">
        <f>AM132/Sum(AM$1:AM$170)</f>
      </c>
      <c r="K132" s="6" t="str">
        <f>AN132/Sum(AN1:AN$170)</f>
      </c>
      <c r="O132" t="s">
        <v>219</v>
      </c>
      <c r="P132" t="n">
        <v>2013</v>
      </c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 t="n">
        <v>0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</row>
    <row r="133">
      <c r="A133" t="str">
        <f>O133</f>
      </c>
      <c r="B133" t="str">
        <f>P133</f>
      </c>
      <c r="C133" s="10" t="str">
        <f>AF133</f>
      </c>
      <c r="D133" s="10" t="str">
        <f>AL133</f>
      </c>
      <c r="E133" s="10" t="str">
        <f>AM133</f>
      </c>
      <c r="F133" s="10" t="str">
        <f>AN133</f>
      </c>
      <c r="G133" s="6" t="str">
        <f>AM133/AL133-1</f>
      </c>
      <c r="H133" s="6" t="str">
        <f>AM133/AF133-1</f>
      </c>
      <c r="I133" s="6" t="str">
        <f>AN133/AM133</f>
      </c>
      <c r="J133" s="6" t="str">
        <f>AM133/Sum(AM$1:AM$170)</f>
      </c>
      <c r="K133" s="6" t="str">
        <f>AN133/Sum(AN1:AN$170)</f>
      </c>
      <c r="O133" t="s">
        <v>220</v>
      </c>
      <c r="P133" t="n">
        <v>2109</v>
      </c>
      <c r="Q133" s="10"/>
      <c r="R133" s="10"/>
      <c r="S133" s="10" t="n">
        <v>838601.553825873</v>
      </c>
      <c r="T133" s="10" t="n">
        <v>4711194.60038492</v>
      </c>
      <c r="U133" s="10" t="n">
        <v>5069180.80422801</v>
      </c>
      <c r="V133" s="10" t="n">
        <v>8603515.08006264</v>
      </c>
      <c r="W133" s="10" t="n">
        <v>3574990.09508889</v>
      </c>
      <c r="X133" s="10" t="n">
        <v>0</v>
      </c>
      <c r="Y133" s="10"/>
      <c r="Z133" s="10"/>
      <c r="AA133" s="10" t="n">
        <v>-24.5685165081141</v>
      </c>
      <c r="AB133" s="10"/>
      <c r="AC133" s="10"/>
      <c r="AD133" s="10" t="n">
        <v>-6512.07612987526</v>
      </c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</row>
    <row r="134">
      <c r="A134" t="str">
        <f>O134</f>
      </c>
      <c r="B134" t="str">
        <f>P134</f>
      </c>
      <c r="C134" s="10" t="str">
        <f>AF134</f>
      </c>
      <c r="D134" s="10" t="str">
        <f>AL134</f>
      </c>
      <c r="E134" s="10" t="str">
        <f>AM134</f>
      </c>
      <c r="F134" s="10" t="str">
        <f>AN134</f>
      </c>
      <c r="G134" s="6" t="str">
        <f>AM134/AL134-1</f>
      </c>
      <c r="H134" s="6" t="str">
        <f>AM134/AF134-1</f>
      </c>
      <c r="I134" s="6" t="str">
        <f>AN134/AM134</f>
      </c>
      <c r="J134" s="6" t="str">
        <f>AM134/Sum(AM$1:AM$170)</f>
      </c>
      <c r="K134" s="6" t="str">
        <f>AN134/Sum(AN1:AN$170)</f>
      </c>
      <c r="O134" t="s">
        <v>221</v>
      </c>
      <c r="P134" t="n">
        <v>2110</v>
      </c>
      <c r="Q134" s="10"/>
      <c r="R134" s="10"/>
      <c r="S134" s="10" t="n">
        <v>5748610.54554468</v>
      </c>
      <c r="T134" s="10" t="n">
        <v>10423998.9957783</v>
      </c>
      <c r="U134" s="10" t="n">
        <v>14238043.5481886</v>
      </c>
      <c r="V134" s="10" t="n">
        <v>290333.397949874</v>
      </c>
      <c r="W134" s="10" t="n">
        <v>12502514.1084907</v>
      </c>
      <c r="X134" s="10" t="n">
        <v>-4728838.8801121</v>
      </c>
      <c r="Y134" s="10" t="n">
        <v>7627609.55649724</v>
      </c>
      <c r="Z134" s="10" t="n">
        <v>-725783.297103749</v>
      </c>
      <c r="AA134" s="10" t="n">
        <v>0</v>
      </c>
      <c r="AB134" s="10" t="n">
        <v>-166709.775891138</v>
      </c>
      <c r="AC134" s="10" t="n">
        <v>0</v>
      </c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</row>
    <row r="135">
      <c r="A135" t="str">
        <f>O135</f>
      </c>
      <c r="B135" t="str">
        <f>P135</f>
      </c>
      <c r="C135" s="10" t="str">
        <f>AF135</f>
      </c>
      <c r="D135" s="10" t="str">
        <f>AL135</f>
      </c>
      <c r="E135" s="10" t="str">
        <f>AM135</f>
      </c>
      <c r="F135" s="10" t="str">
        <f>AN135</f>
      </c>
      <c r="G135" s="6" t="str">
        <f>AM135/AL135-1</f>
      </c>
      <c r="H135" s="6" t="str">
        <f>AM135/AF135-1</f>
      </c>
      <c r="I135" s="6" t="str">
        <f>AN135/AM135</f>
      </c>
      <c r="J135" s="6" t="str">
        <f>AM135/Sum(AM$1:AM$170)</f>
      </c>
      <c r="K135" s="6" t="str">
        <f>AN135/Sum(AN1:AN$170)</f>
      </c>
      <c r="O135" t="s">
        <v>222</v>
      </c>
      <c r="P135" t="n">
        <v>1961</v>
      </c>
      <c r="Q135" s="10"/>
      <c r="R135" s="10"/>
      <c r="S135" s="10"/>
      <c r="T135" s="10"/>
      <c r="U135" s="10"/>
      <c r="V135" s="10"/>
      <c r="W135" s="10"/>
      <c r="X135" s="10"/>
      <c r="Y135" s="10"/>
      <c r="Z135" s="10" t="n">
        <v>43676.3192137089</v>
      </c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</row>
    <row r="136">
      <c r="A136" t="str">
        <f>O136</f>
      </c>
      <c r="B136" t="str">
        <f>P136</f>
      </c>
      <c r="C136" s="10" t="str">
        <f>AF136</f>
      </c>
      <c r="D136" s="10" t="str">
        <f>AL136</f>
      </c>
      <c r="E136" s="10" t="str">
        <f>AM136</f>
      </c>
      <c r="F136" s="10" t="str">
        <f>AN136</f>
      </c>
      <c r="G136" s="6" t="str">
        <f>AM136/AL136-1</f>
      </c>
      <c r="H136" s="6" t="str">
        <f>AM136/AF136-1</f>
      </c>
      <c r="I136" s="6" t="str">
        <f>AN136/AM136</f>
      </c>
      <c r="J136" s="6" t="str">
        <f>AM136/Sum(AM$1:AM$170)</f>
      </c>
      <c r="K136" s="6" t="str">
        <f>AN136/Sum(AN1:AN$170)</f>
      </c>
      <c r="O136" t="s">
        <v>223</v>
      </c>
      <c r="P136" t="n">
        <v>2144</v>
      </c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 t="n">
        <v>538229.055235786</v>
      </c>
      <c r="AH136" s="10" t="n">
        <v>4041.44724099478</v>
      </c>
      <c r="AI136" s="10"/>
      <c r="AJ136" s="10"/>
      <c r="AK136" s="10"/>
      <c r="AL136" s="10"/>
      <c r="AM136" s="10" t="n">
        <v>1360963</v>
      </c>
      <c r="AN136" s="10" t="n">
        <v>1273915.05293654</v>
      </c>
      <c r="AO136" s="10"/>
    </row>
    <row r="137">
      <c r="A137" t="str">
        <f>O137</f>
      </c>
      <c r="B137" t="str">
        <f>P137</f>
      </c>
      <c r="C137" s="10" t="str">
        <f>AF137</f>
      </c>
      <c r="D137" s="10" t="str">
        <f>AL137</f>
      </c>
      <c r="E137" s="10" t="str">
        <f>AM137</f>
      </c>
      <c r="F137" s="10" t="str">
        <f>AN137</f>
      </c>
      <c r="G137" s="6" t="str">
        <f>AM137/AL137-1</f>
      </c>
      <c r="H137" s="6" t="str">
        <f>AM137/AF137-1</f>
      </c>
      <c r="I137" s="6" t="str">
        <f>AN137/AM137</f>
      </c>
      <c r="J137" s="6" t="str">
        <f>AM137/Sum(AM$1:AM$170)</f>
      </c>
      <c r="K137" s="6" t="str">
        <f>AN137/Sum(AN1:AN$170)</f>
      </c>
      <c r="O137" t="s">
        <v>224</v>
      </c>
      <c r="P137" t="n">
        <v>652</v>
      </c>
      <c r="Q137" s="10"/>
      <c r="R137" s="10"/>
      <c r="S137" s="10"/>
      <c r="T137" s="10"/>
      <c r="U137" s="10"/>
      <c r="V137" s="10"/>
      <c r="W137" s="10" t="n">
        <v>2088454.04566902</v>
      </c>
      <c r="X137" s="10" t="n">
        <v>10542248.8645262</v>
      </c>
      <c r="Y137" s="10" t="n">
        <v>2163475.28707598</v>
      </c>
      <c r="Z137" s="10" t="n">
        <v>1485216.53678029</v>
      </c>
      <c r="AA137" s="10" t="n">
        <v>2359627.97925821</v>
      </c>
      <c r="AB137" s="10" t="n">
        <v>1089326.36876827</v>
      </c>
      <c r="AC137" s="10"/>
      <c r="AD137" s="10"/>
      <c r="AE137" s="10"/>
      <c r="AF137" s="10" t="n">
        <v>-350.40661224546</v>
      </c>
      <c r="AG137" s="10"/>
      <c r="AH137" s="10"/>
      <c r="AI137" s="10"/>
      <c r="AJ137" s="10" t="n">
        <v>-3821.35503446362</v>
      </c>
      <c r="AK137" s="10"/>
      <c r="AL137" s="10"/>
      <c r="AM137" s="10"/>
      <c r="AN137" s="10"/>
      <c r="AO137" s="10"/>
    </row>
    <row r="138">
      <c r="A138" t="str">
        <f>O138</f>
      </c>
      <c r="B138" t="str">
        <f>P138</f>
      </c>
      <c r="C138" s="10" t="str">
        <f>AF138</f>
      </c>
      <c r="D138" s="10" t="str">
        <f>AL138</f>
      </c>
      <c r="E138" s="10" t="str">
        <f>AM138</f>
      </c>
      <c r="F138" s="10" t="str">
        <f>AN138</f>
      </c>
      <c r="G138" s="6" t="str">
        <f>AM138/AL138-1</f>
      </c>
      <c r="H138" s="6" t="str">
        <f>AM138/AF138-1</f>
      </c>
      <c r="I138" s="6" t="str">
        <f>AN138/AM138</f>
      </c>
      <c r="J138" s="6" t="str">
        <f>AM138/Sum(AM$1:AM$170)</f>
      </c>
      <c r="K138" s="6" t="str">
        <f>AN138/Sum(AN1:AN$170)</f>
      </c>
      <c r="O138" t="s">
        <v>225</v>
      </c>
      <c r="P138" t="n">
        <v>1336</v>
      </c>
      <c r="Q138" s="10"/>
      <c r="R138" s="10"/>
      <c r="S138" s="10"/>
      <c r="T138" s="10"/>
      <c r="U138" s="10" t="n">
        <v>24881905.6692672</v>
      </c>
      <c r="V138" s="10" t="n">
        <v>20179670.1222433</v>
      </c>
      <c r="W138" s="10" t="n">
        <v>14590799.6789183</v>
      </c>
      <c r="X138" s="10" t="n">
        <v>9091770.41380821</v>
      </c>
      <c r="Y138" s="10" t="n">
        <v>22148203.6777343</v>
      </c>
      <c r="Z138" s="10" t="n">
        <v>64406121.5699981</v>
      </c>
      <c r="AA138" s="10" t="n">
        <v>6977512.45646354</v>
      </c>
      <c r="AB138" s="10" t="n">
        <v>171882358.297034</v>
      </c>
      <c r="AC138" s="10" t="n">
        <v>-178794578.784526</v>
      </c>
      <c r="AD138" s="10" t="n">
        <v>120691.260006249</v>
      </c>
      <c r="AE138" s="10" t="n">
        <v>-1236542.82357019</v>
      </c>
      <c r="AF138" s="10" t="n">
        <v>-433284.840787681</v>
      </c>
      <c r="AG138" s="10" t="n">
        <v>0</v>
      </c>
      <c r="AH138" s="10"/>
      <c r="AI138" s="10" t="n">
        <v>383960.889695633</v>
      </c>
      <c r="AJ138" s="10" t="n">
        <v>-319384.103742084</v>
      </c>
      <c r="AK138" s="10"/>
      <c r="AL138" s="10"/>
      <c r="AM138" s="10"/>
      <c r="AN138" s="10"/>
      <c r="AO138" s="10"/>
    </row>
    <row r="139">
      <c r="A139" t="str">
        <f>O139</f>
      </c>
      <c r="B139" t="str">
        <f>P139</f>
      </c>
      <c r="C139" s="10" t="str">
        <f>AF139</f>
      </c>
      <c r="D139" s="10" t="str">
        <f>AL139</f>
      </c>
      <c r="E139" s="10" t="str">
        <f>AM139</f>
      </c>
      <c r="F139" s="10" t="str">
        <f>AN139</f>
      </c>
      <c r="G139" s="6" t="str">
        <f>AM139/AL139-1</f>
      </c>
      <c r="H139" s="6" t="str">
        <f>AM139/AF139-1</f>
      </c>
      <c r="I139" s="6" t="str">
        <f>AN139/AM139</f>
      </c>
      <c r="J139" s="6" t="str">
        <f>AM139/Sum(AM$1:AM$170)</f>
      </c>
      <c r="K139" s="6" t="str">
        <f>AN139/Sum(AN1:AN$170)</f>
      </c>
      <c r="O139" t="s">
        <v>226</v>
      </c>
      <c r="P139" t="n">
        <v>665</v>
      </c>
      <c r="Q139" s="10"/>
      <c r="R139" s="10"/>
      <c r="S139" s="10"/>
      <c r="T139" s="10" t="n">
        <v>1181325.19296456</v>
      </c>
      <c r="U139" s="10" t="n">
        <v>6430529.32323781</v>
      </c>
      <c r="V139" s="10" t="n">
        <v>15871184.7001393</v>
      </c>
      <c r="W139" s="10" t="n">
        <v>22128823.0903358</v>
      </c>
      <c r="X139" s="10" t="n">
        <v>54590239.3725449</v>
      </c>
      <c r="Y139" s="10" t="n">
        <v>42695747.822721</v>
      </c>
      <c r="Z139" s="10" t="n">
        <v>29026750.8497698</v>
      </c>
      <c r="AA139" s="10" t="n">
        <v>49628008.6025444</v>
      </c>
      <c r="AB139" s="10" t="n">
        <v>9954947.21397194</v>
      </c>
      <c r="AC139" s="10" t="n">
        <v>4131436.20019241</v>
      </c>
      <c r="AD139" s="10" t="n">
        <v>2800185.14269897</v>
      </c>
      <c r="AE139" s="10" t="n">
        <v>1833549.34129693</v>
      </c>
      <c r="AF139" s="10" t="n">
        <v>-2858386.70483187</v>
      </c>
      <c r="AG139" s="10" t="n">
        <v>-291849.174797578</v>
      </c>
      <c r="AH139" s="10" t="n">
        <v>-1384.59888978569</v>
      </c>
      <c r="AI139" s="10" t="n">
        <v>-5659.09653453623</v>
      </c>
      <c r="AJ139" s="10" t="n">
        <v>-85627.5299152488</v>
      </c>
      <c r="AK139" s="10" t="n">
        <v>0</v>
      </c>
      <c r="AL139" s="10" t="n">
        <v>-127430.821754702</v>
      </c>
      <c r="AM139" s="10" t="n">
        <v>-5355</v>
      </c>
      <c r="AN139" s="10"/>
      <c r="AO139" s="10"/>
    </row>
    <row r="140">
      <c r="A140" t="str">
        <f>O140</f>
      </c>
      <c r="B140" t="str">
        <f>P140</f>
      </c>
      <c r="C140" s="10" t="str">
        <f>AF140</f>
      </c>
      <c r="D140" s="10" t="str">
        <f>AL140</f>
      </c>
      <c r="E140" s="10" t="str">
        <f>AM140</f>
      </c>
      <c r="F140" s="10" t="str">
        <f>AN140</f>
      </c>
      <c r="G140" s="6" t="str">
        <f>AM140/AL140-1</f>
      </c>
      <c r="H140" s="6" t="str">
        <f>AM140/AF140-1</f>
      </c>
      <c r="I140" s="6" t="str">
        <f>AN140/AM140</f>
      </c>
      <c r="J140" s="6" t="str">
        <f>AM140/Sum(AM$1:AM$170)</f>
      </c>
      <c r="K140" s="6" t="str">
        <f>AN140/Sum(AN1:AN$170)</f>
      </c>
      <c r="O140" t="s">
        <v>227</v>
      </c>
      <c r="P140" t="n">
        <v>1377</v>
      </c>
      <c r="Q140" s="10"/>
      <c r="R140" s="10"/>
      <c r="S140" s="10"/>
      <c r="T140" s="10"/>
      <c r="U140" s="10"/>
      <c r="V140" s="10"/>
      <c r="W140" s="10"/>
      <c r="X140" s="10"/>
      <c r="Y140" s="10" t="n">
        <v>19191.4280644751</v>
      </c>
      <c r="Z140" s="10" t="n">
        <v>3034.53968533121</v>
      </c>
      <c r="AA140" s="10" t="n">
        <v>-780.070022548364</v>
      </c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</row>
    <row r="141">
      <c r="A141" t="str">
        <f>O141</f>
      </c>
      <c r="B141" t="str">
        <f>P141</f>
      </c>
      <c r="C141" s="10" t="str">
        <f>AF141</f>
      </c>
      <c r="D141" s="10" t="str">
        <f>AL141</f>
      </c>
      <c r="E141" s="10" t="str">
        <f>AM141</f>
      </c>
      <c r="F141" s="10" t="str">
        <f>AN141</f>
      </c>
      <c r="G141" s="6" t="str">
        <f>AM141/AL141-1</f>
      </c>
      <c r="H141" s="6" t="str">
        <f>AM141/AF141-1</f>
      </c>
      <c r="I141" s="6" t="str">
        <f>AN141/AM141</f>
      </c>
      <c r="J141" s="6" t="str">
        <f>AM141/Sum(AM$1:AM$170)</f>
      </c>
      <c r="K141" s="6" t="str">
        <f>AN141/Sum(AN1:AN$170)</f>
      </c>
      <c r="O141" t="s">
        <v>228</v>
      </c>
      <c r="P141" t="n">
        <v>45</v>
      </c>
      <c r="Q141" s="10"/>
      <c r="R141" s="10"/>
      <c r="S141" s="10"/>
      <c r="T141" s="10"/>
      <c r="U141" s="10" t="n">
        <v>528055.161683425</v>
      </c>
      <c r="V141" s="10" t="n">
        <v>14096780.0389063</v>
      </c>
      <c r="W141" s="10" t="n">
        <v>17197914.094754</v>
      </c>
      <c r="X141" s="10" t="n">
        <v>23890887.3786047</v>
      </c>
      <c r="Y141" s="10" t="n">
        <v>56080673.6410132</v>
      </c>
      <c r="Z141" s="10" t="n">
        <v>217208507.379104</v>
      </c>
      <c r="AA141" s="10" t="n">
        <v>183734160.935586</v>
      </c>
      <c r="AB141" s="10" t="n">
        <v>109854870.76369</v>
      </c>
      <c r="AC141" s="10" t="n">
        <v>41482533.1619402</v>
      </c>
      <c r="AD141" s="10" t="n">
        <v>22724453.3412773</v>
      </c>
      <c r="AE141" s="10" t="n">
        <v>5933706.77199494</v>
      </c>
      <c r="AF141" s="10" t="n">
        <v>1903882.21139903</v>
      </c>
      <c r="AG141" s="10" t="n">
        <v>3056299.01206071</v>
      </c>
      <c r="AH141" s="10" t="n">
        <v>-1216924.61953613</v>
      </c>
      <c r="AI141" s="10" t="n">
        <v>-3523.93888248035</v>
      </c>
      <c r="AJ141" s="10" t="n">
        <v>-810567.347521368</v>
      </c>
      <c r="AK141" s="10" t="n">
        <v>-95076.3763903094</v>
      </c>
      <c r="AL141" s="10" t="n">
        <v>-108083.590094948</v>
      </c>
      <c r="AM141" s="10" t="n">
        <v>-88241</v>
      </c>
      <c r="AN141" s="10" t="n">
        <v>0</v>
      </c>
      <c r="AO141" s="10"/>
    </row>
    <row r="142">
      <c r="A142" t="str">
        <f>O142</f>
      </c>
      <c r="B142" t="str">
        <f>P142</f>
      </c>
      <c r="C142" s="10" t="str">
        <f>AF142</f>
      </c>
      <c r="D142" s="10" t="str">
        <f>AL142</f>
      </c>
      <c r="E142" s="10" t="str">
        <f>AM142</f>
      </c>
      <c r="F142" s="10" t="str">
        <f>AN142</f>
      </c>
      <c r="G142" s="6" t="str">
        <f>AM142/AL142-1</f>
      </c>
      <c r="H142" s="6" t="str">
        <f>AM142/AF142-1</f>
      </c>
      <c r="I142" s="6" t="str">
        <f>AN142/AM142</f>
      </c>
      <c r="J142" s="6" t="str">
        <f>AM142/Sum(AM$1:AM$170)</f>
      </c>
      <c r="K142" s="6" t="str">
        <f>AN142/Sum(AN1:AN$170)</f>
      </c>
      <c r="O142" t="s">
        <v>79</v>
      </c>
      <c r="P142" t="n">
        <v>1813</v>
      </c>
      <c r="Q142" s="10"/>
      <c r="R142" s="10"/>
      <c r="S142" s="10"/>
      <c r="T142" s="10"/>
      <c r="U142" s="10" t="n">
        <v>32611019.3212409</v>
      </c>
      <c r="V142" s="10" t="n">
        <v>76237275.6400521</v>
      </c>
      <c r="W142" s="10" t="n">
        <v>369821689.404707</v>
      </c>
      <c r="X142" s="10" t="n">
        <v>161703254.825917</v>
      </c>
      <c r="Y142" s="10" t="n">
        <v>704259601.271708</v>
      </c>
      <c r="Z142" s="10" t="n">
        <v>4045552715.14773</v>
      </c>
      <c r="AA142" s="10" t="n">
        <v>3565016296.78863</v>
      </c>
      <c r="AB142" s="10" t="n">
        <v>4740552873.32577</v>
      </c>
      <c r="AC142" s="10" t="n">
        <v>3992282365.64356</v>
      </c>
      <c r="AD142" s="10" t="n">
        <v>4106331809.75264</v>
      </c>
      <c r="AE142" s="10" t="n">
        <v>7376949167.19082</v>
      </c>
      <c r="AF142" s="10" t="n">
        <v>5082279819.76247</v>
      </c>
      <c r="AG142" s="10" t="n">
        <v>4982702085.06772</v>
      </c>
      <c r="AH142" s="10" t="n">
        <v>4280174511.74438</v>
      </c>
      <c r="AI142" s="10" t="n">
        <v>4675100638.83428</v>
      </c>
      <c r="AJ142" s="10" t="n">
        <v>3075593171.33028</v>
      </c>
      <c r="AK142" s="10" t="n">
        <v>10641049821.887</v>
      </c>
      <c r="AL142" s="10" t="n">
        <v>6168198594.08934</v>
      </c>
      <c r="AM142" s="10" t="n">
        <v>5033945702.0625</v>
      </c>
      <c r="AN142" s="10" t="n">
        <v>3806068434.76962</v>
      </c>
      <c r="AO142" s="10"/>
    </row>
    <row r="143">
      <c r="A143" t="str">
        <f>O143</f>
      </c>
      <c r="B143" t="str">
        <f>P143</f>
      </c>
      <c r="C143" s="10" t="str">
        <f>AF143</f>
      </c>
      <c r="D143" s="10" t="str">
        <f>AL143</f>
      </c>
      <c r="E143" s="10" t="str">
        <f>AM143</f>
      </c>
      <c r="F143" s="10" t="str">
        <f>AN143</f>
      </c>
      <c r="G143" s="6" t="str">
        <f>AM143/AL143-1</f>
      </c>
      <c r="H143" s="6" t="str">
        <f>AM143/AF143-1</f>
      </c>
      <c r="I143" s="6" t="str">
        <f>AN143/AM143</f>
      </c>
      <c r="J143" s="6" t="str">
        <f>AM143/Sum(AM$1:AM$170)</f>
      </c>
      <c r="K143" s="6" t="str">
        <f>AN143/Sum(AN1:AN$170)</f>
      </c>
      <c r="O143" t="s">
        <v>229</v>
      </c>
      <c r="P143" t="n">
        <v>1204</v>
      </c>
      <c r="Q143" s="10" t="n">
        <v>43438139.7634607</v>
      </c>
      <c r="R143" s="10" t="n">
        <v>2646807.87846601</v>
      </c>
      <c r="S143" s="10" t="n">
        <v>26943741.4690054</v>
      </c>
      <c r="T143" s="10" t="n">
        <v>7516667.8351459</v>
      </c>
      <c r="U143" s="10" t="n">
        <v>-55468.1041666899</v>
      </c>
      <c r="V143" s="10" t="n">
        <v>-4.33096411839104</v>
      </c>
      <c r="W143" s="10" t="n">
        <v>-879239.428659211</v>
      </c>
      <c r="X143" s="10"/>
      <c r="Y143" s="10" t="n">
        <v>0</v>
      </c>
      <c r="Z143" s="10" t="n">
        <v>0</v>
      </c>
      <c r="AA143" s="10" t="n">
        <v>0</v>
      </c>
      <c r="AB143" s="10" t="n">
        <v>0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</row>
    <row r="144">
      <c r="A144" t="str">
        <f>O144</f>
      </c>
      <c r="B144" t="str">
        <f>P144</f>
      </c>
      <c r="C144" s="10" t="str">
        <f>AF144</f>
      </c>
      <c r="D144" s="10" t="str">
        <f>AL144</f>
      </c>
      <c r="E144" s="10" t="str">
        <f>AM144</f>
      </c>
      <c r="F144" s="10" t="str">
        <f>AN144</f>
      </c>
      <c r="G144" s="6" t="str">
        <f>AM144/AL144-1</f>
      </c>
      <c r="H144" s="6" t="str">
        <f>AM144/AF144-1</f>
      </c>
      <c r="I144" s="6" t="str">
        <f>AN144/AM144</f>
      </c>
      <c r="J144" s="6" t="str">
        <f>AM144/Sum(AM$1:AM$170)</f>
      </c>
      <c r="K144" s="6" t="str">
        <f>AN144/Sum(AN1:AN$170)</f>
      </c>
      <c r="O144" t="s">
        <v>230</v>
      </c>
      <c r="P144" t="n">
        <v>2202</v>
      </c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 t="n">
        <v>71177.9460730758</v>
      </c>
      <c r="AK144" s="10" t="n">
        <v>-94.4972354386154</v>
      </c>
      <c r="AL144" s="10"/>
      <c r="AM144" s="10"/>
      <c r="AN144" s="10"/>
      <c r="AO144" s="10"/>
    </row>
    <row r="145">
      <c r="A145" t="str">
        <f>O145</f>
      </c>
      <c r="B145" t="str">
        <f>P145</f>
      </c>
      <c r="C145" s="10" t="str">
        <f>AF145</f>
      </c>
      <c r="D145" s="10" t="str">
        <f>AL145</f>
      </c>
      <c r="E145" s="10" t="str">
        <f>AM145</f>
      </c>
      <c r="F145" s="10" t="str">
        <f>AN145</f>
      </c>
      <c r="G145" s="6" t="str">
        <f>AM145/AL145-1</f>
      </c>
      <c r="H145" s="6" t="str">
        <f>AM145/AF145-1</f>
      </c>
      <c r="I145" s="6" t="str">
        <f>AN145/AM145</f>
      </c>
      <c r="J145" s="6" t="str">
        <f>AM145/Sum(AM$1:AM$170)</f>
      </c>
      <c r="K145" s="6" t="str">
        <f>AN145/Sum(AN1:AN$170)</f>
      </c>
      <c r="O145" t="s">
        <v>231</v>
      </c>
      <c r="P145" t="n">
        <v>1836</v>
      </c>
      <c r="Q145" s="10"/>
      <c r="R145" s="10"/>
      <c r="S145" s="10"/>
      <c r="T145" s="10"/>
      <c r="U145" s="10" t="n">
        <v>397957.244637916</v>
      </c>
      <c r="V145" s="10" t="n">
        <v>23195.2001633963</v>
      </c>
      <c r="W145" s="10" t="n">
        <v>3874.23148463214</v>
      </c>
      <c r="X145" s="10"/>
      <c r="Y145" s="10"/>
      <c r="Z145" s="10"/>
      <c r="AA145" s="10" t="n">
        <v>0</v>
      </c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</row>
    <row r="146">
      <c r="A146" t="str">
        <f>O146</f>
      </c>
      <c r="B146" t="str">
        <f>P146</f>
      </c>
      <c r="C146" s="10" t="str">
        <f>AF146</f>
      </c>
      <c r="D146" s="10" t="str">
        <f>AL146</f>
      </c>
      <c r="E146" s="10" t="str">
        <f>AM146</f>
      </c>
      <c r="F146" s="10" t="str">
        <f>AN146</f>
      </c>
      <c r="G146" s="6" t="str">
        <f>AM146/AL146-1</f>
      </c>
      <c r="H146" s="6" t="str">
        <f>AM146/AF146-1</f>
      </c>
      <c r="I146" s="6" t="str">
        <f>AN146/AM146</f>
      </c>
      <c r="J146" s="6" t="str">
        <f>AM146/Sum(AM$1:AM$170)</f>
      </c>
      <c r="K146" s="6" t="str">
        <f>AN146/Sum(AN1:AN$170)</f>
      </c>
      <c r="O146" t="s">
        <v>232</v>
      </c>
      <c r="P146" t="n">
        <v>1284</v>
      </c>
      <c r="Q146" s="10" t="n">
        <v>9293.67924627227</v>
      </c>
      <c r="R146" s="10" t="n">
        <v>53192.5291540807</v>
      </c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</row>
    <row r="147">
      <c r="A147" t="str">
        <f>O147</f>
      </c>
      <c r="B147" t="str">
        <f>P147</f>
      </c>
      <c r="C147" s="10" t="str">
        <f>AF147</f>
      </c>
      <c r="D147" s="10" t="str">
        <f>AL147</f>
      </c>
      <c r="E147" s="10" t="str">
        <f>AM147</f>
      </c>
      <c r="F147" s="10" t="str">
        <f>AN147</f>
      </c>
      <c r="G147" s="6" t="str">
        <f>AM147/AL147-1</f>
      </c>
      <c r="H147" s="6" t="str">
        <f>AM147/AF147-1</f>
      </c>
      <c r="I147" s="6" t="str">
        <f>AN147/AM147</f>
      </c>
      <c r="J147" s="6" t="str">
        <f>AM147/Sum(AM$1:AM$170)</f>
      </c>
      <c r="K147" s="6" t="str">
        <f>AN147/Sum(AN1:AN$170)</f>
      </c>
      <c r="O147" t="s">
        <v>233</v>
      </c>
      <c r="P147" t="n">
        <v>1285</v>
      </c>
      <c r="Q147" s="10"/>
      <c r="R147" s="10"/>
      <c r="S147" s="10"/>
      <c r="T147" s="10" t="n">
        <v>685727.251053305</v>
      </c>
      <c r="U147" s="10"/>
      <c r="V147" s="10"/>
      <c r="W147" s="10"/>
      <c r="X147" s="10"/>
      <c r="Y147" s="10"/>
      <c r="Z147" s="10"/>
      <c r="AA147" s="10" t="n">
        <v>-9092.53584828809</v>
      </c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</row>
    <row r="148">
      <c r="A148" t="str">
        <f>O148</f>
      </c>
      <c r="B148" t="str">
        <f>P148</f>
      </c>
      <c r="C148" s="10" t="str">
        <f>AF148</f>
      </c>
      <c r="D148" s="10" t="str">
        <f>AL148</f>
      </c>
      <c r="E148" s="10" t="str">
        <f>AM148</f>
      </c>
      <c r="F148" s="10" t="str">
        <f>AN148</f>
      </c>
      <c r="G148" s="6" t="str">
        <f>AM148/AL148-1</f>
      </c>
      <c r="H148" s="6" t="str">
        <f>AM148/AF148-1</f>
      </c>
      <c r="I148" s="6" t="str">
        <f>AN148/AM148</f>
      </c>
      <c r="J148" s="6" t="str">
        <f>AM148/Sum(AM$1:AM$170)</f>
      </c>
      <c r="K148" s="6" t="str">
        <f>AN148/Sum(AN1:AN$170)</f>
      </c>
      <c r="O148" t="s">
        <v>234</v>
      </c>
      <c r="P148" t="n">
        <v>1246</v>
      </c>
      <c r="Q148" s="10" t="n">
        <v>1241029.3253873</v>
      </c>
      <c r="R148" s="10" t="n">
        <v>704741.067160256</v>
      </c>
      <c r="S148" s="10" t="n">
        <v>3554414.2388568</v>
      </c>
      <c r="T148" s="10" t="n">
        <v>50711.8159728954</v>
      </c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</row>
    <row r="149">
      <c r="A149" t="str">
        <f>O149</f>
      </c>
      <c r="B149" t="str">
        <f>P149</f>
      </c>
      <c r="C149" s="10" t="str">
        <f>AF149</f>
      </c>
      <c r="D149" s="10" t="str">
        <f>AL149</f>
      </c>
      <c r="E149" s="10" t="str">
        <f>AM149</f>
      </c>
      <c r="F149" s="10" t="str">
        <f>AN149</f>
      </c>
      <c r="G149" s="6" t="str">
        <f>AM149/AL149-1</f>
      </c>
      <c r="H149" s="6" t="str">
        <f>AM149/AF149-1</f>
      </c>
      <c r="I149" s="6" t="str">
        <f>AN149/AM149</f>
      </c>
      <c r="J149" s="6" t="str">
        <f>AM149/Sum(AM$1:AM$170)</f>
      </c>
      <c r="K149" s="6" t="str">
        <f>AN149/Sum(AN1:AN$170)</f>
      </c>
      <c r="O149" t="s">
        <v>235</v>
      </c>
      <c r="P149" t="n">
        <v>1211</v>
      </c>
      <c r="Q149" s="10"/>
      <c r="R149" s="10"/>
      <c r="S149" s="10" t="n">
        <v>443562.762237791</v>
      </c>
      <c r="T149" s="10" t="n">
        <v>604398.475240047</v>
      </c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</row>
    <row r="150">
      <c r="A150" t="str">
        <f>O150</f>
      </c>
      <c r="B150" t="str">
        <f>P150</f>
      </c>
      <c r="C150" s="10" t="str">
        <f>AF150</f>
      </c>
      <c r="D150" s="10" t="str">
        <f>AL150</f>
      </c>
      <c r="E150" s="10" t="str">
        <f>AM150</f>
      </c>
      <c r="F150" s="10" t="str">
        <f>AN150</f>
      </c>
      <c r="G150" s="6" t="str">
        <f>AM150/AL150-1</f>
      </c>
      <c r="H150" s="6" t="str">
        <f>AM150/AF150-1</f>
      </c>
      <c r="I150" s="6" t="str">
        <f>AN150/AM150</f>
      </c>
      <c r="J150" s="6" t="str">
        <f>AM150/Sum(AM$1:AM$170)</f>
      </c>
      <c r="K150" s="6" t="str">
        <f>AN150/Sum(AN1:AN$170)</f>
      </c>
      <c r="O150" t="s">
        <v>236</v>
      </c>
      <c r="P150" t="n">
        <v>1209</v>
      </c>
      <c r="Q150" s="10" t="n">
        <v>92904.4778617273</v>
      </c>
      <c r="R150" s="10"/>
      <c r="S150" s="10"/>
      <c r="T150" s="10" t="n">
        <v>907710.87676428</v>
      </c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</row>
    <row r="151">
      <c r="A151" t="str">
        <f>O151</f>
      </c>
      <c r="B151" t="str">
        <f>P151</f>
      </c>
      <c r="C151" s="10" t="str">
        <f>AF151</f>
      </c>
      <c r="D151" s="10" t="str">
        <f>AL151</f>
      </c>
      <c r="E151" s="10" t="str">
        <f>AM151</f>
      </c>
      <c r="F151" s="10" t="str">
        <f>AN151</f>
      </c>
      <c r="G151" s="6" t="str">
        <f>AM151/AL151-1</f>
      </c>
      <c r="H151" s="6" t="str">
        <f>AM151/AF151-1</f>
      </c>
      <c r="I151" s="6" t="str">
        <f>AN151/AM151</f>
      </c>
      <c r="J151" s="6" t="str">
        <f>AM151/Sum(AM$1:AM$170)</f>
      </c>
      <c r="K151" s="6" t="str">
        <f>AN151/Sum(AN1:AN$170)</f>
      </c>
      <c r="O151" t="s">
        <v>237</v>
      </c>
      <c r="P151" t="n">
        <v>2010</v>
      </c>
      <c r="Q151" s="10" t="n">
        <v>60149734.2277562</v>
      </c>
      <c r="R151" s="10" t="n">
        <v>82636460.1963207</v>
      </c>
      <c r="S151" s="10" t="n">
        <v>629098785.643297</v>
      </c>
      <c r="T151" s="10" t="n">
        <v>2471270717.75553</v>
      </c>
      <c r="U151" s="10" t="n">
        <v>2237646751.1778</v>
      </c>
      <c r="V151" s="10" t="n">
        <v>2248143653.13673</v>
      </c>
      <c r="W151" s="10" t="n">
        <v>1988160091.32616</v>
      </c>
      <c r="X151" s="10" t="n">
        <v>1788413084.8994</v>
      </c>
      <c r="Y151" s="10" t="n">
        <v>2001659336.69954</v>
      </c>
      <c r="Z151" s="10" t="n">
        <v>67067673.5508492</v>
      </c>
      <c r="AA151" s="10" t="n">
        <v>247474383.648691</v>
      </c>
      <c r="AB151" s="10" t="n">
        <v>241310206.72588</v>
      </c>
      <c r="AC151" s="10" t="n">
        <v>116103611.557047</v>
      </c>
      <c r="AD151" s="10" t="n">
        <v>115227356.041379</v>
      </c>
      <c r="AE151" s="10" t="n">
        <v>29913229.0132287</v>
      </c>
      <c r="AF151" s="10" t="n">
        <v>16577019.0759086</v>
      </c>
      <c r="AG151" s="10" t="n">
        <v>9731620.82935209</v>
      </c>
      <c r="AH151" s="10" t="n">
        <v>1221644.88534247</v>
      </c>
      <c r="AI151" s="10" t="n">
        <v>-2680878.1846166</v>
      </c>
      <c r="AJ151" s="10" t="n">
        <v>-5868689.67320633</v>
      </c>
      <c r="AK151" s="10" t="n">
        <v>0</v>
      </c>
      <c r="AL151" s="10" t="n">
        <v>0</v>
      </c>
      <c r="AM151" s="10" t="n">
        <v>0</v>
      </c>
      <c r="AN151" s="10" t="n">
        <v>0</v>
      </c>
      <c r="AO151" s="10"/>
    </row>
    <row r="152">
      <c r="A152" t="str">
        <f>O152</f>
      </c>
      <c r="B152" t="str">
        <f>P152</f>
      </c>
      <c r="C152" s="10" t="str">
        <f>AF152</f>
      </c>
      <c r="D152" s="10" t="str">
        <f>AL152</f>
      </c>
      <c r="E152" s="10" t="str">
        <f>AM152</f>
      </c>
      <c r="F152" s="10" t="str">
        <f>AN152</f>
      </c>
      <c r="G152" s="6" t="str">
        <f>AM152/AL152-1</f>
      </c>
      <c r="H152" s="6" t="str">
        <f>AM152/AF152-1</f>
      </c>
      <c r="I152" s="6" t="str">
        <f>AN152/AM152</f>
      </c>
      <c r="J152" s="6" t="str">
        <f>AM152/Sum(AM$1:AM$170)</f>
      </c>
      <c r="K152" s="6" t="str">
        <f>AN152/Sum(AN1:AN$170)</f>
      </c>
      <c r="O152" t="s">
        <v>238</v>
      </c>
      <c r="P152" t="n">
        <v>1212</v>
      </c>
      <c r="Q152" s="10" t="n">
        <v>237192313.901061</v>
      </c>
      <c r="R152" s="10" t="n">
        <v>82291544.8197033</v>
      </c>
      <c r="S152" s="10" t="n">
        <v>68308592.3952254</v>
      </c>
      <c r="T152" s="10" t="n">
        <v>87818995.2885235</v>
      </c>
      <c r="U152" s="10"/>
      <c r="V152" s="10"/>
      <c r="W152" s="10"/>
      <c r="X152" s="10"/>
      <c r="Y152" s="10"/>
      <c r="Z152" s="10" t="n">
        <v>-106348.366721615</v>
      </c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</row>
    <row r="153">
      <c r="A153" t="str">
        <f>O153</f>
      </c>
      <c r="B153" t="str">
        <f>P153</f>
      </c>
      <c r="C153" s="10" t="str">
        <f>AF153</f>
      </c>
      <c r="D153" s="10" t="str">
        <f>AL153</f>
      </c>
      <c r="E153" s="10" t="str">
        <f>AM153</f>
      </c>
      <c r="F153" s="10" t="str">
        <f>AN153</f>
      </c>
      <c r="G153" s="6" t="str">
        <f>AM153/AL153-1</f>
      </c>
      <c r="H153" s="6" t="str">
        <f>AM153/AF153-1</f>
      </c>
      <c r="I153" s="6" t="str">
        <f>AN153/AM153</f>
      </c>
      <c r="J153" s="6" t="str">
        <f>AM153/Sum(AM$1:AM$170)</f>
      </c>
      <c r="K153" s="6" t="str">
        <f>AN153/Sum(AN1:AN$170)</f>
      </c>
      <c r="O153" t="s">
        <v>239</v>
      </c>
      <c r="P153" t="n">
        <v>1210</v>
      </c>
      <c r="Q153" s="10"/>
      <c r="R153" s="10"/>
      <c r="S153" s="10" t="n">
        <v>32835.9097298042</v>
      </c>
      <c r="T153" s="10" t="n">
        <v>151832.204089887</v>
      </c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</row>
    <row r="154">
      <c r="A154" t="str">
        <f>O154</f>
      </c>
      <c r="B154" t="str">
        <f>P154</f>
      </c>
      <c r="C154" s="10" t="str">
        <f>AF154</f>
      </c>
      <c r="D154" s="10" t="str">
        <f>AL154</f>
      </c>
      <c r="E154" s="10" t="str">
        <f>AM154</f>
      </c>
      <c r="F154" s="10" t="str">
        <f>AN154</f>
      </c>
      <c r="G154" s="6" t="str">
        <f>AM154/AL154-1</f>
      </c>
      <c r="H154" s="6" t="str">
        <f>AM154/AF154-1</f>
      </c>
      <c r="I154" s="6" t="str">
        <f>AN154/AM154</f>
      </c>
      <c r="J154" s="6" t="str">
        <f>AM154/Sum(AM$1:AM$170)</f>
      </c>
      <c r="K154" s="6" t="str">
        <f>AN154/Sum(AN1:AN$170)</f>
      </c>
      <c r="O154" t="s">
        <v>240</v>
      </c>
      <c r="P154" t="n">
        <v>2009</v>
      </c>
      <c r="Q154" s="10" t="n">
        <v>18416328.6195863</v>
      </c>
      <c r="R154" s="10" t="n">
        <v>75949140.2314204</v>
      </c>
      <c r="S154" s="10" t="n">
        <v>15828615.1992242</v>
      </c>
      <c r="T154" s="10" t="n">
        <v>22194295.4465797</v>
      </c>
      <c r="U154" s="10"/>
      <c r="V154" s="10" t="n">
        <v>-2.8873094122607</v>
      </c>
      <c r="W154" s="10"/>
      <c r="X154" s="10"/>
      <c r="Y154" s="10"/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/>
      <c r="AH154" s="10"/>
      <c r="AI154" s="10"/>
      <c r="AJ154" s="10"/>
      <c r="AK154" s="10"/>
      <c r="AL154" s="10"/>
      <c r="AM154" s="10"/>
      <c r="AN154" s="10"/>
      <c r="AO154" s="10"/>
    </row>
    <row r="155">
      <c r="A155" t="str">
        <f>O155</f>
      </c>
      <c r="B155" t="str">
        <f>P155</f>
      </c>
      <c r="C155" s="10" t="str">
        <f>AF155</f>
      </c>
      <c r="D155" s="10" t="str">
        <f>AL155</f>
      </c>
      <c r="E155" s="10" t="str">
        <f>AM155</f>
      </c>
      <c r="F155" s="10" t="str">
        <f>AN155</f>
      </c>
      <c r="G155" s="6" t="str">
        <f>AM155/AL155-1</f>
      </c>
      <c r="H155" s="6" t="str">
        <f>AM155/AF155-1</f>
      </c>
      <c r="I155" s="6" t="str">
        <f>AN155/AM155</f>
      </c>
      <c r="J155" s="6" t="str">
        <f>AM155/Sum(AM$1:AM$170)</f>
      </c>
      <c r="K155" s="6" t="str">
        <f>AN155/Sum(AN1:AN$170)</f>
      </c>
      <c r="O155" t="s">
        <v>241</v>
      </c>
      <c r="P155" t="n">
        <v>1286</v>
      </c>
      <c r="Q155" s="10" t="n">
        <v>155097.158937442</v>
      </c>
      <c r="R155" s="10" t="n">
        <v>9286229.32749335</v>
      </c>
      <c r="S155" s="10" t="n">
        <v>1913570.72042677</v>
      </c>
      <c r="T155" s="10" t="n">
        <v>2099360.07445303</v>
      </c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</row>
    <row r="156">
      <c r="A156" t="str">
        <f>O156</f>
      </c>
      <c r="B156" t="str">
        <f>P156</f>
      </c>
      <c r="C156" s="10" t="str">
        <f>AF156</f>
      </c>
      <c r="D156" s="10" t="str">
        <f>AL156</f>
      </c>
      <c r="E156" s="10" t="str">
        <f>AM156</f>
      </c>
      <c r="F156" s="10" t="str">
        <f>AN156</f>
      </c>
      <c r="G156" s="6" t="str">
        <f>AM156/AL156-1</f>
      </c>
      <c r="H156" s="6" t="str">
        <f>AM156/AF156-1</f>
      </c>
      <c r="I156" s="6" t="str">
        <f>AN156/AM156</f>
      </c>
      <c r="J156" s="6" t="str">
        <f>AM156/Sum(AM$1:AM$170)</f>
      </c>
      <c r="K156" s="6" t="str">
        <f>AN156/Sum(AN1:AN$170)</f>
      </c>
      <c r="O156" t="s">
        <v>242</v>
      </c>
      <c r="P156" t="n">
        <v>1287</v>
      </c>
      <c r="Q156" s="10"/>
      <c r="R156" s="10" t="n">
        <v>176298.84514413</v>
      </c>
      <c r="S156" s="10" t="n">
        <v>201885.559254377</v>
      </c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</row>
    <row r="157">
      <c r="A157" t="str">
        <f>O157</f>
      </c>
      <c r="B157" t="str">
        <f>P157</f>
      </c>
      <c r="C157" s="10" t="str">
        <f>AF157</f>
      </c>
      <c r="D157" s="10" t="str">
        <f>AL157</f>
      </c>
      <c r="E157" s="10" t="str">
        <f>AM157</f>
      </c>
      <c r="F157" s="10" t="str">
        <f>AN157</f>
      </c>
      <c r="G157" s="6" t="str">
        <f>AM157/AL157-1</f>
      </c>
      <c r="H157" s="6" t="str">
        <f>AM157/AF157-1</f>
      </c>
      <c r="I157" s="6" t="str">
        <f>AN157/AM157</f>
      </c>
      <c r="J157" s="6" t="str">
        <f>AM157/Sum(AM$1:AM$170)</f>
      </c>
      <c r="K157" s="6" t="str">
        <f>AN157/Sum(AN1:AN$170)</f>
      </c>
      <c r="O157" t="s">
        <v>243</v>
      </c>
      <c r="P157" t="n">
        <v>1290</v>
      </c>
      <c r="Q157" s="10" t="n">
        <v>3829950.74592359</v>
      </c>
      <c r="R157" s="10" t="n">
        <v>4083575.63487366</v>
      </c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</row>
    <row r="158">
      <c r="A158" t="str">
        <f>O158</f>
      </c>
      <c r="B158" t="str">
        <f>P158</f>
      </c>
      <c r="C158" s="10" t="str">
        <f>AF158</f>
      </c>
      <c r="D158" s="10" t="str">
        <f>AL158</f>
      </c>
      <c r="E158" s="10" t="str">
        <f>AM158</f>
      </c>
      <c r="F158" s="10" t="str">
        <f>AN158</f>
      </c>
      <c r="G158" s="6" t="str">
        <f>AM158/AL158-1</f>
      </c>
      <c r="H158" s="6" t="str">
        <f>AM158/AF158-1</f>
      </c>
      <c r="I158" s="6" t="str">
        <f>AN158/AM158</f>
      </c>
      <c r="J158" s="6" t="str">
        <f>AM158/Sum(AM$1:AM$170)</f>
      </c>
      <c r="K158" s="6" t="str">
        <f>AN158/Sum(AN1:AN$170)</f>
      </c>
      <c r="O158" t="s">
        <v>244</v>
      </c>
      <c r="P158" t="n">
        <v>1289</v>
      </c>
      <c r="Q158" s="10"/>
      <c r="R158" s="10"/>
      <c r="S158" s="10"/>
      <c r="T158" s="10" t="n">
        <v>17565964.127212</v>
      </c>
      <c r="U158" s="10"/>
      <c r="V158" s="10"/>
      <c r="W158" s="10"/>
      <c r="X158" s="10"/>
      <c r="Y158" s="10"/>
      <c r="Z158" s="10"/>
      <c r="AA158" s="10"/>
      <c r="AB158" s="10" t="n">
        <v>-5869816.58478889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</row>
    <row r="159">
      <c r="A159" t="str">
        <f>O159</f>
      </c>
      <c r="B159" t="str">
        <f>P159</f>
      </c>
      <c r="C159" s="10" t="str">
        <f>AF159</f>
      </c>
      <c r="D159" s="10" t="str">
        <f>AL159</f>
      </c>
      <c r="E159" s="10" t="str">
        <f>AM159</f>
      </c>
      <c r="F159" s="10" t="str">
        <f>AN159</f>
      </c>
      <c r="G159" s="6" t="str">
        <f>AM159/AL159-1</f>
      </c>
      <c r="H159" s="6" t="str">
        <f>AM159/AF159-1</f>
      </c>
      <c r="I159" s="6" t="str">
        <f>AN159/AM159</f>
      </c>
      <c r="J159" s="6" t="str">
        <f>AM159/Sum(AM$1:AM$170)</f>
      </c>
      <c r="K159" s="6" t="str">
        <f>AN159/Sum(AN1:AN$170)</f>
      </c>
      <c r="O159" t="s">
        <v>245</v>
      </c>
      <c r="P159" t="n">
        <v>1288</v>
      </c>
      <c r="Q159" s="10" t="n">
        <v>3185936.9053861</v>
      </c>
      <c r="R159" s="10" t="n">
        <v>2642575.50729993</v>
      </c>
      <c r="S159" s="10" t="n">
        <v>3375492.38548469</v>
      </c>
      <c r="T159" s="10" t="n">
        <v>311954.088725841</v>
      </c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</row>
    <row r="160">
      <c r="A160" t="str">
        <f>O160</f>
      </c>
      <c r="B160" t="str">
        <f>P160</f>
      </c>
      <c r="C160" s="10" t="str">
        <f>AF160</f>
      </c>
      <c r="D160" s="10" t="str">
        <f>AL160</f>
      </c>
      <c r="E160" s="10" t="str">
        <f>AM160</f>
      </c>
      <c r="F160" s="10" t="str">
        <f>AN160</f>
      </c>
      <c r="G160" s="6" t="str">
        <f>AM160/AL160-1</f>
      </c>
      <c r="H160" s="6" t="str">
        <f>AM160/AF160-1</f>
      </c>
      <c r="I160" s="6" t="str">
        <f>AN160/AM160</f>
      </c>
      <c r="J160" s="6" t="str">
        <f>AM160/Sum(AM$1:AM$170)</f>
      </c>
      <c r="K160" s="6" t="str">
        <f>AN160/Sum(AN1:AN$170)</f>
      </c>
      <c r="O160" t="s">
        <v>246</v>
      </c>
      <c r="P160" t="n">
        <v>1844</v>
      </c>
      <c r="Q160" s="10"/>
      <c r="R160" s="10"/>
      <c r="S160" s="10"/>
      <c r="T160" s="10"/>
      <c r="U160" s="10"/>
      <c r="V160" s="10"/>
      <c r="W160" s="10" t="n">
        <v>4192147.76047644</v>
      </c>
      <c r="X160" s="10" t="n">
        <v>16071618.2498703</v>
      </c>
      <c r="Y160" s="10" t="n">
        <v>61666563.9644665</v>
      </c>
      <c r="Z160" s="10" t="n">
        <v>90222401.901358</v>
      </c>
      <c r="AA160" s="10" t="n">
        <v>86072681.9069937</v>
      </c>
      <c r="AB160" s="10" t="n">
        <v>32737471.7491209</v>
      </c>
      <c r="AC160" s="10" t="n">
        <v>45672962.4332072</v>
      </c>
      <c r="AD160" s="10" t="n">
        <v>40093379.3024126</v>
      </c>
      <c r="AE160" s="10" t="n">
        <v>33031343.2005595</v>
      </c>
      <c r="AF160" s="10" t="n">
        <v>176952.455712006</v>
      </c>
      <c r="AG160" s="10" t="n">
        <v>-183767.866381213</v>
      </c>
      <c r="AH160" s="10" t="n">
        <v>-7803.16065062962</v>
      </c>
      <c r="AI160" s="10" t="n">
        <v>6810057.5202632</v>
      </c>
      <c r="AJ160" s="10" t="n">
        <v>-137944.501526775</v>
      </c>
      <c r="AK160" s="10" t="n">
        <v>-146789.924712273</v>
      </c>
      <c r="AL160" s="10"/>
      <c r="AM160" s="10"/>
      <c r="AN160" s="10"/>
      <c r="AO160" s="10"/>
    </row>
    <row r="161">
      <c r="A161" t="str">
        <f>O161</f>
      </c>
      <c r="B161" t="str">
        <f>P161</f>
      </c>
      <c r="C161" s="10" t="str">
        <f>AF161</f>
      </c>
      <c r="D161" s="10" t="str">
        <f>AL161</f>
      </c>
      <c r="E161" s="10" t="str">
        <f>AM161</f>
      </c>
      <c r="F161" s="10" t="str">
        <f>AN161</f>
      </c>
      <c r="G161" s="6" t="str">
        <f>AM161/AL161-1</f>
      </c>
      <c r="H161" s="6" t="str">
        <f>AM161/AF161-1</f>
      </c>
      <c r="I161" s="6" t="str">
        <f>AN161/AM161</f>
      </c>
      <c r="J161" s="6" t="str">
        <f>AM161/Sum(AM$1:AM$170)</f>
      </c>
      <c r="K161" s="6" t="str">
        <f>AN161/Sum(AN1:AN$170)</f>
      </c>
      <c r="O161" t="s">
        <v>247</v>
      </c>
      <c r="P161" t="n">
        <v>666</v>
      </c>
      <c r="Q161" s="10"/>
      <c r="R161" s="10"/>
      <c r="S161" s="10"/>
      <c r="T161" s="10"/>
      <c r="U161" s="10"/>
      <c r="V161" s="10"/>
      <c r="W161" s="10"/>
      <c r="X161" s="10" t="n">
        <v>-5001.00226889553</v>
      </c>
      <c r="Y161" s="10"/>
      <c r="Z161" s="10"/>
      <c r="AA161" s="10" t="n">
        <v>226150.402175953</v>
      </c>
      <c r="AB161" s="10" t="n">
        <v>1525.39444940391</v>
      </c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</row>
    <row r="162">
      <c r="A162" t="str">
        <f>O162</f>
      </c>
      <c r="B162" t="str">
        <f>P162</f>
      </c>
      <c r="C162" s="10" t="str">
        <f>AF162</f>
      </c>
      <c r="D162" s="10" t="str">
        <f>AL162</f>
      </c>
      <c r="E162" s="10" t="str">
        <f>AM162</f>
      </c>
      <c r="F162" s="10" t="str">
        <f>AN162</f>
      </c>
      <c r="G162" s="6" t="str">
        <f>AM162/AL162-1</f>
      </c>
      <c r="H162" s="6" t="str">
        <f>AM162/AF162-1</f>
      </c>
      <c r="I162" s="6" t="str">
        <f>AN162/AM162</f>
      </c>
      <c r="J162" s="6" t="str">
        <f>AM162/Sum(AM$1:AM$170)</f>
      </c>
      <c r="K162" s="6" t="str">
        <f>AN162/Sum(AN1:AN$170)</f>
      </c>
      <c r="O162" t="s">
        <v>248</v>
      </c>
      <c r="P162" t="n">
        <v>1296</v>
      </c>
      <c r="Q162" s="10" t="n">
        <v>87918.3349281397</v>
      </c>
      <c r="R162" s="10"/>
      <c r="S162" s="10" t="n">
        <v>54965.6729557647</v>
      </c>
      <c r="T162" s="10" t="n">
        <v>224520.816539873</v>
      </c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</row>
    <row r="163">
      <c r="A163" t="str">
        <f>O163</f>
      </c>
      <c r="B163" t="str">
        <f>P163</f>
      </c>
      <c r="C163" s="10" t="str">
        <f>AF163</f>
      </c>
      <c r="D163" s="10" t="str">
        <f>AL163</f>
      </c>
      <c r="E163" s="10" t="str">
        <f>AM163</f>
      </c>
      <c r="F163" s="10" t="str">
        <f>AN163</f>
      </c>
      <c r="G163" s="6" t="str">
        <f>AM163/AL163-1</f>
      </c>
      <c r="H163" s="6" t="str">
        <f>AM163/AF163-1</f>
      </c>
      <c r="I163" s="6" t="str">
        <f>AN163/AM163</f>
      </c>
      <c r="J163" s="6" t="str">
        <f>AM163/Sum(AM$1:AM$170)</f>
      </c>
      <c r="K163" s="6" t="str">
        <f>AN163/Sum(AN1:AN$170)</f>
      </c>
      <c r="O163" t="s">
        <v>249</v>
      </c>
      <c r="P163" t="n">
        <v>1295</v>
      </c>
      <c r="Q163" s="10" t="n">
        <v>98389.8813806937</v>
      </c>
      <c r="R163" s="10"/>
      <c r="S163" s="10" t="n">
        <v>166159.580095554</v>
      </c>
      <c r="T163" s="10" t="n">
        <v>73845.2057467625</v>
      </c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</row>
    <row r="164">
      <c r="A164" t="str">
        <f>O164</f>
      </c>
      <c r="B164" t="str">
        <f>P164</f>
      </c>
      <c r="C164" s="10" t="str">
        <f>AF164</f>
      </c>
      <c r="D164" s="10" t="str">
        <f>AL164</f>
      </c>
      <c r="E164" s="10" t="str">
        <f>AM164</f>
      </c>
      <c r="F164" s="10" t="str">
        <f>AN164</f>
      </c>
      <c r="G164" s="6" t="str">
        <f>AM164/AL164-1</f>
      </c>
      <c r="H164" s="6" t="str">
        <f>AM164/AF164-1</f>
      </c>
      <c r="I164" s="6" t="str">
        <f>AN164/AM164</f>
      </c>
      <c r="J164" s="6" t="str">
        <f>AM164/Sum(AM$1:AM$170)</f>
      </c>
      <c r="K164" s="6" t="str">
        <f>AN164/Sum(AN1:AN$170)</f>
      </c>
      <c r="O164" t="s">
        <v>250</v>
      </c>
      <c r="P164" t="n">
        <v>1213</v>
      </c>
      <c r="Q164" s="10" t="n">
        <v>12742571.3700682</v>
      </c>
      <c r="R164" s="10" t="n">
        <v>18162508.6283267</v>
      </c>
      <c r="S164" s="10" t="n">
        <v>23749834.2733091</v>
      </c>
      <c r="T164" s="10" t="n">
        <v>9473463.69026662</v>
      </c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</row>
    <row r="165">
      <c r="A165" t="str">
        <f>O165</f>
      </c>
      <c r="B165" t="str">
        <f>P165</f>
      </c>
      <c r="C165" s="10" t="str">
        <f>AF165</f>
      </c>
      <c r="D165" s="10" t="str">
        <f>AL165</f>
      </c>
      <c r="E165" s="10" t="str">
        <f>AM165</f>
      </c>
      <c r="F165" s="10" t="str">
        <f>AN165</f>
      </c>
      <c r="G165" s="6" t="str">
        <f>AM165/AL165-1</f>
      </c>
      <c r="H165" s="6" t="str">
        <f>AM165/AF165-1</f>
      </c>
      <c r="I165" s="6" t="str">
        <f>AN165/AM165</f>
      </c>
      <c r="J165" s="6" t="str">
        <f>AM165/Sum(AM$1:AM$170)</f>
      </c>
      <c r="K165" s="6" t="str">
        <f>AN165/Sum(AN1:AN$170)</f>
      </c>
      <c r="O165" t="s">
        <v>251</v>
      </c>
      <c r="P165" t="n">
        <v>51</v>
      </c>
      <c r="Q165" s="10"/>
      <c r="R165" s="10"/>
      <c r="S165" s="10"/>
      <c r="T165" s="10"/>
      <c r="U165" s="10"/>
      <c r="V165" s="10" t="n">
        <v>245941.015736366</v>
      </c>
      <c r="W165" s="10"/>
      <c r="X165" s="10"/>
      <c r="Y165" s="10" t="n">
        <v>1674161.0846198</v>
      </c>
      <c r="Z165" s="10" t="n">
        <v>1659045.30375366</v>
      </c>
      <c r="AA165" s="10" t="n">
        <v>1666988.72616581</v>
      </c>
      <c r="AB165" s="10" t="n">
        <v>723205.912960818</v>
      </c>
      <c r="AC165" s="10" t="n">
        <v>3236563.44908246</v>
      </c>
      <c r="AD165" s="10" t="n">
        <v>5362534.6432558</v>
      </c>
      <c r="AE165" s="10" t="n">
        <v>1639989.47186377</v>
      </c>
      <c r="AF165" s="10" t="n">
        <v>497870.36477206</v>
      </c>
      <c r="AG165" s="10" t="n">
        <v>-53185.6778347726</v>
      </c>
      <c r="AH165" s="10"/>
      <c r="AI165" s="10" t="n">
        <v>-77184.9830475644</v>
      </c>
      <c r="AJ165" s="10" t="n">
        <v>-1.09757559606517</v>
      </c>
      <c r="AK165" s="10"/>
      <c r="AL165" s="10" t="n">
        <v>-16305.5665350006</v>
      </c>
      <c r="AM165" s="10"/>
      <c r="AN165" s="10" t="n">
        <v>660595.988605005</v>
      </c>
      <c r="AO165" s="10"/>
    </row>
    <row r="166">
      <c r="A166" t="str">
        <f>O166</f>
      </c>
      <c r="B166" t="str">
        <f>P166</f>
      </c>
      <c r="C166" s="10" t="str">
        <f>AF166</f>
      </c>
      <c r="D166" s="10" t="str">
        <f>AL166</f>
      </c>
      <c r="E166" s="10" t="str">
        <f>AM166</f>
      </c>
      <c r="F166" s="10" t="str">
        <f>AN166</f>
      </c>
      <c r="G166" s="6" t="str">
        <f>AM166/AL166-1</f>
      </c>
      <c r="H166" s="6" t="str">
        <f>AM166/AF166-1</f>
      </c>
      <c r="I166" s="6" t="str">
        <f>AN166/AM166</f>
      </c>
      <c r="J166" s="6" t="str">
        <f>AM166/Sum(AM$1:AM$170)</f>
      </c>
      <c r="K166" s="6" t="str">
        <f>AN166/Sum(AN1:AN$170)</f>
      </c>
      <c r="O166" t="s">
        <v>252</v>
      </c>
      <c r="P166" t="n">
        <v>1303</v>
      </c>
      <c r="Q166" s="10" t="n">
        <v>1735765.86662662</v>
      </c>
      <c r="R166" s="10" t="n">
        <v>10003389.8721753</v>
      </c>
      <c r="S166" s="10" t="n">
        <v>775443.986061902</v>
      </c>
      <c r="T166" s="10" t="n">
        <v>277842.967581778</v>
      </c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</row>
    <row r="167">
      <c r="A167" t="str">
        <f>O167</f>
      </c>
      <c r="B167" t="str">
        <f>P167</f>
      </c>
      <c r="C167" s="10" t="str">
        <f>AF167</f>
      </c>
      <c r="D167" s="10" t="str">
        <f>AL167</f>
      </c>
      <c r="E167" s="10" t="str">
        <f>AM167</f>
      </c>
      <c r="F167" s="10" t="str">
        <f>AN167</f>
      </c>
      <c r="G167" s="6" t="str">
        <f>AM167/AL167-1</f>
      </c>
      <c r="H167" s="6" t="str">
        <f>AM167/AF167-1</f>
      </c>
      <c r="I167" s="6" t="str">
        <f>AN167/AM167</f>
      </c>
      <c r="J167" s="6" t="str">
        <f>AM167/Sum(AM$1:AM$170)</f>
      </c>
      <c r="K167" s="6" t="str">
        <f>AN167/Sum(AN1:AN$170)</f>
      </c>
      <c r="O167" t="s">
        <v>253</v>
      </c>
      <c r="P167" t="n">
        <v>1301</v>
      </c>
      <c r="Q167" s="10" t="n">
        <v>170372.27082796</v>
      </c>
      <c r="R167" s="10" t="n">
        <v>2244402.92496568</v>
      </c>
      <c r="S167" s="10" t="n">
        <v>1667385.25760862</v>
      </c>
      <c r="T167" s="10" t="n">
        <v>7852130.17787619</v>
      </c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</row>
    <row r="168">
      <c r="A168" t="str">
        <f>O168</f>
      </c>
      <c r="B168" t="str">
        <f>P168</f>
      </c>
      <c r="C168" s="10" t="str">
        <f>AF168</f>
      </c>
      <c r="D168" s="10" t="str">
        <f>AL168</f>
      </c>
      <c r="E168" s="10" t="str">
        <f>AM168</f>
      </c>
      <c r="F168" s="10" t="str">
        <f>AN168</f>
      </c>
      <c r="G168" s="6" t="str">
        <f>AM168/AL168-1</f>
      </c>
      <c r="H168" s="6" t="str">
        <f>AM168/AF168-1</f>
      </c>
      <c r="I168" s="6" t="str">
        <f>AN168/AM168</f>
      </c>
      <c r="J168" s="6" t="str">
        <f>AM168/Sum(AM$1:AM$170)</f>
      </c>
      <c r="K168" s="6" t="str">
        <f>AN168/Sum(AN1:AN$170)</f>
      </c>
      <c r="O168" t="s">
        <v>254</v>
      </c>
      <c r="P168" t="n">
        <v>1152</v>
      </c>
      <c r="Q168" s="10" t="n">
        <v>57326.1021658102</v>
      </c>
      <c r="R168" s="10" t="n">
        <v>46259.5171246564</v>
      </c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</row>
    <row r="169">
      <c r="A169" t="str">
        <f>O169</f>
      </c>
      <c r="B169" t="str">
        <f>P169</f>
      </c>
      <c r="C169" s="10" t="str">
        <f>AF169</f>
      </c>
      <c r="D169" s="10" t="str">
        <f>AL169</f>
      </c>
      <c r="E169" s="10" t="str">
        <f>AM169</f>
      </c>
      <c r="F169" s="10" t="str">
        <f>AN169</f>
      </c>
      <c r="G169" s="6" t="str">
        <f>AM169/AL169-1</f>
      </c>
      <c r="H169" s="6" t="str">
        <f>AM169/AF169-1</f>
      </c>
      <c r="I169" s="6" t="str">
        <f>AN169/AM169</f>
      </c>
      <c r="J169" s="6" t="str">
        <f>AM169/Sum(AM$1:AM$170)</f>
      </c>
      <c r="K169" s="6" t="str">
        <f>AN169/Sum(AN1:AN$170)</f>
      </c>
      <c r="O169" t="s">
        <v>255</v>
      </c>
      <c r="P169" t="n">
        <v>2015</v>
      </c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 t="n">
        <v>30052219.193491</v>
      </c>
      <c r="AD169" s="10" t="n">
        <v>0</v>
      </c>
      <c r="AE169" s="10" t="n">
        <v>9384751.8787743</v>
      </c>
      <c r="AF169" s="10" t="n">
        <v>6598047.29144445</v>
      </c>
      <c r="AG169" s="10" t="n">
        <v>-2800760.42543851</v>
      </c>
      <c r="AH169" s="10"/>
      <c r="AI169" s="10"/>
      <c r="AJ169" s="10"/>
      <c r="AK169" s="10"/>
      <c r="AL169" s="10"/>
      <c r="AM169" s="10"/>
      <c r="AN169" s="10"/>
      <c r="AO169" s="10"/>
    </row>
    <row r="170">
      <c r="A170" t="str">
        <f>O170</f>
      </c>
      <c r="B170" t="str">
        <f>P170</f>
      </c>
      <c r="C170" s="10" t="str">
        <f>AF170</f>
      </c>
      <c r="D170" s="10" t="str">
        <f>AL170</f>
      </c>
      <c r="E170" s="10" t="str">
        <f>AM170</f>
      </c>
      <c r="F170" s="10" t="str">
        <f>AN170</f>
      </c>
      <c r="G170" s="6" t="str">
        <f>AM170/AL170-1</f>
      </c>
      <c r="H170" s="6" t="str">
        <f>AM170/AF170-1</f>
      </c>
      <c r="I170" s="6" t="str">
        <f>AN170/AM170</f>
      </c>
      <c r="J170" s="6" t="str">
        <f>AM170/Sum(AM$1:AM$170)</f>
      </c>
      <c r="K170" s="6" t="str">
        <f>AN170/Sum(AN1:AN$170)</f>
      </c>
      <c r="O170"/>
      <c r="P170"/>
      <c r="Q170" s="10" t="n">
        <v>12560284668.6914</v>
      </c>
      <c r="R170" s="10" t="n">
        <v>17199004710.3594</v>
      </c>
      <c r="S170" s="10" t="n">
        <v>16646148483.7978</v>
      </c>
      <c r="T170" s="10" t="n">
        <v>14447277345.3225</v>
      </c>
      <c r="U170" s="10" t="n">
        <v>17933026729.875</v>
      </c>
      <c r="V170" s="10" t="n">
        <v>15224844596.3347</v>
      </c>
      <c r="W170" s="10" t="n">
        <v>12043338784.2073</v>
      </c>
      <c r="X170" s="10" t="n">
        <v>11982298384.4727</v>
      </c>
      <c r="Y170" s="10" t="n">
        <v>13268175612.645</v>
      </c>
      <c r="Z170" s="10" t="n">
        <v>13888903228.9802</v>
      </c>
      <c r="AA170" s="10" t="n">
        <v>13715486147.3923</v>
      </c>
      <c r="AB170" s="10" t="n">
        <v>14821307121.0748</v>
      </c>
      <c r="AC170" s="10" t="n">
        <v>14791974168.7691</v>
      </c>
      <c r="AD170" s="10" t="n">
        <v>14136466999.3115</v>
      </c>
      <c r="AE170" s="10" t="n">
        <v>13329379499.4571</v>
      </c>
      <c r="AF170" s="10" t="n">
        <v>14305784830.4955</v>
      </c>
      <c r="AG170" s="10" t="n">
        <v>15896539812.4307</v>
      </c>
      <c r="AH170" s="10" t="n">
        <v>18505861342.98</v>
      </c>
      <c r="AI170" s="10" t="n">
        <v>20498632766.9571</v>
      </c>
      <c r="AJ170" s="10" t="n">
        <v>25634456310.5305</v>
      </c>
      <c r="AK170" s="10" t="n">
        <v>21397090855.0486</v>
      </c>
      <c r="AL170" s="10" t="n">
        <v>22859590174.8921</v>
      </c>
      <c r="AM170" s="10" t="n">
        <v>24143083817.9365</v>
      </c>
      <c r="AN170" s="10" t="n">
        <v>14645648636.6352</v>
      </c>
      <c r="AO170" s="10"/>
    </row>
    <row r="171">
      <c r="A171" t="str">
        <f>O171</f>
      </c>
      <c r="B171" t="str">
        <f>P171</f>
      </c>
      <c r="C171" s="10" t="str">
        <f>AF171</f>
      </c>
      <c r="D171" s="10" t="str">
        <f>AL171</f>
      </c>
      <c r="E171" s="10" t="str">
        <f>AM171</f>
      </c>
      <c r="F171" s="10" t="str">
        <f>AN171</f>
      </c>
      <c r="G171" s="6" t="str">
        <f>AM171/AL171-1</f>
      </c>
      <c r="H171" s="6" t="str">
        <f>AM171/AF171-1</f>
      </c>
      <c r="I171" s="6" t="str">
        <f>AN171/AM171</f>
      </c>
      <c r="J171" s="6" t="str">
        <f>Sum(J$1:J$170)</f>
      </c>
      <c r="K171" s="6" t="str">
        <f>Sum(K$1:K$170)</f>
      </c>
      <c r="O171" t="s">
        <v>256</v>
      </c>
      <c r="P171" t="s">
        <v>257</v>
      </c>
      <c r="Q171" s="10" t="str">
        <f>Sum(Q2:Q170)</f>
      </c>
      <c r="R171" s="10" t="str">
        <f>Sum(R2:R170)</f>
      </c>
      <c r="S171" s="10" t="str">
        <f>Sum(S2:S170)</f>
      </c>
      <c r="T171" s="10" t="str">
        <f>Sum(T2:T170)</f>
      </c>
      <c r="U171" s="10" t="str">
        <f>Sum(U2:U170)</f>
      </c>
      <c r="V171" s="10" t="str">
        <f>Sum(V2:V170)</f>
      </c>
      <c r="W171" s="10" t="str">
        <f>Sum(W2:W170)</f>
      </c>
      <c r="X171" s="10" t="str">
        <f>Sum(X2:X170)</f>
      </c>
      <c r="Y171" s="10" t="str">
        <f>Sum(Y2:Y170)</f>
      </c>
      <c r="Z171" s="10" t="str">
        <f>Sum(Z2:Z170)</f>
      </c>
      <c r="AA171" s="10" t="str">
        <f>Sum(AA2:AA170)</f>
      </c>
      <c r="AB171" s="10" t="str">
        <f>Sum(AB2:AB170)</f>
      </c>
      <c r="AC171" s="10" t="str">
        <f>Sum(AC2:AC170)</f>
      </c>
      <c r="AD171" s="10" t="str">
        <f>Sum(AD2:AD170)</f>
      </c>
      <c r="AE171" s="10" t="str">
        <f>Sum(AE2:AE170)</f>
      </c>
      <c r="AF171" s="10" t="str">
        <f>Sum(AF2:AF170)</f>
      </c>
      <c r="AG171" s="10" t="str">
        <f>Sum(AG2:AG170)</f>
      </c>
      <c r="AH171" s="10" t="str">
        <f>Sum(AH2:AH170)</f>
      </c>
      <c r="AI171" s="10" t="str">
        <f>Sum(AI2:AI170)</f>
      </c>
      <c r="AJ171" s="10" t="str">
        <f>Sum(AJ2:AJ170)</f>
      </c>
      <c r="AK171" s="10" t="str">
        <f>Sum(AK2:AK170)</f>
      </c>
      <c r="AL171" s="10" t="str">
        <f>Sum(AL2:AL170)</f>
      </c>
      <c r="AM171" s="10" t="str">
        <f>Sum(AM2:AM170)</f>
      </c>
      <c r="AN171" s="10"/>
      <c r="AO171" s="10"/>
    </row>
    <row r="172">
      <c r="P172" t="str">
        <f>Sum(A2:A170)</f>
      </c>
    </row>
    <row r="173">
      <c r="P173" t="str">
        <f>Sum(B2:B170)</f>
      </c>
    </row>
    <row r="174">
      <c r="P174" t="str">
        <f>Sum(C2:C170)</f>
      </c>
    </row>
    <row r="175">
      <c r="P175" t="str">
        <f>Sum(D2:D170)</f>
      </c>
    </row>
    <row r="176">
      <c r="P176" t="str">
        <f>Sum(E2:E170)</f>
      </c>
    </row>
    <row r="177">
      <c r="P177" t="str">
        <f>Sum(F2:F170)</f>
      </c>
    </row>
    <row r="178">
      <c r="P178" t="str">
        <f>Sum(G2:G170)</f>
      </c>
    </row>
    <row r="179">
      <c r="P179" t="str">
        <f>Sum(H2:H170)</f>
      </c>
    </row>
    <row r="180">
      <c r="P180" t="str">
        <f>Sum(I2:I170)</f>
      </c>
    </row>
    <row r="181">
      <c r="P181" t="str">
        <f>Sum(J2:J170)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258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259</v>
      </c>
      <c r="L2" s="11" t="n">
        <v>1407676000</v>
      </c>
      <c r="M2" s="11" t="n">
        <v>2245486290</v>
      </c>
      <c r="N2" s="11" t="n">
        <v>763573559</v>
      </c>
      <c r="O2" s="11" t="n">
        <v>734996632</v>
      </c>
      <c r="P2" s="11" t="n">
        <v>941061864</v>
      </c>
      <c r="Q2" s="11" t="n">
        <v>1176359374</v>
      </c>
      <c r="R2" s="11" t="n">
        <v>2289854016</v>
      </c>
      <c r="S2" s="11" t="n">
        <v>2726006781</v>
      </c>
      <c r="T2" s="11" t="n">
        <v>3842262769</v>
      </c>
      <c r="U2" s="11" t="n">
        <v>3251936789</v>
      </c>
      <c r="V2" s="11" t="n">
        <v>2655875201</v>
      </c>
      <c r="W2" s="11" t="n">
        <v>3383373287</v>
      </c>
      <c r="X2" s="11" t="n">
        <v>8575025257.9004</v>
      </c>
      <c r="Y2" s="11" t="n">
        <v>7387264141</v>
      </c>
      <c r="Z2" s="11" t="n">
        <v>9169925094.2097</v>
      </c>
      <c r="AA2" s="11" t="n">
        <v>9550018116.9512</v>
      </c>
      <c r="AB2" s="11" t="n">
        <v>11145014148.3016</v>
      </c>
      <c r="AC2" s="11" t="n">
        <v>11366460258.6291</v>
      </c>
      <c r="AD2" s="11" t="n">
        <v>12363772567.6992</v>
      </c>
      <c r="AE2" s="11" t="n">
        <v>13549240183.023</v>
      </c>
      <c r="AF2" s="11" t="n">
        <v>9208945488.0464</v>
      </c>
      <c r="AG2" s="11" t="n">
        <v>17384493122.8107</v>
      </c>
      <c r="AH2" s="11" t="n">
        <v>8264856632.9164</v>
      </c>
      <c r="AI2" s="11" t="n">
        <v>7658302984.7878</v>
      </c>
      <c r="AJ2" s="11" t="n">
        <v>10412155499.7798</v>
      </c>
      <c r="AK2" s="11" t="n">
        <v>8328296397.5314</v>
      </c>
      <c r="AL2" s="11" t="n">
        <v>10007661570.5311</v>
      </c>
      <c r="AM2" s="11" t="n">
        <v>9355114750.7082</v>
      </c>
      <c r="AN2" s="11" t="n">
        <v>9934911309.1396</v>
      </c>
      <c r="AO2" s="11" t="n">
        <v>11017495303.3075</v>
      </c>
      <c r="AP2" s="11" t="n">
        <v>18129386075.1032</v>
      </c>
      <c r="AQ2" s="11" t="n">
        <v>11312134287.1664</v>
      </c>
      <c r="AR2" s="11" t="n">
        <v>13063009663.6514</v>
      </c>
      <c r="AS2" s="11" t="n">
        <v>8826172530.7096</v>
      </c>
      <c r="AT2" s="11"/>
      <c r="AU2" s="11"/>
    </row>
    <row r="3">
      <c r="A3" t="str">
        <f>K3</f>
      </c>
      <c r="K3" t="s">
        <v>260</v>
      </c>
      <c r="L3" s="11" t="n">
        <v>3556445000</v>
      </c>
      <c r="M3" s="11" t="n">
        <v>3842230355</v>
      </c>
      <c r="N3" s="11" t="n">
        <v>4266713610</v>
      </c>
      <c r="O3" s="11" t="n">
        <v>3731336093</v>
      </c>
      <c r="P3" s="11" t="n">
        <v>3276553686</v>
      </c>
      <c r="Q3" s="11" t="n">
        <v>2411400931</v>
      </c>
      <c r="R3" s="11" t="n">
        <v>2715703119</v>
      </c>
      <c r="S3" s="11" t="n">
        <v>2133825457</v>
      </c>
      <c r="T3" s="11" t="n">
        <v>1964664471</v>
      </c>
      <c r="U3" s="11" t="n">
        <v>2341353224</v>
      </c>
      <c r="V3" s="11" t="n">
        <v>4142653942</v>
      </c>
      <c r="W3" s="11" t="n">
        <v>1375899536</v>
      </c>
      <c r="X3" s="11" t="n">
        <v>1663874803</v>
      </c>
      <c r="Y3" s="11" t="n">
        <v>2523112891.9302</v>
      </c>
      <c r="Z3" s="11" t="n">
        <v>3160491169.4331</v>
      </c>
      <c r="AA3" s="11" t="n">
        <v>1939587849.0891</v>
      </c>
      <c r="AB3" s="11" t="n">
        <v>2973069479.5677</v>
      </c>
      <c r="AC3" s="11" t="n">
        <v>2957402532.8626</v>
      </c>
      <c r="AD3" s="11" t="n">
        <v>4030948902.5163</v>
      </c>
      <c r="AE3" s="11" t="n">
        <v>3869618023.6785</v>
      </c>
      <c r="AF3" s="11" t="n">
        <v>3970546133.8752</v>
      </c>
      <c r="AG3" s="11" t="n">
        <v>5350431003.1249</v>
      </c>
      <c r="AH3" s="11" t="n">
        <v>10550824240.3543</v>
      </c>
      <c r="AI3" s="11" t="n">
        <v>10697619654.4128</v>
      </c>
      <c r="AJ3" s="11" t="n">
        <v>8685521266.8287</v>
      </c>
      <c r="AK3" s="11" t="n">
        <v>8261467951.7692</v>
      </c>
      <c r="AL3" s="11" t="n">
        <v>9141552886.6565</v>
      </c>
      <c r="AM3" s="11" t="n">
        <v>12094140393.7318</v>
      </c>
      <c r="AN3" s="11" t="n">
        <v>12578079791.4533</v>
      </c>
      <c r="AO3" s="11" t="n">
        <v>12482137378.7566</v>
      </c>
      <c r="AP3" s="11" t="n">
        <v>13590860765.5053</v>
      </c>
      <c r="AQ3" s="11" t="n">
        <v>12199697717.228</v>
      </c>
      <c r="AR3" s="11" t="n">
        <v>11099113658.7153</v>
      </c>
      <c r="AS3" s="11" t="n">
        <v>8071517178.1405</v>
      </c>
      <c r="AT3" s="11"/>
      <c r="AU3" s="11"/>
    </row>
    <row r="4">
      <c r="A4" t="str">
        <f>K4</f>
      </c>
      <c r="K4" t="s">
        <v>261</v>
      </c>
      <c r="L4" s="11" t="n">
        <v>4058511493</v>
      </c>
      <c r="M4" s="11" t="n">
        <v>2099496793</v>
      </c>
      <c r="N4" s="11" t="n">
        <v>2207714938</v>
      </c>
      <c r="O4" s="11" t="n">
        <v>3907960996</v>
      </c>
      <c r="P4" s="11" t="n">
        <v>2257824099</v>
      </c>
      <c r="Q4" s="11" t="n">
        <v>5069532434</v>
      </c>
      <c r="R4" s="11" t="n">
        <v>2080828491</v>
      </c>
      <c r="S4" s="11" t="n">
        <v>2570677803</v>
      </c>
      <c r="T4" s="11" t="n">
        <v>2795834673</v>
      </c>
      <c r="U4" s="11" t="n">
        <v>1896577093</v>
      </c>
      <c r="V4" s="11" t="n">
        <v>1534784898</v>
      </c>
      <c r="W4" s="11" t="n">
        <v>6618035702</v>
      </c>
      <c r="X4" s="11" t="n">
        <v>1336099400</v>
      </c>
      <c r="Y4" s="11" t="n">
        <v>1229953511.1204</v>
      </c>
      <c r="Z4" s="11" t="n">
        <v>1166860806.4705</v>
      </c>
      <c r="AA4" s="11" t="n">
        <v>1273573193.6264</v>
      </c>
      <c r="AB4" s="11" t="n">
        <v>1051703561.7186</v>
      </c>
      <c r="AC4" s="11" t="n">
        <v>1114534952.1509</v>
      </c>
      <c r="AD4" s="11" t="n">
        <v>1218457500.6637</v>
      </c>
      <c r="AE4" s="11" t="n">
        <v>1809070566.9209</v>
      </c>
      <c r="AF4" s="11" t="n">
        <v>1701954769.4829</v>
      </c>
      <c r="AG4" s="11" t="n">
        <v>2963086089.2128</v>
      </c>
      <c r="AH4" s="11" t="n">
        <v>2334351315.7299</v>
      </c>
      <c r="AI4" s="11" t="n">
        <v>2294030107.5602</v>
      </c>
      <c r="AJ4" s="11" t="n">
        <v>2207917952.1899</v>
      </c>
      <c r="AK4" s="11" t="n">
        <v>2243779677.7068</v>
      </c>
      <c r="AL4" s="11" t="n">
        <v>2586379834.222</v>
      </c>
      <c r="AM4" s="11" t="n">
        <v>2344626827.8604</v>
      </c>
      <c r="AN4" s="11" t="n">
        <v>3391578662.979</v>
      </c>
      <c r="AO4" s="11" t="n">
        <v>3808479464.4878</v>
      </c>
      <c r="AP4" s="11" t="n">
        <v>2272295087.4311</v>
      </c>
      <c r="AQ4" s="11" t="n">
        <v>2666805207.3796</v>
      </c>
      <c r="AR4" s="11" t="n">
        <v>3606889529.0882</v>
      </c>
      <c r="AS4" s="11" t="n">
        <v>1429961404.9097</v>
      </c>
      <c r="AT4" s="11"/>
      <c r="AU4" s="11"/>
    </row>
    <row r="5">
      <c r="A5" t="str">
        <f>K5</f>
      </c>
      <c r="K5" t="s">
        <v>262</v>
      </c>
      <c r="L5" s="11" t="n">
        <v>1598684000</v>
      </c>
      <c r="M5" s="11" t="n">
        <v>1220900028</v>
      </c>
      <c r="N5" s="11" t="n">
        <v>1194221481</v>
      </c>
      <c r="O5" s="11" t="n">
        <v>1024033084</v>
      </c>
      <c r="P5" s="11" t="n">
        <v>849244434</v>
      </c>
      <c r="Q5" s="11" t="n">
        <v>946913848</v>
      </c>
      <c r="R5" s="11" t="n">
        <v>845752188</v>
      </c>
      <c r="S5" s="11" t="n">
        <v>900843876</v>
      </c>
      <c r="T5" s="11" t="n">
        <v>756713733</v>
      </c>
      <c r="U5" s="11" t="n">
        <v>830027295</v>
      </c>
      <c r="V5" s="11" t="n">
        <v>1022507722</v>
      </c>
      <c r="W5" s="11" t="n">
        <v>1026768444</v>
      </c>
      <c r="X5" s="11" t="n">
        <v>1117853591.0298</v>
      </c>
      <c r="Y5" s="11" t="n">
        <v>1532294300</v>
      </c>
      <c r="Z5" s="11" t="n">
        <v>1345297631.0503</v>
      </c>
      <c r="AA5" s="11" t="n">
        <v>1274081432.4639</v>
      </c>
      <c r="AB5" s="11" t="n">
        <v>1647369538.2082</v>
      </c>
      <c r="AC5" s="11" t="n">
        <v>1768073610.3824</v>
      </c>
      <c r="AD5" s="11" t="n">
        <v>1717103087.9883</v>
      </c>
      <c r="AE5" s="11" t="n">
        <v>2244513279.023</v>
      </c>
      <c r="AF5" s="11" t="n">
        <v>2671939066.2854</v>
      </c>
      <c r="AG5" s="11" t="n">
        <v>2684042432.5112</v>
      </c>
      <c r="AH5" s="11" t="n">
        <v>2672165534.8493</v>
      </c>
      <c r="AI5" s="11" t="n">
        <v>2399241975.2401</v>
      </c>
      <c r="AJ5" s="11" t="n">
        <v>2520496498.6004</v>
      </c>
      <c r="AK5" s="11" t="n">
        <v>2643873470.7977</v>
      </c>
      <c r="AL5" s="11" t="n">
        <v>2915252643.9704</v>
      </c>
      <c r="AM5" s="11" t="n">
        <v>3412588067.2946</v>
      </c>
      <c r="AN5" s="11" t="n">
        <v>5404819681.5133</v>
      </c>
      <c r="AO5" s="11" t="n">
        <v>5997455412.5285</v>
      </c>
      <c r="AP5" s="11" t="n">
        <v>6090229133.5035</v>
      </c>
      <c r="AQ5" s="11" t="n">
        <v>5779257817.0507</v>
      </c>
      <c r="AR5" s="11" t="n">
        <v>6612770123.0285</v>
      </c>
      <c r="AS5" s="11" t="n">
        <v>2384672316.0205</v>
      </c>
      <c r="AT5" s="11"/>
      <c r="AU5" s="11"/>
    </row>
    <row r="6">
      <c r="A6" t="str">
        <f>K6</f>
      </c>
      <c r="K6" t="s">
        <v>38</v>
      </c>
      <c r="L6" s="11" t="n">
        <v>59341000</v>
      </c>
      <c r="M6" s="11" t="n">
        <v>104657246</v>
      </c>
      <c r="N6" s="11" t="n">
        <v>167858438</v>
      </c>
      <c r="O6" s="11" t="n">
        <v>104443667</v>
      </c>
      <c r="P6" s="11" t="n">
        <v>64342563</v>
      </c>
      <c r="Q6" s="11" t="n">
        <v>50150153</v>
      </c>
      <c r="R6" s="11" t="n">
        <v>37490534</v>
      </c>
      <c r="S6" s="11" t="n">
        <v>9167725</v>
      </c>
      <c r="T6" s="11" t="n">
        <v>9757587</v>
      </c>
      <c r="U6" s="11" t="n">
        <v>237626</v>
      </c>
      <c r="V6" s="11"/>
      <c r="W6" s="11" t="n">
        <v>250324</v>
      </c>
      <c r="X6" s="11" t="n">
        <v>2698337</v>
      </c>
      <c r="Y6" s="11" t="n">
        <v>14164</v>
      </c>
      <c r="Z6" s="11" t="n">
        <v>247006</v>
      </c>
      <c r="AA6" s="11" t="n">
        <v>5083369</v>
      </c>
      <c r="AB6" s="11" t="n">
        <v>2047153.6937</v>
      </c>
      <c r="AC6" s="11" t="n">
        <v>46023603.0841</v>
      </c>
      <c r="AD6" s="11" t="n">
        <v>22803434.8418</v>
      </c>
      <c r="AE6" s="11" t="n">
        <v>29052462.747</v>
      </c>
      <c r="AF6" s="11" t="n">
        <v>8804475.3547</v>
      </c>
      <c r="AG6" s="11" t="n">
        <v>7518615.8737</v>
      </c>
      <c r="AH6" s="11" t="n">
        <v>1319812.0679</v>
      </c>
      <c r="AI6" s="11" t="n">
        <v>2083805.26</v>
      </c>
      <c r="AJ6" s="11" t="n">
        <v>1335155.6707</v>
      </c>
      <c r="AK6" s="11" t="n">
        <v>791575.1035</v>
      </c>
      <c r="AL6" s="11" t="n">
        <v>1812288.3847</v>
      </c>
      <c r="AM6" s="11" t="n">
        <v>1447325.5053</v>
      </c>
      <c r="AN6" s="11" t="n">
        <v>341860.5327</v>
      </c>
      <c r="AO6" s="11" t="n">
        <v>234098.0566</v>
      </c>
      <c r="AP6" s="11" t="n">
        <v>531644.7636</v>
      </c>
      <c r="AQ6" s="11" t="n">
        <v>3249212.789</v>
      </c>
      <c r="AR6" s="11" t="n">
        <v>1691526.6362</v>
      </c>
      <c r="AS6" s="11" t="n">
        <v>249837.2825</v>
      </c>
      <c r="AT6" s="11"/>
      <c r="AU6" s="11"/>
    </row>
    <row r="7">
      <c r="A7" t="str">
        <f>K7</f>
      </c>
      <c r="K7" t="s">
        <v>256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258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259</v>
      </c>
      <c r="L11" s="11" t="n">
        <v>2797800485.47168</v>
      </c>
      <c r="M11" s="11" t="n">
        <v>4309266820.05243</v>
      </c>
      <c r="N11" s="11" t="n">
        <v>1429628578.58338</v>
      </c>
      <c r="O11" s="11" t="n">
        <v>1344539888.67693</v>
      </c>
      <c r="P11" s="11" t="n">
        <v>1684787041.2165</v>
      </c>
      <c r="Q11" s="11" t="n">
        <v>2062354669.89008</v>
      </c>
      <c r="R11" s="11" t="n">
        <v>3940438868.25288</v>
      </c>
      <c r="S11" s="11" t="n">
        <v>4609103568.293</v>
      </c>
      <c r="T11" s="11" t="n">
        <v>6416339350.53292</v>
      </c>
      <c r="U11" s="11" t="n">
        <v>5363672561.03295</v>
      </c>
      <c r="V11" s="11" t="n">
        <v>4291177370.69244</v>
      </c>
      <c r="W11" s="11" t="n">
        <v>5337194015.65496</v>
      </c>
      <c r="X11" s="11" t="n">
        <v>13316721306.2433</v>
      </c>
      <c r="Y11" s="11" t="n">
        <v>11256996293.8057</v>
      </c>
      <c r="Z11" s="11" t="n">
        <v>13640074023.2332</v>
      </c>
      <c r="AA11" s="11" t="n">
        <v>13786928598.1667</v>
      </c>
      <c r="AB11" s="11" t="n">
        <v>15582231941.5448</v>
      </c>
      <c r="AC11" s="11" t="n">
        <v>15467671712.3034</v>
      </c>
      <c r="AD11" s="11" t="n">
        <v>16481103829.8624</v>
      </c>
      <c r="AE11" s="11" t="n">
        <v>17879658569.6091</v>
      </c>
      <c r="AF11" s="11" t="n">
        <v>12047397723.3967</v>
      </c>
      <c r="AG11" s="11" t="n">
        <v>22293576557.5754</v>
      </c>
      <c r="AH11" s="11" t="n">
        <v>10407933955.8458</v>
      </c>
      <c r="AI11" s="11" t="n">
        <v>9470785568.55136</v>
      </c>
      <c r="AJ11" s="11" t="n">
        <v>12632011005.384</v>
      </c>
      <c r="AK11" s="11" t="n">
        <v>9989354851.90335</v>
      </c>
      <c r="AL11" s="11" t="n">
        <v>11905014380.0153</v>
      </c>
      <c r="AM11" s="11" t="n">
        <v>10933546182.3132</v>
      </c>
      <c r="AN11" s="11" t="n">
        <v>11344789454.3975</v>
      </c>
      <c r="AO11" s="11" t="n">
        <v>12339320382.3193</v>
      </c>
      <c r="AP11" s="11" t="n">
        <v>20037156307.5624</v>
      </c>
      <c r="AQ11" s="11" t="n">
        <v>12095924865.3848</v>
      </c>
      <c r="AR11" s="11" t="n">
        <v>13063009663.6514</v>
      </c>
      <c r="AS11" s="11" t="n">
        <v>8418389056.40735</v>
      </c>
      <c r="AT11" s="11"/>
      <c r="AU11" s="11"/>
    </row>
    <row r="12">
      <c r="A12" t="str">
        <f>K12</f>
      </c>
      <c r="K12" t="s">
        <v>260</v>
      </c>
      <c r="L12" s="11" t="n">
        <v>7068546702.19093</v>
      </c>
      <c r="M12" s="11" t="n">
        <v>7373545702.56573</v>
      </c>
      <c r="N12" s="11" t="n">
        <v>7988510918.94169</v>
      </c>
      <c r="O12" s="11" t="n">
        <v>6825786672.58223</v>
      </c>
      <c r="P12" s="11" t="n">
        <v>5866027942.68897</v>
      </c>
      <c r="Q12" s="11" t="n">
        <v>4227589018.2392</v>
      </c>
      <c r="R12" s="11" t="n">
        <v>4673250805.49727</v>
      </c>
      <c r="S12" s="11" t="n">
        <v>3607849619.64228</v>
      </c>
      <c r="T12" s="11" t="n">
        <v>3280867216.46893</v>
      </c>
      <c r="U12" s="11" t="n">
        <v>3861776183.88352</v>
      </c>
      <c r="V12" s="11" t="n">
        <v>6693410459.88411</v>
      </c>
      <c r="W12" s="11" t="n">
        <v>2170450064.70243</v>
      </c>
      <c r="X12" s="11" t="n">
        <v>2583940731.7917</v>
      </c>
      <c r="Y12" s="11" t="n">
        <v>3844816149.95655</v>
      </c>
      <c r="Z12" s="11" t="n">
        <v>4701165283.02544</v>
      </c>
      <c r="AA12" s="11" t="n">
        <v>2800095126.29072</v>
      </c>
      <c r="AB12" s="11" t="n">
        <v>4156751852.66693</v>
      </c>
      <c r="AC12" s="11" t="n">
        <v>4024483476.70293</v>
      </c>
      <c r="AD12" s="11" t="n">
        <v>5373318461.77789</v>
      </c>
      <c r="AE12" s="11" t="n">
        <v>5106371141.37722</v>
      </c>
      <c r="AF12" s="11" t="n">
        <v>5194378500.33767</v>
      </c>
      <c r="AG12" s="11" t="n">
        <v>6861301180.3996</v>
      </c>
      <c r="AH12" s="11" t="n">
        <v>13286652963.3431</v>
      </c>
      <c r="AI12" s="11" t="n">
        <v>13229414145.9423</v>
      </c>
      <c r="AJ12" s="11" t="n">
        <v>10537261015.0124</v>
      </c>
      <c r="AK12" s="11" t="n">
        <v>9909197635.22243</v>
      </c>
      <c r="AL12" s="11" t="n">
        <v>10874700128.9274</v>
      </c>
      <c r="AM12" s="11" t="n">
        <v>14134710909.9048</v>
      </c>
      <c r="AN12" s="11" t="n">
        <v>14363053935.205</v>
      </c>
      <c r="AO12" s="11" t="n">
        <v>13979683034.3429</v>
      </c>
      <c r="AP12" s="11" t="n">
        <v>15021038240.6011</v>
      </c>
      <c r="AQ12" s="11" t="n">
        <v>13044985430.8581</v>
      </c>
      <c r="AR12" s="11" t="n">
        <v>11099113658.7153</v>
      </c>
      <c r="AS12" s="11" t="n">
        <v>7698600004.09475</v>
      </c>
      <c r="AT12" s="11"/>
      <c r="AU12" s="11"/>
    </row>
    <row r="13">
      <c r="A13" t="str">
        <f>K13</f>
      </c>
      <c r="K13" t="s">
        <v>261</v>
      </c>
      <c r="L13" s="11" t="n">
        <v>8066419705.53436</v>
      </c>
      <c r="M13" s="11" t="n">
        <v>4029101361.7729</v>
      </c>
      <c r="N13" s="11" t="n">
        <v>4133475198.98897</v>
      </c>
      <c r="O13" s="11" t="n">
        <v>7148889142.82211</v>
      </c>
      <c r="P13" s="11" t="n">
        <v>4042192048.00496</v>
      </c>
      <c r="Q13" s="11" t="n">
        <v>8887737982.542</v>
      </c>
      <c r="R13" s="11" t="n">
        <v>3580742443.32281</v>
      </c>
      <c r="S13" s="11" t="n">
        <v>4346474967.4586</v>
      </c>
      <c r="T13" s="11" t="n">
        <v>4668869650.11586</v>
      </c>
      <c r="U13" s="11" t="n">
        <v>3128172278.13826</v>
      </c>
      <c r="V13" s="11" t="n">
        <v>2479798079.63051</v>
      </c>
      <c r="W13" s="11" t="n">
        <v>10439800030.2901</v>
      </c>
      <c r="X13" s="11" t="n">
        <v>2074916727.60336</v>
      </c>
      <c r="Y13" s="11" t="n">
        <v>1874250311.34212</v>
      </c>
      <c r="Z13" s="11" t="n">
        <v>1735681329.0784</v>
      </c>
      <c r="AA13" s="11" t="n">
        <v>1838599934.58021</v>
      </c>
      <c r="AB13" s="11" t="n">
        <v>1470423331.4002</v>
      </c>
      <c r="AC13" s="11" t="n">
        <v>1516678047.47484</v>
      </c>
      <c r="AD13" s="11" t="n">
        <v>1624223065.47249</v>
      </c>
      <c r="AE13" s="11" t="n">
        <v>2387260365.00582</v>
      </c>
      <c r="AF13" s="11" t="n">
        <v>2226544400.96401</v>
      </c>
      <c r="AG13" s="11" t="n">
        <v>3799810906.76011</v>
      </c>
      <c r="AH13" s="11" t="n">
        <v>2939648611.33778</v>
      </c>
      <c r="AI13" s="11" t="n">
        <v>2836955821.63043</v>
      </c>
      <c r="AJ13" s="11" t="n">
        <v>2678642656.80987</v>
      </c>
      <c r="AK13" s="11" t="n">
        <v>2691296075.47905</v>
      </c>
      <c r="AL13" s="11" t="n">
        <v>3076731652.2036</v>
      </c>
      <c r="AM13" s="11" t="n">
        <v>2740221406.77234</v>
      </c>
      <c r="AN13" s="11" t="n">
        <v>3872882671.24511</v>
      </c>
      <c r="AO13" s="11" t="n">
        <v>4265402161.56851</v>
      </c>
      <c r="AP13" s="11" t="n">
        <v>2511410571.49691</v>
      </c>
      <c r="AQ13" s="11" t="n">
        <v>2851581726.33052</v>
      </c>
      <c r="AR13" s="11" t="n">
        <v>3606889529.0882</v>
      </c>
      <c r="AS13" s="11" t="n">
        <v>1363894870.65792</v>
      </c>
      <c r="AT13" s="11"/>
      <c r="AU13" s="11"/>
    </row>
    <row r="14">
      <c r="A14" t="str">
        <f>K14</f>
      </c>
      <c r="K14" t="s">
        <v>262</v>
      </c>
      <c r="L14" s="11" t="n">
        <v>3177434914.93483</v>
      </c>
      <c r="M14" s="11" t="n">
        <v>2343004276.93169</v>
      </c>
      <c r="N14" s="11" t="n">
        <v>2235924932.53917</v>
      </c>
      <c r="O14" s="11" t="n">
        <v>1873278418.99941</v>
      </c>
      <c r="P14" s="11" t="n">
        <v>1520405907.37236</v>
      </c>
      <c r="Q14" s="11" t="n">
        <v>1660098299.52389</v>
      </c>
      <c r="R14" s="11" t="n">
        <v>1455391815.90566</v>
      </c>
      <c r="S14" s="11" t="n">
        <v>1523137342.24218</v>
      </c>
      <c r="T14" s="11" t="n">
        <v>1263664771.00686</v>
      </c>
      <c r="U14" s="11" t="n">
        <v>1369028648.4532</v>
      </c>
      <c r="V14" s="11" t="n">
        <v>1652096452.55642</v>
      </c>
      <c r="W14" s="11" t="n">
        <v>1619703748.27877</v>
      </c>
      <c r="X14" s="11" t="n">
        <v>1735988441.45819</v>
      </c>
      <c r="Y14" s="11" t="n">
        <v>2334968795.87477</v>
      </c>
      <c r="Z14" s="11" t="n">
        <v>2001102417.11717</v>
      </c>
      <c r="AA14" s="11" t="n">
        <v>1839333655.9698</v>
      </c>
      <c r="AB14" s="11" t="n">
        <v>2303244652.38185</v>
      </c>
      <c r="AC14" s="11" t="n">
        <v>2406024527.10114</v>
      </c>
      <c r="AD14" s="11" t="n">
        <v>2288925497.8409</v>
      </c>
      <c r="AE14" s="11" t="n">
        <v>2961873178.25902</v>
      </c>
      <c r="AF14" s="11" t="n">
        <v>3495504742.21022</v>
      </c>
      <c r="AG14" s="11" t="n">
        <v>3441970095.43266</v>
      </c>
      <c r="AH14" s="11" t="n">
        <v>3365058057.39367</v>
      </c>
      <c r="AI14" s="11" t="n">
        <v>2967068072.35261</v>
      </c>
      <c r="AJ14" s="11" t="n">
        <v>3057862467.577</v>
      </c>
      <c r="AK14" s="11" t="n">
        <v>3171187602.20397</v>
      </c>
      <c r="AL14" s="11" t="n">
        <v>3467955466.2442</v>
      </c>
      <c r="AM14" s="11" t="n">
        <v>3988373229.96514</v>
      </c>
      <c r="AN14" s="11" t="n">
        <v>6171825738.32786</v>
      </c>
      <c r="AO14" s="11" t="n">
        <v>6717000713.55126</v>
      </c>
      <c r="AP14" s="11" t="n">
        <v>6731108962.61748</v>
      </c>
      <c r="AQ14" s="11" t="n">
        <v>6179688691.64158</v>
      </c>
      <c r="AR14" s="11" t="n">
        <v>6612770123.0285</v>
      </c>
      <c r="AS14" s="11" t="n">
        <v>2274496590.50462</v>
      </c>
      <c r="AT14" s="11"/>
      <c r="AU14" s="11"/>
    </row>
    <row r="15">
      <c r="A15" t="str">
        <f>K15</f>
      </c>
      <c r="K15" t="s">
        <v>38</v>
      </c>
      <c r="L15" s="11" t="n">
        <v>117942110.69051</v>
      </c>
      <c r="M15" s="11" t="n">
        <v>200845580.609563</v>
      </c>
      <c r="N15" s="11" t="n">
        <v>314279112.068058</v>
      </c>
      <c r="O15" s="11" t="n">
        <v>191060299.173167</v>
      </c>
      <c r="P15" s="11" t="n">
        <v>115192763.077536</v>
      </c>
      <c r="Q15" s="11" t="n">
        <v>87921603.3137609</v>
      </c>
      <c r="R15" s="11" t="n">
        <v>64514661.7788389</v>
      </c>
      <c r="S15" s="11" t="n">
        <v>15500692.9201872</v>
      </c>
      <c r="T15" s="11" t="n">
        <v>16294562.1365306</v>
      </c>
      <c r="U15" s="11" t="n">
        <v>391935.064758732</v>
      </c>
      <c r="V15" s="11"/>
      <c r="W15" s="11" t="n">
        <v>394880.387543478</v>
      </c>
      <c r="X15" s="11" t="n">
        <v>4190425.18693675</v>
      </c>
      <c r="Y15" s="11" t="n">
        <v>21583.6461864867</v>
      </c>
      <c r="Z15" s="11" t="n">
        <v>367416.319061341</v>
      </c>
      <c r="AA15" s="11" t="n">
        <v>7338629.57984712</v>
      </c>
      <c r="AB15" s="11" t="n">
        <v>2862196.78600271</v>
      </c>
      <c r="AC15" s="11" t="n">
        <v>62629698.896961</v>
      </c>
      <c r="AD15" s="11" t="n">
        <v>30397338.29196</v>
      </c>
      <c r="AE15" s="11" t="n">
        <v>38337804.00273</v>
      </c>
      <c r="AF15" s="11" t="n">
        <v>11518258.6846236</v>
      </c>
      <c r="AG15" s="11" t="n">
        <v>9641744.36396983</v>
      </c>
      <c r="AH15" s="11" t="n">
        <v>1662039.33678935</v>
      </c>
      <c r="AI15" s="11" t="n">
        <v>2576977.27855387</v>
      </c>
      <c r="AJ15" s="11" t="n">
        <v>1619808.80198533</v>
      </c>
      <c r="AK15" s="11" t="n">
        <v>949452.832050674</v>
      </c>
      <c r="AL15" s="11" t="n">
        <v>2155880.18524924</v>
      </c>
      <c r="AM15" s="11" t="n">
        <v>1691523.90694507</v>
      </c>
      <c r="AN15" s="11" t="n">
        <v>390374.472964023</v>
      </c>
      <c r="AO15" s="11" t="n">
        <v>262183.993888206</v>
      </c>
      <c r="AP15" s="11" t="n">
        <v>587590.180065687</v>
      </c>
      <c r="AQ15" s="11" t="n">
        <v>3474342.92854707</v>
      </c>
      <c r="AR15" s="11" t="n">
        <v>1691526.6362</v>
      </c>
      <c r="AS15" s="11" t="n">
        <v>238294.395171024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../output/AcqTrends/Platform//Ships_and_Submarines/DoD_Ships_and_Submarines_Contracts.xlsx</dc:creator>
  <cp:lastModifiedBy>../output/AcqTrends/Platform//Ships_and_Submarines/DoD_Ships_and_Submarines_Contracts.xlsx</cp:lastModifiedBy>
  <dcterms:created xsi:type="dcterms:W3CDTF">2023-11-12T22:35:06Z</dcterms:created>
</coreProperties>
</file>