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<sst xmlns="http://schemas.openxmlformats.org/spreadsheetml/2006/main" count="135" uniqueCount="135">
  <si>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</si>
  <si>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</si>
  <si>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</si>
  <si>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</si>
  <si>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</si>
  <si>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</si>
  <si>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</si>
  <si>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</si>
  <si>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</si>
  <si>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</si>
  <si>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</si>
  <si>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</si>
  <si>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</si>
  <si>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</si>
  <si>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</si>
  <si>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</si>
  <si>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</si>
  <si>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</si>
  <si>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</si>
  <si>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</si>
  <si>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</si>
  <si>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</si>
  <si>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</si>
  <si>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</si>
  <si>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</si>
  <si>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</si>
  <si>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</si>
  <si>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</si>
  <si>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</si>
  <si>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</si>
  <si>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</si>
  <si>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</si>
  <si>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</si>
  <si>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</si>
  <si>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</si>
  <si>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</si>
  <si>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</si>
  <si>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</si>
  <si>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</si>
  <si>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</si>
  <si>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</si>
  <si>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</si>
  <si>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</si>
  <si>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</si>
  <si>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</si>
  <si>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</si>
  <si>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</si>
  <si>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</si>
  <si>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</si>
  <si>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</si>
  <si>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</si>
  <si>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</si>
  <si>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</si>
  <si>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</si>
  <si>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</si>
  <si>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</si>
  <si>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</si>
  <si>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</si>
  <si>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</si>
  <si>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</si>
  <si>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</si>
  <si>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</si>
  <si>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</si>
  <si>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</si>
  <si>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</si>
  <si>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</si>
  <si>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</si>
  <si>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</si>
  <si>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</si>
  <si>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</si>
  <si>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</si>
  <si>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ACWS</t>
  </si>
  <si>
    <t xml:space="preserve">Department of Defense Healthcare Management System Modernization (DHMSM)</t>
  </si>
  <si>
    <t xml:space="preserve">MQ-9 Reaper</t>
  </si>
  <si>
    <t xml:space="preserve">Massive Ordnance Penetrator (MOP)</t>
  </si>
  <si>
    <t xml:space="preserve">Other Labeled Project</t>
  </si>
  <si>
    <t xml:space="preserve">Other UAS</t>
  </si>
  <si>
    <t xml:space="preserve">SOLDIER ENHANCEMENT</t>
  </si>
  <si>
    <t xml:space="preserve">STATUS OF FORCES AGREEMENT</t>
  </si>
  <si>
    <t xml:space="preserve">TRACKWOLF HF SYSTEM</t>
  </si>
  <si>
    <t xml:space="preserve">WATER PURIFICATION ROWPU</t>
  </si>
  <si>
    <t xml:space="preserve">AH-64E New Build</t>
  </si>
  <si>
    <t xml:space="preserve">RQ-7B Shadow Tactical Unmanned Aircraft System (RQ-7B Shadow)</t>
  </si>
  <si>
    <t xml:space="preserve">TopPStext</t>
  </si>
  <si>
    <t xml:space="preserve">CLOTHING, SPECIAL
PURPOSE</t>
  </si>
  <si>
    <t xml:space="preserve">DAIRY FOODS AND
EGGS</t>
  </si>
  <si>
    <t xml:space="preserve">DRUGS AND
BIOLOGICALS</t>
  </si>
  <si>
    <t xml:space="preserve">FUEL OILS</t>
  </si>
  <si>
    <t xml:space="preserve">HARDWARE</t>
  </si>
  <si>
    <t xml:space="preserve">LIQUID PROPELLANTS
-PETROLEUM BASE</t>
  </si>
  <si>
    <t xml:space="preserve">MED &amp; SURGICAL
INSTRUMENTS,EQ &amp;
SUP</t>
  </si>
  <si>
    <t xml:space="preserve">MISCELLANEOUS ITEMS</t>
  </si>
  <si>
    <t xml:space="preserve">Other Labeled PSC</t>
  </si>
  <si>
    <t xml:space="preserve">TRAINING AIDS</t>
  </si>
  <si>
    <t xml:space="preserve">Project.Name</t>
  </si>
  <si>
    <t xml:space="preserve">ProjectID</t>
  </si>
  <si>
    <t xml:space="preserve">AIR CARGO MATERIALS HAND</t>
  </si>
  <si>
    <t xml:space="preserve">AIR TRAFFIC CNTL COMM CON</t>
  </si>
  <si>
    <t xml:space="preserve">ASM</t>
  </si>
  <si>
    <t xml:space="preserve">ATS</t>
  </si>
  <si>
    <t xml:space="preserve">BSM ENERGY</t>
  </si>
  <si>
    <t xml:space="preserve">C-11 GULFSTREAM II</t>
  </si>
  <si>
    <t xml:space="preserve">CBDP</t>
  </si>
  <si>
    <t xml:space="preserve">CBT FEEDING CLOTHING &amp; EQ</t>
  </si>
  <si>
    <t xml:space="preserve">CHCS II</t>
  </si>
  <si>
    <t xml:space="preserve">DADS</t>
  </si>
  <si>
    <t xml:space="preserve">DEAMS Inc 1</t>
  </si>
  <si>
    <t xml:space="preserve">DECON APP PWR DR LT WT M1</t>
  </si>
  <si>
    <t xml:space="preserve">DLS</t>
  </si>
  <si>
    <t xml:space="preserve">DMLSS</t>
  </si>
  <si>
    <t xml:space="preserve">DTS</t>
  </si>
  <si>
    <t xml:space="preserve">Defense Enterprise Office Solution (DEOS)</t>
  </si>
  <si>
    <t xml:space="preserve">ICBM FUZE MOD</t>
  </si>
  <si>
    <t xml:space="preserve">ILS-S</t>
  </si>
  <si>
    <t xml:space="preserve">LTH TRAINER</t>
  </si>
  <si>
    <t xml:space="preserve">MOBILE ARRESTING BARRIERS</t>
  </si>
  <si>
    <t xml:space="preserve">MODERNIZATION</t>
  </si>
  <si>
    <t xml:space="preserve">NSIPS</t>
  </si>
  <si>
    <t xml:space="preserve">PKI</t>
  </si>
  <si>
    <t xml:space="preserve">QM-107 GD MSL TGT SYS</t>
  </si>
  <si>
    <t xml:space="preserve">REMOTE SENSING CHEM AGENT</t>
  </si>
  <si>
    <t xml:space="preserve">SPS</t>
  </si>
  <si>
    <t xml:space="preserve">TMIP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</si>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</sst>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211" formatCode="0.00,,,&quot;B&quot;"/>
    <numFmt numFmtId="207" formatCode="0.00,,,&quot;B&quot;"/>
    <numFmt numFmtId="210" formatCode="0.00,,,&quot;B&quot;"/>
    <numFmt numFmtId="209" formatCode="0.00,,,&quot;B&quot;"/>
    <numFmt numFmtId="208" formatCode="0.00,,,&quot;B&quot;"/>
    <numFmt numFmtId="184" formatCode="0.00,,,&quot;B&quot;"/>
    <numFmt numFmtId="171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1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211" fontId="1" fillId="0" borderId="0" xfId="0" applyFont="1" applyNumberFormat="1"/>
    <xf numFmtId="207" fontId="1" fillId="0" borderId="0" xfId="0" applyFont="1" applyNumberFormat="1"/>
    <xf numFmtId="210" fontId="1" fillId="0" borderId="0" xfId="0" applyFont="1" applyNumberFormat="1"/>
    <xf numFmtId="209" fontId="1" fillId="0" borderId="0" xfId="0" applyFont="1" applyNumberFormat="1"/>
    <xf numFmtId="208" fontId="1" fillId="0" borderId="0" xfId="0" applyFont="1" applyNumberFormat="1"/>
    <xf numFmtId="184" fontId="1" fillId="0" borderId="0" xfId="0" applyFont="1" applyNumberFormat="1"/>
    <xf numFmtId="10" fontId="1" fillId="0" borderId="0" xfId="0" applyFont="1" applyNumberFormat="1"/>
    <xf numFmtId="171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12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133</v>
      </c>
      <c r="AW1" t="s">
        <v>134</v>
      </c>
    </row>
    <row r="2">
      <c r="A2" t="str">
        <f>M2</f>
      </c>
      <c r="M2" t="s">
        <v>35</v>
      </c>
      <c r="N2" s="1" t="n">
        <v>10914125000</v>
      </c>
      <c r="O2" s="1" t="n">
        <v>13705604115</v>
      </c>
      <c r="P2" s="1" t="n">
        <v>9674658147</v>
      </c>
      <c r="Q2" s="1" t="n">
        <v>10551421083</v>
      </c>
      <c r="R2" s="1" t="n">
        <v>8629385645</v>
      </c>
      <c r="S2" s="1" t="n">
        <v>8571790193</v>
      </c>
      <c r="T2" s="1" t="n">
        <v>9683564429</v>
      </c>
      <c r="U2" s="1" t="n">
        <v>12422054498</v>
      </c>
      <c r="V2" s="1" t="n">
        <v>10942920739</v>
      </c>
      <c r="W2" s="1" t="n">
        <v>9491602742</v>
      </c>
      <c r="X2" s="1" t="n">
        <v>8636545116.09</v>
      </c>
      <c r="Y2" s="1" t="n">
        <v>10224627550</v>
      </c>
      <c r="Z2" s="1" t="n">
        <v>13387175797.2411</v>
      </c>
      <c r="AA2" s="1" t="n">
        <v>15539351530.4262</v>
      </c>
      <c r="AB2" s="1" t="n">
        <v>18316590305.9285</v>
      </c>
      <c r="AC2" s="1" t="n">
        <v>31788501747.0561</v>
      </c>
      <c r="AD2" s="1" t="n">
        <v>34619998279.619</v>
      </c>
      <c r="AE2" s="1" t="n">
        <v>34291731704.5411</v>
      </c>
      <c r="AF2" s="1" t="n">
        <v>39100105365.4799</v>
      </c>
      <c r="AG2" s="1" t="n">
        <v>35615898262.1993</v>
      </c>
      <c r="AH2" s="1" t="n">
        <v>29439139717.4225</v>
      </c>
      <c r="AI2" s="1" t="n">
        <v>29987721179.0701</v>
      </c>
      <c r="AJ2" s="1" t="n">
        <v>35353479895.3265</v>
      </c>
      <c r="AK2" s="1" t="n">
        <v>26660379036.4712</v>
      </c>
      <c r="AL2" s="1" t="n">
        <v>24340029384.9638</v>
      </c>
      <c r="AM2" s="1" t="n">
        <v>21065394040.0249</v>
      </c>
      <c r="AN2" s="1" t="n">
        <v>19404060630.3798</v>
      </c>
      <c r="AO2" s="1" t="n">
        <v>21592086886.0599</v>
      </c>
      <c r="AP2" s="1" t="n">
        <v>25366831507.1032</v>
      </c>
      <c r="AQ2" s="1" t="n">
        <v>23213918227.2358</v>
      </c>
      <c r="AR2" s="1" t="n">
        <v>25597314328.7734</v>
      </c>
      <c r="AS2" s="1" t="n">
        <v>53375243137.3981</v>
      </c>
      <c r="AT2" s="1" t="n">
        <v>58547338829.7781</v>
      </c>
      <c r="AU2" s="1" t="n">
        <v>32840179548.1143</v>
      </c>
      <c r="AV2" s="1" t="n">
        <v>32321738758.0118</v>
      </c>
      <c r="AW2" s="1" t="n">
        <v>13485476945.84</v>
      </c>
      <c r="AX2" s="1"/>
      <c r="AY2" s="1"/>
    </row>
    <row r="3">
      <c r="A3" t="str">
        <f>M3</f>
      </c>
      <c r="M3" t="s">
        <v>36</v>
      </c>
      <c r="N3" s="1"/>
      <c r="O3" s="1"/>
      <c r="P3" s="1"/>
      <c r="Q3" s="1"/>
      <c r="R3" s="1"/>
      <c r="S3" s="1"/>
      <c r="T3" s="1" t="n">
        <v>30000</v>
      </c>
      <c r="U3" s="1"/>
      <c r="V3" s="1" t="n">
        <v>2098647</v>
      </c>
      <c r="W3" s="1" t="n">
        <v>568547</v>
      </c>
      <c r="X3" s="1" t="n">
        <v>179512</v>
      </c>
      <c r="Y3" s="1" t="n">
        <v>237128</v>
      </c>
      <c r="Z3" s="1" t="n">
        <v>2191690</v>
      </c>
      <c r="AA3" s="1" t="n">
        <v>2095383</v>
      </c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>
      <c r="A4" t="str">
        <f>M4</f>
      </c>
      <c r="M4" t="s">
        <v>37</v>
      </c>
      <c r="N4" s="1"/>
      <c r="O4" s="1" t="n">
        <v>806000</v>
      </c>
      <c r="P4" s="1" t="n">
        <v>386155</v>
      </c>
      <c r="Q4" s="1" t="n">
        <v>31500</v>
      </c>
      <c r="R4" s="1"/>
      <c r="S4" s="1"/>
      <c r="T4" s="1"/>
      <c r="U4" s="1" t="n">
        <v>434502</v>
      </c>
      <c r="V4" s="1"/>
      <c r="W4" s="1"/>
      <c r="X4" s="1" t="n">
        <v>40572</v>
      </c>
      <c r="Y4" s="1"/>
      <c r="Z4" s="1" t="n">
        <v>2540673</v>
      </c>
      <c r="AA4" s="1" t="n">
        <v>1728714</v>
      </c>
      <c r="AB4" s="1"/>
      <c r="AC4" s="1"/>
      <c r="AD4" s="1"/>
      <c r="AE4" s="1"/>
      <c r="AF4" s="1"/>
      <c r="AG4" s="1" t="n">
        <v>2956374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>
      <c r="A5" t="str">
        <f>M5</f>
      </c>
      <c r="M5" t="s">
        <v>124</v>
      </c>
      <c r="N5" s="1" t="str">
        <f>Sum(N2:N4)</f>
      </c>
      <c r="O5" s="1" t="str">
        <f>Sum(O2:O4)</f>
      </c>
      <c r="P5" s="1" t="str">
        <f>Sum(P2:P4)</f>
      </c>
      <c r="Q5" s="1" t="str">
        <f>Sum(Q2:Q4)</f>
      </c>
      <c r="R5" s="1" t="str">
        <f>Sum(R2:R4)</f>
      </c>
      <c r="S5" s="1" t="str">
        <f>Sum(S2:S4)</f>
      </c>
      <c r="T5" s="1" t="str">
        <f>Sum(T2:T4)</f>
      </c>
      <c r="U5" s="1" t="str">
        <f>Sum(U2:U4)</f>
      </c>
      <c r="V5" s="1" t="str">
        <f>Sum(V2:V4)</f>
      </c>
      <c r="W5" s="1" t="str">
        <f>Sum(W2:W4)</f>
      </c>
      <c r="X5" s="1" t="str">
        <f>Sum(X2:X4)</f>
      </c>
      <c r="Y5" s="1" t="str">
        <f>Sum(Y2:Y4)</f>
      </c>
      <c r="Z5" s="1" t="str">
        <f>Sum(Z2:Z4)</f>
      </c>
      <c r="AA5" s="1" t="str">
        <f>Sum(AA2:AA4)</f>
      </c>
      <c r="AB5" s="1" t="str">
        <f>Sum(AB2:AB4)</f>
      </c>
      <c r="AC5" s="1" t="str">
        <f>Sum(AC2:AC4)</f>
      </c>
      <c r="AD5" s="1" t="str">
        <f>Sum(AD2:AD4)</f>
      </c>
      <c r="AE5" s="1" t="str">
        <f>Sum(AE2:AE4)</f>
      </c>
      <c r="AF5" s="1" t="str">
        <f>Sum(AF2:AF4)</f>
      </c>
      <c r="AG5" s="1" t="str">
        <f>Sum(AG2:AG4)</f>
      </c>
      <c r="AH5" s="1" t="str">
        <f>Sum(AH2:AH4)</f>
      </c>
      <c r="AI5" s="1" t="str">
        <f>Sum(AI2:AI4)</f>
      </c>
      <c r="AJ5" s="1" t="str">
        <f>Sum(AJ2:AJ4)</f>
      </c>
      <c r="AK5" s="1" t="str">
        <f>Sum(AK2:AK4)</f>
      </c>
      <c r="AL5" s="1" t="str">
        <f>Sum(AL2:AL4)</f>
      </c>
      <c r="AM5" s="1" t="str">
        <f>Sum(AM2:AM4)</f>
      </c>
      <c r="AN5" s="1" t="str">
        <f>Sum(AN2:AN4)</f>
      </c>
      <c r="AO5" s="1" t="str">
        <f>Sum(AO2:AO4)</f>
      </c>
      <c r="AP5" s="1" t="str">
        <f>Sum(AP2:AP4)</f>
      </c>
      <c r="AQ5" s="1" t="str">
        <f>Sum(AQ2:AQ4)</f>
      </c>
      <c r="AR5" s="1" t="str">
        <f>Sum(AR2:AR4)</f>
      </c>
      <c r="AS5" s="1" t="str">
        <f>Sum(AS2:AS4)</f>
      </c>
      <c r="AT5" s="1" t="str">
        <f>Sum(AT2:AT4)</f>
      </c>
      <c r="AU5" s="1" t="str">
        <f>Sum(AU2:AU4)</f>
      </c>
      <c r="AV5" s="1" t="str">
        <f>Sum(AV2:AV4)</f>
      </c>
      <c r="AW5" s="1" t="str">
        <f>Sum(AW2:AW4)</f>
      </c>
      <c r="AX5" s="1" t="str">
        <f>Sum(AX2:AX4)</f>
      </c>
      <c r="AY5" s="1"/>
    </row>
    <row r="8">
      <c r="A8" t="str">
        <f>M8</f>
      </c>
      <c r="M8" t="s">
        <v>0</v>
      </c>
      <c r="N8" t="s">
        <v>1</v>
      </c>
      <c r="O8" t="s">
        <v>2</v>
      </c>
      <c r="P8" t="s">
        <v>3</v>
      </c>
      <c r="Q8" t="s">
        <v>4</v>
      </c>
      <c r="R8" t="s">
        <v>5</v>
      </c>
      <c r="S8" t="s">
        <v>6</v>
      </c>
      <c r="T8" t="s">
        <v>7</v>
      </c>
      <c r="U8" t="s">
        <v>8</v>
      </c>
      <c r="V8" t="s">
        <v>9</v>
      </c>
      <c r="W8" t="s">
        <v>10</v>
      </c>
      <c r="X8" t="s">
        <v>11</v>
      </c>
      <c r="Y8" t="s">
        <v>12</v>
      </c>
      <c r="Z8" t="s">
        <v>13</v>
      </c>
      <c r="AA8" t="s">
        <v>14</v>
      </c>
      <c r="AB8" t="s">
        <v>15</v>
      </c>
      <c r="AC8" t="s">
        <v>16</v>
      </c>
      <c r="AD8" t="s">
        <v>17</v>
      </c>
      <c r="AE8" t="s">
        <v>18</v>
      </c>
      <c r="AF8" t="s">
        <v>19</v>
      </c>
      <c r="AG8" t="s">
        <v>20</v>
      </c>
      <c r="AH8" t="s">
        <v>21</v>
      </c>
      <c r="AI8" t="s">
        <v>22</v>
      </c>
      <c r="AJ8" t="s">
        <v>23</v>
      </c>
      <c r="AK8" t="s">
        <v>24</v>
      </c>
      <c r="AL8" t="s">
        <v>25</v>
      </c>
      <c r="AM8" t="s">
        <v>26</v>
      </c>
      <c r="AN8" t="s">
        <v>27</v>
      </c>
      <c r="AO8" t="s">
        <v>28</v>
      </c>
      <c r="AP8" t="s">
        <v>29</v>
      </c>
      <c r="AQ8" t="s">
        <v>30</v>
      </c>
      <c r="AR8" t="s">
        <v>31</v>
      </c>
      <c r="AS8" t="s">
        <v>32</v>
      </c>
      <c r="AT8" t="s">
        <v>33</v>
      </c>
      <c r="AU8" t="s">
        <v>34</v>
      </c>
      <c r="AV8" t="s">
        <v>133</v>
      </c>
      <c r="AW8" t="s">
        <v>134</v>
      </c>
    </row>
    <row r="9">
      <c r="A9" t="str">
        <f>M9</f>
      </c>
      <c r="M9" t="s">
        <v>35</v>
      </c>
      <c r="N9" s="1" t="n">
        <v>22573487598.0996</v>
      </c>
      <c r="O9" s="1" t="n">
        <v>27368609427.3241</v>
      </c>
      <c r="P9" s="1" t="n">
        <v>18847518675.1612</v>
      </c>
      <c r="Q9" s="1" t="n">
        <v>20084390634.2406</v>
      </c>
      <c r="R9" s="1" t="n">
        <v>16074913874.7064</v>
      </c>
      <c r="S9" s="1" t="n">
        <v>15635959797.6209</v>
      </c>
      <c r="T9" s="1" t="n">
        <v>17337528740.2965</v>
      </c>
      <c r="U9" s="1" t="n">
        <v>21852719313.3168</v>
      </c>
      <c r="V9" s="1" t="n">
        <v>19012273493.933</v>
      </c>
      <c r="W9" s="1" t="n">
        <v>16289047464.2963</v>
      </c>
      <c r="X9" s="1" t="n">
        <v>14519529842.5955</v>
      </c>
      <c r="Y9" s="1" t="n">
        <v>16782577441.4903</v>
      </c>
      <c r="Z9" s="1" t="n">
        <v>21633208235.0812</v>
      </c>
      <c r="AA9" s="1" t="n">
        <v>24638117159.6374</v>
      </c>
      <c r="AB9" s="1" t="n">
        <v>28349260539.3895</v>
      </c>
      <c r="AC9" s="1" t="n">
        <v>47747291871.0496</v>
      </c>
      <c r="AD9" s="1" t="n">
        <v>50364237734.4876</v>
      </c>
      <c r="AE9" s="1" t="n">
        <v>48550123987.1887</v>
      </c>
      <c r="AF9" s="1" t="n">
        <v>54231903874.9277</v>
      </c>
      <c r="AG9" s="1" t="n">
        <v>48899254283.8292</v>
      </c>
      <c r="AH9" s="1" t="n">
        <v>40071763871.4162</v>
      </c>
      <c r="AI9" s="1" t="n">
        <v>40015316207.6037</v>
      </c>
      <c r="AJ9" s="1" t="n">
        <v>46334542543.2272</v>
      </c>
      <c r="AK9" s="1" t="n">
        <v>34318596096.9006</v>
      </c>
      <c r="AL9" s="1" t="n">
        <v>30770374762.629</v>
      </c>
      <c r="AM9" s="1" t="n">
        <v>26357653243.3696</v>
      </c>
      <c r="AN9" s="1" t="n">
        <v>24086370573.1496</v>
      </c>
      <c r="AO9" s="1" t="n">
        <v>26357460466.8766</v>
      </c>
      <c r="AP9" s="1" t="n">
        <v>30292791244.5263</v>
      </c>
      <c r="AQ9" s="1" t="n">
        <v>27218547681.9072</v>
      </c>
      <c r="AR9" s="1" t="n">
        <v>29626094241.4906</v>
      </c>
      <c r="AS9" s="1" t="n">
        <v>59720585974.0846</v>
      </c>
      <c r="AT9" s="1" t="n">
        <v>61225680211.0784</v>
      </c>
      <c r="AU9" s="1" t="n">
        <v>32840179548.1143</v>
      </c>
      <c r="AV9" s="1" t="n">
        <v>31481007353.4039</v>
      </c>
      <c r="AW9" s="1" t="n">
        <v>12852687155.2165</v>
      </c>
      <c r="AX9" s="1"/>
      <c r="AY9" s="1"/>
    </row>
    <row r="10">
      <c r="A10" t="str">
        <f>M10</f>
      </c>
      <c r="M10" t="s">
        <v>36</v>
      </c>
      <c r="N10" s="1"/>
      <c r="O10" s="1"/>
      <c r="P10" s="1"/>
      <c r="Q10" s="1"/>
      <c r="R10" s="1"/>
      <c r="S10" s="1"/>
      <c r="T10" s="1" t="n">
        <v>53712.2323109908</v>
      </c>
      <c r="U10" s="1"/>
      <c r="V10" s="1" t="n">
        <v>3646197.54477617</v>
      </c>
      <c r="W10" s="1" t="n">
        <v>975713.935824906</v>
      </c>
      <c r="X10" s="1" t="n">
        <v>301790.797832826</v>
      </c>
      <c r="Y10" s="1" t="n">
        <v>389218.971946387</v>
      </c>
      <c r="Z10" s="1" t="n">
        <v>3541694.44510591</v>
      </c>
      <c r="AA10" s="1" t="n">
        <v>3322293.83878907</v>
      </c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>
      <c r="A11" t="str">
        <f>M11</f>
      </c>
      <c r="M11" t="s">
        <v>37</v>
      </c>
      <c r="N11" s="1"/>
      <c r="O11" s="1" t="n">
        <v>1609494.84702253</v>
      </c>
      <c r="P11" s="1" t="n">
        <v>752281.213808442</v>
      </c>
      <c r="Q11" s="1" t="n">
        <v>59959.5353082716</v>
      </c>
      <c r="R11" s="1"/>
      <c r="S11" s="1"/>
      <c r="T11" s="1"/>
      <c r="U11" s="1" t="n">
        <v>764370.358269117</v>
      </c>
      <c r="V11" s="1"/>
      <c r="W11" s="1"/>
      <c r="X11" s="1" t="n">
        <v>68208.5668349381</v>
      </c>
      <c r="Y11" s="1"/>
      <c r="Z11" s="1" t="n">
        <v>4105638.77689389</v>
      </c>
      <c r="AA11" s="1" t="n">
        <v>2740928.92384276</v>
      </c>
      <c r="AB11" s="1"/>
      <c r="AC11" s="1"/>
      <c r="AD11" s="1"/>
      <c r="AE11" s="1"/>
      <c r="AF11" s="1"/>
      <c r="AG11" s="1" t="n">
        <v>4058987.44767962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>
      <c r="A12" t="str">
        <f>M12</f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38</v>
      </c>
      <c r="N1" t="s">
        <v>39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133</v>
      </c>
      <c r="AX1" t="s">
        <v>134</v>
      </c>
    </row>
    <row r="2">
      <c r="A2" t="str">
        <f>M2</f>
      </c>
      <c r="B2" t="str">
        <f>N2</f>
      </c>
      <c r="M2" t="s">
        <v>40</v>
      </c>
      <c r="N2" t="s">
        <v>40</v>
      </c>
      <c r="O2" s="13" t="n">
        <v>1889258000</v>
      </c>
      <c r="P2" s="13" t="n">
        <v>2225149000</v>
      </c>
      <c r="Q2" s="13" t="n">
        <v>2347957913</v>
      </c>
      <c r="R2" s="13" t="n">
        <v>2333598353</v>
      </c>
      <c r="S2" s="13" t="n">
        <v>1317076899</v>
      </c>
      <c r="T2" s="13" t="n">
        <v>2543025943</v>
      </c>
      <c r="U2" s="13" t="n">
        <v>3026058467</v>
      </c>
      <c r="V2" s="13" t="n">
        <v>5255865604</v>
      </c>
      <c r="W2" s="13" t="n">
        <v>4313544034</v>
      </c>
      <c r="X2" s="13" t="n">
        <v>2546500585</v>
      </c>
      <c r="Y2" s="13" t="n">
        <v>934362095</v>
      </c>
      <c r="Z2" s="13" t="n">
        <v>1229718858</v>
      </c>
      <c r="AA2" s="13" t="n">
        <v>1613606856</v>
      </c>
      <c r="AB2" s="13" t="n">
        <v>256256382.2</v>
      </c>
      <c r="AC2" s="13" t="n">
        <v>965003610.14</v>
      </c>
      <c r="AD2" s="13" t="n">
        <v>491944855.9605</v>
      </c>
      <c r="AE2" s="13" t="n">
        <v>432108874.0882</v>
      </c>
      <c r="AF2" s="13" t="n">
        <v>341197386.9354</v>
      </c>
      <c r="AG2" s="13" t="n">
        <v>407518458.1017</v>
      </c>
      <c r="AH2" s="13" t="n">
        <v>479236674.9987</v>
      </c>
      <c r="AI2" s="13" t="n">
        <v>333341094.7269</v>
      </c>
      <c r="AJ2" s="13" t="n">
        <v>379786063.4448</v>
      </c>
      <c r="AK2" s="13" t="n">
        <v>222564038.018</v>
      </c>
      <c r="AL2" s="13" t="n">
        <v>210870788.1549</v>
      </c>
      <c r="AM2" s="13" t="n">
        <v>230213218.617</v>
      </c>
      <c r="AN2" s="13" t="n">
        <v>220831830.4614</v>
      </c>
      <c r="AO2" s="13" t="n">
        <v>325233749.0453</v>
      </c>
      <c r="AP2" s="13" t="n">
        <v>290240855.8889</v>
      </c>
      <c r="AQ2" s="13" t="n">
        <v>313041400.8759</v>
      </c>
      <c r="AR2" s="13" t="n">
        <v>318394882.0074</v>
      </c>
      <c r="AS2" s="13" t="n">
        <v>590258971.2845</v>
      </c>
      <c r="AT2" s="13" t="n">
        <v>1464676541.1155</v>
      </c>
      <c r="AU2" s="13" t="n">
        <v>747409332.8744</v>
      </c>
      <c r="AV2" s="13" t="n">
        <v>241324739.722</v>
      </c>
      <c r="AW2" s="13" t="n">
        <v>476730258.21</v>
      </c>
      <c r="AX2" s="13" t="n">
        <v>148572838.12</v>
      </c>
      <c r="AY2" s="13"/>
    </row>
    <row r="3">
      <c r="A3" t="str">
        <f>M3</f>
      </c>
      <c r="B3" t="str">
        <f>N3</f>
      </c>
      <c r="M3" t="s">
        <v>41</v>
      </c>
      <c r="N3" t="s">
        <v>41</v>
      </c>
      <c r="O3" s="13" t="n">
        <v>590021000</v>
      </c>
      <c r="P3" s="13" t="n">
        <v>923951000</v>
      </c>
      <c r="Q3" s="13" t="n">
        <v>509570160</v>
      </c>
      <c r="R3" s="13" t="n">
        <v>400302592</v>
      </c>
      <c r="S3" s="13" t="n">
        <v>403821065</v>
      </c>
      <c r="T3" s="13" t="n">
        <v>356797574</v>
      </c>
      <c r="U3" s="13" t="n">
        <v>429802612</v>
      </c>
      <c r="V3" s="13" t="n">
        <v>423467607</v>
      </c>
      <c r="W3" s="13" t="n">
        <v>506442949</v>
      </c>
      <c r="X3" s="13" t="n">
        <v>728199897</v>
      </c>
      <c r="Y3" s="13" t="n">
        <v>554428929</v>
      </c>
      <c r="Z3" s="13" t="n">
        <v>561131566</v>
      </c>
      <c r="AA3" s="13" t="n">
        <v>809979038.3111</v>
      </c>
      <c r="AB3" s="13" t="n">
        <v>1485296497.2064</v>
      </c>
      <c r="AC3" s="13" t="n">
        <v>1778521058.0616</v>
      </c>
      <c r="AD3" s="13" t="n">
        <v>8163691622.6308</v>
      </c>
      <c r="AE3" s="13" t="n">
        <v>7672705940.8601</v>
      </c>
      <c r="AF3" s="13" t="n">
        <v>8669795981.269</v>
      </c>
      <c r="AG3" s="13" t="n">
        <v>10848160227.4274</v>
      </c>
      <c r="AH3" s="13" t="n">
        <v>5075435564.6893</v>
      </c>
      <c r="AI3" s="13" t="n">
        <v>4420056073.628</v>
      </c>
      <c r="AJ3" s="13" t="n">
        <v>4126773621.1251</v>
      </c>
      <c r="AK3" s="13" t="n">
        <v>2777834081.7179</v>
      </c>
      <c r="AL3" s="13" t="n">
        <v>2259555336.865</v>
      </c>
      <c r="AM3" s="13" t="n">
        <v>2225734604.4996</v>
      </c>
      <c r="AN3" s="13" t="n">
        <v>1473070476.2499</v>
      </c>
      <c r="AO3" s="13" t="n">
        <v>1542322494.999</v>
      </c>
      <c r="AP3" s="13" t="n">
        <v>1542343603.0149</v>
      </c>
      <c r="AQ3" s="13" t="n">
        <v>1753079915.7769</v>
      </c>
      <c r="AR3" s="13" t="n">
        <v>1937305809.1145</v>
      </c>
      <c r="AS3" s="13" t="n">
        <v>3619136785.5773</v>
      </c>
      <c r="AT3" s="13" t="n">
        <v>31343937124.3547</v>
      </c>
      <c r="AU3" s="13" t="n">
        <v>30233655763.9392</v>
      </c>
      <c r="AV3" s="13" t="n">
        <v>4713838107.444</v>
      </c>
      <c r="AW3" s="13" t="n">
        <v>2645185988.86</v>
      </c>
      <c r="AX3" s="13" t="n">
        <v>438380395.77</v>
      </c>
      <c r="AY3" s="13"/>
    </row>
    <row r="4">
      <c r="A4" t="str">
        <f>M4</f>
      </c>
      <c r="B4" t="str">
        <f>N4</f>
      </c>
      <c r="M4" t="s">
        <v>42</v>
      </c>
      <c r="N4" t="s">
        <v>43</v>
      </c>
      <c r="O4" s="13" t="n">
        <v>7916258000</v>
      </c>
      <c r="P4" s="13" t="n">
        <v>10013734000</v>
      </c>
      <c r="Q4" s="13" t="n">
        <v>5632416068</v>
      </c>
      <c r="R4" s="13" t="n">
        <v>6687317724</v>
      </c>
      <c r="S4" s="13" t="n">
        <v>5665350369</v>
      </c>
      <c r="T4" s="13" t="n">
        <v>5299996289</v>
      </c>
      <c r="U4" s="13" t="n">
        <v>5801267997</v>
      </c>
      <c r="V4" s="13" t="n">
        <v>6116573037</v>
      </c>
      <c r="W4" s="13" t="n">
        <v>5472484549</v>
      </c>
      <c r="X4" s="13" t="n">
        <v>5340655257</v>
      </c>
      <c r="Y4" s="13" t="n">
        <v>6585223450</v>
      </c>
      <c r="Z4" s="13" t="n">
        <v>7774887487</v>
      </c>
      <c r="AA4" s="13" t="n">
        <v>10211590447</v>
      </c>
      <c r="AB4" s="13" t="n">
        <v>12512582120.8095</v>
      </c>
      <c r="AC4" s="13" t="n">
        <v>13572791804.9392</v>
      </c>
      <c r="AD4" s="13" t="n">
        <v>20780953525.0113</v>
      </c>
      <c r="AE4" s="13" t="n">
        <v>24185177234.4825</v>
      </c>
      <c r="AF4" s="13" t="n">
        <v>23316711151.7536</v>
      </c>
      <c r="AG4" s="13" t="n">
        <v>26551885009.7341</v>
      </c>
      <c r="AH4" s="13" t="n">
        <v>28430072449.7482</v>
      </c>
      <c r="AI4" s="13" t="n">
        <v>23162326595.217</v>
      </c>
      <c r="AJ4" s="13" t="n">
        <v>23897683712.2193</v>
      </c>
      <c r="AK4" s="13" t="n">
        <v>31055594091.597</v>
      </c>
      <c r="AL4" s="13" t="n">
        <v>23004731338.7987</v>
      </c>
      <c r="AM4" s="13" t="n">
        <v>20824217955.4019</v>
      </c>
      <c r="AN4" s="13" t="n">
        <v>18450121251.7335</v>
      </c>
      <c r="AO4" s="13" t="n">
        <v>16589050490.7537</v>
      </c>
      <c r="AP4" s="13" t="n">
        <v>18935407533.6955</v>
      </c>
      <c r="AQ4" s="13" t="n">
        <v>22241577058.2429</v>
      </c>
      <c r="AR4" s="13" t="n">
        <v>19976627359.4683</v>
      </c>
      <c r="AS4" s="13" t="n">
        <v>20452764715.0259</v>
      </c>
      <c r="AT4" s="13" t="n">
        <v>19511809173.7575</v>
      </c>
      <c r="AU4" s="13" t="n">
        <v>26517057826.7453</v>
      </c>
      <c r="AV4" s="13" t="n">
        <v>26461652075.5085</v>
      </c>
      <c r="AW4" s="13" t="n">
        <v>27157389216.36</v>
      </c>
      <c r="AX4" s="13" t="n">
        <v>12098335682.7</v>
      </c>
      <c r="AY4" s="13"/>
    </row>
    <row r="5">
      <c r="A5" t="str">
        <f>M5</f>
      </c>
      <c r="B5" t="str">
        <f>N5</f>
      </c>
      <c r="M5" t="s">
        <v>44</v>
      </c>
      <c r="N5" t="s">
        <v>44</v>
      </c>
      <c r="O5" s="13" t="n">
        <v>429645000</v>
      </c>
      <c r="P5" s="13" t="n">
        <v>445416115</v>
      </c>
      <c r="Q5" s="13" t="n">
        <v>331694559</v>
      </c>
      <c r="R5" s="13" t="n">
        <v>337307503</v>
      </c>
      <c r="S5" s="13" t="n">
        <v>379156920</v>
      </c>
      <c r="T5" s="13" t="n">
        <v>332262362</v>
      </c>
      <c r="U5" s="13" t="n">
        <v>346500989</v>
      </c>
      <c r="V5" s="13" t="n">
        <v>553875800</v>
      </c>
      <c r="W5" s="13" t="n">
        <v>480793038</v>
      </c>
      <c r="X5" s="13" t="n">
        <v>550544046</v>
      </c>
      <c r="Y5" s="13" t="n">
        <v>374593742</v>
      </c>
      <c r="Z5" s="13" t="n">
        <v>476084506</v>
      </c>
      <c r="AA5" s="13" t="n">
        <v>502905325.93</v>
      </c>
      <c r="AB5" s="13" t="n">
        <v>837821123.2103</v>
      </c>
      <c r="AC5" s="13" t="n">
        <v>1214805406.1447</v>
      </c>
      <c r="AD5" s="13" t="n">
        <v>1632008527.4766</v>
      </c>
      <c r="AE5" s="13" t="n">
        <v>1735556620.7362</v>
      </c>
      <c r="AF5" s="13" t="n">
        <v>1907301540.585</v>
      </c>
      <c r="AG5" s="13" t="n">
        <v>1185544805.5123</v>
      </c>
      <c r="AH5" s="13" t="n">
        <v>1590143500.5527</v>
      </c>
      <c r="AI5" s="13" t="n">
        <v>1496503153.2173</v>
      </c>
      <c r="AJ5" s="13" t="n">
        <v>1552807680.6036</v>
      </c>
      <c r="AK5" s="13" t="n">
        <v>1252099031.9146</v>
      </c>
      <c r="AL5" s="13" t="n">
        <v>1161082488.8756</v>
      </c>
      <c r="AM5" s="13" t="n">
        <v>1002061788.9013</v>
      </c>
      <c r="AN5" s="13" t="n">
        <v>728777761.6907</v>
      </c>
      <c r="AO5" s="13" t="n">
        <v>796680095.5589</v>
      </c>
      <c r="AP5" s="13" t="n">
        <v>688592758.5206</v>
      </c>
      <c r="AQ5" s="13" t="n">
        <v>926115020.0482</v>
      </c>
      <c r="AR5" s="13" t="n">
        <v>861686483.0258</v>
      </c>
      <c r="AS5" s="13" t="n">
        <v>815194878.521</v>
      </c>
      <c r="AT5" s="13" t="n">
        <v>980836142.3382</v>
      </c>
      <c r="AU5" s="13" t="n">
        <v>891450672.5873</v>
      </c>
      <c r="AV5" s="13" t="n">
        <v>1373654732.9847</v>
      </c>
      <c r="AW5" s="13" t="n">
        <v>1574908676.7718</v>
      </c>
      <c r="AX5" s="13" t="n">
        <v>690420448.81</v>
      </c>
      <c r="AY5" s="13"/>
    </row>
    <row r="6">
      <c r="A6" t="str">
        <f>M6</f>
      </c>
      <c r="B6" t="str">
        <f>N6</f>
      </c>
      <c r="M6" t="s">
        <v>43</v>
      </c>
      <c r="N6" t="s">
        <v>43</v>
      </c>
      <c r="O6" s="13" t="n">
        <v>88943000</v>
      </c>
      <c r="P6" s="13" t="n">
        <v>98160000</v>
      </c>
      <c r="Q6" s="13" t="n">
        <v>853405602</v>
      </c>
      <c r="R6" s="13" t="n">
        <v>792926411</v>
      </c>
      <c r="S6" s="13" t="n">
        <v>863980392</v>
      </c>
      <c r="T6" s="13" t="n">
        <v>39708025</v>
      </c>
      <c r="U6" s="13" t="n">
        <v>79964364</v>
      </c>
      <c r="V6" s="13" t="n">
        <v>72706952</v>
      </c>
      <c r="W6" s="13" t="n">
        <v>171754816</v>
      </c>
      <c r="X6" s="13" t="n">
        <v>326271504</v>
      </c>
      <c r="Y6" s="13" t="n">
        <v>188156984.09</v>
      </c>
      <c r="Z6" s="13" t="n">
        <v>183042261</v>
      </c>
      <c r="AA6" s="13" t="n">
        <v>253826493</v>
      </c>
      <c r="AB6" s="13" t="n">
        <v>451219504</v>
      </c>
      <c r="AC6" s="13" t="n">
        <v>785468426.643</v>
      </c>
      <c r="AD6" s="13" t="n">
        <v>719903215.9769</v>
      </c>
      <c r="AE6" s="13" t="n">
        <v>594449609.452</v>
      </c>
      <c r="AF6" s="13" t="n">
        <v>56725643.9981</v>
      </c>
      <c r="AG6" s="13" t="n">
        <v>106996864.7044</v>
      </c>
      <c r="AH6" s="13" t="n">
        <v>43966446.2104</v>
      </c>
      <c r="AI6" s="13" t="n">
        <v>26912800.6333</v>
      </c>
      <c r="AJ6" s="13" t="n">
        <v>30670101.6773</v>
      </c>
      <c r="AK6" s="13" t="n">
        <v>45388652.079</v>
      </c>
      <c r="AL6" s="13" t="n">
        <v>24139083.777</v>
      </c>
      <c r="AM6" s="13" t="n">
        <v>57801817.544</v>
      </c>
      <c r="AN6" s="13" t="n">
        <v>192592719.8894</v>
      </c>
      <c r="AO6" s="13" t="n">
        <v>150773800.0229</v>
      </c>
      <c r="AP6" s="13" t="n">
        <v>135502134.94</v>
      </c>
      <c r="AQ6" s="13" t="n">
        <v>133018112.1593</v>
      </c>
      <c r="AR6" s="13" t="n">
        <v>119903693.6198</v>
      </c>
      <c r="AS6" s="13" t="n">
        <v>119958978.3647</v>
      </c>
      <c r="AT6" s="13" t="n">
        <v>73984155.8322</v>
      </c>
      <c r="AU6" s="13" t="n">
        <v>157765233.6319</v>
      </c>
      <c r="AV6" s="13" t="n">
        <v>49709892.4551</v>
      </c>
      <c r="AW6" s="13" t="n">
        <v>467524617.81</v>
      </c>
      <c r="AX6" s="13" t="n">
        <v>109767580.44</v>
      </c>
      <c r="AY6" s="13"/>
    </row>
    <row r="7">
      <c r="A7" t="str">
        <f>M7</f>
      </c>
      <c r="B7" t="str">
        <f>N7</f>
      </c>
      <c r="M7" t="s">
        <v>124</v>
      </c>
      <c r="N7" t="s">
        <v>125</v>
      </c>
      <c r="O7" s="13" t="str">
        <f>Sum(O2:O6)</f>
      </c>
      <c r="P7" s="13" t="str">
        <f>Sum(P2:P6)</f>
      </c>
      <c r="Q7" s="13" t="str">
        <f>Sum(Q2:Q6)</f>
      </c>
      <c r="R7" s="13" t="str">
        <f>Sum(R2:R6)</f>
      </c>
      <c r="S7" s="13" t="str">
        <f>Sum(S2:S6)</f>
      </c>
      <c r="T7" s="13" t="str">
        <f>Sum(T2:T6)</f>
      </c>
      <c r="U7" s="13" t="str">
        <f>Sum(U2:U6)</f>
      </c>
      <c r="V7" s="13" t="str">
        <f>Sum(V2:V6)</f>
      </c>
      <c r="W7" s="13" t="str">
        <f>Sum(W2:W6)</f>
      </c>
      <c r="X7" s="13" t="str">
        <f>Sum(X2:X6)</f>
      </c>
      <c r="Y7" s="13" t="str">
        <f>Sum(Y2:Y6)</f>
      </c>
      <c r="Z7" s="13" t="str">
        <f>Sum(Z2:Z6)</f>
      </c>
      <c r="AA7" s="13" t="str">
        <f>Sum(AA2:AA6)</f>
      </c>
      <c r="AB7" s="13" t="str">
        <f>Sum(AB2:AB6)</f>
      </c>
      <c r="AC7" s="13" t="str">
        <f>Sum(AC2:AC6)</f>
      </c>
      <c r="AD7" s="13" t="str">
        <f>Sum(AD2:AD6)</f>
      </c>
      <c r="AE7" s="13" t="str">
        <f>Sum(AE2:AE6)</f>
      </c>
      <c r="AF7" s="13" t="str">
        <f>Sum(AF2:AF6)</f>
      </c>
      <c r="AG7" s="13" t="str">
        <f>Sum(AG2:AG6)</f>
      </c>
      <c r="AH7" s="13" t="str">
        <f>Sum(AH2:AH6)</f>
      </c>
      <c r="AI7" s="13" t="str">
        <f>Sum(AI2:AI6)</f>
      </c>
      <c r="AJ7" s="13" t="str">
        <f>Sum(AJ2:AJ6)</f>
      </c>
      <c r="AK7" s="13" t="str">
        <f>Sum(AK2:AK6)</f>
      </c>
      <c r="AL7" s="13" t="str">
        <f>Sum(AL2:AL6)</f>
      </c>
      <c r="AM7" s="13" t="str">
        <f>Sum(AM2:AM6)</f>
      </c>
      <c r="AN7" s="13" t="str">
        <f>Sum(AN2:AN6)</f>
      </c>
      <c r="AO7" s="13" t="str">
        <f>Sum(AO2:AO6)</f>
      </c>
      <c r="AP7" s="13" t="str">
        <f>Sum(AP2:AP6)</f>
      </c>
      <c r="AQ7" s="13" t="str">
        <f>Sum(AQ2:AQ6)</f>
      </c>
      <c r="AR7" s="13" t="str">
        <f>Sum(AR2:AR6)</f>
      </c>
      <c r="AS7" s="13" t="str">
        <f>Sum(AS2:AS6)</f>
      </c>
      <c r="AT7" s="13" t="str">
        <f>Sum(AT2:AT6)</f>
      </c>
      <c r="AU7" s="13" t="str">
        <f>Sum(AU2:AU6)</f>
      </c>
      <c r="AV7" s="13" t="str">
        <f>Sum(AV2:AV6)</f>
      </c>
      <c r="AW7" s="13" t="str">
        <f>Sum(AW2:AW6)</f>
      </c>
      <c r="AX7" s="13" t="str">
        <f>Sum(AX2:AX6)</f>
      </c>
      <c r="AY7" s="13"/>
    </row>
    <row r="10">
      <c r="A10" t="str">
        <f>M10</f>
      </c>
      <c r="B10" t="str">
        <f>N10</f>
      </c>
      <c r="M10" t="s">
        <v>38</v>
      </c>
      <c r="N10" t="s">
        <v>39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  <c r="AW10" t="s">
        <v>133</v>
      </c>
      <c r="AX10" t="s">
        <v>134</v>
      </c>
    </row>
    <row r="11">
      <c r="A11" t="str">
        <f>M11</f>
      </c>
      <c r="B11" t="str">
        <f>N11</f>
      </c>
      <c r="M11" t="s">
        <v>40</v>
      </c>
      <c r="N11" t="s">
        <v>40</v>
      </c>
      <c r="O11" s="13" t="n">
        <v>3907518196.15502</v>
      </c>
      <c r="P11" s="13" t="n">
        <v>4443381947.09346</v>
      </c>
      <c r="Q11" s="13" t="n">
        <v>4574133777.27279</v>
      </c>
      <c r="R11" s="13" t="n">
        <v>4441951518.79454</v>
      </c>
      <c r="S11" s="13" t="n">
        <v>2453465239.447</v>
      </c>
      <c r="T11" s="13" t="n">
        <v>4638780291.37091</v>
      </c>
      <c r="U11" s="13" t="n">
        <v>5417878512.20482</v>
      </c>
      <c r="V11" s="13" t="n">
        <v>9246051513.55761</v>
      </c>
      <c r="W11" s="13" t="n">
        <v>7494368355.44744</v>
      </c>
      <c r="X11" s="13" t="n">
        <v>4370185944.82211</v>
      </c>
      <c r="Y11" s="13" t="n">
        <v>1570824692.02505</v>
      </c>
      <c r="Z11" s="13" t="n">
        <v>2018445353.11665</v>
      </c>
      <c r="AA11" s="13" t="n">
        <v>2607532287.17566</v>
      </c>
      <c r="AB11" s="13" t="n">
        <v>406302332.19103</v>
      </c>
      <c r="AC11" s="13" t="n">
        <v>1493571582.28601</v>
      </c>
      <c r="AD11" s="13" t="n">
        <v>738916064.963104</v>
      </c>
      <c r="AE11" s="13" t="n">
        <v>628620310.318495</v>
      </c>
      <c r="AF11" s="13" t="n">
        <v>483066168.327241</v>
      </c>
      <c r="AG11" s="13" t="n">
        <v>565228703.105796</v>
      </c>
      <c r="AH11" s="13" t="n">
        <v>657973466.241903</v>
      </c>
      <c r="AI11" s="13" t="n">
        <v>453734917.689545</v>
      </c>
      <c r="AJ11" s="13" t="n">
        <v>506782737.148817</v>
      </c>
      <c r="AK11" s="13" t="n">
        <v>291694139.26635</v>
      </c>
      <c r="AL11" s="13" t="n">
        <v>271443605.412483</v>
      </c>
      <c r="AM11" s="13" t="n">
        <v>291032804.444031</v>
      </c>
      <c r="AN11" s="13" t="n">
        <v>276311413.939888</v>
      </c>
      <c r="AO11" s="13" t="n">
        <v>403714498.3012</v>
      </c>
      <c r="AP11" s="13" t="n">
        <v>354297012.851641</v>
      </c>
      <c r="AQ11" s="13" t="n">
        <v>373830598.62925</v>
      </c>
      <c r="AR11" s="13" t="n">
        <v>373321134.018036</v>
      </c>
      <c r="AS11" s="13" t="n">
        <v>683160259.922388</v>
      </c>
      <c r="AT11" s="13" t="n">
        <v>1638799865.93682</v>
      </c>
      <c r="AU11" s="13" t="n">
        <v>781600764.714328</v>
      </c>
      <c r="AV11" s="13" t="n">
        <v>241324739.722</v>
      </c>
      <c r="AW11" s="13" t="n">
        <v>464329870.266618</v>
      </c>
      <c r="AX11" s="13" t="n">
        <v>141601236.336549</v>
      </c>
      <c r="AY11" s="13"/>
    </row>
    <row r="12">
      <c r="A12" t="str">
        <f>M12</f>
      </c>
      <c r="B12" t="str">
        <f>N12</f>
      </c>
      <c r="M12" t="s">
        <v>41</v>
      </c>
      <c r="N12" t="s">
        <v>41</v>
      </c>
      <c r="O12" s="13" t="n">
        <v>1220329776.88256</v>
      </c>
      <c r="P12" s="13" t="n">
        <v>1845030239.952</v>
      </c>
      <c r="Q12" s="13" t="n">
        <v>992710332.600541</v>
      </c>
      <c r="R12" s="13" t="n">
        <v>761966901.556084</v>
      </c>
      <c r="S12" s="13" t="n">
        <v>752242292.523854</v>
      </c>
      <c r="T12" s="13" t="n">
        <v>650841002.560765</v>
      </c>
      <c r="U12" s="13" t="n">
        <v>769521924.787155</v>
      </c>
      <c r="V12" s="13" t="n">
        <v>744958795.305788</v>
      </c>
      <c r="W12" s="13" t="n">
        <v>879895969.742888</v>
      </c>
      <c r="X12" s="13" t="n">
        <v>1249702817.1271</v>
      </c>
      <c r="Y12" s="13" t="n">
        <v>932091162.844317</v>
      </c>
      <c r="Z12" s="13" t="n">
        <v>921034425.479851</v>
      </c>
      <c r="AA12" s="13" t="n">
        <v>1308897818.86975</v>
      </c>
      <c r="AB12" s="13" t="n">
        <v>2354983027.65834</v>
      </c>
      <c r="AC12" s="13" t="n">
        <v>2752682459.32539</v>
      </c>
      <c r="AD12" s="13" t="n">
        <v>12262111934.4542</v>
      </c>
      <c r="AE12" s="13" t="n">
        <v>11162045213.0348</v>
      </c>
      <c r="AF12" s="13" t="n">
        <v>12274669400.2187</v>
      </c>
      <c r="AG12" s="13" t="n">
        <v>15046414253.2225</v>
      </c>
      <c r="AH12" s="13" t="n">
        <v>6968377224.45826</v>
      </c>
      <c r="AI12" s="13" t="n">
        <v>6016461247.88145</v>
      </c>
      <c r="AJ12" s="13" t="n">
        <v>5506725582.12838</v>
      </c>
      <c r="AK12" s="13" t="n">
        <v>3640650703.08395</v>
      </c>
      <c r="AL12" s="13" t="n">
        <v>2908614572.14789</v>
      </c>
      <c r="AM12" s="13" t="n">
        <v>2813747133.1449</v>
      </c>
      <c r="AN12" s="13" t="n">
        <v>1843149990.0865</v>
      </c>
      <c r="AO12" s="13" t="n">
        <v>1914493665.2944</v>
      </c>
      <c r="AP12" s="13" t="n">
        <v>1882738836.56196</v>
      </c>
      <c r="AQ12" s="13" t="n">
        <v>2093508758.03037</v>
      </c>
      <c r="AR12" s="13" t="n">
        <v>2271510135.58549</v>
      </c>
      <c r="AS12" s="13" t="n">
        <v>4188755355.55048</v>
      </c>
      <c r="AT12" s="13" t="n">
        <v>35070159530.3792</v>
      </c>
      <c r="AU12" s="13" t="n">
        <v>31616742561.0348</v>
      </c>
      <c r="AV12" s="13" t="n">
        <v>4713838107.444</v>
      </c>
      <c r="AW12" s="13" t="n">
        <v>2576381183.87988</v>
      </c>
      <c r="AX12" s="13" t="n">
        <v>417809922.811064</v>
      </c>
      <c r="AY12" s="13"/>
    </row>
    <row r="13">
      <c r="A13" t="str">
        <f>M13</f>
      </c>
      <c r="B13" t="str">
        <f>N13</f>
      </c>
      <c r="M13" t="s">
        <v>42</v>
      </c>
      <c r="N13" t="s">
        <v>43</v>
      </c>
      <c r="O13" s="13" t="n">
        <v>16373053431.8011</v>
      </c>
      <c r="P13" s="13" t="n">
        <v>19996344010.4892</v>
      </c>
      <c r="Q13" s="13" t="n">
        <v>10972694374.8215</v>
      </c>
      <c r="R13" s="13" t="n">
        <v>12729157561.5812</v>
      </c>
      <c r="S13" s="13" t="n">
        <v>10553476573.9064</v>
      </c>
      <c r="T13" s="13" t="n">
        <v>9667820494.48882</v>
      </c>
      <c r="U13" s="13" t="n">
        <v>10386635145.106</v>
      </c>
      <c r="V13" s="13" t="n">
        <v>10760197015.597</v>
      </c>
      <c r="W13" s="13" t="n">
        <v>9507916160.45448</v>
      </c>
      <c r="X13" s="13" t="n">
        <v>9165384323.00486</v>
      </c>
      <c r="Y13" s="13" t="n">
        <v>11070902440.4103</v>
      </c>
      <c r="Z13" s="13" t="n">
        <v>12761604343.1774</v>
      </c>
      <c r="AA13" s="13" t="n">
        <v>16501573289.0311</v>
      </c>
      <c r="AB13" s="13" t="n">
        <v>19839081679.7252</v>
      </c>
      <c r="AC13" s="13" t="n">
        <v>21007109112.4733</v>
      </c>
      <c r="AD13" s="13" t="n">
        <v>31213621239.929</v>
      </c>
      <c r="AE13" s="13" t="n">
        <v>35183942126.4581</v>
      </c>
      <c r="AF13" s="13" t="n">
        <v>33011725017.1181</v>
      </c>
      <c r="AG13" s="13" t="n">
        <v>36827503713.5149</v>
      </c>
      <c r="AH13" s="13" t="n">
        <v>39033392666.2019</v>
      </c>
      <c r="AI13" s="13" t="n">
        <v>31527934951.4029</v>
      </c>
      <c r="AJ13" s="13" t="n">
        <v>31888830920.6098</v>
      </c>
      <c r="AK13" s="13" t="n">
        <v>40701700367.3383</v>
      </c>
      <c r="AL13" s="13" t="n">
        <v>29612860419.3484</v>
      </c>
      <c r="AM13" s="13" t="n">
        <v>26325727898.3493</v>
      </c>
      <c r="AN13" s="13" t="n">
        <v>23085345440.3619</v>
      </c>
      <c r="AO13" s="13" t="n">
        <v>20592082512.4304</v>
      </c>
      <c r="AP13" s="13" t="n">
        <v>23114451980.8224</v>
      </c>
      <c r="AQ13" s="13" t="n">
        <v>26560646747.9287</v>
      </c>
      <c r="AR13" s="13" t="n">
        <v>23422792265.609</v>
      </c>
      <c r="AS13" s="13" t="n">
        <v>23671840223.6938</v>
      </c>
      <c r="AT13" s="13" t="n">
        <v>21831407386.2244</v>
      </c>
      <c r="AU13" s="13" t="n">
        <v>27730122924.2759</v>
      </c>
      <c r="AV13" s="13" t="n">
        <v>26461652075.5085</v>
      </c>
      <c r="AW13" s="13" t="n">
        <v>26450989410.5731</v>
      </c>
      <c r="AX13" s="13" t="n">
        <v>11530635827.938</v>
      </c>
      <c r="AY13" s="13"/>
    </row>
    <row r="14">
      <c r="A14" t="str">
        <f>M14</f>
      </c>
      <c r="B14" t="str">
        <f>N14</f>
      </c>
      <c r="M14" t="s">
        <v>44</v>
      </c>
      <c r="N14" t="s">
        <v>44</v>
      </c>
      <c r="O14" s="13" t="n">
        <v>888626992.918397</v>
      </c>
      <c r="P14" s="13" t="n">
        <v>889447818.701357</v>
      </c>
      <c r="Q14" s="13" t="n">
        <v>646185043.462277</v>
      </c>
      <c r="R14" s="13" t="n">
        <v>642057178.916617</v>
      </c>
      <c r="S14" s="13" t="n">
        <v>706297653.707301</v>
      </c>
      <c r="T14" s="13" t="n">
        <v>606085872.089724</v>
      </c>
      <c r="U14" s="13" t="n">
        <v>620378053.905203</v>
      </c>
      <c r="V14" s="13" t="n">
        <v>974371219.655131</v>
      </c>
      <c r="W14" s="13" t="n">
        <v>835331713.575973</v>
      </c>
      <c r="X14" s="13" t="n">
        <v>944818102.931909</v>
      </c>
      <c r="Y14" s="13" t="n">
        <v>629757031.626652</v>
      </c>
      <c r="Z14" s="13" t="n">
        <v>781439231.068973</v>
      </c>
      <c r="AA14" s="13" t="n">
        <v>812677431.233641</v>
      </c>
      <c r="AB14" s="13" t="n">
        <v>1328391017.6082</v>
      </c>
      <c r="AC14" s="13" t="n">
        <v>1880199010.2005</v>
      </c>
      <c r="AD14" s="13" t="n">
        <v>2451326209.63124</v>
      </c>
      <c r="AE14" s="13" t="n">
        <v>2524840860.54622</v>
      </c>
      <c r="AF14" s="13" t="n">
        <v>2700351416.3181</v>
      </c>
      <c r="AG14" s="13" t="n">
        <v>1644352395.75406</v>
      </c>
      <c r="AH14" s="13" t="n">
        <v>2183205679.9149</v>
      </c>
      <c r="AI14" s="13" t="n">
        <v>2036999775.27074</v>
      </c>
      <c r="AJ14" s="13" t="n">
        <v>2072051089.77459</v>
      </c>
      <c r="AK14" s="13" t="n">
        <v>1641010617.18255</v>
      </c>
      <c r="AL14" s="13" t="n">
        <v>1494604443.41004</v>
      </c>
      <c r="AM14" s="13" t="n">
        <v>1266794558.54935</v>
      </c>
      <c r="AN14" s="13" t="n">
        <v>911868607.709169</v>
      </c>
      <c r="AO14" s="13" t="n">
        <v>988923523.555715</v>
      </c>
      <c r="AP14" s="13" t="n">
        <v>840565180.487569</v>
      </c>
      <c r="AQ14" s="13" t="n">
        <v>1105956373.10417</v>
      </c>
      <c r="AR14" s="13" t="n">
        <v>1010335885.37308</v>
      </c>
      <c r="AS14" s="13" t="n">
        <v>943498993.138354</v>
      </c>
      <c r="AT14" s="13" t="n">
        <v>1097439669.06552</v>
      </c>
      <c r="AU14" s="13" t="n">
        <v>932231505.217803</v>
      </c>
      <c r="AV14" s="13" t="n">
        <v>1373654732.9847</v>
      </c>
      <c r="AW14" s="13" t="n">
        <v>1533943207.86975</v>
      </c>
      <c r="AX14" s="13" t="n">
        <v>658023299.417411</v>
      </c>
      <c r="AY14" s="13"/>
    </row>
    <row r="15">
      <c r="A15" t="str">
        <f>M15</f>
      </c>
      <c r="B15" t="str">
        <f>N15</f>
      </c>
      <c r="M15" t="s">
        <v>43</v>
      </c>
      <c r="N15" t="s">
        <v>43</v>
      </c>
      <c r="O15" s="13" t="n">
        <v>183959200.342471</v>
      </c>
      <c r="P15" s="13" t="n">
        <v>196014905.93515</v>
      </c>
      <c r="Q15" s="13" t="n">
        <v>1662547428.2179</v>
      </c>
      <c r="R15" s="13" t="n">
        <v>1509317432.92748</v>
      </c>
      <c r="S15" s="13" t="n">
        <v>1609432115.12192</v>
      </c>
      <c r="T15" s="13" t="n">
        <v>72432137.1106293</v>
      </c>
      <c r="U15" s="13" t="n">
        <v>143168816.525621</v>
      </c>
      <c r="V15" s="13" t="n">
        <v>127905139.559531</v>
      </c>
      <c r="W15" s="13" t="n">
        <v>298407492.257003</v>
      </c>
      <c r="X15" s="13" t="n">
        <v>559931990.346183</v>
      </c>
      <c r="Y15" s="13" t="n">
        <v>316324515.053809</v>
      </c>
      <c r="Z15" s="13" t="n">
        <v>300443307.619354</v>
      </c>
      <c r="AA15" s="13" t="n">
        <v>410174741.993081</v>
      </c>
      <c r="AB15" s="13" t="n">
        <v>715422325.217232</v>
      </c>
      <c r="AC15" s="13" t="n">
        <v>1215698375.10421</v>
      </c>
      <c r="AD15" s="13" t="n">
        <v>1081316422.072</v>
      </c>
      <c r="AE15" s="13" t="n">
        <v>864789224.130005</v>
      </c>
      <c r="AF15" s="13" t="n">
        <v>80311985.2065148</v>
      </c>
      <c r="AG15" s="13" t="n">
        <v>148404809.33053</v>
      </c>
      <c r="AH15" s="13" t="n">
        <v>60364234.4598804</v>
      </c>
      <c r="AI15" s="13" t="n">
        <v>36632979.1715299</v>
      </c>
      <c r="AJ15" s="13" t="n">
        <v>40925877.9421055</v>
      </c>
      <c r="AK15" s="13" t="n">
        <v>59486716.3560942</v>
      </c>
      <c r="AL15" s="13" t="n">
        <v>31073056.5817852</v>
      </c>
      <c r="AM15" s="13" t="n">
        <v>73072368.141376</v>
      </c>
      <c r="AN15" s="13" t="n">
        <v>240977791.272127</v>
      </c>
      <c r="AO15" s="13" t="n">
        <v>187156373.567899</v>
      </c>
      <c r="AP15" s="13" t="n">
        <v>165407456.153033</v>
      </c>
      <c r="AQ15" s="13" t="n">
        <v>158848766.833742</v>
      </c>
      <c r="AR15" s="13" t="n">
        <v>140588261.321533</v>
      </c>
      <c r="AS15" s="13" t="n">
        <v>138839409.185621</v>
      </c>
      <c r="AT15" s="13" t="n">
        <v>82779522.4786747</v>
      </c>
      <c r="AU15" s="13" t="n">
        <v>164982455.835549</v>
      </c>
      <c r="AV15" s="13" t="n">
        <v>49709892.4551</v>
      </c>
      <c r="AW15" s="13" t="n">
        <v>455363680.814531</v>
      </c>
      <c r="AX15" s="13" t="n">
        <v>104616868.713389</v>
      </c>
      <c r="AY15" s="13"/>
    </row>
    <row r="16">
      <c r="A16" t="str">
        <f>M16</f>
      </c>
      <c r="B16" t="str">
        <f>N16</f>
      </c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45</v>
      </c>
      <c r="N1" t="s">
        <v>45</v>
      </c>
      <c r="O1" t="s">
        <v>46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133</v>
      </c>
      <c r="AY1" t="s">
        <v>134</v>
      </c>
    </row>
    <row r="2">
      <c r="A2" t="str">
        <f>N2</f>
      </c>
      <c r="B2" t="str">
        <f>O2</f>
      </c>
      <c r="M2" t="s">
        <v>47</v>
      </c>
      <c r="N2" t="s">
        <v>52</v>
      </c>
      <c r="O2" t="s">
        <v>52</v>
      </c>
      <c r="P2" s="3"/>
      <c r="Q2" s="3"/>
      <c r="R2" s="3"/>
      <c r="S2" s="3"/>
      <c r="T2" s="3"/>
      <c r="U2" s="3"/>
      <c r="V2" s="3"/>
      <c r="W2" s="3" t="n">
        <v>0</v>
      </c>
      <c r="X2" s="3" t="n">
        <v>9012734</v>
      </c>
      <c r="Y2" s="3" t="n">
        <v>19759954</v>
      </c>
      <c r="Z2" s="3" t="n">
        <v>27192491</v>
      </c>
      <c r="AA2" s="3" t="n">
        <v>38013886</v>
      </c>
      <c r="AB2" s="3" t="n">
        <v>26618774</v>
      </c>
      <c r="AC2" s="3" t="n">
        <v>57444973</v>
      </c>
      <c r="AD2" s="3" t="n">
        <v>36817459</v>
      </c>
      <c r="AE2" s="3" t="n">
        <v>73757462.04</v>
      </c>
      <c r="AF2" s="3" t="n">
        <v>94946460.87</v>
      </c>
      <c r="AG2" s="3" t="n">
        <v>112141706.24</v>
      </c>
      <c r="AH2" s="3" t="n">
        <v>56714274.0859</v>
      </c>
      <c r="AI2" s="3" t="n">
        <v>14745532.3494</v>
      </c>
      <c r="AJ2" s="3" t="n">
        <v>46231672.5041</v>
      </c>
      <c r="AK2" s="3" t="n">
        <v>128128965.0707</v>
      </c>
      <c r="AL2" s="3" t="n">
        <v>92884082.5257</v>
      </c>
      <c r="AM2" s="3" t="n">
        <v>69906519.33</v>
      </c>
      <c r="AN2" s="3" t="n">
        <v>18500060.43</v>
      </c>
      <c r="AO2" s="3" t="n">
        <v>4323623.2712</v>
      </c>
      <c r="AP2" s="3" t="n">
        <v>40995353.9511</v>
      </c>
      <c r="AQ2" s="3" t="n">
        <v>53286672.5746</v>
      </c>
      <c r="AR2" s="3" t="n">
        <v>74120298.6816</v>
      </c>
      <c r="AS2" s="3" t="n">
        <v>18804604.7253</v>
      </c>
      <c r="AT2" s="3" t="n">
        <v>33607502.5891</v>
      </c>
      <c r="AU2" s="3" t="n">
        <v>92581.7804</v>
      </c>
      <c r="AV2" s="3" t="n">
        <v>3059.4</v>
      </c>
      <c r="AW2" s="3" t="n">
        <v>8769599.0324</v>
      </c>
      <c r="AX2" s="3" t="n">
        <v>6826873.67</v>
      </c>
      <c r="AY2" s="3" t="n">
        <v>1219871.19</v>
      </c>
      <c r="AZ2" s="3"/>
    </row>
    <row r="3">
      <c r="A3" t="str">
        <f>N3</f>
      </c>
      <c r="B3" t="str">
        <f>O3</f>
      </c>
      <c r="M3" t="s">
        <v>49</v>
      </c>
      <c r="N3"/>
      <c r="O3" t="s">
        <v>58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 t="n">
        <v>29458</v>
      </c>
      <c r="AE3" s="3" t="n">
        <v>1481741</v>
      </c>
      <c r="AF3" s="3" t="n">
        <v>19688033.04</v>
      </c>
      <c r="AG3" s="3" t="n">
        <v>545133910.1397</v>
      </c>
      <c r="AH3" s="3" t="n">
        <v>419626804.6072</v>
      </c>
      <c r="AI3" s="3" t="n">
        <v>369797749.4893</v>
      </c>
      <c r="AJ3" s="3" t="n">
        <v>3088508.0736</v>
      </c>
      <c r="AK3" s="3" t="n">
        <v>140427.3608</v>
      </c>
      <c r="AL3" s="3" t="n">
        <v>-178790.0492</v>
      </c>
      <c r="AM3" s="3" t="n">
        <v>8041235.8</v>
      </c>
      <c r="AN3" s="3" t="n">
        <v>-149735.36</v>
      </c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</row>
    <row r="4">
      <c r="A4" t="str">
        <f>N4</f>
      </c>
      <c r="B4" t="str">
        <f>O4</f>
      </c>
      <c r="M4" t="s">
        <v>49</v>
      </c>
      <c r="N4"/>
      <c r="O4" t="s">
        <v>48</v>
      </c>
      <c r="P4" s="3" t="n">
        <v>19594000</v>
      </c>
      <c r="Q4" s="3" t="n">
        <v>40013000</v>
      </c>
      <c r="R4" s="3" t="n">
        <v>1744000</v>
      </c>
      <c r="S4" s="3" t="n">
        <v>285000</v>
      </c>
      <c r="T4" s="3" t="n">
        <v>792000</v>
      </c>
      <c r="U4" s="3" t="n">
        <v>2290000</v>
      </c>
      <c r="V4" s="3" t="n">
        <v>4601000</v>
      </c>
      <c r="W4" s="3" t="n">
        <v>163460305</v>
      </c>
      <c r="X4" s="3" t="n">
        <v>263797865</v>
      </c>
      <c r="Y4" s="3" t="n">
        <v>483061061</v>
      </c>
      <c r="Z4" s="3" t="n">
        <v>3231731618.09</v>
      </c>
      <c r="AA4" s="3" t="n">
        <v>3812954847</v>
      </c>
      <c r="AB4" s="3" t="n">
        <v>5281950979.2411</v>
      </c>
      <c r="AC4" s="3" t="n">
        <v>7730994674.9825</v>
      </c>
      <c r="AD4" s="3" t="n">
        <v>8841237665.3116</v>
      </c>
      <c r="AE4" s="3" t="n">
        <v>18576306263.9433</v>
      </c>
      <c r="AF4" s="3" t="n">
        <v>20160233468.4913</v>
      </c>
      <c r="AG4" s="3" t="n">
        <v>21127357773.5368</v>
      </c>
      <c r="AH4" s="3" t="n">
        <v>23115906021.7036</v>
      </c>
      <c r="AI4" s="3" t="n">
        <v>16246373369.5414</v>
      </c>
      <c r="AJ4" s="3" t="n">
        <v>16124497395.521</v>
      </c>
      <c r="AK4" s="3" t="n">
        <v>15398909646.1659</v>
      </c>
      <c r="AL4" s="3" t="n">
        <v>13279813351.92</v>
      </c>
      <c r="AM4" s="3" t="n">
        <v>12021664752.2637</v>
      </c>
      <c r="AN4" s="3" t="n">
        <v>15117021726.8298</v>
      </c>
      <c r="AO4" s="3" t="n">
        <v>14404750854.319</v>
      </c>
      <c r="AP4" s="3" t="n">
        <v>13847362401.3876</v>
      </c>
      <c r="AQ4" s="3" t="n">
        <v>14615590505.9843</v>
      </c>
      <c r="AR4" s="3" t="n">
        <v>17541211372.6724</v>
      </c>
      <c r="AS4" s="3" t="n">
        <v>16648014052.8458</v>
      </c>
      <c r="AT4" s="3" t="n">
        <v>19609173799.3988</v>
      </c>
      <c r="AU4" s="3" t="n">
        <v>44742852953.7542</v>
      </c>
      <c r="AV4" s="3" t="n">
        <v>46083777194.4366</v>
      </c>
      <c r="AW4" s="3" t="n">
        <v>20469867247.6984</v>
      </c>
      <c r="AX4" s="3" t="n">
        <v>19682008299.4618</v>
      </c>
      <c r="AY4" s="3" t="n">
        <v>9637999378.38</v>
      </c>
      <c r="AZ4" s="3"/>
    </row>
    <row r="5">
      <c r="A5" t="str">
        <f>N5</f>
      </c>
      <c r="B5" t="str">
        <f>O5</f>
      </c>
      <c r="M5" t="s">
        <v>52</v>
      </c>
      <c r="N5"/>
      <c r="O5" t="s">
        <v>54</v>
      </c>
      <c r="P5" s="3"/>
      <c r="Q5" s="3"/>
      <c r="R5" s="3" t="n">
        <v>84000</v>
      </c>
      <c r="S5" s="3" t="n">
        <v>0</v>
      </c>
      <c r="T5" s="3" t="n">
        <v>64000</v>
      </c>
      <c r="U5" s="3"/>
      <c r="V5" s="3" t="n">
        <v>-51000</v>
      </c>
      <c r="W5" s="3" t="n">
        <v>2559482231</v>
      </c>
      <c r="X5" s="3" t="n">
        <v>2099620113</v>
      </c>
      <c r="Y5" s="3" t="n">
        <v>1207095191</v>
      </c>
      <c r="Z5" s="3" t="n">
        <v>980649600</v>
      </c>
      <c r="AA5" s="3" t="n">
        <v>1299225545</v>
      </c>
      <c r="AB5" s="3" t="n">
        <v>1687510304</v>
      </c>
      <c r="AC5" s="3" t="n">
        <v>276779002</v>
      </c>
      <c r="AD5" s="3" t="n">
        <v>1052342496</v>
      </c>
      <c r="AE5" s="3" t="n">
        <v>317292195</v>
      </c>
      <c r="AF5" s="3" t="n">
        <v>308483431.79</v>
      </c>
      <c r="AG5" s="3" t="n">
        <v>210054318.5435</v>
      </c>
      <c r="AH5" s="3" t="n">
        <v>138082538.0034</v>
      </c>
      <c r="AI5" s="3" t="n">
        <v>96862252.4251</v>
      </c>
      <c r="AJ5" s="3" t="n">
        <v>158637757.5597</v>
      </c>
      <c r="AK5" s="3" t="n">
        <v>184341557.2287</v>
      </c>
      <c r="AL5" s="3" t="n">
        <v>277353608.9364</v>
      </c>
      <c r="AM5" s="3" t="n">
        <v>251986919.2119</v>
      </c>
      <c r="AN5" s="3" t="n">
        <v>299657503.9448</v>
      </c>
      <c r="AO5" s="3" t="n">
        <v>159799700.6462</v>
      </c>
      <c r="AP5" s="3" t="n">
        <v>312143766.8932</v>
      </c>
      <c r="AQ5" s="3" t="n">
        <v>234217845.9309</v>
      </c>
      <c r="AR5" s="3" t="n">
        <v>407602114.6267</v>
      </c>
      <c r="AS5" s="3" t="n">
        <v>313620908.4033</v>
      </c>
      <c r="AT5" s="3" t="n">
        <v>277958402.5649</v>
      </c>
      <c r="AU5" s="3" t="n">
        <v>236812443.3861</v>
      </c>
      <c r="AV5" s="3" t="n">
        <v>180337059.53</v>
      </c>
      <c r="AW5" s="3" t="n">
        <v>271871345.1167</v>
      </c>
      <c r="AX5" s="3" t="n">
        <v>252781530.19</v>
      </c>
      <c r="AY5" s="3" t="n">
        <v>181714624.13</v>
      </c>
      <c r="AZ5" s="3"/>
    </row>
    <row r="6">
      <c r="A6" t="str">
        <f>N6</f>
      </c>
      <c r="B6" t="str">
        <f>O6</f>
      </c>
      <c r="M6" t="s">
        <v>53</v>
      </c>
      <c r="N6"/>
      <c r="O6" t="s">
        <v>50</v>
      </c>
      <c r="P6" s="3" t="n">
        <v>1000000</v>
      </c>
      <c r="Q6" s="3" t="n">
        <v>-137000</v>
      </c>
      <c r="R6" s="3" t="n">
        <v>815000</v>
      </c>
      <c r="S6" s="3" t="n">
        <v>699000</v>
      </c>
      <c r="T6" s="3" t="n">
        <v>2826000</v>
      </c>
      <c r="U6" s="3" t="n">
        <v>4807000</v>
      </c>
      <c r="V6" s="3" t="n">
        <v>52199000</v>
      </c>
      <c r="W6" s="3" t="n">
        <v>938688</v>
      </c>
      <c r="X6" s="3" t="n">
        <v>959758</v>
      </c>
      <c r="Y6" s="3" t="n">
        <v>69771748</v>
      </c>
      <c r="Z6" s="3" t="n">
        <v>3867172348</v>
      </c>
      <c r="AA6" s="3" t="n">
        <v>4793771907</v>
      </c>
      <c r="AB6" s="3" t="n">
        <v>5982434518</v>
      </c>
      <c r="AC6" s="3" t="n">
        <v>6737871820.6396</v>
      </c>
      <c r="AD6" s="3" t="n">
        <v>7454215863.1482</v>
      </c>
      <c r="AE6" s="3" t="n">
        <v>11867070482.5472</v>
      </c>
      <c r="AF6" s="3" t="n">
        <v>13547520958.8447</v>
      </c>
      <c r="AG6" s="3" t="n">
        <v>12063425081.4159</v>
      </c>
      <c r="AH6" s="3" t="n">
        <v>14901437616.8322</v>
      </c>
      <c r="AI6" s="3" t="n">
        <v>18552748295.3101</v>
      </c>
      <c r="AJ6" s="3" t="n">
        <v>12504051932.7663</v>
      </c>
      <c r="AK6" s="3" t="n">
        <v>14004887788.9895</v>
      </c>
      <c r="AL6" s="3" t="n">
        <v>21578145906.2037</v>
      </c>
      <c r="AM6" s="3" t="n">
        <v>14207389307.0144</v>
      </c>
      <c r="AN6" s="3" t="n">
        <v>8749060025.7161</v>
      </c>
      <c r="AO6" s="3" t="n">
        <v>6426503354.7956</v>
      </c>
      <c r="AP6" s="3" t="n">
        <v>5064589404.9822</v>
      </c>
      <c r="AQ6" s="3" t="n">
        <v>6596628434.5543</v>
      </c>
      <c r="AR6" s="3" t="n">
        <v>7297921200.2757</v>
      </c>
      <c r="AS6" s="3" t="n">
        <v>6123935149.5588</v>
      </c>
      <c r="AT6" s="3" t="n">
        <v>5353399722.5535</v>
      </c>
      <c r="AU6" s="3" t="n">
        <v>5855604388.2354</v>
      </c>
      <c r="AV6" s="3" t="n">
        <v>12093133376.1201</v>
      </c>
      <c r="AW6" s="3" t="n">
        <v>11861283549.771</v>
      </c>
      <c r="AX6" s="3" t="n">
        <v>11145828875.48</v>
      </c>
      <c r="AY6" s="3" t="n">
        <v>3576824660.86</v>
      </c>
      <c r="AZ6" s="3"/>
    </row>
    <row r="7">
      <c r="A7" t="str">
        <f>N7</f>
      </c>
      <c r="B7" t="str">
        <f>O7</f>
      </c>
      <c r="M7" t="s">
        <v>55</v>
      </c>
      <c r="N7"/>
      <c r="O7" t="s">
        <v>51</v>
      </c>
      <c r="P7" s="3"/>
      <c r="Q7" s="3"/>
      <c r="R7" s="3"/>
      <c r="S7" s="3"/>
      <c r="T7" s="3"/>
      <c r="U7" s="3"/>
      <c r="V7" s="3"/>
      <c r="W7" s="3" t="n">
        <v>70000</v>
      </c>
      <c r="X7" s="3" t="n">
        <v>938659</v>
      </c>
      <c r="Y7" s="3" t="n">
        <v>7179866</v>
      </c>
      <c r="Z7" s="3" t="n">
        <v>13308850</v>
      </c>
      <c r="AA7" s="3" t="n">
        <v>21068465</v>
      </c>
      <c r="AB7" s="3" t="n">
        <v>35646463</v>
      </c>
      <c r="AC7" s="3" t="n">
        <v>26260225.0938</v>
      </c>
      <c r="AD7" s="3" t="n">
        <v>21301234.4687</v>
      </c>
      <c r="AE7" s="3" t="n">
        <v>100080424</v>
      </c>
      <c r="AF7" s="3" t="n">
        <v>78752737</v>
      </c>
      <c r="AG7" s="3" t="n">
        <v>14627137.9375</v>
      </c>
      <c r="AH7" s="3" t="n">
        <v>186468402.9031</v>
      </c>
      <c r="AI7" s="3" t="n">
        <v>13271019.9575</v>
      </c>
      <c r="AJ7" s="3" t="n">
        <v>27115107.0589</v>
      </c>
      <c r="AK7" s="3" t="n">
        <v>15297739.9783</v>
      </c>
      <c r="AL7" s="3" t="n">
        <v>8558456.4114</v>
      </c>
      <c r="AM7" s="3" t="n">
        <v>26937521.885</v>
      </c>
      <c r="AN7" s="3" t="n">
        <v>5430959.5516</v>
      </c>
      <c r="AO7" s="3" t="n">
        <v>9075422.8662</v>
      </c>
      <c r="AP7" s="3" t="n">
        <v>11533251.3816</v>
      </c>
      <c r="AQ7" s="3" t="n">
        <v>2910101.753</v>
      </c>
      <c r="AR7" s="3" t="n">
        <v>7393736.1633</v>
      </c>
      <c r="AS7" s="3" t="n">
        <v>8173912.9591</v>
      </c>
      <c r="AT7" s="3" t="n">
        <v>-286436.3364</v>
      </c>
      <c r="AU7" s="3" t="n">
        <v>5360080.51</v>
      </c>
      <c r="AV7" s="3" t="n">
        <v>600000</v>
      </c>
      <c r="AW7" s="3" t="n">
        <v>3300000</v>
      </c>
      <c r="AX7" s="3" t="n">
        <v>6855087.3</v>
      </c>
      <c r="AY7" s="3" t="n">
        <v>-371.61</v>
      </c>
      <c r="AZ7" s="3"/>
    </row>
    <row r="8">
      <c r="A8" t="str">
        <f>N8</f>
      </c>
      <c r="B8" t="str">
        <f>O8</f>
      </c>
      <c r="M8" t="s">
        <v>57</v>
      </c>
      <c r="N8"/>
      <c r="O8" t="s">
        <v>56</v>
      </c>
      <c r="P8" s="3"/>
      <c r="Q8" s="3"/>
      <c r="R8" s="3" t="n">
        <v>1410000</v>
      </c>
      <c r="S8" s="3"/>
      <c r="T8" s="3"/>
      <c r="U8" s="3"/>
      <c r="V8" s="3"/>
      <c r="W8" s="3" t="n">
        <v>0</v>
      </c>
      <c r="X8" s="3" t="n">
        <v>443950</v>
      </c>
      <c r="Y8" s="3" t="n">
        <v>4336052</v>
      </c>
      <c r="Z8" s="3" t="n">
        <v>28080419</v>
      </c>
      <c r="AA8" s="3" t="n">
        <v>41682083</v>
      </c>
      <c r="AB8" s="3" t="n">
        <v>12774421</v>
      </c>
      <c r="AC8" s="3" t="n">
        <v>27099676</v>
      </c>
      <c r="AD8" s="3" t="n">
        <v>23263145</v>
      </c>
      <c r="AE8" s="3" t="n">
        <v>114122216.7656</v>
      </c>
      <c r="AF8" s="3" t="n">
        <v>85051998.333</v>
      </c>
      <c r="AG8" s="3" t="n">
        <v>216405827.8277</v>
      </c>
      <c r="AH8" s="3" t="n">
        <v>253846636.0176</v>
      </c>
      <c r="AI8" s="3" t="n">
        <v>299230425.6109</v>
      </c>
      <c r="AJ8" s="3" t="n">
        <v>574865428.8753</v>
      </c>
      <c r="AK8" s="3" t="n">
        <v>256033340.5064</v>
      </c>
      <c r="AL8" s="3" t="n">
        <v>116863079.3785</v>
      </c>
      <c r="AM8" s="3" t="n">
        <v>73036743.9662</v>
      </c>
      <c r="AN8" s="3" t="n">
        <v>150498975.1119</v>
      </c>
      <c r="AO8" s="3" t="n">
        <v>53699109.24</v>
      </c>
      <c r="AP8" s="3" t="n">
        <v>126890314.5544</v>
      </c>
      <c r="AQ8" s="3" t="n">
        <v>86189194.3742</v>
      </c>
      <c r="AR8" s="3" t="n">
        <v>38582784.6835</v>
      </c>
      <c r="AS8" s="3" t="n">
        <v>101369598.7435</v>
      </c>
      <c r="AT8" s="3" t="n">
        <v>323461338.0035</v>
      </c>
      <c r="AU8" s="3" t="n">
        <v>2534520689.732</v>
      </c>
      <c r="AV8" s="3" t="n">
        <v>189488140.2914</v>
      </c>
      <c r="AW8" s="3" t="n">
        <v>225087806.4958</v>
      </c>
      <c r="AX8" s="3" t="n">
        <v>1227438091.91</v>
      </c>
      <c r="AY8" s="3" t="n">
        <v>87718782.89</v>
      </c>
      <c r="AZ8" s="3"/>
    </row>
    <row r="9">
      <c r="A9" t="str">
        <f>N9</f>
      </c>
      <c r="B9" t="str">
        <f>O9</f>
      </c>
      <c r="M9" t="s">
        <v>57</v>
      </c>
      <c r="N9"/>
      <c r="O9"/>
      <c r="P9" s="3" t="n">
        <v>10893531000</v>
      </c>
      <c r="Q9" s="3" t="n">
        <v>13666534115</v>
      </c>
      <c r="R9" s="3" t="n">
        <v>9670991302</v>
      </c>
      <c r="S9" s="3" t="n">
        <v>10550468583</v>
      </c>
      <c r="T9" s="3" t="n">
        <v>8625703645</v>
      </c>
      <c r="U9" s="3" t="n">
        <v>8564693193</v>
      </c>
      <c r="V9" s="3" t="n">
        <v>9626845429</v>
      </c>
      <c r="W9" s="3" t="n">
        <v>9698537776</v>
      </c>
      <c r="X9" s="3" t="n">
        <v>8570246307</v>
      </c>
      <c r="Y9" s="3" t="n">
        <v>7700967417</v>
      </c>
      <c r="Z9" s="3" t="n">
        <v>488629874</v>
      </c>
      <c r="AA9" s="3" t="n">
        <v>218147945</v>
      </c>
      <c r="AB9" s="3" t="n">
        <v>364972701</v>
      </c>
      <c r="AC9" s="3" t="n">
        <v>686725255.7103</v>
      </c>
      <c r="AD9" s="3" t="n">
        <v>887382985</v>
      </c>
      <c r="AE9" s="3" t="n">
        <v>738390961.76</v>
      </c>
      <c r="AF9" s="3" t="n">
        <v>325321191.25</v>
      </c>
      <c r="AG9" s="3" t="n">
        <v>2585948.9</v>
      </c>
      <c r="AH9" s="3" t="n">
        <v>28023071.3269</v>
      </c>
      <c r="AI9" s="3" t="n">
        <v>25825991.5156</v>
      </c>
      <c r="AJ9" s="3" t="n">
        <v>651915.0636</v>
      </c>
      <c r="AK9" s="3" t="n">
        <v>-18286.2302</v>
      </c>
      <c r="AL9" s="3" t="n">
        <v>40200</v>
      </c>
      <c r="AM9" s="3" t="n">
        <v>1416037</v>
      </c>
      <c r="AN9" s="3" t="n">
        <v>9868.7396</v>
      </c>
      <c r="AO9" s="3" t="n">
        <v>7241974.8867</v>
      </c>
      <c r="AP9" s="3" t="n">
        <v>546137.2297</v>
      </c>
      <c r="AQ9" s="3" t="n">
        <v>3264130.8886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124</v>
      </c>
      <c r="O10" t="s">
        <v>125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M13" t="s">
        <v>45</v>
      </c>
      <c r="N13" t="s">
        <v>45</v>
      </c>
      <c r="O13" t="s">
        <v>46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133</v>
      </c>
      <c r="AY13" t="s">
        <v>134</v>
      </c>
    </row>
    <row r="14">
      <c r="A14" t="str">
        <f>N14</f>
      </c>
      <c r="B14" t="str">
        <f>O14</f>
      </c>
      <c r="M14" t="s">
        <v>47</v>
      </c>
      <c r="N14" t="s">
        <v>52</v>
      </c>
      <c r="O14" t="s">
        <v>52</v>
      </c>
      <c r="P14" s="3"/>
      <c r="Q14" s="3"/>
      <c r="R14" s="3"/>
      <c r="S14" s="3"/>
      <c r="T14" s="3"/>
      <c r="U14" s="3"/>
      <c r="V14" s="3"/>
      <c r="W14" s="3" t="n">
        <v>0</v>
      </c>
      <c r="X14" s="3" t="n">
        <v>15658759.4686104</v>
      </c>
      <c r="Y14" s="3" t="n">
        <v>33911114.6291496</v>
      </c>
      <c r="Z14" s="3" t="n">
        <v>45715292.3144521</v>
      </c>
      <c r="AA14" s="3" t="n">
        <v>62395523.2136532</v>
      </c>
      <c r="AB14" s="3" t="n">
        <v>43015008.5145845</v>
      </c>
      <c r="AC14" s="3" t="n">
        <v>91080761.7830747</v>
      </c>
      <c r="AD14" s="3" t="n">
        <v>56983735.5182564</v>
      </c>
      <c r="AE14" s="3" t="n">
        <v>110785940.643393</v>
      </c>
      <c r="AF14" s="3" t="n">
        <v>138125544.914312</v>
      </c>
      <c r="AG14" s="3" t="n">
        <v>158769868.754278</v>
      </c>
      <c r="AH14" s="3" t="n">
        <v>78662781.8982371</v>
      </c>
      <c r="AI14" s="3" t="n">
        <v>20245047.045999</v>
      </c>
      <c r="AJ14" s="3" t="n">
        <v>62929307.0975357</v>
      </c>
      <c r="AK14" s="3" t="n">
        <v>170974013.731845</v>
      </c>
      <c r="AL14" s="3" t="n">
        <v>121734592.637502</v>
      </c>
      <c r="AM14" s="3" t="n">
        <v>89987227.7938924</v>
      </c>
      <c r="AN14" s="3" t="n">
        <v>23387555.6828228</v>
      </c>
      <c r="AO14" s="3" t="n">
        <v>5409847.19871484</v>
      </c>
      <c r="AP14" s="3" t="n">
        <v>50887765.4967573</v>
      </c>
      <c r="AQ14" s="3" t="n">
        <v>65047041.2243098</v>
      </c>
      <c r="AR14" s="3" t="n">
        <v>88513645.6366225</v>
      </c>
      <c r="AS14" s="3" t="n">
        <v>22048584.187502</v>
      </c>
      <c r="AT14" s="3" t="n">
        <v>38897011.8559125</v>
      </c>
      <c r="AU14" s="3" t="n">
        <v>103588.065384156</v>
      </c>
      <c r="AV14" s="3" t="n">
        <v>3199.35713188218</v>
      </c>
      <c r="AW14" s="3" t="n">
        <v>8769599.0324</v>
      </c>
      <c r="AX14" s="3" t="n">
        <v>6649297.60787564</v>
      </c>
      <c r="AY14" s="3" t="n">
        <v>1162630.20119345</v>
      </c>
      <c r="AZ14" s="3"/>
    </row>
    <row r="15">
      <c r="A15" t="str">
        <f>N15</f>
      </c>
      <c r="B15" t="str">
        <f>O15</f>
      </c>
      <c r="M15" t="s">
        <v>49</v>
      </c>
      <c r="N15"/>
      <c r="O15" t="s">
        <v>58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 t="n">
        <v>45593.2301275</v>
      </c>
      <c r="AE15" s="3" t="n">
        <v>2225619.83472067</v>
      </c>
      <c r="AF15" s="3" t="n">
        <v>28641618.3080734</v>
      </c>
      <c r="AG15" s="3" t="n">
        <v>771798845.125065</v>
      </c>
      <c r="AH15" s="3" t="n">
        <v>582022997.587425</v>
      </c>
      <c r="AI15" s="3" t="n">
        <v>507718043.57542</v>
      </c>
      <c r="AJ15" s="3" t="n">
        <v>4203993.98311961</v>
      </c>
      <c r="AK15" s="3" t="n">
        <v>187384.870395994</v>
      </c>
      <c r="AL15" s="3" t="n">
        <v>-234323.612993419</v>
      </c>
      <c r="AM15" s="3" t="n">
        <v>10351087.7757072</v>
      </c>
      <c r="AN15" s="3" t="n">
        <v>-189293.655711995</v>
      </c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</row>
    <row r="16">
      <c r="A16" t="str">
        <f>N16</f>
      </c>
      <c r="B16" t="str">
        <f>O16</f>
      </c>
      <c r="M16" t="s">
        <v>49</v>
      </c>
      <c r="N16"/>
      <c r="O16" t="s">
        <v>48</v>
      </c>
      <c r="P16" s="3" t="n">
        <v>40525916.2779576</v>
      </c>
      <c r="Q16" s="3" t="n">
        <v>79901634.3845067</v>
      </c>
      <c r="R16" s="3" t="n">
        <v>3397543.56898634</v>
      </c>
      <c r="S16" s="3" t="n">
        <v>542491.033741505</v>
      </c>
      <c r="T16" s="3" t="n">
        <v>1475346.2543587</v>
      </c>
      <c r="U16" s="3" t="n">
        <v>4177231.02529882</v>
      </c>
      <c r="V16" s="3" t="n">
        <v>8237666.02876229</v>
      </c>
      <c r="W16" s="3" t="n">
        <v>287557276.826411</v>
      </c>
      <c r="X16" s="3" t="n">
        <v>458323447.287798</v>
      </c>
      <c r="Y16" s="3" t="n">
        <v>829006940.625955</v>
      </c>
      <c r="Z16" s="3" t="n">
        <v>5433101204.40388</v>
      </c>
      <c r="AA16" s="3" t="n">
        <v>6258537016.41026</v>
      </c>
      <c r="AB16" s="3" t="n">
        <v>8535448189.52495</v>
      </c>
      <c r="AC16" s="3" t="n">
        <v>12257728528.1046</v>
      </c>
      <c r="AD16" s="3" t="n">
        <v>13683908734.0102</v>
      </c>
      <c r="AE16" s="3" t="n">
        <v>27902174318.5065</v>
      </c>
      <c r="AF16" s="3" t="n">
        <v>29328562728.0812</v>
      </c>
      <c r="AG16" s="3" t="n">
        <v>29912045511.8652</v>
      </c>
      <c r="AH16" s="3" t="n">
        <v>32061795783.7441</v>
      </c>
      <c r="AI16" s="3" t="n">
        <v>22305643865.5207</v>
      </c>
      <c r="AJ16" s="3" t="n">
        <v>21948231449.0389</v>
      </c>
      <c r="AK16" s="3" t="n">
        <v>20548151527.223</v>
      </c>
      <c r="AL16" s="3" t="n">
        <v>17404625472.3003</v>
      </c>
      <c r="AM16" s="3" t="n">
        <v>15474898405.6415</v>
      </c>
      <c r="AN16" s="3" t="n">
        <v>19110758515.2182</v>
      </c>
      <c r="AO16" s="3" t="n">
        <v>18023656588.3305</v>
      </c>
      <c r="AP16" s="3" t="n">
        <v>17188809528.7812</v>
      </c>
      <c r="AQ16" s="3" t="n">
        <v>17841251334.0823</v>
      </c>
      <c r="AR16" s="3" t="n">
        <v>20947521732.8455</v>
      </c>
      <c r="AS16" s="3" t="n">
        <v>19519960390.6075</v>
      </c>
      <c r="AT16" s="3" t="n">
        <v>22695475920.5239</v>
      </c>
      <c r="AU16" s="3" t="n">
        <v>50061962053.6825</v>
      </c>
      <c r="AV16" s="3" t="n">
        <v>48191953072.8542</v>
      </c>
      <c r="AW16" s="3" t="n">
        <v>20469867247.6984</v>
      </c>
      <c r="AX16" s="3" t="n">
        <v>19170053091.6372</v>
      </c>
      <c r="AY16" s="3" t="n">
        <v>9185747846.36754</v>
      </c>
      <c r="AZ16" s="3"/>
    </row>
    <row r="17">
      <c r="A17" t="str">
        <f>N17</f>
      </c>
      <c r="B17" t="str">
        <f>O17</f>
      </c>
      <c r="M17" t="s">
        <v>52</v>
      </c>
      <c r="N17"/>
      <c r="O17" t="s">
        <v>54</v>
      </c>
      <c r="P17" s="3"/>
      <c r="Q17" s="3"/>
      <c r="R17" s="3" t="n">
        <v>163643.153552095</v>
      </c>
      <c r="S17" s="3" t="n">
        <v>0</v>
      </c>
      <c r="T17" s="3" t="n">
        <v>119219.899342117</v>
      </c>
      <c r="U17" s="3"/>
      <c r="V17" s="3" t="n">
        <v>-91310.7949286844</v>
      </c>
      <c r="W17" s="3" t="n">
        <v>4502608388.20744</v>
      </c>
      <c r="X17" s="3" t="n">
        <v>3647888235.12638</v>
      </c>
      <c r="Y17" s="3" t="n">
        <v>2071560662.04892</v>
      </c>
      <c r="Z17" s="3" t="n">
        <v>1648642013.78427</v>
      </c>
      <c r="AA17" s="3" t="n">
        <v>2132532771.12523</v>
      </c>
      <c r="AB17" s="3" t="n">
        <v>2726957676.37567</v>
      </c>
      <c r="AC17" s="3" t="n">
        <v>438841573.617228</v>
      </c>
      <c r="AD17" s="3" t="n">
        <v>1628749188.44035</v>
      </c>
      <c r="AE17" s="3" t="n">
        <v>476582481.414809</v>
      </c>
      <c r="AF17" s="3" t="n">
        <v>448773358.402175</v>
      </c>
      <c r="AG17" s="3" t="n">
        <v>297394231.857379</v>
      </c>
      <c r="AH17" s="3" t="n">
        <v>191520684.095592</v>
      </c>
      <c r="AI17" s="3" t="n">
        <v>132988135.718774</v>
      </c>
      <c r="AJ17" s="3" t="n">
        <v>215933441.773136</v>
      </c>
      <c r="AK17" s="3" t="n">
        <v>245983536.350102</v>
      </c>
      <c r="AL17" s="3" t="n">
        <v>363501772.126259</v>
      </c>
      <c r="AM17" s="3" t="n">
        <v>324370380.867629</v>
      </c>
      <c r="AN17" s="3" t="n">
        <v>378823441.458601</v>
      </c>
      <c r="AO17" s="3" t="n">
        <v>199946181.401781</v>
      </c>
      <c r="AP17" s="3" t="n">
        <v>387465829.173782</v>
      </c>
      <c r="AQ17" s="3" t="n">
        <v>285909724.582773</v>
      </c>
      <c r="AR17" s="3" t="n">
        <v>486753963.172601</v>
      </c>
      <c r="AS17" s="3" t="n">
        <v>367723602.963459</v>
      </c>
      <c r="AT17" s="3" t="n">
        <v>321706477.634075</v>
      </c>
      <c r="AU17" s="3" t="n">
        <v>264965123.410622</v>
      </c>
      <c r="AV17" s="3" t="n">
        <v>188586865.905069</v>
      </c>
      <c r="AW17" s="3" t="n">
        <v>271871345.1167</v>
      </c>
      <c r="AX17" s="3" t="n">
        <v>246206346.456022</v>
      </c>
      <c r="AY17" s="3" t="n">
        <v>173187883.888015</v>
      </c>
      <c r="AZ17" s="3"/>
    </row>
    <row r="18">
      <c r="A18" t="str">
        <f>N18</f>
      </c>
      <c r="B18" t="str">
        <f>O18</f>
      </c>
      <c r="M18" t="s">
        <v>53</v>
      </c>
      <c r="N18"/>
      <c r="O18" t="s">
        <v>50</v>
      </c>
      <c r="P18" s="3" t="n">
        <v>2068281.93722351</v>
      </c>
      <c r="Q18" s="3" t="n">
        <v>-273574.186156435</v>
      </c>
      <c r="R18" s="3" t="n">
        <v>1587728.21601139</v>
      </c>
      <c r="S18" s="3" t="n">
        <v>1330530.64065022</v>
      </c>
      <c r="T18" s="3" t="n">
        <v>5264303.68032537</v>
      </c>
      <c r="U18" s="3" t="n">
        <v>8768536.9164242</v>
      </c>
      <c r="V18" s="3" t="n">
        <v>93457493.8133803</v>
      </c>
      <c r="W18" s="3" t="n">
        <v>1651327.91762275</v>
      </c>
      <c r="X18" s="3" t="n">
        <v>1667487.32072582</v>
      </c>
      <c r="Y18" s="3" t="n">
        <v>119739030.98682</v>
      </c>
      <c r="Z18" s="3" t="n">
        <v>6501387251.3256</v>
      </c>
      <c r="AA18" s="3" t="n">
        <v>7868438030.88632</v>
      </c>
      <c r="AB18" s="3" t="n">
        <v>9667405107.75268</v>
      </c>
      <c r="AC18" s="3" t="n">
        <v>10683101865.5117</v>
      </c>
      <c r="AD18" s="3" t="n">
        <v>11537164073.2085</v>
      </c>
      <c r="AE18" s="3" t="n">
        <v>17824699084.378</v>
      </c>
      <c r="AF18" s="3" t="n">
        <v>19708567307.6387</v>
      </c>
      <c r="AG18" s="3" t="n">
        <v>17079358617.9652</v>
      </c>
      <c r="AH18" s="3" t="n">
        <v>20668315977.1674</v>
      </c>
      <c r="AI18" s="3" t="n">
        <v>25472207660.6759</v>
      </c>
      <c r="AJ18" s="3" t="n">
        <v>17020178622.584</v>
      </c>
      <c r="AK18" s="3" t="n">
        <v>18687982657.3671</v>
      </c>
      <c r="AL18" s="3" t="n">
        <v>28280483914.3184</v>
      </c>
      <c r="AM18" s="3" t="n">
        <v>18288474239.3141</v>
      </c>
      <c r="AN18" s="3" t="n">
        <v>11060457304.8843</v>
      </c>
      <c r="AO18" s="3" t="n">
        <v>8041033871.53416</v>
      </c>
      <c r="AP18" s="3" t="n">
        <v>6286703568.54379</v>
      </c>
      <c r="AQ18" s="3" t="n">
        <v>8052504331.60732</v>
      </c>
      <c r="AR18" s="3" t="n">
        <v>8715097247.24782</v>
      </c>
      <c r="AS18" s="3" t="n">
        <v>7180374258.12978</v>
      </c>
      <c r="AT18" s="3" t="n">
        <v>6195975197.07216</v>
      </c>
      <c r="AU18" s="3" t="n">
        <v>6551728942.90419</v>
      </c>
      <c r="AV18" s="3" t="n">
        <v>12646353047.5558</v>
      </c>
      <c r="AW18" s="3" t="n">
        <v>11861283549.771</v>
      </c>
      <c r="AX18" s="3" t="n">
        <v>10855911045.3732</v>
      </c>
      <c r="AY18" s="3" t="n">
        <v>3408986464.45562</v>
      </c>
      <c r="AZ18" s="3"/>
    </row>
    <row r="19">
      <c r="A19" t="str">
        <f>N19</f>
      </c>
      <c r="B19" t="str">
        <f>O19</f>
      </c>
      <c r="M19" t="s">
        <v>55</v>
      </c>
      <c r="N19"/>
      <c r="O19" t="s">
        <v>51</v>
      </c>
      <c r="P19" s="3"/>
      <c r="Q19" s="3"/>
      <c r="R19" s="3"/>
      <c r="S19" s="3"/>
      <c r="T19" s="3"/>
      <c r="U19" s="3"/>
      <c r="V19" s="3"/>
      <c r="W19" s="3" t="n">
        <v>123143.104240805</v>
      </c>
      <c r="X19" s="3" t="n">
        <v>1630829.83521386</v>
      </c>
      <c r="Y19" s="3" t="n">
        <v>12321752.3152095</v>
      </c>
      <c r="Z19" s="3" t="n">
        <v>22374484.4898246</v>
      </c>
      <c r="AA19" s="3" t="n">
        <v>34581518.3689334</v>
      </c>
      <c r="AB19" s="3" t="n">
        <v>57603438.4400957</v>
      </c>
      <c r="AC19" s="3" t="n">
        <v>41636390.1178667</v>
      </c>
      <c r="AD19" s="3" t="n">
        <v>32968704.0916313</v>
      </c>
      <c r="AE19" s="3" t="n">
        <v>150323826.310843</v>
      </c>
      <c r="AF19" s="3" t="n">
        <v>114567353.137177</v>
      </c>
      <c r="AG19" s="3" t="n">
        <v>20709055.0737423</v>
      </c>
      <c r="AH19" s="3" t="n">
        <v>258631950.155311</v>
      </c>
      <c r="AI19" s="3" t="n">
        <v>18220598.4173173</v>
      </c>
      <c r="AJ19" s="3" t="n">
        <v>36908353.2277737</v>
      </c>
      <c r="AK19" s="3" t="n">
        <v>20413151.7309365</v>
      </c>
      <c r="AL19" s="3" t="n">
        <v>11216778.7689492</v>
      </c>
      <c r="AM19" s="3" t="n">
        <v>34675348.4696555</v>
      </c>
      <c r="AN19" s="3" t="n">
        <v>6865754.27171203</v>
      </c>
      <c r="AO19" s="3" t="n">
        <v>11355441.4643157</v>
      </c>
      <c r="AP19" s="3" t="n">
        <v>14316290.387981</v>
      </c>
      <c r="AQ19" s="3" t="n">
        <v>3552361.21056951</v>
      </c>
      <c r="AR19" s="3" t="n">
        <v>8829518.42248148</v>
      </c>
      <c r="AS19" s="3" t="n">
        <v>9583993.42356581</v>
      </c>
      <c r="AT19" s="3" t="n">
        <v>-331518.759639358</v>
      </c>
      <c r="AU19" s="3" t="n">
        <v>5997296.31397562</v>
      </c>
      <c r="AV19" s="3" t="n">
        <v>627447.956831179</v>
      </c>
      <c r="AW19" s="3" t="n">
        <v>3300000</v>
      </c>
      <c r="AX19" s="3" t="n">
        <v>6676777.36384255</v>
      </c>
      <c r="AY19" s="3" t="n">
        <v>-354.17264757724</v>
      </c>
      <c r="AZ19" s="3"/>
    </row>
    <row r="20">
      <c r="A20" t="str">
        <f>N20</f>
      </c>
      <c r="B20" t="str">
        <f>O20</f>
      </c>
      <c r="M20" t="s">
        <v>57</v>
      </c>
      <c r="N20"/>
      <c r="O20" t="s">
        <v>56</v>
      </c>
      <c r="P20" s="3"/>
      <c r="Q20" s="3"/>
      <c r="R20" s="3" t="n">
        <v>2746867.22033873</v>
      </c>
      <c r="S20" s="3"/>
      <c r="T20" s="3"/>
      <c r="U20" s="3"/>
      <c r="V20" s="3"/>
      <c r="W20" s="3" t="n">
        <v>0</v>
      </c>
      <c r="X20" s="3" t="n">
        <v>771320.474574038</v>
      </c>
      <c r="Y20" s="3" t="n">
        <v>7441330.90643597</v>
      </c>
      <c r="Z20" s="3" t="n">
        <v>47208053.2415105</v>
      </c>
      <c r="AA20" s="3" t="n">
        <v>68416456.4869774</v>
      </c>
      <c r="AB20" s="3" t="n">
        <v>20643017.8972137</v>
      </c>
      <c r="AC20" s="3" t="n">
        <v>42967365.2062558</v>
      </c>
      <c r="AD20" s="3" t="n">
        <v>36005225.1841402</v>
      </c>
      <c r="AE20" s="3" t="n">
        <v>171415024.093827</v>
      </c>
      <c r="AF20" s="3" t="n">
        <v>123731348.258276</v>
      </c>
      <c r="AG20" s="3" t="n">
        <v>306386678.372201</v>
      </c>
      <c r="AH20" s="3" t="n">
        <v>352085658.972016</v>
      </c>
      <c r="AI20" s="3" t="n">
        <v>410831830.315945</v>
      </c>
      <c r="AJ20" s="3" t="n">
        <v>782491334.49027</v>
      </c>
      <c r="AK20" s="3" t="n">
        <v>341648337.293576</v>
      </c>
      <c r="AL20" s="3" t="n">
        <v>153161650.259822</v>
      </c>
      <c r="AM20" s="3" t="n">
        <v>94016612.178689</v>
      </c>
      <c r="AN20" s="3" t="n">
        <v>190259008.826239</v>
      </c>
      <c r="AO20" s="3" t="n">
        <v>67189937.1137552</v>
      </c>
      <c r="AP20" s="3" t="n">
        <v>157509667.523698</v>
      </c>
      <c r="AQ20" s="3" t="n">
        <v>105211149.592797</v>
      </c>
      <c r="AR20" s="3" t="n">
        <v>46075137.2012106</v>
      </c>
      <c r="AS20" s="3" t="n">
        <v>118856852.595379</v>
      </c>
      <c r="AT20" s="3" t="n">
        <v>374371153.164237</v>
      </c>
      <c r="AU20" s="3" t="n">
        <v>2835828969.7079</v>
      </c>
      <c r="AV20" s="3" t="n">
        <v>198156577.449298</v>
      </c>
      <c r="AW20" s="3" t="n">
        <v>225087806.4958</v>
      </c>
      <c r="AX20" s="3" t="n">
        <v>1195510794.96577</v>
      </c>
      <c r="AY20" s="3" t="n">
        <v>83602684.4767483</v>
      </c>
      <c r="AZ20" s="3"/>
    </row>
    <row r="21">
      <c r="A21" t="str">
        <f>N21</f>
      </c>
      <c r="B21" t="str">
        <f>O21</f>
      </c>
      <c r="M21" t="s">
        <v>57</v>
      </c>
      <c r="N21"/>
      <c r="O21"/>
      <c r="P21" s="3" t="n">
        <v>22530893399.8844</v>
      </c>
      <c r="Q21" s="3" t="n">
        <v>27290590861.9728</v>
      </c>
      <c r="R21" s="3" t="n">
        <v>18840375174.2162</v>
      </c>
      <c r="S21" s="3" t="n">
        <v>20082577572.1016</v>
      </c>
      <c r="T21" s="3" t="n">
        <v>16068055004.8724</v>
      </c>
      <c r="U21" s="3" t="n">
        <v>15623014029.6791</v>
      </c>
      <c r="V21" s="3" t="n">
        <v>17235978603.4816</v>
      </c>
      <c r="W21" s="3" t="n">
        <v>17061543547.6193</v>
      </c>
      <c r="X21" s="3" t="n">
        <v>14889979611.9645</v>
      </c>
      <c r="Y21" s="3" t="n">
        <v>13216042346.7197</v>
      </c>
      <c r="Z21" s="3" t="n">
        <v>821471542.400581</v>
      </c>
      <c r="AA21" s="3" t="n">
        <v>358065343.970838</v>
      </c>
      <c r="AB21" s="3" t="n">
        <v>589783129.79801</v>
      </c>
      <c r="AC21" s="3" t="n">
        <v>1088823898.05929</v>
      </c>
      <c r="AD21" s="3" t="n">
        <v>1373435285.70619</v>
      </c>
      <c r="AE21" s="3" t="n">
        <v>1109085575.86753</v>
      </c>
      <c r="AF21" s="3" t="n">
        <v>473268475.747654</v>
      </c>
      <c r="AG21" s="3" t="n">
        <v>3661178.17558069</v>
      </c>
      <c r="AH21" s="3" t="n">
        <v>38868041.3076946</v>
      </c>
      <c r="AI21" s="3" t="n">
        <v>35458090.0067788</v>
      </c>
      <c r="AJ21" s="3" t="n">
        <v>887369.221504061</v>
      </c>
      <c r="AK21" s="3" t="n">
        <v>-24400.9632918937</v>
      </c>
      <c r="AL21" s="3" t="n">
        <v>52686.4290517541</v>
      </c>
      <c r="AM21" s="3" t="n">
        <v>1822794.85954747</v>
      </c>
      <c r="AN21" s="3" t="n">
        <v>12475.9428644892</v>
      </c>
      <c r="AO21" s="3" t="n">
        <v>9061376.32641236</v>
      </c>
      <c r="AP21" s="3" t="n">
        <v>677923.242403828</v>
      </c>
      <c r="AQ21" s="3" t="n">
        <v>3984524.57647945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59</v>
      </c>
      <c r="O1" t="s">
        <v>60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133</v>
      </c>
      <c r="AY1" t="s">
        <v>134</v>
      </c>
    </row>
    <row r="2">
      <c r="A2" t="str">
        <f>N2</f>
      </c>
      <c r="B2" t="str">
        <f>O2</f>
      </c>
      <c r="N2" t="s">
        <v>61</v>
      </c>
      <c r="O2" t="s">
        <v>62</v>
      </c>
      <c r="P2" s="4" t="n">
        <v>21060000</v>
      </c>
      <c r="Q2" s="4" t="n">
        <v>37406000</v>
      </c>
      <c r="R2" s="4" t="n">
        <v>2963000</v>
      </c>
      <c r="S2" s="4" t="n">
        <v>244000</v>
      </c>
      <c r="T2" s="4" t="n">
        <v>2865000</v>
      </c>
      <c r="U2" s="4" t="n">
        <v>4434000</v>
      </c>
      <c r="V2" s="4" t="n">
        <v>52072000</v>
      </c>
      <c r="W2" s="4" t="n">
        <v>2674129062</v>
      </c>
      <c r="X2" s="4" t="n">
        <v>2187317165</v>
      </c>
      <c r="Y2" s="4" t="n">
        <v>1332627861</v>
      </c>
      <c r="Z2" s="4" t="n">
        <v>1598712225</v>
      </c>
      <c r="AA2" s="4" t="n">
        <v>1950251110</v>
      </c>
      <c r="AB2" s="4" t="n">
        <v>2453706466</v>
      </c>
      <c r="AC2" s="4" t="n">
        <v>1537937968.2</v>
      </c>
      <c r="AD2" s="4" t="n">
        <v>2359572844.28</v>
      </c>
      <c r="AE2" s="4" t="n">
        <v>2281786766.95</v>
      </c>
      <c r="AF2" s="4" t="n">
        <v>3084333702.33</v>
      </c>
      <c r="AG2" s="4" t="n">
        <v>2683224380.25</v>
      </c>
      <c r="AH2" s="4" t="n">
        <v>3837830269.16</v>
      </c>
      <c r="AI2" s="4" t="n">
        <v>1610368591.89</v>
      </c>
      <c r="AJ2" s="4" t="n">
        <v>1517218766.1628</v>
      </c>
      <c r="AK2" s="4" t="n">
        <v>1382941978.1415</v>
      </c>
      <c r="AL2" s="4" t="n">
        <v>1114566997.5758</v>
      </c>
      <c r="AM2" s="4" t="n">
        <v>933732790.2203</v>
      </c>
      <c r="AN2" s="4" t="n">
        <v>818535950.9229</v>
      </c>
      <c r="AO2" s="4" t="n">
        <v>655986106.1738</v>
      </c>
      <c r="AP2" s="4" t="n">
        <v>753481921.2797</v>
      </c>
      <c r="AQ2" s="4" t="n">
        <v>774690757.5639</v>
      </c>
      <c r="AR2" s="4" t="n">
        <v>929673402.36</v>
      </c>
      <c r="AS2" s="4" t="n">
        <v>886690123.11</v>
      </c>
      <c r="AT2" s="4" t="n">
        <v>3037069947.75</v>
      </c>
      <c r="AU2" s="4" t="n">
        <v>31136299475.1</v>
      </c>
      <c r="AV2" s="4" t="n">
        <v>28768751266.92</v>
      </c>
      <c r="AW2" s="4" t="n">
        <v>2618371745.11</v>
      </c>
      <c r="AX2" s="4" t="n">
        <v>1338431505.3</v>
      </c>
      <c r="AY2" s="4" t="n">
        <v>388548670.46</v>
      </c>
      <c r="AZ2" s="4"/>
    </row>
    <row r="3">
      <c r="A3" t="str">
        <f>N3</f>
      </c>
      <c r="B3" t="str">
        <f>O3</f>
      </c>
      <c r="N3" t="s">
        <v>61</v>
      </c>
      <c r="O3" t="s">
        <v>63</v>
      </c>
      <c r="P3" s="4" t="n">
        <v>-665000</v>
      </c>
      <c r="Q3" s="4" t="n">
        <v>2141000</v>
      </c>
      <c r="R3" s="4" t="n">
        <v>-23000</v>
      </c>
      <c r="S3" s="4" t="n">
        <v>75000</v>
      </c>
      <c r="T3" s="4" t="n">
        <v>192000</v>
      </c>
      <c r="U3" s="4" t="n">
        <v>36000</v>
      </c>
      <c r="V3" s="4" t="n">
        <v>1740000</v>
      </c>
      <c r="W3" s="4" t="n">
        <v>3632198</v>
      </c>
      <c r="X3" s="4" t="n">
        <v>48953421</v>
      </c>
      <c r="Y3" s="4" t="n">
        <v>108533418</v>
      </c>
      <c r="Z3" s="4" t="n">
        <v>307681077.09</v>
      </c>
      <c r="AA3" s="4" t="n">
        <v>348461644</v>
      </c>
      <c r="AB3" s="4" t="n">
        <v>427869132.31</v>
      </c>
      <c r="AC3" s="4" t="n">
        <v>777990920.63</v>
      </c>
      <c r="AD3" s="4" t="n">
        <v>959844055.1</v>
      </c>
      <c r="AE3" s="4" t="n">
        <v>1564435271.75</v>
      </c>
      <c r="AF3" s="4" t="n">
        <v>1929237400.67</v>
      </c>
      <c r="AG3" s="4" t="n">
        <v>2848479475.8</v>
      </c>
      <c r="AH3" s="4" t="n">
        <v>3259018579.42</v>
      </c>
      <c r="AI3" s="4" t="n">
        <v>2228682831.76</v>
      </c>
      <c r="AJ3" s="4" t="n">
        <v>1645780523.1147</v>
      </c>
      <c r="AK3" s="4" t="n">
        <v>1435866272.1331</v>
      </c>
      <c r="AL3" s="4" t="n">
        <v>1230738448.4406</v>
      </c>
      <c r="AM3" s="4" t="n">
        <v>1140369649.5738</v>
      </c>
      <c r="AN3" s="4" t="n">
        <v>1287870537.6731</v>
      </c>
      <c r="AO3" s="4" t="n">
        <v>1399759572.6978</v>
      </c>
      <c r="AP3" s="4" t="n">
        <v>1296473981.2177</v>
      </c>
      <c r="AQ3" s="4" t="n">
        <v>1321918170.5489</v>
      </c>
      <c r="AR3" s="4" t="n">
        <v>1800678199.42</v>
      </c>
      <c r="AS3" s="4" t="n">
        <v>1628137775.79</v>
      </c>
      <c r="AT3" s="4" t="n">
        <v>1523306342.98</v>
      </c>
      <c r="AU3" s="4" t="n">
        <v>1186115924.75</v>
      </c>
      <c r="AV3" s="4" t="n">
        <v>1408904330.45</v>
      </c>
      <c r="AW3" s="4" t="n">
        <v>2072209669.46</v>
      </c>
      <c r="AX3" s="4" t="n">
        <v>2413298021.84</v>
      </c>
      <c r="AY3" s="4" t="n">
        <v>1152058287.63</v>
      </c>
      <c r="AZ3" s="4"/>
    </row>
    <row r="4">
      <c r="A4" t="str">
        <f>N4</f>
      </c>
      <c r="B4" t="str">
        <f>O4</f>
      </c>
      <c r="N4" t="s">
        <v>64</v>
      </c>
      <c r="O4" t="s">
        <v>65</v>
      </c>
      <c r="P4" s="4"/>
      <c r="Q4" s="4"/>
      <c r="R4" s="4"/>
      <c r="S4" s="4"/>
      <c r="T4" s="4"/>
      <c r="U4" s="4"/>
      <c r="V4" s="4"/>
      <c r="W4" s="4" t="n">
        <v>913295</v>
      </c>
      <c r="X4" s="4" t="n">
        <v>366332</v>
      </c>
      <c r="Y4" s="4" t="n">
        <v>380077</v>
      </c>
      <c r="Z4" s="4" t="n">
        <v>527371</v>
      </c>
      <c r="AA4" s="4" t="n">
        <v>1137225</v>
      </c>
      <c r="AB4" s="4" t="n">
        <v>56869623</v>
      </c>
      <c r="AC4" s="4" t="n">
        <v>389317.7003</v>
      </c>
      <c r="AD4" s="4" t="n">
        <v>1783936</v>
      </c>
      <c r="AE4" s="4" t="n">
        <v>2559084</v>
      </c>
      <c r="AF4" s="4" t="n">
        <v>4391024</v>
      </c>
      <c r="AG4" s="4" t="n">
        <v>533453</v>
      </c>
      <c r="AH4" s="4" t="n">
        <v>51786.0605</v>
      </c>
      <c r="AI4" s="4" t="n">
        <v>53399.27</v>
      </c>
      <c r="AJ4" s="4" t="n">
        <v>72495977.7688</v>
      </c>
      <c r="AK4" s="4" t="n">
        <v>236501323.2642</v>
      </c>
      <c r="AL4" s="4" t="n">
        <v>369192415.3956</v>
      </c>
      <c r="AM4" s="4" t="n">
        <v>595334492.4775</v>
      </c>
      <c r="AN4" s="4" t="n">
        <v>430511510.4199</v>
      </c>
      <c r="AO4" s="4" t="n">
        <v>342322141.5123</v>
      </c>
      <c r="AP4" s="4" t="n">
        <v>283920232.3311</v>
      </c>
      <c r="AQ4" s="4" t="n">
        <v>388592826.8452</v>
      </c>
      <c r="AR4" s="4" t="n">
        <v>524892499.6879</v>
      </c>
      <c r="AS4" s="4" t="n">
        <v>221272913.7422</v>
      </c>
      <c r="AT4" s="4" t="n">
        <v>240419448.1106</v>
      </c>
      <c r="AU4" s="4" t="n">
        <v>342189843.2346</v>
      </c>
      <c r="AV4" s="4" t="n">
        <v>260460252.073</v>
      </c>
      <c r="AW4" s="4" t="n">
        <v>475703171.6093</v>
      </c>
      <c r="AX4" s="4" t="n">
        <v>530515537.5617</v>
      </c>
      <c r="AY4" s="4" t="n">
        <v>250731011.14</v>
      </c>
      <c r="AZ4" s="4"/>
    </row>
    <row r="5">
      <c r="A5" t="str">
        <f>N5</f>
      </c>
      <c r="B5" t="str">
        <f>O5</f>
      </c>
      <c r="N5" t="s">
        <v>64</v>
      </c>
      <c r="O5" t="s">
        <v>66</v>
      </c>
      <c r="P5" s="4" t="n">
        <v>199000</v>
      </c>
      <c r="Q5" s="4" t="n">
        <v>189000</v>
      </c>
      <c r="R5" s="4" t="n">
        <v>116000</v>
      </c>
      <c r="S5" s="4" t="n">
        <v>521000</v>
      </c>
      <c r="T5" s="4" t="n">
        <v>578000</v>
      </c>
      <c r="U5" s="4" t="n">
        <v>2627000</v>
      </c>
      <c r="V5" s="4" t="n">
        <v>2885000</v>
      </c>
      <c r="W5" s="4" t="n">
        <v>8028971</v>
      </c>
      <c r="X5" s="4" t="n">
        <v>9799544</v>
      </c>
      <c r="Y5" s="4" t="n">
        <v>22190554</v>
      </c>
      <c r="Z5" s="4" t="n">
        <v>83567523</v>
      </c>
      <c r="AA5" s="4" t="n">
        <v>118543525</v>
      </c>
      <c r="AB5" s="4" t="n">
        <v>189875776.9702</v>
      </c>
      <c r="AC5" s="4" t="n">
        <v>522166820.5005</v>
      </c>
      <c r="AD5" s="4" t="n">
        <v>790503286.4706</v>
      </c>
      <c r="AE5" s="4" t="n">
        <v>673812468.9155</v>
      </c>
      <c r="AF5" s="4" t="n">
        <v>529692342.9485</v>
      </c>
      <c r="AG5" s="4" t="n">
        <v>612686585.4741</v>
      </c>
      <c r="AH5" s="4" t="n">
        <v>535205367.0442</v>
      </c>
      <c r="AI5" s="4" t="n">
        <v>695208994.6451</v>
      </c>
      <c r="AJ5" s="4" t="n">
        <v>778569109.4058</v>
      </c>
      <c r="AK5" s="4" t="n">
        <v>541541477.1325</v>
      </c>
      <c r="AL5" s="4" t="n">
        <v>441652698.1897</v>
      </c>
      <c r="AM5" s="4" t="n">
        <v>249454015.7443</v>
      </c>
      <c r="AN5" s="4" t="n">
        <v>247947587.1599</v>
      </c>
      <c r="AO5" s="4" t="n">
        <v>208757868.436</v>
      </c>
      <c r="AP5" s="4" t="n">
        <v>167165439.571</v>
      </c>
      <c r="AQ5" s="4" t="n">
        <v>165406256.1792</v>
      </c>
      <c r="AR5" s="4" t="n">
        <v>173710895.8635</v>
      </c>
      <c r="AS5" s="4" t="n">
        <v>121857062.0622</v>
      </c>
      <c r="AT5" s="4" t="n">
        <v>131794490.0948</v>
      </c>
      <c r="AU5" s="4" t="n">
        <v>85288215.1159</v>
      </c>
      <c r="AV5" s="4" t="n">
        <v>90457122.9833</v>
      </c>
      <c r="AW5" s="4" t="n">
        <v>133750375.3453</v>
      </c>
      <c r="AX5" s="4" t="n">
        <v>93871332.5201</v>
      </c>
      <c r="AY5" s="4" t="n">
        <v>22080711.19</v>
      </c>
      <c r="AZ5" s="4"/>
    </row>
    <row r="6">
      <c r="A6" t="str">
        <f>N6</f>
      </c>
      <c r="B6" t="str">
        <f>O6</f>
      </c>
      <c r="N6" t="s">
        <v>64</v>
      </c>
      <c r="O6" t="s">
        <v>67</v>
      </c>
      <c r="P6" s="4"/>
      <c r="Q6" s="4"/>
      <c r="R6" s="4"/>
      <c r="S6" s="4"/>
      <c r="T6" s="4"/>
      <c r="U6" s="4"/>
      <c r="V6" s="4"/>
      <c r="W6" s="4" t="n">
        <v>7844883</v>
      </c>
      <c r="X6" s="4" t="n">
        <v>14512831</v>
      </c>
      <c r="Y6" s="4" t="n">
        <v>34917484</v>
      </c>
      <c r="Z6" s="4" t="n">
        <v>2781590840</v>
      </c>
      <c r="AA6" s="4" t="n">
        <v>2460751560</v>
      </c>
      <c r="AB6" s="4" t="n">
        <v>3201496880</v>
      </c>
      <c r="AC6" s="4" t="n">
        <v>1747103476.0938</v>
      </c>
      <c r="AD6" s="4" t="n">
        <v>1849361530.5703</v>
      </c>
      <c r="AE6" s="4" t="n">
        <v>2758095613.4063</v>
      </c>
      <c r="AF6" s="4" t="n">
        <v>2712588818.2207</v>
      </c>
      <c r="AG6" s="4" t="n">
        <v>2264038913.7418</v>
      </c>
      <c r="AH6" s="4" t="n">
        <v>1997100755.8897</v>
      </c>
      <c r="AI6" s="4" t="n">
        <v>1324969517.325</v>
      </c>
      <c r="AJ6" s="4" t="n">
        <v>1405777423.7046</v>
      </c>
      <c r="AK6" s="4" t="n">
        <v>1980006279.3494</v>
      </c>
      <c r="AL6" s="4" t="n">
        <v>1100547649.6283</v>
      </c>
      <c r="AM6" s="4" t="n">
        <v>653280576.4857</v>
      </c>
      <c r="AN6" s="4" t="n">
        <v>739649536.109</v>
      </c>
      <c r="AO6" s="4" t="n">
        <v>487330508.2533</v>
      </c>
      <c r="AP6" s="4" t="n">
        <v>757439668.8605</v>
      </c>
      <c r="AQ6" s="4" t="n">
        <v>641445324.2484</v>
      </c>
      <c r="AR6" s="4" t="n">
        <v>685980514.1633</v>
      </c>
      <c r="AS6" s="4" t="n">
        <v>969085458.7044</v>
      </c>
      <c r="AT6" s="4" t="n">
        <v>913549870.6599</v>
      </c>
      <c r="AU6" s="4" t="n">
        <v>756118910.0536</v>
      </c>
      <c r="AV6" s="4" t="n">
        <v>811597892.7403</v>
      </c>
      <c r="AW6" s="4" t="n">
        <v>925160550.1679</v>
      </c>
      <c r="AX6" s="4" t="n">
        <v>923092254.72</v>
      </c>
      <c r="AY6" s="4" t="n">
        <v>479014505.41</v>
      </c>
      <c r="AZ6" s="4"/>
    </row>
    <row r="7">
      <c r="A7" t="str">
        <f>N7</f>
      </c>
      <c r="B7" t="str">
        <f>O7</f>
      </c>
      <c r="N7" t="s">
        <v>64</v>
      </c>
      <c r="O7" t="s">
        <v>68</v>
      </c>
      <c r="P7" s="4" t="n">
        <v>0</v>
      </c>
      <c r="Q7" s="4" t="n">
        <v>140000</v>
      </c>
      <c r="R7" s="4" t="n">
        <v>1035000</v>
      </c>
      <c r="S7" s="4" t="n">
        <v>144000</v>
      </c>
      <c r="T7" s="4" t="n">
        <v>47000</v>
      </c>
      <c r="U7" s="4"/>
      <c r="V7" s="4" t="n">
        <v>52000</v>
      </c>
      <c r="W7" s="4" t="n">
        <v>36279917</v>
      </c>
      <c r="X7" s="4" t="n">
        <v>108096818</v>
      </c>
      <c r="Y7" s="4" t="n">
        <v>296031736</v>
      </c>
      <c r="Z7" s="4" t="n">
        <v>3780810535</v>
      </c>
      <c r="AA7" s="4" t="n">
        <v>5299884728</v>
      </c>
      <c r="AB7" s="4" t="n">
        <v>7012088763.9609</v>
      </c>
      <c r="AC7" s="4" t="n">
        <v>10944337572.3016</v>
      </c>
      <c r="AD7" s="4" t="n">
        <v>12341868071.5076</v>
      </c>
      <c r="AE7" s="4" t="n">
        <v>24504381625.0343</v>
      </c>
      <c r="AF7" s="4" t="n">
        <v>26356494847.5699</v>
      </c>
      <c r="AG7" s="4" t="n">
        <v>25879685213.9251</v>
      </c>
      <c r="AH7" s="4" t="n">
        <v>29467634293.5367</v>
      </c>
      <c r="AI7" s="4" t="n">
        <v>29759353101.609</v>
      </c>
      <c r="AJ7" s="4" t="n">
        <v>24019282427.6154</v>
      </c>
      <c r="AK7" s="4" t="n">
        <v>24410864279.9094</v>
      </c>
      <c r="AL7" s="4" t="n">
        <v>31096775272.6566</v>
      </c>
      <c r="AM7" s="4" t="n">
        <v>23088193447.4896</v>
      </c>
      <c r="AN7" s="4" t="n">
        <v>20815495827.719</v>
      </c>
      <c r="AO7" s="4" t="n">
        <v>17971237842.9517</v>
      </c>
      <c r="AP7" s="4" t="n">
        <v>16145579387.1198</v>
      </c>
      <c r="AQ7" s="4" t="n">
        <v>18300033550.6743</v>
      </c>
      <c r="AR7" s="4" t="n">
        <v>21251874763.298</v>
      </c>
      <c r="AS7" s="4" t="n">
        <v>19386874893.827</v>
      </c>
      <c r="AT7" s="4" t="n">
        <v>19751174229.1781</v>
      </c>
      <c r="AU7" s="4" t="n">
        <v>19869230769.144</v>
      </c>
      <c r="AV7" s="4" t="n">
        <v>27207167964.6115</v>
      </c>
      <c r="AW7" s="4" t="n">
        <v>26614984036.4218</v>
      </c>
      <c r="AX7" s="4" t="n">
        <v>27022519991.07</v>
      </c>
      <c r="AY7" s="4" t="n">
        <v>11193043760.01</v>
      </c>
      <c r="AZ7" s="4"/>
    </row>
    <row r="8">
      <c r="A8" t="str">
        <f>N8</f>
      </c>
      <c r="B8" t="str">
        <f>O8</f>
      </c>
      <c r="N8" t="s">
        <v>64</v>
      </c>
      <c r="O8" t="s">
        <v>69</v>
      </c>
      <c r="P8" s="4"/>
      <c r="Q8" s="4"/>
      <c r="R8" s="4"/>
      <c r="S8" s="4"/>
      <c r="T8" s="4"/>
      <c r="U8" s="4"/>
      <c r="V8" s="4" t="n">
        <v>0</v>
      </c>
      <c r="W8" s="4" t="n">
        <v>1835652</v>
      </c>
      <c r="X8" s="4" t="n">
        <v>15727114</v>
      </c>
      <c r="Y8" s="4" t="n">
        <v>23775583</v>
      </c>
      <c r="Z8" s="4" t="n">
        <v>83875629</v>
      </c>
      <c r="AA8" s="4" t="n">
        <v>45834886</v>
      </c>
      <c r="AB8" s="4" t="n">
        <v>50001518</v>
      </c>
      <c r="AC8" s="4" t="n">
        <v>13249552</v>
      </c>
      <c r="AD8" s="4" t="n">
        <v>13656582</v>
      </c>
      <c r="AE8" s="4" t="n">
        <v>3430917</v>
      </c>
      <c r="AF8" s="4" t="n">
        <v>3260143.8799</v>
      </c>
      <c r="AG8" s="4" t="n">
        <v>3083682.3501</v>
      </c>
      <c r="AH8" s="4" t="n">
        <v>3264314.3688</v>
      </c>
      <c r="AI8" s="4" t="n">
        <v>218199.7002</v>
      </c>
      <c r="AJ8" s="4" t="n">
        <v>15489.6504</v>
      </c>
      <c r="AK8" s="4" t="n">
        <v>-430.86</v>
      </c>
      <c r="AL8" s="4" t="n">
        <v>6413.4399</v>
      </c>
      <c r="AM8" s="4" t="n">
        <v>14064.48</v>
      </c>
      <c r="AN8" s="4" t="n">
        <v>18434.96</v>
      </c>
      <c r="AO8" s="4"/>
      <c r="AP8" s="4"/>
      <c r="AQ8" s="4"/>
      <c r="AR8" s="4" t="n">
        <v>21232.3105</v>
      </c>
      <c r="AS8" s="4"/>
      <c r="AT8" s="4" t="n">
        <v>0</v>
      </c>
      <c r="AU8" s="4"/>
      <c r="AV8" s="4"/>
      <c r="AW8" s="4"/>
      <c r="AX8" s="4" t="n">
        <v>10115</v>
      </c>
      <c r="AY8" s="4"/>
      <c r="AZ8" s="4"/>
    </row>
    <row r="9">
      <c r="A9" t="str">
        <f>N9</f>
      </c>
      <c r="B9" t="str">
        <f>O9</f>
      </c>
      <c r="N9"/>
      <c r="O9"/>
      <c r="P9" s="4" t="n">
        <v>10893531000</v>
      </c>
      <c r="Q9" s="4" t="n">
        <v>13666534115</v>
      </c>
      <c r="R9" s="4" t="n">
        <v>9670953302</v>
      </c>
      <c r="S9" s="4" t="n">
        <v>10550468583</v>
      </c>
      <c r="T9" s="4" t="n">
        <v>8625703645</v>
      </c>
      <c r="U9" s="4" t="n">
        <v>8564693193</v>
      </c>
      <c r="V9" s="4" t="n">
        <v>9626845429</v>
      </c>
      <c r="W9" s="4" t="n">
        <v>9689825022</v>
      </c>
      <c r="X9" s="4" t="n">
        <v>8560246161</v>
      </c>
      <c r="Y9" s="4" t="n">
        <v>7673714576</v>
      </c>
      <c r="Z9" s="4" t="n">
        <v>0</v>
      </c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 t="n">
        <v>0</v>
      </c>
      <c r="AQ9" s="4" t="n">
        <v>0</v>
      </c>
      <c r="AR9" s="4" t="n">
        <v>0</v>
      </c>
      <c r="AS9" s="4"/>
      <c r="AT9" s="4" t="n">
        <v>0</v>
      </c>
      <c r="AU9" s="4" t="n">
        <v>0</v>
      </c>
      <c r="AV9" s="4" t="n">
        <v>0</v>
      </c>
      <c r="AW9" s="4" t="n">
        <v>0</v>
      </c>
      <c r="AX9" s="4" t="n">
        <v>0</v>
      </c>
      <c r="AY9" s="4" t="n">
        <v>0</v>
      </c>
      <c r="AZ9" s="4"/>
    </row>
    <row r="10">
      <c r="A10" t="str">
        <f>N10</f>
      </c>
      <c r="B10" t="str">
        <f>O10</f>
      </c>
      <c r="N10" t="s">
        <v>124</v>
      </c>
      <c r="O10" t="s">
        <v>125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59</v>
      </c>
      <c r="O13" t="s">
        <v>60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133</v>
      </c>
      <c r="AY13" t="s">
        <v>134</v>
      </c>
    </row>
    <row r="14">
      <c r="A14" t="str">
        <f>N14</f>
      </c>
      <c r="B14" t="str">
        <f>O14</f>
      </c>
      <c r="N14" t="s">
        <v>61</v>
      </c>
      <c r="O14" t="s">
        <v>62</v>
      </c>
      <c r="P14" s="4" t="n">
        <v>43558017.5979272</v>
      </c>
      <c r="Q14" s="4" t="n">
        <v>74695737.2800554</v>
      </c>
      <c r="R14" s="4" t="n">
        <v>5772317.4282721</v>
      </c>
      <c r="S14" s="4" t="n">
        <v>464448.463975183</v>
      </c>
      <c r="T14" s="4" t="n">
        <v>5336953.30648697</v>
      </c>
      <c r="U14" s="4" t="n">
        <v>8088140.77125544</v>
      </c>
      <c r="V14" s="4" t="n">
        <v>93230112.0299305</v>
      </c>
      <c r="W14" s="4" t="n">
        <v>4704293626.2176</v>
      </c>
      <c r="X14" s="4" t="n">
        <v>3800253437.89107</v>
      </c>
      <c r="Y14" s="4" t="n">
        <v>2286993995.65249</v>
      </c>
      <c r="Z14" s="4" t="n">
        <v>2687712453.13874</v>
      </c>
      <c r="AA14" s="4" t="n">
        <v>3201118096.85697</v>
      </c>
      <c r="AB14" s="4" t="n">
        <v>3965103897.24489</v>
      </c>
      <c r="AC14" s="4" t="n">
        <v>2438447690.08369</v>
      </c>
      <c r="AD14" s="4" t="n">
        <v>3651997681.16837</v>
      </c>
      <c r="AE14" s="4" t="n">
        <v>3427312794.29204</v>
      </c>
      <c r="AF14" s="4" t="n">
        <v>4487005302.02192</v>
      </c>
      <c r="AG14" s="4" t="n">
        <v>3798900489.16176</v>
      </c>
      <c r="AH14" s="4" t="n">
        <v>5323076250.04833</v>
      </c>
      <c r="AI14" s="4" t="n">
        <v>2210973950.0547</v>
      </c>
      <c r="AJ14" s="4" t="n">
        <v>2065197309.5184</v>
      </c>
      <c r="AK14" s="4" t="n">
        <v>1845383989.72192</v>
      </c>
      <c r="AL14" s="4" t="n">
        <v>1460760075.65184</v>
      </c>
      <c r="AM14" s="4" t="n">
        <v>1201948346.12689</v>
      </c>
      <c r="AN14" s="4" t="n">
        <v>1034783383.71036</v>
      </c>
      <c r="AO14" s="4" t="n">
        <v>820789503.682924</v>
      </c>
      <c r="AP14" s="4" t="n">
        <v>935301384.685293</v>
      </c>
      <c r="AQ14" s="4" t="n">
        <v>945665007.939915</v>
      </c>
      <c r="AR14" s="4" t="n">
        <v>1110205754.13188</v>
      </c>
      <c r="AS14" s="4" t="n">
        <v>1039652899.55359</v>
      </c>
      <c r="AT14" s="4" t="n">
        <v>3515076594.9262</v>
      </c>
      <c r="AU14" s="4" t="n">
        <v>34837837551.9696</v>
      </c>
      <c r="AV14" s="4" t="n">
        <v>30084823671.6889</v>
      </c>
      <c r="AW14" s="4" t="n">
        <v>2618371745.11</v>
      </c>
      <c r="AX14" s="4" t="n">
        <v>1303617122.08111</v>
      </c>
      <c r="AY14" s="4" t="n">
        <v>370316491.293116</v>
      </c>
      <c r="AZ14" s="4"/>
    </row>
    <row r="15">
      <c r="A15" t="str">
        <f>N15</f>
      </c>
      <c r="B15" t="str">
        <f>O15</f>
      </c>
      <c r="N15" t="s">
        <v>61</v>
      </c>
      <c r="O15" t="s">
        <v>63</v>
      </c>
      <c r="P15" s="4" t="n">
        <v>-1375407.48825364</v>
      </c>
      <c r="Q15" s="4" t="n">
        <v>4275345.49314545</v>
      </c>
      <c r="R15" s="4" t="n">
        <v>-44807.0539487878</v>
      </c>
      <c r="S15" s="4" t="n">
        <v>142760.798353028</v>
      </c>
      <c r="T15" s="4" t="n">
        <v>357659.698026352</v>
      </c>
      <c r="U15" s="4" t="n">
        <v>65668.2606597194</v>
      </c>
      <c r="V15" s="4" t="n">
        <v>3115309.47403747</v>
      </c>
      <c r="W15" s="4" t="n">
        <v>6389716.24196061</v>
      </c>
      <c r="X15" s="4" t="n">
        <v>85051866.0158636</v>
      </c>
      <c r="Y15" s="4" t="n">
        <v>186260007.431768</v>
      </c>
      <c r="Z15" s="4" t="n">
        <v>517265239.833851</v>
      </c>
      <c r="AA15" s="4" t="n">
        <v>571960640.837134</v>
      </c>
      <c r="AB15" s="4" t="n">
        <v>691421564.698755</v>
      </c>
      <c r="AC15" s="4" t="n">
        <v>1233528401.36762</v>
      </c>
      <c r="AD15" s="4" t="n">
        <v>1485585949.17127</v>
      </c>
      <c r="AE15" s="4" t="n">
        <v>2349829134.06825</v>
      </c>
      <c r="AF15" s="4" t="n">
        <v>2806602424.09111</v>
      </c>
      <c r="AG15" s="4" t="n">
        <v>4032868124.49715</v>
      </c>
      <c r="AH15" s="4" t="n">
        <v>4520263581.7383</v>
      </c>
      <c r="AI15" s="4" t="n">
        <v>3059895547.37422</v>
      </c>
      <c r="AJ15" s="4" t="n">
        <v>2240192109.53363</v>
      </c>
      <c r="AK15" s="4" t="n">
        <v>1916005640.04646</v>
      </c>
      <c r="AL15" s="4" t="n">
        <v>1613015272.26447</v>
      </c>
      <c r="AM15" s="4" t="n">
        <v>1467941823.00821</v>
      </c>
      <c r="AN15" s="4" t="n">
        <v>1628110568.93918</v>
      </c>
      <c r="AO15" s="4" t="n">
        <v>1751421187.3348</v>
      </c>
      <c r="AP15" s="4" t="n">
        <v>1609320510.01559</v>
      </c>
      <c r="AQ15" s="4" t="n">
        <v>1613665511.09903</v>
      </c>
      <c r="AR15" s="4" t="n">
        <v>2150350104.95202</v>
      </c>
      <c r="AS15" s="4" t="n">
        <v>1909007572.49421</v>
      </c>
      <c r="AT15" s="4" t="n">
        <v>1763060635.82056</v>
      </c>
      <c r="AU15" s="4" t="n">
        <v>1327123473.27241</v>
      </c>
      <c r="AV15" s="4" t="n">
        <v>1473356905.85242</v>
      </c>
      <c r="AW15" s="4" t="n">
        <v>2072209669.46</v>
      </c>
      <c r="AX15" s="4" t="n">
        <v>2350524931.2328</v>
      </c>
      <c r="AY15" s="4" t="n">
        <v>1097999337.72831</v>
      </c>
      <c r="AZ15" s="4"/>
    </row>
    <row r="16">
      <c r="A16" t="str">
        <f>N16</f>
      </c>
      <c r="B16" t="str">
        <f>O16</f>
      </c>
      <c r="N16" t="s">
        <v>64</v>
      </c>
      <c r="O16" t="s">
        <v>65</v>
      </c>
      <c r="P16" s="4"/>
      <c r="Q16" s="4"/>
      <c r="R16" s="4"/>
      <c r="S16" s="4"/>
      <c r="T16" s="4"/>
      <c r="U16" s="4"/>
      <c r="V16" s="4"/>
      <c r="W16" s="4" t="n">
        <v>1606656.8769658</v>
      </c>
      <c r="X16" s="4" t="n">
        <v>636466.656361429</v>
      </c>
      <c r="Y16" s="4" t="n">
        <v>652270.481748251</v>
      </c>
      <c r="Z16" s="4" t="n">
        <v>886602.092583755</v>
      </c>
      <c r="AA16" s="4" t="n">
        <v>1866627.07639642</v>
      </c>
      <c r="AB16" s="4" t="n">
        <v>91899323.2958892</v>
      </c>
      <c r="AC16" s="4" t="n">
        <v>617275.122036506</v>
      </c>
      <c r="AD16" s="4" t="n">
        <v>2761063.36413646</v>
      </c>
      <c r="AE16" s="4" t="n">
        <v>3843821.6321991</v>
      </c>
      <c r="AF16" s="4" t="n">
        <v>6387943.02783179</v>
      </c>
      <c r="AG16" s="4" t="n">
        <v>755261.049937237</v>
      </c>
      <c r="AH16" s="4" t="n">
        <v>71827.3423778719</v>
      </c>
      <c r="AI16" s="4" t="n">
        <v>73315.1376129186</v>
      </c>
      <c r="AJ16" s="4" t="n">
        <v>98679571.8442665</v>
      </c>
      <c r="AK16" s="4" t="n">
        <v>315585008.191247</v>
      </c>
      <c r="AL16" s="4" t="n">
        <v>483866417.915075</v>
      </c>
      <c r="AM16" s="4" t="n">
        <v>766344843.107412</v>
      </c>
      <c r="AN16" s="4" t="n">
        <v>544247515.306173</v>
      </c>
      <c r="AO16" s="4" t="n">
        <v>428323737.327927</v>
      </c>
      <c r="AP16" s="4" t="n">
        <v>352431795.561121</v>
      </c>
      <c r="AQ16" s="4" t="n">
        <v>474355263.821059</v>
      </c>
      <c r="AR16" s="4" t="n">
        <v>626820851.252577</v>
      </c>
      <c r="AS16" s="4" t="n">
        <v>259444669.979944</v>
      </c>
      <c r="AT16" s="4" t="n">
        <v>278259239.845539</v>
      </c>
      <c r="AU16" s="4" t="n">
        <v>382869974.001708</v>
      </c>
      <c r="AV16" s="4" t="n">
        <v>272375421.664896</v>
      </c>
      <c r="AW16" s="4" t="n">
        <v>475703171.6093</v>
      </c>
      <c r="AX16" s="4" t="n">
        <v>516716122.981938</v>
      </c>
      <c r="AY16" s="4" t="n">
        <v>238965759.923501</v>
      </c>
      <c r="AZ16" s="4"/>
    </row>
    <row r="17">
      <c r="A17" t="str">
        <f>N17</f>
      </c>
      <c r="B17" t="str">
        <f>O17</f>
      </c>
      <c r="N17" t="s">
        <v>64</v>
      </c>
      <c r="O17" t="s">
        <v>66</v>
      </c>
      <c r="P17" s="4" t="n">
        <v>411588.105507479</v>
      </c>
      <c r="Q17" s="4" t="n">
        <v>377412.563383694</v>
      </c>
      <c r="R17" s="4" t="n">
        <v>225983.402524321</v>
      </c>
      <c r="S17" s="4" t="n">
        <v>991711.679225699</v>
      </c>
      <c r="T17" s="4" t="n">
        <v>1076704.7159335</v>
      </c>
      <c r="U17" s="4" t="n">
        <v>4791958.90980786</v>
      </c>
      <c r="V17" s="4" t="n">
        <v>5165326.34057362</v>
      </c>
      <c r="W17" s="4" t="n">
        <v>14124463.0399914</v>
      </c>
      <c r="X17" s="4" t="n">
        <v>17025766.2545088</v>
      </c>
      <c r="Y17" s="4" t="n">
        <v>38082397.3769541</v>
      </c>
      <c r="Z17" s="4" t="n">
        <v>140491496.050866</v>
      </c>
      <c r="AA17" s="4" t="n">
        <v>194575878.560949</v>
      </c>
      <c r="AB17" s="4" t="n">
        <v>306832619.830143</v>
      </c>
      <c r="AC17" s="4" t="n">
        <v>827911465.621745</v>
      </c>
      <c r="AD17" s="4" t="n">
        <v>1223491012.85217</v>
      </c>
      <c r="AE17" s="4" t="n">
        <v>1012086724.80578</v>
      </c>
      <c r="AF17" s="4" t="n">
        <v>770582103.179977</v>
      </c>
      <c r="AG17" s="4" t="n">
        <v>867439706.642627</v>
      </c>
      <c r="AH17" s="4" t="n">
        <v>742330634.344321</v>
      </c>
      <c r="AI17" s="4" t="n">
        <v>954495129.093418</v>
      </c>
      <c r="AJ17" s="4" t="n">
        <v>1059767296.50236</v>
      </c>
      <c r="AK17" s="4" t="n">
        <v>722627548.708645</v>
      </c>
      <c r="AL17" s="4" t="n">
        <v>578833421.609139</v>
      </c>
      <c r="AM17" s="4" t="n">
        <v>321109898.676506</v>
      </c>
      <c r="AN17" s="4" t="n">
        <v>313452381.578178</v>
      </c>
      <c r="AO17" s="4" t="n">
        <v>261204110.286586</v>
      </c>
      <c r="AP17" s="4" t="n">
        <v>207503408.756961</v>
      </c>
      <c r="AQ17" s="4" t="n">
        <v>201911416.956737</v>
      </c>
      <c r="AR17" s="4" t="n">
        <v>207443641.663293</v>
      </c>
      <c r="AS17" s="4" t="n">
        <v>142878605.052795</v>
      </c>
      <c r="AT17" s="4" t="n">
        <v>152537720.711923</v>
      </c>
      <c r="AU17" s="4" t="n">
        <v>95427428.223489</v>
      </c>
      <c r="AV17" s="4" t="n">
        <v>94595228.3278304</v>
      </c>
      <c r="AW17" s="4" t="n">
        <v>133750375.3453</v>
      </c>
      <c r="AX17" s="4" t="n">
        <v>91429614.3367774</v>
      </c>
      <c r="AY17" s="4" t="n">
        <v>21044600.367457</v>
      </c>
      <c r="AZ17" s="4"/>
    </row>
    <row r="18">
      <c r="A18" t="str">
        <f>N18</f>
      </c>
      <c r="B18" t="str">
        <f>O18</f>
      </c>
      <c r="N18" t="s">
        <v>64</v>
      </c>
      <c r="O18" t="s">
        <v>67</v>
      </c>
      <c r="P18" s="4"/>
      <c r="Q18" s="4"/>
      <c r="R18" s="4"/>
      <c r="S18" s="4"/>
      <c r="T18" s="4"/>
      <c r="U18" s="4"/>
      <c r="V18" s="4"/>
      <c r="W18" s="4" t="n">
        <v>13800617.7860845</v>
      </c>
      <c r="X18" s="4" t="n">
        <v>25214649.6099399</v>
      </c>
      <c r="Y18" s="4" t="n">
        <v>59923763.1062044</v>
      </c>
      <c r="Z18" s="4" t="n">
        <v>4676336505.90534</v>
      </c>
      <c r="AA18" s="4" t="n">
        <v>4039047233.556</v>
      </c>
      <c r="AB18" s="4" t="n">
        <v>5173507072.58778</v>
      </c>
      <c r="AC18" s="4" t="n">
        <v>2770086000.67548</v>
      </c>
      <c r="AD18" s="4" t="n">
        <v>2862324864.28941</v>
      </c>
      <c r="AE18" s="4" t="n">
        <v>4142743099.67339</v>
      </c>
      <c r="AF18" s="4" t="n">
        <v>3946200892.71372</v>
      </c>
      <c r="AG18" s="4" t="n">
        <v>3205419047.3976</v>
      </c>
      <c r="AH18" s="4" t="n">
        <v>2769981697.22519</v>
      </c>
      <c r="AI18" s="4" t="n">
        <v>1819132031.12336</v>
      </c>
      <c r="AJ18" s="4" t="n">
        <v>1913506356.47551</v>
      </c>
      <c r="AK18" s="4" t="n">
        <v>2642100641.39539</v>
      </c>
      <c r="AL18" s="4" t="n">
        <v>1442386210.45314</v>
      </c>
      <c r="AM18" s="4" t="n">
        <v>840935990.133268</v>
      </c>
      <c r="AN18" s="4" t="n">
        <v>935056119.247675</v>
      </c>
      <c r="AO18" s="4" t="n">
        <v>609762557.825876</v>
      </c>
      <c r="AP18" s="4" t="n">
        <v>940214159.21646</v>
      </c>
      <c r="AQ18" s="4" t="n">
        <v>783012307.460438</v>
      </c>
      <c r="AR18" s="4" t="n">
        <v>819190386.767175</v>
      </c>
      <c r="AS18" s="4" t="n">
        <v>1136262241.78913</v>
      </c>
      <c r="AT18" s="4" t="n">
        <v>1057334148.99893</v>
      </c>
      <c r="AU18" s="4" t="n">
        <v>846007656.737925</v>
      </c>
      <c r="AV18" s="4" t="n">
        <v>848725732.613986</v>
      </c>
      <c r="AW18" s="4" t="n">
        <v>925160550.1679</v>
      </c>
      <c r="AX18" s="4" t="n">
        <v>899081397.701949</v>
      </c>
      <c r="AY18" s="4" t="n">
        <v>456537325.715029</v>
      </c>
      <c r="AZ18" s="4"/>
    </row>
    <row r="19">
      <c r="A19" t="str">
        <f>N19</f>
      </c>
      <c r="B19" t="str">
        <f>O19</f>
      </c>
      <c r="N19" t="s">
        <v>64</v>
      </c>
      <c r="O19" t="s">
        <v>68</v>
      </c>
      <c r="P19" s="4" t="n">
        <v>0</v>
      </c>
      <c r="Q19" s="4" t="n">
        <v>279564.8617657</v>
      </c>
      <c r="R19" s="4" t="n">
        <v>2016317.42769545</v>
      </c>
      <c r="S19" s="4" t="n">
        <v>274100.732837813</v>
      </c>
      <c r="T19" s="4" t="n">
        <v>87552.1135793675</v>
      </c>
      <c r="U19" s="4"/>
      <c r="V19" s="4" t="n">
        <v>93101.2026723841</v>
      </c>
      <c r="W19" s="4" t="n">
        <v>63823165.7282678</v>
      </c>
      <c r="X19" s="4" t="n">
        <v>187807836.377302</v>
      </c>
      <c r="Y19" s="4" t="n">
        <v>508035906.022966</v>
      </c>
      <c r="Z19" s="4" t="n">
        <v>6356198069.27895</v>
      </c>
      <c r="AA19" s="4" t="n">
        <v>8699165367.50834</v>
      </c>
      <c r="AB19" s="4" t="n">
        <v>11331290385.0042</v>
      </c>
      <c r="AC19" s="4" t="n">
        <v>17352581979.5643</v>
      </c>
      <c r="AD19" s="4" t="n">
        <v>19101963174.2648</v>
      </c>
      <c r="AE19" s="4" t="n">
        <v>36806322955.3891</v>
      </c>
      <c r="AF19" s="4" t="n">
        <v>38342716300.2567</v>
      </c>
      <c r="AG19" s="4" t="n">
        <v>36640375490.8385</v>
      </c>
      <c r="AH19" s="4" t="n">
        <v>40871652275.3798</v>
      </c>
      <c r="AI19" s="4" t="n">
        <v>40858443718.7231</v>
      </c>
      <c r="AJ19" s="4" t="n">
        <v>32694400143.4472</v>
      </c>
      <c r="AK19" s="4" t="n">
        <v>32573613954.4753</v>
      </c>
      <c r="AL19" s="4" t="n">
        <v>40755672739.8299</v>
      </c>
      <c r="AM19" s="4" t="n">
        <v>29720297091.3342</v>
      </c>
      <c r="AN19" s="4" t="n">
        <v>26314701488.5909</v>
      </c>
      <c r="AO19" s="4" t="n">
        <v>22486152146.9115</v>
      </c>
      <c r="AP19" s="4" t="n">
        <v>20041599314.9142</v>
      </c>
      <c r="AQ19" s="4" t="n">
        <v>22338850959.5994</v>
      </c>
      <c r="AR19" s="4" t="n">
        <v>25378755150.3676</v>
      </c>
      <c r="AS19" s="4" t="n">
        <v>22731301693.0375</v>
      </c>
      <c r="AT19" s="4" t="n">
        <v>22859825901.1875</v>
      </c>
      <c r="AU19" s="4" t="n">
        <v>22231319889.8795</v>
      </c>
      <c r="AV19" s="4" t="n">
        <v>28451803250.9303</v>
      </c>
      <c r="AW19" s="4" t="n">
        <v>26614984036.4218</v>
      </c>
      <c r="AX19" s="4" t="n">
        <v>26319628313.1739</v>
      </c>
      <c r="AY19" s="4" t="n">
        <v>10667823640.189</v>
      </c>
      <c r="AZ19" s="4"/>
    </row>
    <row r="20">
      <c r="A20" t="str">
        <f>N20</f>
      </c>
      <c r="B20" t="str">
        <f>O20</f>
      </c>
      <c r="N20" t="s">
        <v>64</v>
      </c>
      <c r="O20" t="s">
        <v>69</v>
      </c>
      <c r="P20" s="4"/>
      <c r="Q20" s="4"/>
      <c r="R20" s="4"/>
      <c r="S20" s="4"/>
      <c r="T20" s="4"/>
      <c r="U20" s="4"/>
      <c r="V20" s="4" t="n">
        <v>0</v>
      </c>
      <c r="W20" s="4" t="n">
        <v>3229255.50836917</v>
      </c>
      <c r="X20" s="4" t="n">
        <v>27324349.6658633</v>
      </c>
      <c r="Y20" s="4" t="n">
        <v>40802550.4759707</v>
      </c>
      <c r="Z20" s="4" t="n">
        <v>141009475.659789</v>
      </c>
      <c r="AA20" s="4" t="n">
        <v>75232816.0664276</v>
      </c>
      <c r="AB20" s="4" t="n">
        <v>80800705.6415202</v>
      </c>
      <c r="AC20" s="4" t="n">
        <v>21007569.9651641</v>
      </c>
      <c r="AD20" s="4" t="n">
        <v>21136794.2793494</v>
      </c>
      <c r="AE20" s="4" t="n">
        <v>5153341.18883148</v>
      </c>
      <c r="AF20" s="4" t="n">
        <v>4742769.19628216</v>
      </c>
      <c r="AG20" s="4" t="n">
        <v>4365867.60109973</v>
      </c>
      <c r="AH20" s="4" t="n">
        <v>4527608.84942782</v>
      </c>
      <c r="AI20" s="4" t="n">
        <v>299579.770421217</v>
      </c>
      <c r="AJ20" s="4" t="n">
        <v>21084.0948219778</v>
      </c>
      <c r="AK20" s="4" t="n">
        <v>-574.935288955583</v>
      </c>
      <c r="AL20" s="4" t="n">
        <v>8405.50363853331</v>
      </c>
      <c r="AM20" s="4" t="n">
        <v>18104.5141095948</v>
      </c>
      <c r="AN20" s="4" t="n">
        <v>23305.2564958898</v>
      </c>
      <c r="AO20" s="4"/>
      <c r="AP20" s="4"/>
      <c r="AQ20" s="4"/>
      <c r="AR20" s="4" t="n">
        <v>25355.3917222716</v>
      </c>
      <c r="AS20" s="4"/>
      <c r="AT20" s="4" t="n">
        <v>0</v>
      </c>
      <c r="AU20" s="4"/>
      <c r="AV20" s="4"/>
      <c r="AW20" s="4"/>
      <c r="AX20" s="4" t="n">
        <v>9851.89539967892</v>
      </c>
      <c r="AY20" s="4"/>
      <c r="AZ20" s="4"/>
    </row>
    <row r="21">
      <c r="A21" t="str">
        <f>N21</f>
      </c>
      <c r="B21" t="str">
        <f>O21</f>
      </c>
      <c r="N21"/>
      <c r="O21"/>
      <c r="P21" s="4" t="n">
        <v>22530893399.8844</v>
      </c>
      <c r="Q21" s="4" t="n">
        <v>27290590861.9728</v>
      </c>
      <c r="R21" s="4" t="n">
        <v>18840301145.1705</v>
      </c>
      <c r="S21" s="4" t="n">
        <v>20082577572.1016</v>
      </c>
      <c r="T21" s="4" t="n">
        <v>16068055004.8724</v>
      </c>
      <c r="U21" s="4" t="n">
        <v>15623014029.6791</v>
      </c>
      <c r="V21" s="4" t="n">
        <v>17235978603.4816</v>
      </c>
      <c r="W21" s="4" t="n">
        <v>17046216182.2758</v>
      </c>
      <c r="X21" s="4" t="n">
        <v>14872605319.0069</v>
      </c>
      <c r="Y21" s="4" t="n">
        <v>13169272287.6841</v>
      </c>
      <c r="Z21" s="4" t="n">
        <v>0</v>
      </c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 t="n">
        <v>0</v>
      </c>
      <c r="AQ21" s="4" t="n">
        <v>0</v>
      </c>
      <c r="AR21" s="4" t="n">
        <v>0</v>
      </c>
      <c r="AS21" s="4"/>
      <c r="AT21" s="4" t="n">
        <v>0</v>
      </c>
      <c r="AU21" s="4" t="n">
        <v>0</v>
      </c>
      <c r="AV21" s="4" t="n">
        <v>0</v>
      </c>
      <c r="AW21" s="4" t="n">
        <v>0</v>
      </c>
      <c r="AX21" s="4" t="n">
        <v>0</v>
      </c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59</v>
      </c>
      <c r="N1" t="s">
        <v>60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133</v>
      </c>
      <c r="AX1" t="s">
        <v>134</v>
      </c>
    </row>
    <row r="2">
      <c r="A2" t="str">
        <f>M2</f>
      </c>
      <c r="B2" t="str">
        <f>N2</f>
      </c>
      <c r="M2" t="s">
        <v>61</v>
      </c>
      <c r="N2" t="s">
        <v>62</v>
      </c>
      <c r="O2" s="5" t="n">
        <v>21060000</v>
      </c>
      <c r="P2" s="5" t="n">
        <v>37406000</v>
      </c>
      <c r="Q2" s="5" t="n">
        <v>2963000</v>
      </c>
      <c r="R2" s="5" t="n">
        <v>244000</v>
      </c>
      <c r="S2" s="5" t="n">
        <v>2865000</v>
      </c>
      <c r="T2" s="5" t="n">
        <v>4434000</v>
      </c>
      <c r="U2" s="5" t="n">
        <v>52072000</v>
      </c>
      <c r="V2" s="5" t="n">
        <v>2674129062</v>
      </c>
      <c r="W2" s="5" t="n">
        <v>2187317165</v>
      </c>
      <c r="X2" s="5" t="n">
        <v>1332627861</v>
      </c>
      <c r="Y2" s="5" t="n">
        <v>1598712225</v>
      </c>
      <c r="Z2" s="5" t="n">
        <v>1950251110</v>
      </c>
      <c r="AA2" s="5" t="n">
        <v>2453706466</v>
      </c>
      <c r="AB2" s="5" t="n">
        <v>1537937968.2</v>
      </c>
      <c r="AC2" s="5" t="n">
        <v>2359572844.28</v>
      </c>
      <c r="AD2" s="5" t="n">
        <v>2281786766.95</v>
      </c>
      <c r="AE2" s="5" t="n">
        <v>3084333702.33</v>
      </c>
      <c r="AF2" s="5" t="n">
        <v>2683224380.25</v>
      </c>
      <c r="AG2" s="5" t="n">
        <v>3837830269.16</v>
      </c>
      <c r="AH2" s="5" t="n">
        <v>1610368591.89</v>
      </c>
      <c r="AI2" s="5" t="n">
        <v>1517218766.1628</v>
      </c>
      <c r="AJ2" s="5" t="n">
        <v>1382941978.1415</v>
      </c>
      <c r="AK2" s="5" t="n">
        <v>1114566997.5758</v>
      </c>
      <c r="AL2" s="5" t="n">
        <v>933732790.2203</v>
      </c>
      <c r="AM2" s="5" t="n">
        <v>818535950.9229</v>
      </c>
      <c r="AN2" s="5" t="n">
        <v>655986106.1738</v>
      </c>
      <c r="AO2" s="5" t="n">
        <v>753481921.2797</v>
      </c>
      <c r="AP2" s="5" t="n">
        <v>774690757.5639</v>
      </c>
      <c r="AQ2" s="5" t="n">
        <v>929673402.36</v>
      </c>
      <c r="AR2" s="5" t="n">
        <v>886690123.11</v>
      </c>
      <c r="AS2" s="5" t="n">
        <v>3037069947.75</v>
      </c>
      <c r="AT2" s="5" t="n">
        <v>31136299475.1</v>
      </c>
      <c r="AU2" s="5" t="n">
        <v>28768751266.92</v>
      </c>
      <c r="AV2" s="5" t="n">
        <v>2618371745.11</v>
      </c>
      <c r="AW2" s="5" t="n">
        <v>1338431505.3</v>
      </c>
      <c r="AX2" s="5" t="n">
        <v>388548670.46</v>
      </c>
      <c r="AY2" s="5"/>
    </row>
    <row r="3">
      <c r="A3" t="str">
        <f>M3</f>
      </c>
      <c r="B3" t="str">
        <f>N3</f>
      </c>
      <c r="M3" t="s">
        <v>61</v>
      </c>
      <c r="N3" t="s">
        <v>63</v>
      </c>
      <c r="O3" s="5" t="n">
        <v>-665000</v>
      </c>
      <c r="P3" s="5" t="n">
        <v>2141000</v>
      </c>
      <c r="Q3" s="5" t="n">
        <v>-23000</v>
      </c>
      <c r="R3" s="5" t="n">
        <v>75000</v>
      </c>
      <c r="S3" s="5" t="n">
        <v>192000</v>
      </c>
      <c r="T3" s="5" t="n">
        <v>36000</v>
      </c>
      <c r="U3" s="5" t="n">
        <v>1740000</v>
      </c>
      <c r="V3" s="5" t="n">
        <v>3632198</v>
      </c>
      <c r="W3" s="5" t="n">
        <v>48953421</v>
      </c>
      <c r="X3" s="5" t="n">
        <v>108533418</v>
      </c>
      <c r="Y3" s="5" t="n">
        <v>307681077.09</v>
      </c>
      <c r="Z3" s="5" t="n">
        <v>348461644</v>
      </c>
      <c r="AA3" s="5" t="n">
        <v>427869132.31</v>
      </c>
      <c r="AB3" s="5" t="n">
        <v>777990920.63</v>
      </c>
      <c r="AC3" s="5" t="n">
        <v>959844055.1</v>
      </c>
      <c r="AD3" s="5" t="n">
        <v>1564435271.75</v>
      </c>
      <c r="AE3" s="5" t="n">
        <v>1929237400.67</v>
      </c>
      <c r="AF3" s="5" t="n">
        <v>2848479475.8</v>
      </c>
      <c r="AG3" s="5" t="n">
        <v>3259018579.42</v>
      </c>
      <c r="AH3" s="5" t="n">
        <v>2228682831.76</v>
      </c>
      <c r="AI3" s="5" t="n">
        <v>1645780523.1147</v>
      </c>
      <c r="AJ3" s="5" t="n">
        <v>1435866272.1331</v>
      </c>
      <c r="AK3" s="5" t="n">
        <v>1230738448.4406</v>
      </c>
      <c r="AL3" s="5" t="n">
        <v>1140369649.5738</v>
      </c>
      <c r="AM3" s="5" t="n">
        <v>1287870537.6731</v>
      </c>
      <c r="AN3" s="5" t="n">
        <v>1399759572.6978</v>
      </c>
      <c r="AO3" s="5" t="n">
        <v>1296473981.2177</v>
      </c>
      <c r="AP3" s="5" t="n">
        <v>1321918170.5489</v>
      </c>
      <c r="AQ3" s="5" t="n">
        <v>1800678199.42</v>
      </c>
      <c r="AR3" s="5" t="n">
        <v>1628137775.79</v>
      </c>
      <c r="AS3" s="5" t="n">
        <v>1523306342.98</v>
      </c>
      <c r="AT3" s="5" t="n">
        <v>1186115924.75</v>
      </c>
      <c r="AU3" s="5" t="n">
        <v>1408904330.45</v>
      </c>
      <c r="AV3" s="5" t="n">
        <v>2072209669.46</v>
      </c>
      <c r="AW3" s="5" t="n">
        <v>2413298021.84</v>
      </c>
      <c r="AX3" s="5" t="n">
        <v>1152058287.63</v>
      </c>
      <c r="AY3" s="5"/>
    </row>
    <row r="4">
      <c r="A4" t="str">
        <f>M4</f>
      </c>
      <c r="B4" t="str">
        <f>N4</f>
      </c>
      <c r="M4" t="s">
        <v>64</v>
      </c>
      <c r="N4" t="s">
        <v>65</v>
      </c>
      <c r="O4" s="5"/>
      <c r="P4" s="5"/>
      <c r="Q4" s="5"/>
      <c r="R4" s="5"/>
      <c r="S4" s="5"/>
      <c r="T4" s="5"/>
      <c r="U4" s="5"/>
      <c r="V4" s="5" t="n">
        <v>913295</v>
      </c>
      <c r="W4" s="5" t="n">
        <v>366332</v>
      </c>
      <c r="X4" s="5" t="n">
        <v>380077</v>
      </c>
      <c r="Y4" s="5" t="n">
        <v>527371</v>
      </c>
      <c r="Z4" s="5" t="n">
        <v>1137225</v>
      </c>
      <c r="AA4" s="5" t="n">
        <v>56869623</v>
      </c>
      <c r="AB4" s="5" t="n">
        <v>389317.7003</v>
      </c>
      <c r="AC4" s="5" t="n">
        <v>1783936</v>
      </c>
      <c r="AD4" s="5" t="n">
        <v>2559084</v>
      </c>
      <c r="AE4" s="5" t="n">
        <v>4391024</v>
      </c>
      <c r="AF4" s="5" t="n">
        <v>533453</v>
      </c>
      <c r="AG4" s="5" t="n">
        <v>51786.0605</v>
      </c>
      <c r="AH4" s="5" t="n">
        <v>53399.27</v>
      </c>
      <c r="AI4" s="5" t="n">
        <v>72495977.7688</v>
      </c>
      <c r="AJ4" s="5" t="n">
        <v>236501323.2642</v>
      </c>
      <c r="AK4" s="5" t="n">
        <v>369192415.3956</v>
      </c>
      <c r="AL4" s="5" t="n">
        <v>595334492.4775</v>
      </c>
      <c r="AM4" s="5" t="n">
        <v>430511510.4199</v>
      </c>
      <c r="AN4" s="5" t="n">
        <v>342322141.5123</v>
      </c>
      <c r="AO4" s="5" t="n">
        <v>283920232.3311</v>
      </c>
      <c r="AP4" s="5" t="n">
        <v>388592826.8452</v>
      </c>
      <c r="AQ4" s="5" t="n">
        <v>524892499.6879</v>
      </c>
      <c r="AR4" s="5" t="n">
        <v>221272913.7422</v>
      </c>
      <c r="AS4" s="5" t="n">
        <v>240419448.1106</v>
      </c>
      <c r="AT4" s="5" t="n">
        <v>342189843.2346</v>
      </c>
      <c r="AU4" s="5" t="n">
        <v>260460252.073</v>
      </c>
      <c r="AV4" s="5" t="n">
        <v>475703171.6093</v>
      </c>
      <c r="AW4" s="5" t="n">
        <v>530515537.5617</v>
      </c>
      <c r="AX4" s="5" t="n">
        <v>250731011.14</v>
      </c>
      <c r="AY4" s="5"/>
    </row>
    <row r="5">
      <c r="A5" t="str">
        <f>M5</f>
      </c>
      <c r="B5" t="str">
        <f>N5</f>
      </c>
      <c r="M5" t="s">
        <v>64</v>
      </c>
      <c r="N5" t="s">
        <v>66</v>
      </c>
      <c r="O5" s="5" t="n">
        <v>199000</v>
      </c>
      <c r="P5" s="5" t="n">
        <v>189000</v>
      </c>
      <c r="Q5" s="5" t="n">
        <v>116000</v>
      </c>
      <c r="R5" s="5" t="n">
        <v>521000</v>
      </c>
      <c r="S5" s="5" t="n">
        <v>578000</v>
      </c>
      <c r="T5" s="5" t="n">
        <v>2627000</v>
      </c>
      <c r="U5" s="5" t="n">
        <v>2885000</v>
      </c>
      <c r="V5" s="5" t="n">
        <v>8028971</v>
      </c>
      <c r="W5" s="5" t="n">
        <v>9799544</v>
      </c>
      <c r="X5" s="5" t="n">
        <v>22190554</v>
      </c>
      <c r="Y5" s="5" t="n">
        <v>83567523</v>
      </c>
      <c r="Z5" s="5" t="n">
        <v>118543525</v>
      </c>
      <c r="AA5" s="5" t="n">
        <v>189875776.9702</v>
      </c>
      <c r="AB5" s="5" t="n">
        <v>522166820.5005</v>
      </c>
      <c r="AC5" s="5" t="n">
        <v>790503286.4706</v>
      </c>
      <c r="AD5" s="5" t="n">
        <v>673812468.9155</v>
      </c>
      <c r="AE5" s="5" t="n">
        <v>529692342.9485</v>
      </c>
      <c r="AF5" s="5" t="n">
        <v>612686585.4741</v>
      </c>
      <c r="AG5" s="5" t="n">
        <v>535205367.0442</v>
      </c>
      <c r="AH5" s="5" t="n">
        <v>695208994.6451</v>
      </c>
      <c r="AI5" s="5" t="n">
        <v>778569109.4058</v>
      </c>
      <c r="AJ5" s="5" t="n">
        <v>541541477.1325</v>
      </c>
      <c r="AK5" s="5" t="n">
        <v>441652698.1897</v>
      </c>
      <c r="AL5" s="5" t="n">
        <v>249454015.7443</v>
      </c>
      <c r="AM5" s="5" t="n">
        <v>247947587.1599</v>
      </c>
      <c r="AN5" s="5" t="n">
        <v>208757868.436</v>
      </c>
      <c r="AO5" s="5" t="n">
        <v>167165439.571</v>
      </c>
      <c r="AP5" s="5" t="n">
        <v>165406256.1792</v>
      </c>
      <c r="AQ5" s="5" t="n">
        <v>173710895.8635</v>
      </c>
      <c r="AR5" s="5" t="n">
        <v>121857062.0622</v>
      </c>
      <c r="AS5" s="5" t="n">
        <v>131794490.0948</v>
      </c>
      <c r="AT5" s="5" t="n">
        <v>85288215.1159</v>
      </c>
      <c r="AU5" s="5" t="n">
        <v>90457122.9833</v>
      </c>
      <c r="AV5" s="5" t="n">
        <v>133750375.3453</v>
      </c>
      <c r="AW5" s="5" t="n">
        <v>93871332.5201</v>
      </c>
      <c r="AX5" s="5" t="n">
        <v>22080711.19</v>
      </c>
      <c r="AY5" s="5"/>
    </row>
    <row r="6">
      <c r="A6" t="str">
        <f>M6</f>
      </c>
      <c r="B6" t="str">
        <f>N6</f>
      </c>
      <c r="M6" t="s">
        <v>64</v>
      </c>
      <c r="N6" t="s">
        <v>67</v>
      </c>
      <c r="O6" s="5"/>
      <c r="P6" s="5"/>
      <c r="Q6" s="5"/>
      <c r="R6" s="5"/>
      <c r="S6" s="5"/>
      <c r="T6" s="5"/>
      <c r="U6" s="5"/>
      <c r="V6" s="5" t="n">
        <v>7844883</v>
      </c>
      <c r="W6" s="5" t="n">
        <v>14512831</v>
      </c>
      <c r="X6" s="5" t="n">
        <v>34917484</v>
      </c>
      <c r="Y6" s="5" t="n">
        <v>2781590840</v>
      </c>
      <c r="Z6" s="5" t="n">
        <v>2460751560</v>
      </c>
      <c r="AA6" s="5" t="n">
        <v>3201496880</v>
      </c>
      <c r="AB6" s="5" t="n">
        <v>1747103476.0938</v>
      </c>
      <c r="AC6" s="5" t="n">
        <v>1849361530.5703</v>
      </c>
      <c r="AD6" s="5" t="n">
        <v>2758095613.4063</v>
      </c>
      <c r="AE6" s="5" t="n">
        <v>2712588818.2207</v>
      </c>
      <c r="AF6" s="5" t="n">
        <v>2264038913.7418</v>
      </c>
      <c r="AG6" s="5" t="n">
        <v>1997100755.8897</v>
      </c>
      <c r="AH6" s="5" t="n">
        <v>1324969517.325</v>
      </c>
      <c r="AI6" s="5" t="n">
        <v>1405777423.7046</v>
      </c>
      <c r="AJ6" s="5" t="n">
        <v>1980006279.3494</v>
      </c>
      <c r="AK6" s="5" t="n">
        <v>1100547649.6283</v>
      </c>
      <c r="AL6" s="5" t="n">
        <v>653280576.4857</v>
      </c>
      <c r="AM6" s="5" t="n">
        <v>739649536.109</v>
      </c>
      <c r="AN6" s="5" t="n">
        <v>487330508.2533</v>
      </c>
      <c r="AO6" s="5" t="n">
        <v>757439668.8605</v>
      </c>
      <c r="AP6" s="5" t="n">
        <v>641445324.2484</v>
      </c>
      <c r="AQ6" s="5" t="n">
        <v>685980514.1633</v>
      </c>
      <c r="AR6" s="5" t="n">
        <v>969085458.7044</v>
      </c>
      <c r="AS6" s="5" t="n">
        <v>913549870.6599</v>
      </c>
      <c r="AT6" s="5" t="n">
        <v>756118910.0536</v>
      </c>
      <c r="AU6" s="5" t="n">
        <v>811597892.7403</v>
      </c>
      <c r="AV6" s="5" t="n">
        <v>925160550.1679</v>
      </c>
      <c r="AW6" s="5" t="n">
        <v>923092254.72</v>
      </c>
      <c r="AX6" s="5" t="n">
        <v>479014505.41</v>
      </c>
      <c r="AY6" s="5"/>
    </row>
    <row r="7">
      <c r="A7" t="str">
        <f>M7</f>
      </c>
      <c r="B7" t="str">
        <f>N7</f>
      </c>
      <c r="M7" t="s">
        <v>64</v>
      </c>
      <c r="N7" t="s">
        <v>68</v>
      </c>
      <c r="O7" s="5" t="n">
        <v>0</v>
      </c>
      <c r="P7" s="5" t="n">
        <v>140000</v>
      </c>
      <c r="Q7" s="5" t="n">
        <v>1035000</v>
      </c>
      <c r="R7" s="5" t="n">
        <v>144000</v>
      </c>
      <c r="S7" s="5" t="n">
        <v>47000</v>
      </c>
      <c r="T7" s="5"/>
      <c r="U7" s="5" t="n">
        <v>52000</v>
      </c>
      <c r="V7" s="5" t="n">
        <v>36279917</v>
      </c>
      <c r="W7" s="5" t="n">
        <v>108096818</v>
      </c>
      <c r="X7" s="5" t="n">
        <v>296031736</v>
      </c>
      <c r="Y7" s="5" t="n">
        <v>3780810535</v>
      </c>
      <c r="Z7" s="5" t="n">
        <v>5299884728</v>
      </c>
      <c r="AA7" s="5" t="n">
        <v>7012088763.9609</v>
      </c>
      <c r="AB7" s="5" t="n">
        <v>10944337572.3016</v>
      </c>
      <c r="AC7" s="5" t="n">
        <v>12341868071.5076</v>
      </c>
      <c r="AD7" s="5" t="n">
        <v>24504381625.0343</v>
      </c>
      <c r="AE7" s="5" t="n">
        <v>26356494847.5699</v>
      </c>
      <c r="AF7" s="5" t="n">
        <v>25879685213.9251</v>
      </c>
      <c r="AG7" s="5" t="n">
        <v>29467634293.5367</v>
      </c>
      <c r="AH7" s="5" t="n">
        <v>29759353101.609</v>
      </c>
      <c r="AI7" s="5" t="n">
        <v>24019282427.6154</v>
      </c>
      <c r="AJ7" s="5" t="n">
        <v>24410864279.9094</v>
      </c>
      <c r="AK7" s="5" t="n">
        <v>31096775272.6566</v>
      </c>
      <c r="AL7" s="5" t="n">
        <v>23088193447.4896</v>
      </c>
      <c r="AM7" s="5" t="n">
        <v>20815495827.719</v>
      </c>
      <c r="AN7" s="5" t="n">
        <v>17971237842.9517</v>
      </c>
      <c r="AO7" s="5" t="n">
        <v>16145579387.1198</v>
      </c>
      <c r="AP7" s="5" t="n">
        <v>18300033550.6743</v>
      </c>
      <c r="AQ7" s="5" t="n">
        <v>21251874763.298</v>
      </c>
      <c r="AR7" s="5" t="n">
        <v>19386874893.827</v>
      </c>
      <c r="AS7" s="5" t="n">
        <v>19751174229.1781</v>
      </c>
      <c r="AT7" s="5" t="n">
        <v>19869230769.144</v>
      </c>
      <c r="AU7" s="5" t="n">
        <v>27207167964.6115</v>
      </c>
      <c r="AV7" s="5" t="n">
        <v>26614984036.4218</v>
      </c>
      <c r="AW7" s="5" t="n">
        <v>27022519991.07</v>
      </c>
      <c r="AX7" s="5" t="n">
        <v>11193043760.01</v>
      </c>
      <c r="AY7" s="5"/>
    </row>
    <row r="8">
      <c r="A8" t="str">
        <f>M8</f>
      </c>
      <c r="B8" t="str">
        <f>N8</f>
      </c>
      <c r="M8" t="s">
        <v>64</v>
      </c>
      <c r="N8" t="s">
        <v>69</v>
      </c>
      <c r="O8" s="5"/>
      <c r="P8" s="5"/>
      <c r="Q8" s="5"/>
      <c r="R8" s="5"/>
      <c r="S8" s="5"/>
      <c r="T8" s="5"/>
      <c r="U8" s="5" t="n">
        <v>0</v>
      </c>
      <c r="V8" s="5" t="n">
        <v>1835652</v>
      </c>
      <c r="W8" s="5" t="n">
        <v>15727114</v>
      </c>
      <c r="X8" s="5" t="n">
        <v>23775583</v>
      </c>
      <c r="Y8" s="5" t="n">
        <v>83875629</v>
      </c>
      <c r="Z8" s="5" t="n">
        <v>45834886</v>
      </c>
      <c r="AA8" s="5" t="n">
        <v>50001518</v>
      </c>
      <c r="AB8" s="5" t="n">
        <v>13249552</v>
      </c>
      <c r="AC8" s="5" t="n">
        <v>13656582</v>
      </c>
      <c r="AD8" s="5" t="n">
        <v>3430917</v>
      </c>
      <c r="AE8" s="5" t="n">
        <v>3260143.8799</v>
      </c>
      <c r="AF8" s="5" t="n">
        <v>3083682.3501</v>
      </c>
      <c r="AG8" s="5" t="n">
        <v>3264314.3688</v>
      </c>
      <c r="AH8" s="5" t="n">
        <v>218199.7002</v>
      </c>
      <c r="AI8" s="5" t="n">
        <v>15489.6504</v>
      </c>
      <c r="AJ8" s="5" t="n">
        <v>-430.86</v>
      </c>
      <c r="AK8" s="5" t="n">
        <v>6413.4399</v>
      </c>
      <c r="AL8" s="5" t="n">
        <v>14064.48</v>
      </c>
      <c r="AM8" s="5" t="n">
        <v>18434.96</v>
      </c>
      <c r="AN8" s="5"/>
      <c r="AO8" s="5"/>
      <c r="AP8" s="5"/>
      <c r="AQ8" s="5" t="n">
        <v>21232.3105</v>
      </c>
      <c r="AR8" s="5"/>
      <c r="AS8" s="5" t="n">
        <v>0</v>
      </c>
      <c r="AT8" s="5"/>
      <c r="AU8" s="5"/>
      <c r="AV8" s="5"/>
      <c r="AW8" s="5" t="n">
        <v>10115</v>
      </c>
      <c r="AX8" s="5"/>
      <c r="AY8" s="5"/>
    </row>
    <row r="9">
      <c r="A9" t="str">
        <f>M9</f>
      </c>
      <c r="B9" t="str">
        <f>N9</f>
      </c>
      <c r="M9"/>
      <c r="N9"/>
      <c r="O9" s="5" t="n">
        <v>10893531000</v>
      </c>
      <c r="P9" s="5" t="n">
        <v>13666534115</v>
      </c>
      <c r="Q9" s="5" t="n">
        <v>9670953302</v>
      </c>
      <c r="R9" s="5" t="n">
        <v>10550468583</v>
      </c>
      <c r="S9" s="5" t="n">
        <v>8625703645</v>
      </c>
      <c r="T9" s="5" t="n">
        <v>8564693193</v>
      </c>
      <c r="U9" s="5" t="n">
        <v>9626845429</v>
      </c>
      <c r="V9" s="5" t="n">
        <v>9689825022</v>
      </c>
      <c r="W9" s="5" t="n">
        <v>8560246161</v>
      </c>
      <c r="X9" s="5" t="n">
        <v>7673714576</v>
      </c>
      <c r="Y9" s="5" t="n">
        <v>0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 t="n">
        <v>0</v>
      </c>
      <c r="AP9" s="5" t="n">
        <v>0</v>
      </c>
      <c r="AQ9" s="5" t="n">
        <v>0</v>
      </c>
      <c r="AR9" s="5"/>
      <c r="AS9" s="5" t="n">
        <v>0</v>
      </c>
      <c r="AT9" s="5" t="n">
        <v>0</v>
      </c>
      <c r="AU9" s="5" t="n">
        <v>0</v>
      </c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124</v>
      </c>
      <c r="N10" t="s">
        <v>125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59</v>
      </c>
      <c r="N13" t="s">
        <v>60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133</v>
      </c>
      <c r="AX13" t="s">
        <v>134</v>
      </c>
    </row>
    <row r="14">
      <c r="A14" t="str">
        <f>M14</f>
      </c>
      <c r="B14" t="str">
        <f>N14</f>
      </c>
      <c r="M14" t="s">
        <v>61</v>
      </c>
      <c r="N14" t="s">
        <v>62</v>
      </c>
      <c r="O14" s="5" t="n">
        <v>43558017.5979272</v>
      </c>
      <c r="P14" s="5" t="n">
        <v>74695737.2800554</v>
      </c>
      <c r="Q14" s="5" t="n">
        <v>5772317.4282721</v>
      </c>
      <c r="R14" s="5" t="n">
        <v>464448.463975183</v>
      </c>
      <c r="S14" s="5" t="n">
        <v>5336953.30648697</v>
      </c>
      <c r="T14" s="5" t="n">
        <v>8088140.77125544</v>
      </c>
      <c r="U14" s="5" t="n">
        <v>93230112.0299305</v>
      </c>
      <c r="V14" s="5" t="n">
        <v>4704293626.2176</v>
      </c>
      <c r="W14" s="5" t="n">
        <v>3800253437.89107</v>
      </c>
      <c r="X14" s="5" t="n">
        <v>2286993995.65249</v>
      </c>
      <c r="Y14" s="5" t="n">
        <v>2687712453.13874</v>
      </c>
      <c r="Z14" s="5" t="n">
        <v>3201118096.85697</v>
      </c>
      <c r="AA14" s="5" t="n">
        <v>3965103897.24489</v>
      </c>
      <c r="AB14" s="5" t="n">
        <v>2438447690.08369</v>
      </c>
      <c r="AC14" s="5" t="n">
        <v>3651997681.16837</v>
      </c>
      <c r="AD14" s="5" t="n">
        <v>3427312794.29204</v>
      </c>
      <c r="AE14" s="5" t="n">
        <v>4487005302.02192</v>
      </c>
      <c r="AF14" s="5" t="n">
        <v>3798900489.16176</v>
      </c>
      <c r="AG14" s="5" t="n">
        <v>5323076250.04833</v>
      </c>
      <c r="AH14" s="5" t="n">
        <v>2210973950.0547</v>
      </c>
      <c r="AI14" s="5" t="n">
        <v>2065197309.5184</v>
      </c>
      <c r="AJ14" s="5" t="n">
        <v>1845383989.72192</v>
      </c>
      <c r="AK14" s="5" t="n">
        <v>1460760075.65184</v>
      </c>
      <c r="AL14" s="5" t="n">
        <v>1201948346.12689</v>
      </c>
      <c r="AM14" s="5" t="n">
        <v>1034783383.71036</v>
      </c>
      <c r="AN14" s="5" t="n">
        <v>820789503.682924</v>
      </c>
      <c r="AO14" s="5" t="n">
        <v>935301384.685293</v>
      </c>
      <c r="AP14" s="5" t="n">
        <v>945665007.939915</v>
      </c>
      <c r="AQ14" s="5" t="n">
        <v>1110205754.13188</v>
      </c>
      <c r="AR14" s="5" t="n">
        <v>1039652899.55359</v>
      </c>
      <c r="AS14" s="5" t="n">
        <v>3515076594.9262</v>
      </c>
      <c r="AT14" s="5" t="n">
        <v>34837837551.9696</v>
      </c>
      <c r="AU14" s="5" t="n">
        <v>30084823671.6889</v>
      </c>
      <c r="AV14" s="5" t="n">
        <v>2618371745.11</v>
      </c>
      <c r="AW14" s="5" t="n">
        <v>1303617122.08111</v>
      </c>
      <c r="AX14" s="5" t="n">
        <v>370316491.293116</v>
      </c>
      <c r="AY14" s="5"/>
    </row>
    <row r="15">
      <c r="A15" t="str">
        <f>M15</f>
      </c>
      <c r="B15" t="str">
        <f>N15</f>
      </c>
      <c r="M15" t="s">
        <v>61</v>
      </c>
      <c r="N15" t="s">
        <v>63</v>
      </c>
      <c r="O15" s="5" t="n">
        <v>-1375407.48825364</v>
      </c>
      <c r="P15" s="5" t="n">
        <v>4275345.49314545</v>
      </c>
      <c r="Q15" s="5" t="n">
        <v>-44807.0539487878</v>
      </c>
      <c r="R15" s="5" t="n">
        <v>142760.798353028</v>
      </c>
      <c r="S15" s="5" t="n">
        <v>357659.698026352</v>
      </c>
      <c r="T15" s="5" t="n">
        <v>65668.2606597194</v>
      </c>
      <c r="U15" s="5" t="n">
        <v>3115309.47403747</v>
      </c>
      <c r="V15" s="5" t="n">
        <v>6389716.24196061</v>
      </c>
      <c r="W15" s="5" t="n">
        <v>85051866.0158636</v>
      </c>
      <c r="X15" s="5" t="n">
        <v>186260007.431768</v>
      </c>
      <c r="Y15" s="5" t="n">
        <v>517265239.833851</v>
      </c>
      <c r="Z15" s="5" t="n">
        <v>571960640.837134</v>
      </c>
      <c r="AA15" s="5" t="n">
        <v>691421564.698755</v>
      </c>
      <c r="AB15" s="5" t="n">
        <v>1233528401.36762</v>
      </c>
      <c r="AC15" s="5" t="n">
        <v>1485585949.17127</v>
      </c>
      <c r="AD15" s="5" t="n">
        <v>2349829134.06825</v>
      </c>
      <c r="AE15" s="5" t="n">
        <v>2806602424.09111</v>
      </c>
      <c r="AF15" s="5" t="n">
        <v>4032868124.49715</v>
      </c>
      <c r="AG15" s="5" t="n">
        <v>4520263581.7383</v>
      </c>
      <c r="AH15" s="5" t="n">
        <v>3059895547.37422</v>
      </c>
      <c r="AI15" s="5" t="n">
        <v>2240192109.53363</v>
      </c>
      <c r="AJ15" s="5" t="n">
        <v>1916005640.04646</v>
      </c>
      <c r="AK15" s="5" t="n">
        <v>1613015272.26447</v>
      </c>
      <c r="AL15" s="5" t="n">
        <v>1467941823.00821</v>
      </c>
      <c r="AM15" s="5" t="n">
        <v>1628110568.93918</v>
      </c>
      <c r="AN15" s="5" t="n">
        <v>1751421187.3348</v>
      </c>
      <c r="AO15" s="5" t="n">
        <v>1609320510.01559</v>
      </c>
      <c r="AP15" s="5" t="n">
        <v>1613665511.09903</v>
      </c>
      <c r="AQ15" s="5" t="n">
        <v>2150350104.95202</v>
      </c>
      <c r="AR15" s="5" t="n">
        <v>1909007572.49421</v>
      </c>
      <c r="AS15" s="5" t="n">
        <v>1763060635.82056</v>
      </c>
      <c r="AT15" s="5" t="n">
        <v>1327123473.27241</v>
      </c>
      <c r="AU15" s="5" t="n">
        <v>1473356905.85242</v>
      </c>
      <c r="AV15" s="5" t="n">
        <v>2072209669.46</v>
      </c>
      <c r="AW15" s="5" t="n">
        <v>2350524931.2328</v>
      </c>
      <c r="AX15" s="5" t="n">
        <v>1097999337.72831</v>
      </c>
      <c r="AY15" s="5"/>
    </row>
    <row r="16">
      <c r="A16" t="str">
        <f>M16</f>
      </c>
      <c r="B16" t="str">
        <f>N16</f>
      </c>
      <c r="M16" t="s">
        <v>64</v>
      </c>
      <c r="N16" t="s">
        <v>65</v>
      </c>
      <c r="O16" s="5"/>
      <c r="P16" s="5"/>
      <c r="Q16" s="5"/>
      <c r="R16" s="5"/>
      <c r="S16" s="5"/>
      <c r="T16" s="5"/>
      <c r="U16" s="5"/>
      <c r="V16" s="5" t="n">
        <v>1606656.8769658</v>
      </c>
      <c r="W16" s="5" t="n">
        <v>636466.656361429</v>
      </c>
      <c r="X16" s="5" t="n">
        <v>652270.481748251</v>
      </c>
      <c r="Y16" s="5" t="n">
        <v>886602.092583755</v>
      </c>
      <c r="Z16" s="5" t="n">
        <v>1866627.07639642</v>
      </c>
      <c r="AA16" s="5" t="n">
        <v>91899323.2958892</v>
      </c>
      <c r="AB16" s="5" t="n">
        <v>617275.122036506</v>
      </c>
      <c r="AC16" s="5" t="n">
        <v>2761063.36413646</v>
      </c>
      <c r="AD16" s="5" t="n">
        <v>3843821.6321991</v>
      </c>
      <c r="AE16" s="5" t="n">
        <v>6387943.02783179</v>
      </c>
      <c r="AF16" s="5" t="n">
        <v>755261.049937237</v>
      </c>
      <c r="AG16" s="5" t="n">
        <v>71827.3423778719</v>
      </c>
      <c r="AH16" s="5" t="n">
        <v>73315.1376129186</v>
      </c>
      <c r="AI16" s="5" t="n">
        <v>98679571.8442665</v>
      </c>
      <c r="AJ16" s="5" t="n">
        <v>315585008.191247</v>
      </c>
      <c r="AK16" s="5" t="n">
        <v>483866417.915075</v>
      </c>
      <c r="AL16" s="5" t="n">
        <v>766344843.107412</v>
      </c>
      <c r="AM16" s="5" t="n">
        <v>544247515.306173</v>
      </c>
      <c r="AN16" s="5" t="n">
        <v>428323737.327927</v>
      </c>
      <c r="AO16" s="5" t="n">
        <v>352431795.561121</v>
      </c>
      <c r="AP16" s="5" t="n">
        <v>474355263.821059</v>
      </c>
      <c r="AQ16" s="5" t="n">
        <v>626820851.252577</v>
      </c>
      <c r="AR16" s="5" t="n">
        <v>259444669.979944</v>
      </c>
      <c r="AS16" s="5" t="n">
        <v>278259239.845539</v>
      </c>
      <c r="AT16" s="5" t="n">
        <v>382869974.001708</v>
      </c>
      <c r="AU16" s="5" t="n">
        <v>272375421.664896</v>
      </c>
      <c r="AV16" s="5" t="n">
        <v>475703171.6093</v>
      </c>
      <c r="AW16" s="5" t="n">
        <v>516716122.981938</v>
      </c>
      <c r="AX16" s="5" t="n">
        <v>238965759.923501</v>
      </c>
      <c r="AY16" s="5"/>
    </row>
    <row r="17">
      <c r="A17" t="str">
        <f>M17</f>
      </c>
      <c r="B17" t="str">
        <f>N17</f>
      </c>
      <c r="M17" t="s">
        <v>64</v>
      </c>
      <c r="N17" t="s">
        <v>66</v>
      </c>
      <c r="O17" s="5" t="n">
        <v>411588.105507479</v>
      </c>
      <c r="P17" s="5" t="n">
        <v>377412.563383694</v>
      </c>
      <c r="Q17" s="5" t="n">
        <v>225983.402524321</v>
      </c>
      <c r="R17" s="5" t="n">
        <v>991711.679225699</v>
      </c>
      <c r="S17" s="5" t="n">
        <v>1076704.7159335</v>
      </c>
      <c r="T17" s="5" t="n">
        <v>4791958.90980786</v>
      </c>
      <c r="U17" s="5" t="n">
        <v>5165326.34057362</v>
      </c>
      <c r="V17" s="5" t="n">
        <v>14124463.0399914</v>
      </c>
      <c r="W17" s="5" t="n">
        <v>17025766.2545088</v>
      </c>
      <c r="X17" s="5" t="n">
        <v>38082397.3769541</v>
      </c>
      <c r="Y17" s="5" t="n">
        <v>140491496.050866</v>
      </c>
      <c r="Z17" s="5" t="n">
        <v>194575878.560949</v>
      </c>
      <c r="AA17" s="5" t="n">
        <v>306832619.830143</v>
      </c>
      <c r="AB17" s="5" t="n">
        <v>827911465.621745</v>
      </c>
      <c r="AC17" s="5" t="n">
        <v>1223491012.85217</v>
      </c>
      <c r="AD17" s="5" t="n">
        <v>1012086724.80578</v>
      </c>
      <c r="AE17" s="5" t="n">
        <v>770582103.179977</v>
      </c>
      <c r="AF17" s="5" t="n">
        <v>867439706.642627</v>
      </c>
      <c r="AG17" s="5" t="n">
        <v>742330634.344321</v>
      </c>
      <c r="AH17" s="5" t="n">
        <v>954495129.093418</v>
      </c>
      <c r="AI17" s="5" t="n">
        <v>1059767296.50236</v>
      </c>
      <c r="AJ17" s="5" t="n">
        <v>722627548.708645</v>
      </c>
      <c r="AK17" s="5" t="n">
        <v>578833421.609139</v>
      </c>
      <c r="AL17" s="5" t="n">
        <v>321109898.676506</v>
      </c>
      <c r="AM17" s="5" t="n">
        <v>313452381.578178</v>
      </c>
      <c r="AN17" s="5" t="n">
        <v>261204110.286586</v>
      </c>
      <c r="AO17" s="5" t="n">
        <v>207503408.756961</v>
      </c>
      <c r="AP17" s="5" t="n">
        <v>201911416.956737</v>
      </c>
      <c r="AQ17" s="5" t="n">
        <v>207443641.663293</v>
      </c>
      <c r="AR17" s="5" t="n">
        <v>142878605.052795</v>
      </c>
      <c r="AS17" s="5" t="n">
        <v>152537720.711923</v>
      </c>
      <c r="AT17" s="5" t="n">
        <v>95427428.223489</v>
      </c>
      <c r="AU17" s="5" t="n">
        <v>94595228.3278304</v>
      </c>
      <c r="AV17" s="5" t="n">
        <v>133750375.3453</v>
      </c>
      <c r="AW17" s="5" t="n">
        <v>91429614.3367774</v>
      </c>
      <c r="AX17" s="5" t="n">
        <v>21044600.367457</v>
      </c>
      <c r="AY17" s="5"/>
    </row>
    <row r="18">
      <c r="A18" t="str">
        <f>M18</f>
      </c>
      <c r="B18" t="str">
        <f>N18</f>
      </c>
      <c r="M18" t="s">
        <v>64</v>
      </c>
      <c r="N18" t="s">
        <v>67</v>
      </c>
      <c r="O18" s="5"/>
      <c r="P18" s="5"/>
      <c r="Q18" s="5"/>
      <c r="R18" s="5"/>
      <c r="S18" s="5"/>
      <c r="T18" s="5"/>
      <c r="U18" s="5"/>
      <c r="V18" s="5" t="n">
        <v>13800617.7860845</v>
      </c>
      <c r="W18" s="5" t="n">
        <v>25214649.6099399</v>
      </c>
      <c r="X18" s="5" t="n">
        <v>59923763.1062044</v>
      </c>
      <c r="Y18" s="5" t="n">
        <v>4676336505.90534</v>
      </c>
      <c r="Z18" s="5" t="n">
        <v>4039047233.556</v>
      </c>
      <c r="AA18" s="5" t="n">
        <v>5173507072.58778</v>
      </c>
      <c r="AB18" s="5" t="n">
        <v>2770086000.67548</v>
      </c>
      <c r="AC18" s="5" t="n">
        <v>2862324864.28941</v>
      </c>
      <c r="AD18" s="5" t="n">
        <v>4142743099.67339</v>
      </c>
      <c r="AE18" s="5" t="n">
        <v>3946200892.71372</v>
      </c>
      <c r="AF18" s="5" t="n">
        <v>3205419047.3976</v>
      </c>
      <c r="AG18" s="5" t="n">
        <v>2769981697.22519</v>
      </c>
      <c r="AH18" s="5" t="n">
        <v>1819132031.12336</v>
      </c>
      <c r="AI18" s="5" t="n">
        <v>1913506356.47551</v>
      </c>
      <c r="AJ18" s="5" t="n">
        <v>2642100641.39539</v>
      </c>
      <c r="AK18" s="5" t="n">
        <v>1442386210.45314</v>
      </c>
      <c r="AL18" s="5" t="n">
        <v>840935990.133268</v>
      </c>
      <c r="AM18" s="5" t="n">
        <v>935056119.247675</v>
      </c>
      <c r="AN18" s="5" t="n">
        <v>609762557.825876</v>
      </c>
      <c r="AO18" s="5" t="n">
        <v>940214159.21646</v>
      </c>
      <c r="AP18" s="5" t="n">
        <v>783012307.460438</v>
      </c>
      <c r="AQ18" s="5" t="n">
        <v>819190386.767175</v>
      </c>
      <c r="AR18" s="5" t="n">
        <v>1136262241.78913</v>
      </c>
      <c r="AS18" s="5" t="n">
        <v>1057334148.99893</v>
      </c>
      <c r="AT18" s="5" t="n">
        <v>846007656.737925</v>
      </c>
      <c r="AU18" s="5" t="n">
        <v>848725732.613986</v>
      </c>
      <c r="AV18" s="5" t="n">
        <v>925160550.1679</v>
      </c>
      <c r="AW18" s="5" t="n">
        <v>899081397.701949</v>
      </c>
      <c r="AX18" s="5" t="n">
        <v>456537325.715029</v>
      </c>
      <c r="AY18" s="5"/>
    </row>
    <row r="19">
      <c r="A19" t="str">
        <f>M19</f>
      </c>
      <c r="B19" t="str">
        <f>N19</f>
      </c>
      <c r="M19" t="s">
        <v>64</v>
      </c>
      <c r="N19" t="s">
        <v>68</v>
      </c>
      <c r="O19" s="5" t="n">
        <v>0</v>
      </c>
      <c r="P19" s="5" t="n">
        <v>279564.8617657</v>
      </c>
      <c r="Q19" s="5" t="n">
        <v>2016317.42769545</v>
      </c>
      <c r="R19" s="5" t="n">
        <v>274100.732837813</v>
      </c>
      <c r="S19" s="5" t="n">
        <v>87552.1135793675</v>
      </c>
      <c r="T19" s="5"/>
      <c r="U19" s="5" t="n">
        <v>93101.2026723841</v>
      </c>
      <c r="V19" s="5" t="n">
        <v>63823165.7282678</v>
      </c>
      <c r="W19" s="5" t="n">
        <v>187807836.377302</v>
      </c>
      <c r="X19" s="5" t="n">
        <v>508035906.022966</v>
      </c>
      <c r="Y19" s="5" t="n">
        <v>6356198069.27895</v>
      </c>
      <c r="Z19" s="5" t="n">
        <v>8699165367.50834</v>
      </c>
      <c r="AA19" s="5" t="n">
        <v>11331290385.0042</v>
      </c>
      <c r="AB19" s="5" t="n">
        <v>17352581979.5643</v>
      </c>
      <c r="AC19" s="5" t="n">
        <v>19101963174.2648</v>
      </c>
      <c r="AD19" s="5" t="n">
        <v>36806322955.3891</v>
      </c>
      <c r="AE19" s="5" t="n">
        <v>38342716300.2567</v>
      </c>
      <c r="AF19" s="5" t="n">
        <v>36640375490.8385</v>
      </c>
      <c r="AG19" s="5" t="n">
        <v>40871652275.3798</v>
      </c>
      <c r="AH19" s="5" t="n">
        <v>40858443718.7231</v>
      </c>
      <c r="AI19" s="5" t="n">
        <v>32694400143.4472</v>
      </c>
      <c r="AJ19" s="5" t="n">
        <v>32573613954.4753</v>
      </c>
      <c r="AK19" s="5" t="n">
        <v>40755672739.8299</v>
      </c>
      <c r="AL19" s="5" t="n">
        <v>29720297091.3342</v>
      </c>
      <c r="AM19" s="5" t="n">
        <v>26314701488.5909</v>
      </c>
      <c r="AN19" s="5" t="n">
        <v>22486152146.9115</v>
      </c>
      <c r="AO19" s="5" t="n">
        <v>20041599314.9142</v>
      </c>
      <c r="AP19" s="5" t="n">
        <v>22338850959.5994</v>
      </c>
      <c r="AQ19" s="5" t="n">
        <v>25378755150.3676</v>
      </c>
      <c r="AR19" s="5" t="n">
        <v>22731301693.0375</v>
      </c>
      <c r="AS19" s="5" t="n">
        <v>22859825901.1875</v>
      </c>
      <c r="AT19" s="5" t="n">
        <v>22231319889.8795</v>
      </c>
      <c r="AU19" s="5" t="n">
        <v>28451803250.9303</v>
      </c>
      <c r="AV19" s="5" t="n">
        <v>26614984036.4218</v>
      </c>
      <c r="AW19" s="5" t="n">
        <v>26319628313.1739</v>
      </c>
      <c r="AX19" s="5" t="n">
        <v>10667823640.189</v>
      </c>
      <c r="AY19" s="5"/>
    </row>
    <row r="20">
      <c r="A20" t="str">
        <f>M20</f>
      </c>
      <c r="B20" t="str">
        <f>N20</f>
      </c>
      <c r="M20" t="s">
        <v>64</v>
      </c>
      <c r="N20" t="s">
        <v>69</v>
      </c>
      <c r="O20" s="5"/>
      <c r="P20" s="5"/>
      <c r="Q20" s="5"/>
      <c r="R20" s="5"/>
      <c r="S20" s="5"/>
      <c r="T20" s="5"/>
      <c r="U20" s="5" t="n">
        <v>0</v>
      </c>
      <c r="V20" s="5" t="n">
        <v>3229255.50836917</v>
      </c>
      <c r="W20" s="5" t="n">
        <v>27324349.6658633</v>
      </c>
      <c r="X20" s="5" t="n">
        <v>40802550.4759707</v>
      </c>
      <c r="Y20" s="5" t="n">
        <v>141009475.659789</v>
      </c>
      <c r="Z20" s="5" t="n">
        <v>75232816.0664276</v>
      </c>
      <c r="AA20" s="5" t="n">
        <v>80800705.6415202</v>
      </c>
      <c r="AB20" s="5" t="n">
        <v>21007569.9651641</v>
      </c>
      <c r="AC20" s="5" t="n">
        <v>21136794.2793494</v>
      </c>
      <c r="AD20" s="5" t="n">
        <v>5153341.18883148</v>
      </c>
      <c r="AE20" s="5" t="n">
        <v>4742769.19628216</v>
      </c>
      <c r="AF20" s="5" t="n">
        <v>4365867.60109973</v>
      </c>
      <c r="AG20" s="5" t="n">
        <v>4527608.84942782</v>
      </c>
      <c r="AH20" s="5" t="n">
        <v>299579.770421217</v>
      </c>
      <c r="AI20" s="5" t="n">
        <v>21084.0948219778</v>
      </c>
      <c r="AJ20" s="5" t="n">
        <v>-574.935288955583</v>
      </c>
      <c r="AK20" s="5" t="n">
        <v>8405.50363853331</v>
      </c>
      <c r="AL20" s="5" t="n">
        <v>18104.5141095948</v>
      </c>
      <c r="AM20" s="5" t="n">
        <v>23305.2564958898</v>
      </c>
      <c r="AN20" s="5"/>
      <c r="AO20" s="5"/>
      <c r="AP20" s="5"/>
      <c r="AQ20" s="5" t="n">
        <v>25355.3917222716</v>
      </c>
      <c r="AR20" s="5"/>
      <c r="AS20" s="5" t="n">
        <v>0</v>
      </c>
      <c r="AT20" s="5"/>
      <c r="AU20" s="5"/>
      <c r="AV20" s="5"/>
      <c r="AW20" s="5" t="n">
        <v>9851.89539967892</v>
      </c>
      <c r="AX20" s="5"/>
      <c r="AY20" s="5"/>
    </row>
    <row r="21">
      <c r="A21" t="str">
        <f>M21</f>
      </c>
      <c r="B21" t="str">
        <f>N21</f>
      </c>
      <c r="M21"/>
      <c r="N21"/>
      <c r="O21" s="5" t="n">
        <v>22530893399.8844</v>
      </c>
      <c r="P21" s="5" t="n">
        <v>27290590861.9728</v>
      </c>
      <c r="Q21" s="5" t="n">
        <v>18840301145.1705</v>
      </c>
      <c r="R21" s="5" t="n">
        <v>20082577572.1016</v>
      </c>
      <c r="S21" s="5" t="n">
        <v>16068055004.8724</v>
      </c>
      <c r="T21" s="5" t="n">
        <v>15623014029.6791</v>
      </c>
      <c r="U21" s="5" t="n">
        <v>17235978603.4816</v>
      </c>
      <c r="V21" s="5" t="n">
        <v>17046216182.2758</v>
      </c>
      <c r="W21" s="5" t="n">
        <v>14872605319.0069</v>
      </c>
      <c r="X21" s="5" t="n">
        <v>13169272287.6841</v>
      </c>
      <c r="Y21" s="5" t="n">
        <v>0</v>
      </c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 t="n">
        <v>0</v>
      </c>
      <c r="AP21" s="5" t="n">
        <v>0</v>
      </c>
      <c r="AQ21" s="5" t="n">
        <v>0</v>
      </c>
      <c r="AR21" s="5"/>
      <c r="AS21" s="5" t="n">
        <v>0</v>
      </c>
      <c r="AT21" s="5" t="n">
        <v>0</v>
      </c>
      <c r="AU21" s="5" t="n">
        <v>0</v>
      </c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71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 t="n">
        <v>12652</v>
      </c>
      <c r="AI2" s="6" t="n">
        <v>0</v>
      </c>
      <c r="AJ2" s="6" t="n">
        <v>111074.8516</v>
      </c>
      <c r="AK2" s="6"/>
      <c r="AL2" s="6"/>
      <c r="AM2" s="6"/>
    </row>
    <row r="3">
      <c r="A3" t="str">
        <f>M3</f>
      </c>
      <c r="M3" t="s">
        <v>81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 t="n">
        <v>742934.5078</v>
      </c>
      <c r="AL3" s="6"/>
      <c r="AM3" s="6"/>
    </row>
    <row r="4">
      <c r="A4" t="str">
        <f>M4</f>
      </c>
      <c r="M4" t="s">
        <v>72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 t="n">
        <v>75639.3281</v>
      </c>
      <c r="AI4" s="6" t="n">
        <v>742633.5</v>
      </c>
      <c r="AJ4" s="6" t="n">
        <v>356810.3301</v>
      </c>
      <c r="AK4" s="6"/>
      <c r="AL4" s="6"/>
      <c r="AM4" s="6"/>
    </row>
    <row r="5">
      <c r="A5" t="str">
        <f>M5</f>
      </c>
      <c r="M5" t="s">
        <v>75</v>
      </c>
      <c r="N5" s="6" t="n">
        <v>928939</v>
      </c>
      <c r="O5" s="6" t="n">
        <v>2068529</v>
      </c>
      <c r="P5" s="6" t="n">
        <v>1524336</v>
      </c>
      <c r="Q5" s="6" t="n">
        <v>5308076</v>
      </c>
      <c r="R5" s="6" t="n">
        <v>1952916</v>
      </c>
      <c r="S5" s="6" t="n">
        <v>1698707</v>
      </c>
      <c r="T5" s="6" t="n">
        <v>3491019</v>
      </c>
      <c r="U5" s="6" t="n">
        <v>3432758.5813</v>
      </c>
      <c r="V5" s="6" t="n">
        <v>408103.4902</v>
      </c>
      <c r="W5" s="6" t="n">
        <v>2997694.9102</v>
      </c>
      <c r="X5" s="6" t="n">
        <v>324997.5489</v>
      </c>
      <c r="Y5" s="6" t="n">
        <v>80496.6992</v>
      </c>
      <c r="Z5" s="6" t="n">
        <v>1413080.0995</v>
      </c>
      <c r="AA5" s="6" t="n">
        <v>-1347298.85</v>
      </c>
      <c r="AB5" s="6" t="n">
        <v>18176.15</v>
      </c>
      <c r="AC5" s="6" t="n">
        <v>-923.499299999999</v>
      </c>
      <c r="AD5" s="6" t="n">
        <v>59406.4001</v>
      </c>
      <c r="AE5" s="6" t="n">
        <v>134305.6015</v>
      </c>
      <c r="AF5" s="6" t="n">
        <v>84461</v>
      </c>
      <c r="AG5" s="6" t="n">
        <v>111241</v>
      </c>
      <c r="AH5" s="6" t="n">
        <v>18623015.3965</v>
      </c>
      <c r="AI5" s="6" t="n">
        <v>714345.625</v>
      </c>
      <c r="AJ5" s="6"/>
      <c r="AK5" s="6"/>
      <c r="AL5" s="6"/>
      <c r="AM5" s="6"/>
    </row>
    <row r="6">
      <c r="A6" t="str">
        <f>M6</f>
      </c>
      <c r="M6" t="s">
        <v>82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 t="n">
        <v>1427200</v>
      </c>
      <c r="AL6" s="6"/>
      <c r="AM6" s="6"/>
    </row>
    <row r="7">
      <c r="A7" t="str">
        <f>M7</f>
      </c>
      <c r="M7" t="s">
        <v>77</v>
      </c>
      <c r="N7" s="6" t="n">
        <v>475572</v>
      </c>
      <c r="O7" s="6" t="n">
        <v>232950</v>
      </c>
      <c r="P7" s="6" t="n">
        <v>6795025</v>
      </c>
      <c r="Q7" s="6" t="n">
        <v>9480600</v>
      </c>
      <c r="R7" s="6" t="n">
        <v>478550</v>
      </c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</row>
    <row r="8">
      <c r="A8" t="str">
        <f>M8</f>
      </c>
      <c r="M8" t="s">
        <v>78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 t="n">
        <v>51906.1602</v>
      </c>
      <c r="AH8" s="6" t="n">
        <v>139759.4004</v>
      </c>
      <c r="AI8" s="6" t="n">
        <v>157400.1524</v>
      </c>
      <c r="AJ8" s="6" t="n">
        <v>46356.5</v>
      </c>
      <c r="AK8" s="6"/>
      <c r="AL8" s="6"/>
      <c r="AM8" s="6"/>
    </row>
    <row r="9">
      <c r="A9" t="str">
        <f>M9</f>
      </c>
      <c r="M9" t="s">
        <v>79</v>
      </c>
      <c r="N9" s="6" t="n">
        <v>4350000</v>
      </c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</row>
    <row r="10">
      <c r="A10" t="str">
        <f>M10</f>
      </c>
      <c r="M10" t="s">
        <v>80</v>
      </c>
      <c r="N10" s="6" t="n">
        <v>308700</v>
      </c>
      <c r="O10" s="6" t="n">
        <v>1341114</v>
      </c>
      <c r="P10" s="6" t="n">
        <v>30064928</v>
      </c>
      <c r="Q10" s="6" t="n">
        <v>9014432</v>
      </c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</row>
    <row r="11">
      <c r="A11" t="str">
        <f>M11</f>
      </c>
      <c r="M11"/>
      <c r="N11" s="6" t="n">
        <v>8630701989.09</v>
      </c>
      <c r="O11" s="6" t="n">
        <v>10221322104</v>
      </c>
      <c r="P11" s="6" t="n">
        <v>13353523888.2415</v>
      </c>
      <c r="Q11" s="6" t="n">
        <v>15519372518.4262</v>
      </c>
      <c r="R11" s="6" t="n">
        <v>18314158839.8947</v>
      </c>
      <c r="S11" s="6" t="n">
        <v>31786803033.2196</v>
      </c>
      <c r="T11" s="6" t="n">
        <v>34616507262.3475</v>
      </c>
      <c r="U11" s="6" t="n">
        <v>34288298948.3409</v>
      </c>
      <c r="V11" s="6" t="n">
        <v>39099729400.1141</v>
      </c>
      <c r="W11" s="6" t="n">
        <v>35615896149.808</v>
      </c>
      <c r="X11" s="6" t="n">
        <v>29121211362.0065</v>
      </c>
      <c r="Y11" s="6" t="n">
        <v>30006926667.1808</v>
      </c>
      <c r="Z11" s="6" t="n">
        <v>35356419146.3526</v>
      </c>
      <c r="AA11" s="6" t="n">
        <v>26465404153.2953</v>
      </c>
      <c r="AB11" s="6" t="n">
        <v>24267838725.1181</v>
      </c>
      <c r="AC11" s="6" t="n">
        <v>21069111715.4275</v>
      </c>
      <c r="AD11" s="6" t="n">
        <v>19406190257.4793</v>
      </c>
      <c r="AE11" s="6" t="n">
        <v>21576437757.6489</v>
      </c>
      <c r="AF11" s="6" t="n">
        <v>25383313632.2805</v>
      </c>
      <c r="AG11" s="6" t="n">
        <v>23212468234.1722</v>
      </c>
      <c r="AH11" s="6" t="n">
        <v>25490601137.0472</v>
      </c>
      <c r="AI11" s="6" t="n">
        <v>53499188886.3541</v>
      </c>
      <c r="AJ11" s="6" t="n">
        <v>58510333010.0319</v>
      </c>
      <c r="AK11" s="6" t="n">
        <v>18944862279.6072</v>
      </c>
      <c r="AL11" s="6"/>
      <c r="AM11" s="6"/>
    </row>
    <row r="12">
      <c r="A12" t="str">
        <f>M12</f>
      </c>
      <c r="M12" t="s">
        <v>124</v>
      </c>
      <c r="N12" s="6" t="str">
        <f>Sum(N2:N11)</f>
      </c>
      <c r="O12" s="6" t="str">
        <f>Sum(O2:O11)</f>
      </c>
      <c r="P12" s="6" t="str">
        <f>Sum(P2:P11)</f>
      </c>
      <c r="Q12" s="6" t="str">
        <f>Sum(Q2:Q11)</f>
      </c>
      <c r="R12" s="6" t="str">
        <f>Sum(R2:R11)</f>
      </c>
      <c r="S12" s="6" t="str">
        <f>Sum(S2:S11)</f>
      </c>
      <c r="T12" s="6" t="str">
        <f>Sum(T2:T11)</f>
      </c>
      <c r="U12" s="6" t="str">
        <f>Sum(U2:U11)</f>
      </c>
      <c r="V12" s="6" t="str">
        <f>Sum(V2:V11)</f>
      </c>
      <c r="W12" s="6" t="str">
        <f>Sum(W2:W11)</f>
      </c>
      <c r="X12" s="6" t="str">
        <f>Sum(X2:X11)</f>
      </c>
      <c r="Y12" s="6" t="str">
        <f>Sum(Y2:Y11)</f>
      </c>
      <c r="Z12" s="6" t="str">
        <f>Sum(Z2:Z11)</f>
      </c>
      <c r="AA12" s="6" t="str">
        <f>Sum(AA2:AA11)</f>
      </c>
      <c r="AB12" s="6" t="str">
        <f>Sum(AB2:AB11)</f>
      </c>
      <c r="AC12" s="6" t="str">
        <f>Sum(AC2:AC11)</f>
      </c>
      <c r="AD12" s="6" t="str">
        <f>Sum(AD2:AD11)</f>
      </c>
      <c r="AE12" s="6" t="str">
        <f>Sum(AE2:AE11)</f>
      </c>
      <c r="AF12" s="6" t="str">
        <f>Sum(AF2:AF11)</f>
      </c>
      <c r="AG12" s="6" t="str">
        <f>Sum(AG2:AG11)</f>
      </c>
      <c r="AH12" s="6" t="str">
        <f>Sum(AH2:AH11)</f>
      </c>
      <c r="AI12" s="6" t="str">
        <f>Sum(AI2:AI11)</f>
      </c>
      <c r="AJ12" s="6" t="str">
        <f>Sum(AJ2:AJ11)</f>
      </c>
      <c r="AK12" s="6" t="str">
        <f>Sum(AK2:AK11)</f>
      </c>
      <c r="AL12" s="6"/>
      <c r="AM12" s="6"/>
    </row>
    <row r="13">
      <c r="M13" t="str">
        <f>Sum(A2:A11)</f>
      </c>
    </row>
    <row r="14">
      <c r="M14" t="str">
        <f>Sum(B2:B11)</f>
      </c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70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6" t="str">
        <f>AC16</f>
      </c>
      <c r="C16" s="6" t="str">
        <f>AI16</f>
      </c>
      <c r="D16" s="6" t="str">
        <f>AJ16</f>
      </c>
      <c r="E16" s="6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AJ16/Sum(AJ$15:AJ$25)</f>
      </c>
      <c r="J16" s="7" t="str">
        <f>AK16/Sum(AK15:AK$25)</f>
      </c>
      <c r="M16" t="s">
        <v>71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 t="n">
        <v>13983.3803832674</v>
      </c>
      <c r="AI16" s="6" t="n">
        <v>0</v>
      </c>
      <c r="AJ16" s="6" t="n">
        <v>111074.8516</v>
      </c>
      <c r="AK16" s="6"/>
      <c r="AL16" s="6"/>
      <c r="AM16" s="6"/>
    </row>
    <row r="17">
      <c r="A17" t="str">
        <f>M17</f>
      </c>
      <c r="B17" s="6" t="str">
        <f>AC17</f>
      </c>
      <c r="C17" s="6" t="str">
        <f>AI17</f>
      </c>
      <c r="D17" s="6" t="str">
        <f>AJ17</f>
      </c>
      <c r="E17" s="6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AJ17/Sum(AJ$15:AJ$25)</f>
      </c>
      <c r="J17" s="7" t="str">
        <f>AK17/Sum(AK15:AK$25)</f>
      </c>
      <c r="M17" t="s">
        <v>81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 t="n">
        <v>708609.729566217</v>
      </c>
      <c r="AL17" s="6"/>
      <c r="AM17" s="6"/>
    </row>
    <row r="18">
      <c r="A18" t="str">
        <f>M18</f>
      </c>
      <c r="B18" s="6" t="str">
        <f>AC18</f>
      </c>
      <c r="C18" s="6" t="str">
        <f>AI18</f>
      </c>
      <c r="D18" s="6" t="str">
        <f>AJ18</f>
      </c>
      <c r="E18" s="6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AJ18/Sum(AJ$15:AJ$25)</f>
      </c>
      <c r="J18" s="7" t="str">
        <f>AK18/Sum(AK15:AK$25)</f>
      </c>
      <c r="M18" t="s">
        <v>72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 t="n">
        <v>83598.9169109284</v>
      </c>
      <c r="AI18" s="6" t="n">
        <v>794088.789125212</v>
      </c>
      <c r="AJ18" s="6" t="n">
        <v>356810.3301</v>
      </c>
      <c r="AK18" s="6"/>
      <c r="AL18" s="6"/>
      <c r="AM18" s="6"/>
    </row>
    <row r="19">
      <c r="A19" t="str">
        <f>M19</f>
      </c>
      <c r="B19" s="6" t="str">
        <f>AC19</f>
      </c>
      <c r="C19" s="6" t="str">
        <f>AI19</f>
      </c>
      <c r="D19" s="6" t="str">
        <f>AJ19</f>
      </c>
      <c r="E19" s="6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AJ19/Sum(AJ$15:AJ$25)</f>
      </c>
      <c r="J19" s="7" t="str">
        <f>AK19/Sum(AK15:AK$25)</f>
      </c>
      <c r="M19" t="s">
        <v>75</v>
      </c>
      <c r="N19" s="6" t="n">
        <v>1500914.65670252</v>
      </c>
      <c r="O19" s="6" t="n">
        <v>3263057.21051487</v>
      </c>
      <c r="P19" s="6" t="n">
        <v>2367241.73731984</v>
      </c>
      <c r="Q19" s="6" t="n">
        <v>8088649.69747116</v>
      </c>
      <c r="R19" s="6" t="n">
        <v>2904922.18065957</v>
      </c>
      <c r="S19" s="6" t="n">
        <v>2452346.35488657</v>
      </c>
      <c r="T19" s="6" t="n">
        <v>4880915.09319704</v>
      </c>
      <c r="U19" s="6" t="n">
        <v>4671356.04181004</v>
      </c>
      <c r="V19" s="6" t="n">
        <v>544008.388902862</v>
      </c>
      <c r="W19" s="6" t="n">
        <v>3955776.17388379</v>
      </c>
      <c r="X19" s="6" t="n">
        <v>425170.801131324</v>
      </c>
      <c r="Y19" s="6" t="n">
        <v>103227.58987391</v>
      </c>
      <c r="Z19" s="6" t="n">
        <v>1779491.76896082</v>
      </c>
      <c r="AA19" s="6" t="n">
        <v>-1666162.66429415</v>
      </c>
      <c r="AB19" s="6" t="n">
        <v>22051.2771673806</v>
      </c>
      <c r="AC19" s="6" t="n">
        <v>-1107.688988581</v>
      </c>
      <c r="AD19" s="6" t="n">
        <v>70669.2609927968</v>
      </c>
      <c r="AE19" s="6" t="n">
        <v>156966.16617476</v>
      </c>
      <c r="AF19" s="6" t="n">
        <v>96446.9870230631</v>
      </c>
      <c r="AG19" s="6" t="n">
        <v>124587.149879475</v>
      </c>
      <c r="AH19" s="6" t="n">
        <v>20582730.649123</v>
      </c>
      <c r="AI19" s="6" t="n">
        <v>763840.915300943</v>
      </c>
      <c r="AJ19" s="6"/>
      <c r="AK19" s="6"/>
      <c r="AL19" s="6"/>
      <c r="AM19" s="6"/>
    </row>
    <row r="20">
      <c r="A20" t="str">
        <f>M20</f>
      </c>
      <c r="B20" s="6" t="str">
        <f>AC20</f>
      </c>
      <c r="C20" s="6" t="str">
        <f>AI20</f>
      </c>
      <c r="D20" s="6" t="str">
        <f>AJ20</f>
      </c>
      <c r="E20" s="6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AJ20/Sum(AJ$15:AJ$25)</f>
      </c>
      <c r="J20" s="7" t="str">
        <f>AK20/Sum(AK15:AK$25)</f>
      </c>
      <c r="M20" t="s">
        <v>82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 t="n">
        <v>1361261.04713009</v>
      </c>
      <c r="AL20" s="6"/>
      <c r="AM20" s="6"/>
    </row>
    <row r="21">
      <c r="A21" t="str">
        <f>M21</f>
      </c>
      <c r="B21" s="6" t="str">
        <f>AC21</f>
      </c>
      <c r="C21" s="6" t="str">
        <f>AI21</f>
      </c>
      <c r="D21" s="6" t="str">
        <f>AJ21</f>
      </c>
      <c r="E21" s="6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AJ21/Sum(AJ$15:AJ$25)</f>
      </c>
      <c r="J21" s="7" t="str">
        <f>AK21/Sum(AK15:AK$25)</f>
      </c>
      <c r="M21" t="s">
        <v>77</v>
      </c>
      <c r="N21" s="6" t="n">
        <v>768395.971228824</v>
      </c>
      <c r="O21" s="6" t="n">
        <v>367473.29971658</v>
      </c>
      <c r="P21" s="6" t="n">
        <v>10552441.7097882</v>
      </c>
      <c r="Q21" s="6" t="n">
        <v>14446901.725191</v>
      </c>
      <c r="R21" s="6" t="n">
        <v>711833.232742544</v>
      </c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</row>
    <row r="22">
      <c r="A22" t="str">
        <f>M22</f>
      </c>
      <c r="B22" s="6" t="str">
        <f>AC22</f>
      </c>
      <c r="C22" s="6" t="str">
        <f>AI22</f>
      </c>
      <c r="D22" s="6" t="str">
        <f>AJ22</f>
      </c>
      <c r="E22" s="6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AJ22/Sum(AJ$15:AJ$25)</f>
      </c>
      <c r="J22" s="7" t="str">
        <f>AK22/Sum(AK15:AK$25)</f>
      </c>
      <c r="M22" t="s">
        <v>78</v>
      </c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 t="n">
        <v>58133.6068581317</v>
      </c>
      <c r="AH22" s="6" t="n">
        <v>154466.397243959</v>
      </c>
      <c r="AI22" s="6" t="n">
        <v>168306.030400514</v>
      </c>
      <c r="AJ22" s="6" t="n">
        <v>46356.5</v>
      </c>
      <c r="AK22" s="6"/>
      <c r="AL22" s="6"/>
      <c r="AM22" s="6"/>
    </row>
    <row r="23">
      <c r="A23" t="str">
        <f>M23</f>
      </c>
      <c r="B23" s="6" t="str">
        <f>AC23</f>
      </c>
      <c r="C23" s="6" t="str">
        <f>AI23</f>
      </c>
      <c r="D23" s="6" t="str">
        <f>AJ23</f>
      </c>
      <c r="E23" s="6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AJ23/Sum(AJ$15:AJ$25)</f>
      </c>
      <c r="J23" s="7" t="str">
        <f>AK23/Sum(AK15:AK$25)</f>
      </c>
      <c r="M23" t="s">
        <v>79</v>
      </c>
      <c r="N23" s="6" t="n">
        <v>7028425.71649589</v>
      </c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</row>
    <row r="24">
      <c r="A24" t="str">
        <f>M24</f>
      </c>
      <c r="B24" s="6" t="str">
        <f>AC24</f>
      </c>
      <c r="C24" s="6" t="str">
        <f>AI24</f>
      </c>
      <c r="D24" s="6" t="str">
        <f>AJ24</f>
      </c>
      <c r="E24" s="6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AJ24/Sum(AJ$15:AJ$25)</f>
      </c>
      <c r="J24" s="7" t="str">
        <f>AK24/Sum(AK15:AK$25)</f>
      </c>
      <c r="M24" t="s">
        <v>80</v>
      </c>
      <c r="N24" s="6" t="n">
        <v>498775.866363743</v>
      </c>
      <c r="O24" s="6" t="n">
        <v>2115576.67686672</v>
      </c>
      <c r="P24" s="6" t="n">
        <v>46689806.1786352</v>
      </c>
      <c r="Q24" s="6" t="n">
        <v>13736537.0559265</v>
      </c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</row>
    <row r="25">
      <c r="A25" t="str">
        <f>M25</f>
      </c>
      <c r="B25" s="6" t="str">
        <f>AC25</f>
      </c>
      <c r="C25" s="6" t="str">
        <f>AI25</f>
      </c>
      <c r="D25" s="6" t="str">
        <f>AJ25</f>
      </c>
      <c r="E25" s="6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AJ25/Sum(AJ$15:AJ$25)</f>
      </c>
      <c r="J25" s="7" t="str">
        <f>AK25/Sum(AK15:AK$25)</f>
      </c>
      <c r="M25"/>
      <c r="N25" s="6" t="n">
        <v>13944884554.3753</v>
      </c>
      <c r="O25" s="6" t="n">
        <v>16123901957.5999</v>
      </c>
      <c r="P25" s="6" t="n">
        <v>20737566447.6486</v>
      </c>
      <c r="Q25" s="6" t="n">
        <v>23649014789.1835</v>
      </c>
      <c r="R25" s="6" t="n">
        <v>27241932696.6099</v>
      </c>
      <c r="S25" s="6" t="n">
        <v>45889167791.7459</v>
      </c>
      <c r="T25" s="6" t="n">
        <v>48398542881.1923</v>
      </c>
      <c r="U25" s="6" t="n">
        <v>46660098186.999</v>
      </c>
      <c r="V25" s="6" t="n">
        <v>52120555957.6808</v>
      </c>
      <c r="W25" s="6" t="n">
        <v>46998950067.1134</v>
      </c>
      <c r="X25" s="6" t="n">
        <v>38097175829.8049</v>
      </c>
      <c r="Y25" s="6" t="n">
        <v>38480369383.5963</v>
      </c>
      <c r="Z25" s="6" t="n">
        <v>44524338622.5066</v>
      </c>
      <c r="AA25" s="6" t="n">
        <v>32728943764.5373</v>
      </c>
      <c r="AB25" s="6" t="n">
        <v>29441704540.3383</v>
      </c>
      <c r="AC25" s="6" t="n">
        <v>25271294787.5131</v>
      </c>
      <c r="AD25" s="6" t="n">
        <v>23085410357.691</v>
      </c>
      <c r="AE25" s="6" t="n">
        <v>25216898451.7483</v>
      </c>
      <c r="AF25" s="6" t="n">
        <v>28985497691.1817</v>
      </c>
      <c r="AG25" s="6" t="n">
        <v>25997386385.985</v>
      </c>
      <c r="AH25" s="6" t="n">
        <v>28172998094.9636</v>
      </c>
      <c r="AI25" s="6" t="n">
        <v>57206019014.6902</v>
      </c>
      <c r="AJ25" s="6" t="n">
        <v>58510333010.0319</v>
      </c>
      <c r="AK25" s="6" t="n">
        <v>18069578940.9147</v>
      </c>
      <c r="AL25" s="6"/>
      <c r="AM25" s="6"/>
    </row>
    <row r="26">
      <c r="A26" t="str">
        <f>M26</f>
      </c>
      <c r="B26" s="6" t="str">
        <f>AC26</f>
      </c>
      <c r="C26" s="6" t="str">
        <f>AI26</f>
      </c>
      <c r="D26" s="6" t="str">
        <f>AJ26</f>
      </c>
      <c r="E26" s="6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Sum(I$15:I$25)</f>
      </c>
      <c r="J26" s="7" t="str">
        <f>Sum(J$15:J$25)</f>
      </c>
      <c r="M26" t="s">
        <v>124</v>
      </c>
      <c r="N26" s="6" t="str">
        <f>Sum(N16:N25)</f>
      </c>
      <c r="O26" s="6" t="str">
        <f>Sum(O16:O25)</f>
      </c>
      <c r="P26" s="6" t="str">
        <f>Sum(P16:P25)</f>
      </c>
      <c r="Q26" s="6" t="str">
        <f>Sum(Q16:Q25)</f>
      </c>
      <c r="R26" s="6" t="str">
        <f>Sum(R16:R25)</f>
      </c>
      <c r="S26" s="6" t="str">
        <f>Sum(S16:S25)</f>
      </c>
      <c r="T26" s="6" t="str">
        <f>Sum(T16:T25)</f>
      </c>
      <c r="U26" s="6" t="str">
        <f>Sum(U16:U25)</f>
      </c>
      <c r="V26" s="6" t="str">
        <f>Sum(V16:V25)</f>
      </c>
      <c r="W26" s="6" t="str">
        <f>Sum(W16:W25)</f>
      </c>
      <c r="X26" s="6" t="str">
        <f>Sum(X16:X25)</f>
      </c>
      <c r="Y26" s="6" t="str">
        <f>Sum(Y16:Y25)</f>
      </c>
      <c r="Z26" s="6" t="str">
        <f>Sum(Z16:Z25)</f>
      </c>
      <c r="AA26" s="6" t="str">
        <f>Sum(AA16:AA25)</f>
      </c>
      <c r="AB26" s="6" t="str">
        <f>Sum(AB16:AB25)</f>
      </c>
      <c r="AC26" s="6" t="str">
        <f>Sum(AC16:AC25)</f>
      </c>
      <c r="AD26" s="6" t="str">
        <f>Sum(AD16:AD25)</f>
      </c>
      <c r="AE26" s="6" t="str">
        <f>Sum(AE16:AE25)</f>
      </c>
      <c r="AF26" s="6" t="str">
        <f>Sum(AF16:AF25)</f>
      </c>
      <c r="AG26" s="6" t="str">
        <f>Sum(AG16:AG25)</f>
      </c>
      <c r="AH26" s="6" t="str">
        <f>Sum(AH16:AH25)</f>
      </c>
      <c r="AI26" s="6" t="str">
        <f>Sum(AI16:AI25)</f>
      </c>
      <c r="AJ26" s="6" t="str">
        <f>Sum(AJ16:AJ25)</f>
      </c>
      <c r="AK26" s="6" t="str">
        <f>Sum(AK16:AK25)</f>
      </c>
      <c r="AL26" s="6"/>
      <c r="AM26" s="6"/>
    </row>
    <row r="27">
      <c r="M27" t="str">
        <f>Sum(A16:A25)</f>
      </c>
      <c r="N27" s="8" t="n">
        <v>13944884554.3753</v>
      </c>
      <c r="O27" s="8" t="n">
        <v>16123901957.5999</v>
      </c>
      <c r="P27" s="8" t="n">
        <v>20737566447.6486</v>
      </c>
      <c r="Q27" s="8" t="n">
        <v>23649014789.1835</v>
      </c>
      <c r="R27" s="8" t="n">
        <v>27241932696.6099</v>
      </c>
      <c r="S27" s="8" t="n">
        <v>45889167791.7459</v>
      </c>
      <c r="T27" s="8" t="n">
        <v>48398542881.1923</v>
      </c>
      <c r="U27" s="8" t="n">
        <v>46660098186.999</v>
      </c>
      <c r="V27" s="8" t="n">
        <v>52120555957.6808</v>
      </c>
      <c r="W27" s="8" t="n">
        <v>46998950067.1134</v>
      </c>
      <c r="X27" s="8" t="n">
        <v>38097175829.8049</v>
      </c>
      <c r="Y27" s="8" t="n">
        <v>38480369383.5963</v>
      </c>
      <c r="Z27" s="8" t="n">
        <v>44524338622.5066</v>
      </c>
      <c r="AA27" s="8" t="n">
        <v>32728943764.5373</v>
      </c>
      <c r="AB27" s="8" t="n">
        <v>29441704540.3383</v>
      </c>
      <c r="AC27" s="8" t="n">
        <v>25271294787.5131</v>
      </c>
      <c r="AD27" s="8" t="n">
        <v>23085410357.691</v>
      </c>
      <c r="AE27" s="8" t="n">
        <v>25216898451.7483</v>
      </c>
      <c r="AF27" s="8" t="n">
        <v>28985497691.1817</v>
      </c>
      <c r="AG27" s="8" t="n">
        <v>25997386385.985</v>
      </c>
      <c r="AH27" s="8" t="n">
        <v>28172998094.9636</v>
      </c>
      <c r="AI27" s="8" t="n">
        <v>57206019014.6902</v>
      </c>
      <c r="AJ27" s="8" t="n">
        <v>58510333010.0319</v>
      </c>
      <c r="AK27" s="8" t="n">
        <v>18069578940.9147</v>
      </c>
      <c r="AL27" s="8"/>
      <c r="AM27" s="8"/>
    </row>
    <row r="28">
      <c r="M28" t="str">
        <f>Sum(B16:B25)</f>
      </c>
    </row>
    <row r="29">
      <c r="M29" t="str">
        <f>Sum(C16:C25)</f>
      </c>
    </row>
    <row r="30">
      <c r="M30" t="str">
        <f>Sum(D16:D25)</f>
      </c>
    </row>
    <row r="31">
      <c r="M31" t="str">
        <f>Sum(E16:E25)</f>
      </c>
    </row>
    <row r="32">
      <c r="M32" t="str">
        <f>Sum(F16:F25)</f>
      </c>
    </row>
    <row r="33">
      <c r="M33" t="str">
        <f>Sum(G16:G25)</f>
      </c>
    </row>
    <row r="34">
      <c r="M34" t="str">
        <f>Sum(H16:H25)</f>
      </c>
    </row>
    <row r="35">
      <c r="M35" t="str">
        <f>Sum(I16:I25)</f>
      </c>
    </row>
    <row r="36">
      <c r="M36" t="str">
        <f>Sum(J16:J25)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83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84</v>
      </c>
      <c r="N2" s="9" t="n">
        <v>459097932</v>
      </c>
      <c r="O2" s="9" t="n">
        <v>548411023</v>
      </c>
      <c r="P2" s="9" t="n">
        <v>832797665</v>
      </c>
      <c r="Q2" s="9" t="n">
        <v>1219515147</v>
      </c>
      <c r="R2" s="9" t="n">
        <v>725862200.8403</v>
      </c>
      <c r="S2" s="9" t="n">
        <v>1230990068.2002</v>
      </c>
      <c r="T2" s="9" t="n">
        <v>1042720953.7099</v>
      </c>
      <c r="U2" s="9" t="n">
        <v>1318035621.8528</v>
      </c>
      <c r="V2" s="9" t="n">
        <v>1351809825.1366</v>
      </c>
      <c r="W2" s="9" t="n">
        <v>1768009026.3895</v>
      </c>
      <c r="X2" s="9" t="n">
        <v>1587083382.298</v>
      </c>
      <c r="Y2" s="9" t="n">
        <v>1410585786.8818</v>
      </c>
      <c r="Z2" s="9" t="n">
        <v>890549532.2677</v>
      </c>
      <c r="AA2" s="9" t="n">
        <v>567809741.7066</v>
      </c>
      <c r="AB2" s="9" t="n">
        <v>736507122.3047</v>
      </c>
      <c r="AC2" s="9" t="n">
        <v>674159625.7648</v>
      </c>
      <c r="AD2" s="9" t="n">
        <v>710567941.8812</v>
      </c>
      <c r="AE2" s="9" t="n">
        <v>937113034.6959</v>
      </c>
      <c r="AF2" s="9" t="n">
        <v>1028457434.8177</v>
      </c>
      <c r="AG2" s="9" t="n">
        <v>1205698262.4414</v>
      </c>
      <c r="AH2" s="9" t="n">
        <v>1020157057.1304</v>
      </c>
      <c r="AI2" s="9" t="n">
        <v>932020538.0158</v>
      </c>
      <c r="AJ2" s="9" t="n">
        <v>741919247.7764</v>
      </c>
      <c r="AK2" s="9" t="n">
        <v>366673514.9359</v>
      </c>
      <c r="AL2" s="9"/>
      <c r="AM2" s="9"/>
    </row>
    <row r="3">
      <c r="A3" t="str">
        <f>M3</f>
      </c>
      <c r="M3" t="s">
        <v>85</v>
      </c>
      <c r="N3" s="9" t="n">
        <v>352897325</v>
      </c>
      <c r="O3" s="9" t="n">
        <v>448113569</v>
      </c>
      <c r="P3" s="9" t="n">
        <v>579764400</v>
      </c>
      <c r="Q3" s="9" t="n">
        <v>773839454</v>
      </c>
      <c r="R3" s="9" t="n">
        <v>1419422640</v>
      </c>
      <c r="S3" s="9" t="n">
        <v>2082441094</v>
      </c>
      <c r="T3" s="9" t="n">
        <v>623763409</v>
      </c>
      <c r="U3" s="9" t="n">
        <v>2832145616.4917</v>
      </c>
      <c r="V3" s="9" t="n">
        <v>2179114331.2079</v>
      </c>
      <c r="W3" s="9" t="n">
        <v>3085627793.682</v>
      </c>
      <c r="X3" s="9" t="n">
        <v>3590845387.3924</v>
      </c>
      <c r="Y3" s="9" t="n">
        <v>2940000773.9181</v>
      </c>
      <c r="Z3" s="9" t="n">
        <v>3459631431.9175</v>
      </c>
      <c r="AA3" s="9" t="n">
        <v>2594877340.071</v>
      </c>
      <c r="AB3" s="9" t="n">
        <v>1677379606.3216</v>
      </c>
      <c r="AC3" s="9" t="n">
        <v>886083634.1166</v>
      </c>
      <c r="AD3" s="9" t="n">
        <v>926958912.4214</v>
      </c>
      <c r="AE3" s="9" t="n">
        <v>885005816.8274</v>
      </c>
      <c r="AF3" s="9" t="n">
        <v>129361428.5928</v>
      </c>
      <c r="AG3" s="9" t="n">
        <v>118961459.0804</v>
      </c>
      <c r="AH3" s="9" t="n">
        <v>120588082.29</v>
      </c>
      <c r="AI3" s="9" t="n">
        <v>132967240.9077</v>
      </c>
      <c r="AJ3" s="9" t="n">
        <v>157429127.7033</v>
      </c>
      <c r="AK3" s="9" t="n">
        <v>124227948.1281</v>
      </c>
      <c r="AL3" s="9"/>
      <c r="AM3" s="9"/>
    </row>
    <row r="4">
      <c r="A4" t="str">
        <f>M4</f>
      </c>
      <c r="M4" t="s">
        <v>86</v>
      </c>
      <c r="N4" s="9" t="n">
        <v>736757613</v>
      </c>
      <c r="O4" s="9" t="n">
        <v>849744241</v>
      </c>
      <c r="P4" s="9" t="n">
        <v>1249078193</v>
      </c>
      <c r="Q4" s="9" t="n">
        <v>1588906421</v>
      </c>
      <c r="R4" s="9" t="n">
        <v>1806736603</v>
      </c>
      <c r="S4" s="9" t="n">
        <v>2690517886.7539</v>
      </c>
      <c r="T4" s="9" t="n">
        <v>2880898231.9418</v>
      </c>
      <c r="U4" s="9" t="n">
        <v>3133140506.9743</v>
      </c>
      <c r="V4" s="9" t="n">
        <v>1987659287.4977</v>
      </c>
      <c r="W4" s="9" t="n">
        <v>1946761137.4897</v>
      </c>
      <c r="X4" s="9" t="n">
        <v>2104321873.9524</v>
      </c>
      <c r="Y4" s="9" t="n">
        <v>2907585252.1852</v>
      </c>
      <c r="Z4" s="9" t="n">
        <v>2457362421.743</v>
      </c>
      <c r="AA4" s="9" t="n">
        <v>2906697573.0363</v>
      </c>
      <c r="AB4" s="9" t="n">
        <v>3870494777.6554</v>
      </c>
      <c r="AC4" s="9" t="n">
        <v>4534180988.1847</v>
      </c>
      <c r="AD4" s="9" t="n">
        <v>5063758801.5356</v>
      </c>
      <c r="AE4" s="9" t="n">
        <v>5236042702.1013</v>
      </c>
      <c r="AF4" s="9" t="n">
        <v>5142518414.2291</v>
      </c>
      <c r="AG4" s="9" t="n">
        <v>5288320490.5081</v>
      </c>
      <c r="AH4" s="9" t="n">
        <v>6889985973.0751</v>
      </c>
      <c r="AI4" s="9" t="n">
        <v>35363822553.1787</v>
      </c>
      <c r="AJ4" s="9" t="n">
        <v>29068842595.8633</v>
      </c>
      <c r="AK4" s="9" t="n">
        <v>4953344795.2403</v>
      </c>
      <c r="AL4" s="9"/>
      <c r="AM4" s="9"/>
    </row>
    <row r="5">
      <c r="A5" t="str">
        <f>M5</f>
      </c>
      <c r="M5" t="s">
        <v>87</v>
      </c>
      <c r="N5" s="9" t="n">
        <v>437090158</v>
      </c>
      <c r="O5" s="9" t="n">
        <v>497848036</v>
      </c>
      <c r="P5" s="9" t="n">
        <v>825355303</v>
      </c>
      <c r="Q5" s="9" t="n">
        <v>960277521.96</v>
      </c>
      <c r="R5" s="9" t="n">
        <v>808838395.6021</v>
      </c>
      <c r="S5" s="9" t="n">
        <v>1741767167.6412</v>
      </c>
      <c r="T5" s="9" t="n">
        <v>2795401495.8985</v>
      </c>
      <c r="U5" s="9" t="n">
        <v>1154956802.8551</v>
      </c>
      <c r="V5" s="9" t="n">
        <v>910139498.5583</v>
      </c>
      <c r="W5" s="9" t="n">
        <v>2004699077.9879</v>
      </c>
      <c r="X5" s="9" t="n">
        <v>1064878984.6433</v>
      </c>
      <c r="Y5" s="9" t="n">
        <v>3947450253.9542</v>
      </c>
      <c r="Z5" s="9" t="n">
        <v>3552665575.1199</v>
      </c>
      <c r="AA5" s="9" t="n">
        <v>1962273046.4232</v>
      </c>
      <c r="AB5" s="9" t="n">
        <v>2931394294.9802</v>
      </c>
      <c r="AC5" s="9" t="n">
        <v>1709229091.1199</v>
      </c>
      <c r="AD5" s="9" t="n">
        <v>989853667.3922</v>
      </c>
      <c r="AE5" s="9" t="n">
        <v>1426188632.0583</v>
      </c>
      <c r="AF5" s="9" t="n">
        <v>1699196784.6141</v>
      </c>
      <c r="AG5" s="9" t="n">
        <v>1678508999.0201</v>
      </c>
      <c r="AH5" s="9" t="n">
        <v>1226763985.7226</v>
      </c>
      <c r="AI5" s="9" t="n">
        <v>1331638642.9258</v>
      </c>
      <c r="AJ5" s="9" t="n">
        <v>2375656105.9127</v>
      </c>
      <c r="AK5" s="9" t="n">
        <v>1094586304.6162</v>
      </c>
      <c r="AL5" s="9"/>
      <c r="AM5" s="9"/>
    </row>
    <row r="6">
      <c r="A6" t="str">
        <f>M6</f>
      </c>
      <c r="M6" t="s">
        <v>88</v>
      </c>
      <c r="N6" s="9" t="n">
        <v>31133452</v>
      </c>
      <c r="O6" s="9" t="n">
        <v>39672103</v>
      </c>
      <c r="P6" s="9" t="n">
        <v>44209783</v>
      </c>
      <c r="Q6" s="9" t="n">
        <v>93684907</v>
      </c>
      <c r="R6" s="9" t="n">
        <v>169879169.8262</v>
      </c>
      <c r="S6" s="9" t="n">
        <v>180485318.9699</v>
      </c>
      <c r="T6" s="9" t="n">
        <v>277976089.9111</v>
      </c>
      <c r="U6" s="9" t="n">
        <v>182271265.2974</v>
      </c>
      <c r="V6" s="9" t="n">
        <v>193897219.0126</v>
      </c>
      <c r="W6" s="9" t="n">
        <v>200746794.8601</v>
      </c>
      <c r="X6" s="9" t="n">
        <v>247891394.4015</v>
      </c>
      <c r="Y6" s="9" t="n">
        <v>239976623.4756</v>
      </c>
      <c r="Z6" s="9" t="n">
        <v>199484452.6684</v>
      </c>
      <c r="AA6" s="9" t="n">
        <v>185795368.1603</v>
      </c>
      <c r="AB6" s="9" t="n">
        <v>206086707.8428</v>
      </c>
      <c r="AC6" s="9" t="n">
        <v>261480763.3258</v>
      </c>
      <c r="AD6" s="9" t="n">
        <v>284702677.6265</v>
      </c>
      <c r="AE6" s="9" t="n">
        <v>268883049.551</v>
      </c>
      <c r="AF6" s="9" t="n">
        <v>298999574.4432</v>
      </c>
      <c r="AG6" s="9" t="n">
        <v>360706148.1876</v>
      </c>
      <c r="AH6" s="9" t="n">
        <v>276805301.0146</v>
      </c>
      <c r="AI6" s="9" t="n">
        <v>238593902.1989</v>
      </c>
      <c r="AJ6" s="9" t="n">
        <v>264713957.6649</v>
      </c>
      <c r="AK6" s="9" t="n">
        <v>190061477.6331</v>
      </c>
      <c r="AL6" s="9"/>
      <c r="AM6" s="9"/>
    </row>
    <row r="7">
      <c r="A7" t="str">
        <f>M7</f>
      </c>
      <c r="M7" t="s">
        <v>89</v>
      </c>
      <c r="N7" s="9" t="n">
        <v>2996201351</v>
      </c>
      <c r="O7" s="9" t="n">
        <v>3558080529</v>
      </c>
      <c r="P7" s="9" t="n">
        <v>4440797189</v>
      </c>
      <c r="Q7" s="9" t="n">
        <v>4561426670.6396</v>
      </c>
      <c r="R7" s="9" t="n">
        <v>5606871996.0494</v>
      </c>
      <c r="S7" s="9" t="n">
        <v>7702181463.3514</v>
      </c>
      <c r="T7" s="9" t="n">
        <v>10143111001.6907</v>
      </c>
      <c r="U7" s="9" t="n">
        <v>11094113431.2974</v>
      </c>
      <c r="V7" s="9" t="n">
        <v>13373223167.5188</v>
      </c>
      <c r="W7" s="9" t="n">
        <v>16646154967.3648</v>
      </c>
      <c r="X7" s="9" t="n">
        <v>11191475647.4348</v>
      </c>
      <c r="Y7" s="9" t="n">
        <v>9953957979.879</v>
      </c>
      <c r="Z7" s="9" t="n">
        <v>18043760088.266</v>
      </c>
      <c r="AA7" s="9" t="n">
        <v>12216659607.5609</v>
      </c>
      <c r="AB7" s="9" t="n">
        <v>9435329257.8295</v>
      </c>
      <c r="AC7" s="9" t="n">
        <v>7166662750.8959</v>
      </c>
      <c r="AD7" s="9" t="n">
        <v>4814168603.3955</v>
      </c>
      <c r="AE7" s="9" t="n">
        <v>6037416151.6929</v>
      </c>
      <c r="AF7" s="9" t="n">
        <v>7781369529.4628</v>
      </c>
      <c r="AG7" s="9" t="n">
        <v>5837423459.2227</v>
      </c>
      <c r="AH7" s="9" t="n">
        <v>4679148729.4954</v>
      </c>
      <c r="AI7" s="9" t="n">
        <v>5521919289.2933</v>
      </c>
      <c r="AJ7" s="9" t="n">
        <v>11285455838.6019</v>
      </c>
      <c r="AK7" s="9" t="n">
        <v>5541663643.9273</v>
      </c>
      <c r="AL7" s="9"/>
      <c r="AM7" s="9"/>
    </row>
    <row r="8">
      <c r="A8" t="str">
        <f>M8</f>
      </c>
      <c r="M8" t="s">
        <v>90</v>
      </c>
      <c r="N8" s="9" t="n">
        <v>103504171</v>
      </c>
      <c r="O8" s="9" t="n">
        <v>100810898</v>
      </c>
      <c r="P8" s="9" t="n">
        <v>112304027.1104</v>
      </c>
      <c r="Q8" s="9" t="n">
        <v>198883811.7908</v>
      </c>
      <c r="R8" s="9" t="n">
        <v>236306378.9521</v>
      </c>
      <c r="S8" s="9" t="n">
        <v>522574159.3837</v>
      </c>
      <c r="T8" s="9" t="n">
        <v>610113509.0499</v>
      </c>
      <c r="U8" s="9" t="n">
        <v>812821209.8059</v>
      </c>
      <c r="V8" s="9" t="n">
        <v>799679061.5584</v>
      </c>
      <c r="W8" s="9" t="n">
        <v>867836250.7221</v>
      </c>
      <c r="X8" s="9" t="n">
        <v>1139844157.3288</v>
      </c>
      <c r="Y8" s="9" t="n">
        <v>1146690570.3966</v>
      </c>
      <c r="Z8" s="9" t="n">
        <v>999071000.1631</v>
      </c>
      <c r="AA8" s="9" t="n">
        <v>911268876.3629</v>
      </c>
      <c r="AB8" s="9" t="n">
        <v>981552477.4816</v>
      </c>
      <c r="AC8" s="9" t="n">
        <v>1150447194.5467</v>
      </c>
      <c r="AD8" s="9" t="n">
        <v>1203776456.9095</v>
      </c>
      <c r="AE8" s="9" t="n">
        <v>1159742980.4968</v>
      </c>
      <c r="AF8" s="9" t="n">
        <v>1343633873.3998</v>
      </c>
      <c r="AG8" s="9" t="n">
        <v>1144902755.0278</v>
      </c>
      <c r="AH8" s="9" t="n">
        <v>2999051371.0285</v>
      </c>
      <c r="AI8" s="9" t="n">
        <v>1911056459.6524</v>
      </c>
      <c r="AJ8" s="9" t="n">
        <v>5673187536.0425</v>
      </c>
      <c r="AK8" s="9" t="n">
        <v>441436102.494</v>
      </c>
      <c r="AL8" s="9"/>
      <c r="AM8" s="9"/>
    </row>
    <row r="9">
      <c r="A9" t="str">
        <f>M9</f>
      </c>
      <c r="M9" t="s">
        <v>91</v>
      </c>
      <c r="N9" s="9" t="n">
        <v>1199911177</v>
      </c>
      <c r="O9" s="9" t="n">
        <v>1445565407</v>
      </c>
      <c r="P9" s="9" t="n">
        <v>1921751259.5</v>
      </c>
      <c r="Q9" s="9" t="n">
        <v>956012972.294</v>
      </c>
      <c r="R9" s="9" t="n">
        <v>2268977283.9856</v>
      </c>
      <c r="S9" s="9" t="n">
        <v>7916223216.629</v>
      </c>
      <c r="T9" s="9" t="n">
        <v>6404530376.8275</v>
      </c>
      <c r="U9" s="9" t="n">
        <v>5994458608.6737</v>
      </c>
      <c r="V9" s="9" t="n">
        <v>7944111297.3159</v>
      </c>
      <c r="W9" s="9" t="n">
        <v>1712287969.6769</v>
      </c>
      <c r="X9" s="9" t="n">
        <v>807778407.7217</v>
      </c>
      <c r="Y9" s="9" t="n">
        <v>359795096.3429</v>
      </c>
      <c r="Z9" s="9" t="n">
        <v>170981063.079</v>
      </c>
      <c r="AA9" s="9" t="n">
        <v>116738076.03</v>
      </c>
      <c r="AB9" s="9" t="n">
        <v>75093172.1998</v>
      </c>
      <c r="AC9" s="9" t="n">
        <v>73264816.5093</v>
      </c>
      <c r="AD9" s="9" t="n">
        <v>43458376.9399</v>
      </c>
      <c r="AE9" s="9" t="n">
        <v>38845236.0897</v>
      </c>
      <c r="AF9" s="9" t="n">
        <v>39343269.6616</v>
      </c>
      <c r="AG9" s="9" t="n">
        <v>22623644.6857</v>
      </c>
      <c r="AH9" s="9" t="n">
        <v>19046291.4674</v>
      </c>
      <c r="AI9" s="9" t="n">
        <v>19810437.2907</v>
      </c>
      <c r="AJ9" s="9" t="n">
        <v>17131920.0082</v>
      </c>
      <c r="AK9" s="9" t="n">
        <v>9055497.1334</v>
      </c>
      <c r="AL9" s="9"/>
      <c r="AM9" s="9"/>
    </row>
    <row r="10">
      <c r="A10" t="str">
        <f>M10</f>
      </c>
      <c r="M10" t="s">
        <v>92</v>
      </c>
      <c r="N10" s="9" t="n">
        <v>2202498474</v>
      </c>
      <c r="O10" s="9" t="n">
        <v>2575232743</v>
      </c>
      <c r="P10" s="9" t="n">
        <v>3239533144.1111</v>
      </c>
      <c r="Q10" s="9" t="n">
        <v>4857983384.9919</v>
      </c>
      <c r="R10" s="9" t="n">
        <v>4802594341.9691</v>
      </c>
      <c r="S10" s="9" t="n">
        <v>7114870673.0403</v>
      </c>
      <c r="T10" s="9" t="n">
        <v>9241534057.7949</v>
      </c>
      <c r="U10" s="9" t="n">
        <v>7101009301.0523</v>
      </c>
      <c r="V10" s="9" t="n">
        <v>9716408861.5842</v>
      </c>
      <c r="W10" s="9" t="n">
        <v>6692747335.2876</v>
      </c>
      <c r="X10" s="9" t="n">
        <v>6532579618.0269</v>
      </c>
      <c r="Y10" s="9" t="n">
        <v>6092005201.7781</v>
      </c>
      <c r="Z10" s="9" t="n">
        <v>4723367948.0541</v>
      </c>
      <c r="AA10" s="9" t="n">
        <v>4305239214.8198</v>
      </c>
      <c r="AB10" s="9" t="n">
        <v>3500893435.9963</v>
      </c>
      <c r="AC10" s="9" t="n">
        <v>3992114771.4397</v>
      </c>
      <c r="AD10" s="9" t="n">
        <v>4515561336.087</v>
      </c>
      <c r="AE10" s="9" t="n">
        <v>4994386075.8346</v>
      </c>
      <c r="AF10" s="9" t="n">
        <v>7058496564.1468</v>
      </c>
      <c r="AG10" s="9" t="n">
        <v>6783385996.925</v>
      </c>
      <c r="AH10" s="9" t="n">
        <v>7523523218.4488</v>
      </c>
      <c r="AI10" s="9" t="n">
        <v>7121238530.5632</v>
      </c>
      <c r="AJ10" s="9" t="n">
        <v>8261130437.3622</v>
      </c>
      <c r="AK10" s="9" t="n">
        <v>5860038077.0355</v>
      </c>
      <c r="AL10" s="9"/>
      <c r="AM10" s="9"/>
    </row>
    <row r="11">
      <c r="A11" t="str">
        <f>M11</f>
      </c>
      <c r="M11" t="s">
        <v>93</v>
      </c>
      <c r="N11" s="9" t="n">
        <v>117673547.09</v>
      </c>
      <c r="O11" s="9" t="n">
        <v>161486148</v>
      </c>
      <c r="P11" s="9" t="n">
        <v>146317213.52</v>
      </c>
      <c r="Q11" s="9" t="n">
        <v>332645335.7499</v>
      </c>
      <c r="R11" s="9" t="n">
        <v>471101295.6699</v>
      </c>
      <c r="S11" s="9" t="n">
        <v>606450692.25</v>
      </c>
      <c r="T11" s="9" t="n">
        <v>599949155.5232</v>
      </c>
      <c r="U11" s="9" t="n">
        <v>668779342.6216</v>
      </c>
      <c r="V11" s="9" t="n">
        <v>644094954.2139</v>
      </c>
      <c r="W11" s="9" t="n">
        <v>694023491.2576</v>
      </c>
      <c r="X11" s="9" t="n">
        <v>854837506.3556</v>
      </c>
      <c r="Y11" s="9" t="n">
        <v>1008959625.0685</v>
      </c>
      <c r="Z11" s="9" t="n">
        <v>860958713.1734</v>
      </c>
      <c r="AA11" s="9" t="n">
        <v>696698010.2743</v>
      </c>
      <c r="AB11" s="9" t="n">
        <v>853126048.6562</v>
      </c>
      <c r="AC11" s="9" t="n">
        <v>621487156.0248</v>
      </c>
      <c r="AD11" s="9" t="n">
        <v>853442889.6906</v>
      </c>
      <c r="AE11" s="9" t="n">
        <v>592948383.9025</v>
      </c>
      <c r="AF11" s="9" t="n">
        <v>862021219.9126</v>
      </c>
      <c r="AG11" s="9" t="n">
        <v>772100166.2336</v>
      </c>
      <c r="AH11" s="9" t="n">
        <v>754382193.4994</v>
      </c>
      <c r="AI11" s="9" t="n">
        <v>927735671.605</v>
      </c>
      <c r="AJ11" s="9" t="n">
        <v>665380484.7782</v>
      </c>
      <c r="AK11" s="9" t="n">
        <v>365945052.9712</v>
      </c>
      <c r="AL11" s="9"/>
      <c r="AM11" s="9"/>
    </row>
    <row r="12">
      <c r="A12" t="str">
        <f>M12</f>
      </c>
      <c r="M12" t="s">
        <v>124</v>
      </c>
      <c r="N12" s="9" t="str">
        <f>Sum(N2:N11)</f>
      </c>
      <c r="O12" s="9" t="str">
        <f>Sum(O2:O11)</f>
      </c>
      <c r="P12" s="9" t="str">
        <f>Sum(P2:P11)</f>
      </c>
      <c r="Q12" s="9" t="str">
        <f>Sum(Q2:Q11)</f>
      </c>
      <c r="R12" s="9" t="str">
        <f>Sum(R2:R11)</f>
      </c>
      <c r="S12" s="9" t="str">
        <f>Sum(S2:S11)</f>
      </c>
      <c r="T12" s="9" t="str">
        <f>Sum(T2:T11)</f>
      </c>
      <c r="U12" s="9" t="str">
        <f>Sum(U2:U11)</f>
      </c>
      <c r="V12" s="9" t="str">
        <f>Sum(V2:V11)</f>
      </c>
      <c r="W12" s="9" t="str">
        <f>Sum(W2:W11)</f>
      </c>
      <c r="X12" s="9" t="str">
        <f>Sum(X2:X11)</f>
      </c>
      <c r="Y12" s="9" t="str">
        <f>Sum(Y2:Y11)</f>
      </c>
      <c r="Z12" s="9" t="str">
        <f>Sum(Z2:Z11)</f>
      </c>
      <c r="AA12" s="9" t="str">
        <f>Sum(AA2:AA11)</f>
      </c>
      <c r="AB12" s="9" t="str">
        <f>Sum(AB2:AB11)</f>
      </c>
      <c r="AC12" s="9" t="str">
        <f>Sum(AC2:AC11)</f>
      </c>
      <c r="AD12" s="9" t="str">
        <f>Sum(AD2:AD11)</f>
      </c>
      <c r="AE12" s="9" t="str">
        <f>Sum(AE2:AE11)</f>
      </c>
      <c r="AF12" s="9" t="str">
        <f>Sum(AF2:AF11)</f>
      </c>
      <c r="AG12" s="9" t="str">
        <f>Sum(AG2:AG11)</f>
      </c>
      <c r="AH12" s="9" t="str">
        <f>Sum(AH2:AH11)</f>
      </c>
      <c r="AI12" s="9" t="str">
        <f>Sum(AI2:AI11)</f>
      </c>
      <c r="AJ12" s="9" t="str">
        <f>Sum(AJ2:AJ11)</f>
      </c>
      <c r="AK12" s="9" t="str">
        <f>Sum(AK2:AK11)</f>
      </c>
      <c r="AL12" s="9"/>
      <c r="AM12" s="9"/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83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9" t="str">
        <f>AC16</f>
      </c>
      <c r="C16" s="9" t="str">
        <f>AI16</f>
      </c>
      <c r="D16" s="9" t="str">
        <f>AJ16</f>
      </c>
      <c r="E16" s="9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AJ16/Sum(AJ$15:AJ$25)</f>
      </c>
      <c r="J16" s="7" t="str">
        <f>AK16/Sum(AK15:AK$25)</f>
      </c>
      <c r="M16" t="s">
        <v>84</v>
      </c>
      <c r="N16" s="9" t="n">
        <v>741778324.519284</v>
      </c>
      <c r="O16" s="9" t="n">
        <v>865105851.997233</v>
      </c>
      <c r="P16" s="9" t="n">
        <v>1293306325.72511</v>
      </c>
      <c r="Q16" s="9" t="n">
        <v>1858343931.93373</v>
      </c>
      <c r="R16" s="9" t="n">
        <v>1079705019.22426</v>
      </c>
      <c r="S16" s="9" t="n">
        <v>1777124605.15694</v>
      </c>
      <c r="T16" s="9" t="n">
        <v>1457864434.69814</v>
      </c>
      <c r="U16" s="9" t="n">
        <v>1793605206.90367</v>
      </c>
      <c r="V16" s="9" t="n">
        <v>1801983817.18133</v>
      </c>
      <c r="W16" s="9" t="n">
        <v>2333075309.96756</v>
      </c>
      <c r="X16" s="9" t="n">
        <v>2076266468.46336</v>
      </c>
      <c r="Y16" s="9" t="n">
        <v>1808911080.04838</v>
      </c>
      <c r="Z16" s="9" t="n">
        <v>1121469025.77074</v>
      </c>
      <c r="AA16" s="9" t="n">
        <v>702192681.344632</v>
      </c>
      <c r="AB16" s="9" t="n">
        <v>893529305.694044</v>
      </c>
      <c r="AC16" s="9" t="n">
        <v>808619122.944172</v>
      </c>
      <c r="AD16" s="9" t="n">
        <v>845284535.898296</v>
      </c>
      <c r="AE16" s="9" t="n">
        <v>1095226399.24002</v>
      </c>
      <c r="AF16" s="9" t="n">
        <v>1174407369.90606</v>
      </c>
      <c r="AG16" s="9" t="n">
        <v>1350352029.6672</v>
      </c>
      <c r="AH16" s="9" t="n">
        <v>1127509024.70195</v>
      </c>
      <c r="AI16" s="9" t="n">
        <v>996597999.514963</v>
      </c>
      <c r="AJ16" s="9" t="n">
        <v>741919247.7764</v>
      </c>
      <c r="AK16" s="9" t="n">
        <v>349732604.327714</v>
      </c>
      <c r="AL16" s="9"/>
      <c r="AM16" s="9"/>
    </row>
    <row r="17">
      <c r="A17" t="str">
        <f>M17</f>
      </c>
      <c r="B17" s="9" t="str">
        <f>AC17</f>
      </c>
      <c r="C17" s="9" t="str">
        <f>AI17</f>
      </c>
      <c r="D17" s="9" t="str">
        <f>AJ17</f>
      </c>
      <c r="E17" s="9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AJ17/Sum(AJ$15:AJ$25)</f>
      </c>
      <c r="J17" s="7" t="str">
        <f>AK17/Sum(AK15:AK$25)</f>
      </c>
      <c r="M17" t="s">
        <v>85</v>
      </c>
      <c r="N17" s="9" t="n">
        <v>570186812.485657</v>
      </c>
      <c r="O17" s="9" t="n">
        <v>706888911.132018</v>
      </c>
      <c r="P17" s="9" t="n">
        <v>900354308.690602</v>
      </c>
      <c r="Q17" s="9" t="n">
        <v>1179206225.66224</v>
      </c>
      <c r="R17" s="9" t="n">
        <v>2111361835.66849</v>
      </c>
      <c r="S17" s="9" t="n">
        <v>3006325885.59233</v>
      </c>
      <c r="T17" s="9" t="n">
        <v>872105318.696959</v>
      </c>
      <c r="U17" s="9" t="n">
        <v>3854031742.56259</v>
      </c>
      <c r="V17" s="9" t="n">
        <v>2904793771.73321</v>
      </c>
      <c r="W17" s="9" t="n">
        <v>4071812934.06089</v>
      </c>
      <c r="X17" s="9" t="n">
        <v>4697643459.96995</v>
      </c>
      <c r="Y17" s="9" t="n">
        <v>3770206693.38199</v>
      </c>
      <c r="Z17" s="9" t="n">
        <v>4356713861.38245</v>
      </c>
      <c r="AA17" s="9" t="n">
        <v>3209004255.03162</v>
      </c>
      <c r="AB17" s="9" t="n">
        <v>2034994353.25464</v>
      </c>
      <c r="AC17" s="9" t="n">
        <v>1062810859.16664</v>
      </c>
      <c r="AD17" s="9" t="n">
        <v>1102701075.99917</v>
      </c>
      <c r="AE17" s="9" t="n">
        <v>1034327448.43303</v>
      </c>
      <c r="AF17" s="9" t="n">
        <v>147719302.693251</v>
      </c>
      <c r="AG17" s="9" t="n">
        <v>133233871.794849</v>
      </c>
      <c r="AH17" s="9" t="n">
        <v>133277665.535079</v>
      </c>
      <c r="AI17" s="9" t="n">
        <v>142180221.233914</v>
      </c>
      <c r="AJ17" s="9" t="n">
        <v>157429127.7033</v>
      </c>
      <c r="AK17" s="9" t="n">
        <v>118488415.605157</v>
      </c>
      <c r="AL17" s="9"/>
      <c r="AM17" s="9"/>
    </row>
    <row r="18">
      <c r="A18" t="str">
        <f>M18</f>
      </c>
      <c r="B18" s="9" t="str">
        <f>AC18</f>
      </c>
      <c r="C18" s="9" t="str">
        <f>AI18</f>
      </c>
      <c r="D18" s="9" t="str">
        <f>AJ18</f>
      </c>
      <c r="E18" s="9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AJ18/Sum(AJ$15:AJ$25)</f>
      </c>
      <c r="J18" s="7" t="str">
        <f>AK18/Sum(AK15:AK$25)</f>
      </c>
      <c r="M18" t="s">
        <v>86</v>
      </c>
      <c r="N18" s="9" t="n">
        <v>1190401414.72031</v>
      </c>
      <c r="O18" s="9" t="n">
        <v>1340452114.85482</v>
      </c>
      <c r="P18" s="9" t="n">
        <v>1939775765.7404</v>
      </c>
      <c r="Q18" s="9" t="n">
        <v>2421236516.11839</v>
      </c>
      <c r="R18" s="9" t="n">
        <v>2687483349.34233</v>
      </c>
      <c r="S18" s="9" t="n">
        <v>3884178809.14015</v>
      </c>
      <c r="T18" s="9" t="n">
        <v>4027884025.33742</v>
      </c>
      <c r="U18" s="9" t="n">
        <v>4263630689.5638</v>
      </c>
      <c r="V18" s="9" t="n">
        <v>2649581178.90518</v>
      </c>
      <c r="W18" s="9" t="n">
        <v>2568957667.34676</v>
      </c>
      <c r="X18" s="9" t="n">
        <v>2752932199.07269</v>
      </c>
      <c r="Y18" s="9" t="n">
        <v>3728637582.89363</v>
      </c>
      <c r="Z18" s="9" t="n">
        <v>3094556497.11052</v>
      </c>
      <c r="AA18" s="9" t="n">
        <v>3594622657.4657</v>
      </c>
      <c r="AB18" s="9" t="n">
        <v>4695678299.14356</v>
      </c>
      <c r="AC18" s="9" t="n">
        <v>5438512354.95848</v>
      </c>
      <c r="AD18" s="9" t="n">
        <v>6023796960.39335</v>
      </c>
      <c r="AE18" s="9" t="n">
        <v>6119488239.48471</v>
      </c>
      <c r="AF18" s="9" t="n">
        <v>5872300905.30561</v>
      </c>
      <c r="AG18" s="9" t="n">
        <v>5922787259.74802</v>
      </c>
      <c r="AH18" s="9" t="n">
        <v>7615024873.29164</v>
      </c>
      <c r="AI18" s="9" t="n">
        <v>37814096765.218</v>
      </c>
      <c r="AJ18" s="9" t="n">
        <v>29068842595.8633</v>
      </c>
      <c r="AK18" s="9" t="n">
        <v>4724492238.48457</v>
      </c>
      <c r="AL18" s="9"/>
      <c r="AM18" s="9"/>
    </row>
    <row r="19">
      <c r="A19" t="str">
        <f>M19</f>
      </c>
      <c r="B19" s="9" t="str">
        <f>AC19</f>
      </c>
      <c r="C19" s="9" t="str">
        <f>AI19</f>
      </c>
      <c r="D19" s="9" t="str">
        <f>AJ19</f>
      </c>
      <c r="E19" s="9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AJ19/Sum(AJ$15:AJ$25)</f>
      </c>
      <c r="J19" s="7" t="str">
        <f>AK19/Sum(AK15:AK$25)</f>
      </c>
      <c r="M19" t="s">
        <v>87</v>
      </c>
      <c r="N19" s="9" t="n">
        <v>706219702.738955</v>
      </c>
      <c r="O19" s="9" t="n">
        <v>785343895.884691</v>
      </c>
      <c r="P19" s="9" t="n">
        <v>1281748591.76708</v>
      </c>
      <c r="Q19" s="9" t="n">
        <v>1463307700.84869</v>
      </c>
      <c r="R19" s="9" t="n">
        <v>1203130393.70543</v>
      </c>
      <c r="S19" s="9" t="n">
        <v>2514510368.54855</v>
      </c>
      <c r="T19" s="9" t="n">
        <v>3908348064.81333</v>
      </c>
      <c r="U19" s="9" t="n">
        <v>1571684786.8176</v>
      </c>
      <c r="V19" s="9" t="n">
        <v>1213230305.98173</v>
      </c>
      <c r="W19" s="9" t="n">
        <v>2645412920.95073</v>
      </c>
      <c r="X19" s="9" t="n">
        <v>1393104201.98896</v>
      </c>
      <c r="Y19" s="9" t="n">
        <v>5062142670.60092</v>
      </c>
      <c r="Z19" s="9" t="n">
        <v>4473871757.89488</v>
      </c>
      <c r="AA19" s="9" t="n">
        <v>2426682162.68504</v>
      </c>
      <c r="AB19" s="9" t="n">
        <v>3556363040.87975</v>
      </c>
      <c r="AC19" s="9" t="n">
        <v>2050130674.91857</v>
      </c>
      <c r="AD19" s="9" t="n">
        <v>1177520049.15067</v>
      </c>
      <c r="AE19" s="9" t="n">
        <v>1666820738.04804</v>
      </c>
      <c r="AF19" s="9" t="n">
        <v>1940332345.52405</v>
      </c>
      <c r="AG19" s="9" t="n">
        <v>1879888280.71452</v>
      </c>
      <c r="AH19" s="9" t="n">
        <v>1355857370.60167</v>
      </c>
      <c r="AI19" s="9" t="n">
        <v>1423904681.80238</v>
      </c>
      <c r="AJ19" s="9" t="n">
        <v>2375656105.9127</v>
      </c>
      <c r="AK19" s="9" t="n">
        <v>1044014643.49503</v>
      </c>
      <c r="AL19" s="9"/>
      <c r="AM19" s="9"/>
    </row>
    <row r="20">
      <c r="A20" t="str">
        <f>M20</f>
      </c>
      <c r="B20" s="9" t="str">
        <f>AC20</f>
      </c>
      <c r="C20" s="9" t="str">
        <f>AI20</f>
      </c>
      <c r="D20" s="9" t="str">
        <f>AJ20</f>
      </c>
      <c r="E20" s="9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AJ20/Sum(AJ$15:AJ$25)</f>
      </c>
      <c r="J20" s="7" t="str">
        <f>AK20/Sum(AK15:AK$25)</f>
      </c>
      <c r="M20" t="s">
        <v>88</v>
      </c>
      <c r="N20" s="9" t="n">
        <v>50303253.9494461</v>
      </c>
      <c r="O20" s="9" t="n">
        <v>62581835.57032</v>
      </c>
      <c r="P20" s="9" t="n">
        <v>68656282.8113049</v>
      </c>
      <c r="Q20" s="9" t="n">
        <v>142760652.760654</v>
      </c>
      <c r="R20" s="9" t="n">
        <v>252691753.490761</v>
      </c>
      <c r="S20" s="9" t="n">
        <v>260558480.118333</v>
      </c>
      <c r="T20" s="9" t="n">
        <v>388648040.241255</v>
      </c>
      <c r="U20" s="9" t="n">
        <v>248037826.20592</v>
      </c>
      <c r="V20" s="9" t="n">
        <v>258468051.023274</v>
      </c>
      <c r="W20" s="9" t="n">
        <v>264906673.921042</v>
      </c>
      <c r="X20" s="9" t="n">
        <v>324298392.735499</v>
      </c>
      <c r="Y20" s="9" t="n">
        <v>307741916.297917</v>
      </c>
      <c r="Z20" s="9" t="n">
        <v>251210771.197385</v>
      </c>
      <c r="AA20" s="9" t="n">
        <v>229767364.254395</v>
      </c>
      <c r="AB20" s="9" t="n">
        <v>250024076.3393</v>
      </c>
      <c r="AC20" s="9" t="n">
        <v>313632465.408196</v>
      </c>
      <c r="AD20" s="9" t="n">
        <v>338679465.456033</v>
      </c>
      <c r="AE20" s="9" t="n">
        <v>314250045.910397</v>
      </c>
      <c r="AF20" s="9" t="n">
        <v>341431051.920113</v>
      </c>
      <c r="AG20" s="9" t="n">
        <v>403981903.674873</v>
      </c>
      <c r="AH20" s="9" t="n">
        <v>305933750.884602</v>
      </c>
      <c r="AI20" s="9" t="n">
        <v>255125499.845864</v>
      </c>
      <c r="AJ20" s="9" t="n">
        <v>264713957.6649</v>
      </c>
      <c r="AK20" s="9" t="n">
        <v>181280329.359533</v>
      </c>
      <c r="AL20" s="9"/>
      <c r="AM20" s="9"/>
    </row>
    <row r="21">
      <c r="A21" t="str">
        <f>M21</f>
      </c>
      <c r="B21" s="9" t="str">
        <f>AC21</f>
      </c>
      <c r="C21" s="9" t="str">
        <f>AI21</f>
      </c>
      <c r="D21" s="9" t="str">
        <f>AJ21</f>
      </c>
      <c r="E21" s="9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AJ21/Sum(AJ$15:AJ$25)</f>
      </c>
      <c r="J21" s="7" t="str">
        <f>AK21/Sum(AK15:AK$25)</f>
      </c>
      <c r="M21" t="s">
        <v>89</v>
      </c>
      <c r="N21" s="9" t="n">
        <v>4841052557.96969</v>
      </c>
      <c r="O21" s="9" t="n">
        <v>5612790696.06759</v>
      </c>
      <c r="P21" s="9" t="n">
        <v>6896406338.74253</v>
      </c>
      <c r="Q21" s="9" t="n">
        <v>6950876826.08649</v>
      </c>
      <c r="R21" s="9" t="n">
        <v>8340106192.71024</v>
      </c>
      <c r="S21" s="9" t="n">
        <v>11119290517.0372</v>
      </c>
      <c r="T21" s="9" t="n">
        <v>14181436302.7314</v>
      </c>
      <c r="U21" s="9" t="n">
        <v>15097057535.0484</v>
      </c>
      <c r="V21" s="9" t="n">
        <v>17826717400.1256</v>
      </c>
      <c r="W21" s="9" t="n">
        <v>21966365884.2072</v>
      </c>
      <c r="X21" s="9" t="n">
        <v>14640998625.8871</v>
      </c>
      <c r="Y21" s="9" t="n">
        <v>12764785415.811</v>
      </c>
      <c r="Z21" s="9" t="n">
        <v>22722507074.8179</v>
      </c>
      <c r="AA21" s="9" t="n">
        <v>15107963701.2296</v>
      </c>
      <c r="AB21" s="9" t="n">
        <v>11446926914.1096</v>
      </c>
      <c r="AC21" s="9" t="n">
        <v>8596036200.61326</v>
      </c>
      <c r="AD21" s="9" t="n">
        <v>5726886950.29485</v>
      </c>
      <c r="AE21" s="9" t="n">
        <v>7056072541.64158</v>
      </c>
      <c r="AF21" s="9" t="n">
        <v>8885635335.00381</v>
      </c>
      <c r="AG21" s="9" t="n">
        <v>6537768910.96035</v>
      </c>
      <c r="AH21" s="9" t="n">
        <v>5171539405.18626</v>
      </c>
      <c r="AI21" s="9" t="n">
        <v>5904519796.21451</v>
      </c>
      <c r="AJ21" s="9" t="n">
        <v>11285455838.6019</v>
      </c>
      <c r="AK21" s="9" t="n">
        <v>5285629802.95349</v>
      </c>
      <c r="AL21" s="9"/>
      <c r="AM21" s="9"/>
    </row>
    <row r="22">
      <c r="A22" t="str">
        <f>M22</f>
      </c>
      <c r="B22" s="9" t="str">
        <f>AC22</f>
      </c>
      <c r="C22" s="9" t="str">
        <f>AI22</f>
      </c>
      <c r="D22" s="9" t="str">
        <f>AJ22</f>
      </c>
      <c r="E22" s="9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AJ22/Sum(AJ$15:AJ$25)</f>
      </c>
      <c r="J22" s="7" t="str">
        <f>AK22/Sum(AK15:AK$25)</f>
      </c>
      <c r="M22" t="s">
        <v>90</v>
      </c>
      <c r="N22" s="9" t="n">
        <v>167234799.361147</v>
      </c>
      <c r="O22" s="9" t="n">
        <v>159026887.037783</v>
      </c>
      <c r="P22" s="9" t="n">
        <v>174404317.84386</v>
      </c>
      <c r="Q22" s="9" t="n">
        <v>303066776.751796</v>
      </c>
      <c r="R22" s="9" t="n">
        <v>351500853.927819</v>
      </c>
      <c r="S22" s="9" t="n">
        <v>754416644.496389</v>
      </c>
      <c r="T22" s="9" t="n">
        <v>853020918.787628</v>
      </c>
      <c r="U22" s="9" t="n">
        <v>1106100874.67911</v>
      </c>
      <c r="V22" s="9" t="n">
        <v>1065984801.31729</v>
      </c>
      <c r="W22" s="9" t="n">
        <v>1145201918.90044</v>
      </c>
      <c r="X22" s="9" t="n">
        <v>1491175718.63738</v>
      </c>
      <c r="Y22" s="9" t="n">
        <v>1470496369.28691</v>
      </c>
      <c r="Z22" s="9" t="n">
        <v>1258130110.26534</v>
      </c>
      <c r="AA22" s="9" t="n">
        <v>1126937931.34993</v>
      </c>
      <c r="AB22" s="9" t="n">
        <v>1190817952.937</v>
      </c>
      <c r="AC22" s="9" t="n">
        <v>1379901088.54796</v>
      </c>
      <c r="AD22" s="9" t="n">
        <v>1432000465.72628</v>
      </c>
      <c r="AE22" s="9" t="n">
        <v>1355419337.41812</v>
      </c>
      <c r="AF22" s="9" t="n">
        <v>1534310968.98614</v>
      </c>
      <c r="AG22" s="9" t="n">
        <v>1282262575.29213</v>
      </c>
      <c r="AH22" s="9" t="n">
        <v>3314644017.55067</v>
      </c>
      <c r="AI22" s="9" t="n">
        <v>2043468965.50625</v>
      </c>
      <c r="AJ22" s="9" t="n">
        <v>5673187536.0425</v>
      </c>
      <c r="AK22" s="9" t="n">
        <v>421041039.183021</v>
      </c>
      <c r="AL22" s="9"/>
      <c r="AM22" s="9"/>
    </row>
    <row r="23">
      <c r="A23" t="str">
        <f>M23</f>
      </c>
      <c r="B23" s="9" t="str">
        <f>AC23</f>
      </c>
      <c r="C23" s="9" t="str">
        <f>AI23</f>
      </c>
      <c r="D23" s="9" t="str">
        <f>AJ23</f>
      </c>
      <c r="E23" s="9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AJ23/Sum(AJ$15:AJ$25)</f>
      </c>
      <c r="J23" s="7" t="str">
        <f>AK23/Sum(AK15:AK$25)</f>
      </c>
      <c r="M23" t="s">
        <v>91</v>
      </c>
      <c r="N23" s="9" t="n">
        <v>1938732545.73279</v>
      </c>
      <c r="O23" s="9" t="n">
        <v>2280346383.62924</v>
      </c>
      <c r="P23" s="9" t="n">
        <v>2984414059.78431</v>
      </c>
      <c r="Q23" s="9" t="n">
        <v>1456809216.58325</v>
      </c>
      <c r="R23" s="9" t="n">
        <v>3375056807.18601</v>
      </c>
      <c r="S23" s="9" t="n">
        <v>11428292901.4648</v>
      </c>
      <c r="T23" s="9" t="n">
        <v>8954396690.79323</v>
      </c>
      <c r="U23" s="9" t="n">
        <v>8157360844.29321</v>
      </c>
      <c r="V23" s="9" t="n">
        <v>10589625651.0816</v>
      </c>
      <c r="W23" s="9" t="n">
        <v>2259545469.4967</v>
      </c>
      <c r="X23" s="9" t="n">
        <v>1056758101.43816</v>
      </c>
      <c r="Y23" s="9" t="n">
        <v>461395075.98504</v>
      </c>
      <c r="Z23" s="9" t="n">
        <v>215316452.694302</v>
      </c>
      <c r="AA23" s="9" t="n">
        <v>144366354.786629</v>
      </c>
      <c r="AB23" s="9" t="n">
        <v>91102920.781113</v>
      </c>
      <c r="AC23" s="9" t="n">
        <v>87877305.9143186</v>
      </c>
      <c r="AD23" s="9" t="n">
        <v>51697651.7196694</v>
      </c>
      <c r="AE23" s="9" t="n">
        <v>45399355.7607024</v>
      </c>
      <c r="AF23" s="9" t="n">
        <v>44926531.9910634</v>
      </c>
      <c r="AG23" s="9" t="n">
        <v>25337918.674565</v>
      </c>
      <c r="AH23" s="9" t="n">
        <v>21050548.4096771</v>
      </c>
      <c r="AI23" s="9" t="n">
        <v>21183054.8449712</v>
      </c>
      <c r="AJ23" s="9" t="n">
        <v>17131920.0082</v>
      </c>
      <c r="AK23" s="9" t="n">
        <v>8637118.4908181</v>
      </c>
      <c r="AL23" s="9"/>
      <c r="AM23" s="9"/>
    </row>
    <row r="24">
      <c r="A24" t="str">
        <f>M24</f>
      </c>
      <c r="B24" s="9" t="str">
        <f>AC24</f>
      </c>
      <c r="C24" s="9" t="str">
        <f>AI24</f>
      </c>
      <c r="D24" s="9" t="str">
        <f>AJ24</f>
      </c>
      <c r="E24" s="9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AJ24/Sum(AJ$15:AJ$25)</f>
      </c>
      <c r="J24" s="7" t="str">
        <f>AK24/Sum(AK15:AK$25)</f>
      </c>
      <c r="M24" t="s">
        <v>92</v>
      </c>
      <c r="N24" s="9" t="n">
        <v>3558642969.01254</v>
      </c>
      <c r="O24" s="9" t="n">
        <v>4062370781.74883</v>
      </c>
      <c r="P24" s="9" t="n">
        <v>5030884311.70738</v>
      </c>
      <c r="Q24" s="9" t="n">
        <v>7402781316.11805</v>
      </c>
      <c r="R24" s="9" t="n">
        <v>7143759807.74196</v>
      </c>
      <c r="S24" s="9" t="n">
        <v>10271416530.6434</v>
      </c>
      <c r="T24" s="9" t="n">
        <v>12920910217.6143</v>
      </c>
      <c r="U24" s="9" t="n">
        <v>9663173775.78526</v>
      </c>
      <c r="V24" s="9" t="n">
        <v>12952126256.3118</v>
      </c>
      <c r="W24" s="9" t="n">
        <v>8831789504.88611</v>
      </c>
      <c r="X24" s="9" t="n">
        <v>8546101713.84791</v>
      </c>
      <c r="Y24" s="9" t="n">
        <v>7812283245.50825</v>
      </c>
      <c r="Z24" s="9" t="n">
        <v>5948137255.84962</v>
      </c>
      <c r="AA24" s="9" t="n">
        <v>5324155691.65504</v>
      </c>
      <c r="AB24" s="9" t="n">
        <v>4247278521.06291</v>
      </c>
      <c r="AC24" s="9" t="n">
        <v>4788332350.08983</v>
      </c>
      <c r="AD24" s="9" t="n">
        <v>5371666723.64843</v>
      </c>
      <c r="AE24" s="9" t="n">
        <v>5837058365.13721</v>
      </c>
      <c r="AF24" s="9" t="n">
        <v>8060178384.39755</v>
      </c>
      <c r="AG24" s="9" t="n">
        <v>7597223396.85211</v>
      </c>
      <c r="AH24" s="9" t="n">
        <v>8315229764.93153</v>
      </c>
      <c r="AI24" s="9" t="n">
        <v>7614652021.22815</v>
      </c>
      <c r="AJ24" s="9" t="n">
        <v>8261130437.3622</v>
      </c>
      <c r="AK24" s="9" t="n">
        <v>5589294821.30573</v>
      </c>
      <c r="AL24" s="9"/>
      <c r="AM24" s="9"/>
    </row>
    <row r="25">
      <c r="A25" t="str">
        <f>M25</f>
      </c>
      <c r="B25" s="9" t="str">
        <f>AC25</f>
      </c>
      <c r="C25" s="9" t="str">
        <f>AI25</f>
      </c>
      <c r="D25" s="9" t="str">
        <f>AJ25</f>
      </c>
      <c r="E25" s="9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AJ25/Sum(AJ$15:AJ$25)</f>
      </c>
      <c r="J25" s="7" t="str">
        <f>AK25/Sum(AK15:AK$25)</f>
      </c>
      <c r="M25" t="s">
        <v>93</v>
      </c>
      <c r="N25" s="9" t="n">
        <v>190128686.096241</v>
      </c>
      <c r="O25" s="9" t="n">
        <v>254740706.864478</v>
      </c>
      <c r="P25" s="9" t="n">
        <v>227225634.461748</v>
      </c>
      <c r="Q25" s="9" t="n">
        <v>506897714.79885</v>
      </c>
      <c r="R25" s="9" t="n">
        <v>700753439.026028</v>
      </c>
      <c r="S25" s="9" t="n">
        <v>875505395.90272</v>
      </c>
      <c r="T25" s="9" t="n">
        <v>838809782.571795</v>
      </c>
      <c r="U25" s="9" t="n">
        <v>910086261.181248</v>
      </c>
      <c r="V25" s="9" t="n">
        <v>858588732.408656</v>
      </c>
      <c r="W25" s="9" t="n">
        <v>915837559.54981</v>
      </c>
      <c r="X25" s="9" t="n">
        <v>1118322118.5651</v>
      </c>
      <c r="Y25" s="9" t="n">
        <v>1293872561.37212</v>
      </c>
      <c r="Z25" s="9" t="n">
        <v>1084205307.2924</v>
      </c>
      <c r="AA25" s="9" t="n">
        <v>861584802.070496</v>
      </c>
      <c r="AB25" s="9" t="n">
        <v>1035011207.41356</v>
      </c>
      <c r="AC25" s="9" t="n">
        <v>745441257.262667</v>
      </c>
      <c r="AD25" s="9" t="n">
        <v>1015247148.66524</v>
      </c>
      <c r="AE25" s="9" t="n">
        <v>692992946.84068</v>
      </c>
      <c r="AF25" s="9" t="n">
        <v>984351942.441074</v>
      </c>
      <c r="AG25" s="9" t="n">
        <v>864732959.36312</v>
      </c>
      <c r="AH25" s="9" t="n">
        <v>833766453.214175</v>
      </c>
      <c r="AI25" s="9" t="n">
        <v>992016245.015986</v>
      </c>
      <c r="AJ25" s="9" t="n">
        <v>665380484.7782</v>
      </c>
      <c r="AK25" s="9" t="n">
        <v>349037798.486303</v>
      </c>
      <c r="AL25" s="9"/>
      <c r="AM25" s="9"/>
    </row>
    <row r="26">
      <c r="A26" t="str">
        <f>M26</f>
      </c>
      <c r="B26" s="9" t="str">
        <f>AC26</f>
      </c>
      <c r="C26" s="9" t="str">
        <f>AI26</f>
      </c>
      <c r="D26" s="9" t="str">
        <f>AJ26</f>
      </c>
      <c r="E26" s="9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Sum(I$15:I$25)</f>
      </c>
      <c r="J26" s="7" t="str">
        <f>Sum(J$15:J$25)</f>
      </c>
      <c r="M26" t="s">
        <v>124</v>
      </c>
      <c r="N26" s="9" t="str">
        <f>Sum(N16:N25)</f>
      </c>
      <c r="O26" s="9" t="str">
        <f>Sum(O16:O25)</f>
      </c>
      <c r="P26" s="9" t="str">
        <f>Sum(P16:P25)</f>
      </c>
      <c r="Q26" s="9" t="str">
        <f>Sum(Q16:Q25)</f>
      </c>
      <c r="R26" s="9" t="str">
        <f>Sum(R16:R25)</f>
      </c>
      <c r="S26" s="9" t="str">
        <f>Sum(S16:S25)</f>
      </c>
      <c r="T26" s="9" t="str">
        <f>Sum(T16:T25)</f>
      </c>
      <c r="U26" s="9" t="str">
        <f>Sum(U16:U25)</f>
      </c>
      <c r="V26" s="9" t="str">
        <f>Sum(V16:V25)</f>
      </c>
      <c r="W26" s="9" t="str">
        <f>Sum(W16:W25)</f>
      </c>
      <c r="X26" s="9" t="str">
        <f>Sum(X16:X25)</f>
      </c>
      <c r="Y26" s="9" t="str">
        <f>Sum(Y16:Y25)</f>
      </c>
      <c r="Z26" s="9" t="str">
        <f>Sum(Z16:Z25)</f>
      </c>
      <c r="AA26" s="9" t="str">
        <f>Sum(AA16:AA25)</f>
      </c>
      <c r="AB26" s="9" t="str">
        <f>Sum(AB16:AB25)</f>
      </c>
      <c r="AC26" s="9" t="str">
        <f>Sum(AC16:AC25)</f>
      </c>
      <c r="AD26" s="9" t="str">
        <f>Sum(AD16:AD25)</f>
      </c>
      <c r="AE26" s="9" t="str">
        <f>Sum(AE16:AE25)</f>
      </c>
      <c r="AF26" s="9" t="str">
        <f>Sum(AF16:AF25)</f>
      </c>
      <c r="AG26" s="9" t="str">
        <f>Sum(AG16:AG25)</f>
      </c>
      <c r="AH26" s="9" t="str">
        <f>Sum(AH16:AH25)</f>
      </c>
      <c r="AI26" s="9" t="str">
        <f>Sum(AI16:AI25)</f>
      </c>
      <c r="AJ26" s="9" t="str">
        <f>Sum(AJ16:AJ25)</f>
      </c>
      <c r="AK26" s="9" t="str">
        <f>Sum(AK16:AK25)</f>
      </c>
      <c r="AL26" s="9"/>
      <c r="AM26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94</v>
      </c>
      <c r="N1" t="s">
        <v>95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71</v>
      </c>
      <c r="N2" t="n">
        <v>2190</v>
      </c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 t="n">
        <v>13983.3803832674</v>
      </c>
      <c r="AJ2" s="10" t="n">
        <v>0</v>
      </c>
      <c r="AK2" s="10" t="n">
        <v>111074.8516</v>
      </c>
      <c r="AL2" s="10"/>
      <c r="AM2" s="10"/>
    </row>
    <row r="3">
      <c r="M3" t="s">
        <v>81</v>
      </c>
      <c r="N3" t="n">
        <v>2040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 t="n">
        <v>708609.729566217</v>
      </c>
      <c r="AM3" s="10"/>
    </row>
    <row r="4">
      <c r="M4" t="s">
        <v>96</v>
      </c>
      <c r="N4" t="n">
        <v>1757</v>
      </c>
      <c r="O4" s="10"/>
      <c r="P4" s="10"/>
      <c r="Q4" s="10"/>
      <c r="R4" s="10" t="n">
        <v>799329.398977802</v>
      </c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</row>
    <row r="5">
      <c r="M5" t="s">
        <v>97</v>
      </c>
      <c r="N5" t="n">
        <v>487</v>
      </c>
      <c r="O5" s="10" t="n">
        <v>55298.3609533499</v>
      </c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>
      <c r="M6" t="s">
        <v>98</v>
      </c>
      <c r="N6" t="n">
        <v>1856</v>
      </c>
      <c r="O6" s="10"/>
      <c r="P6" s="10"/>
      <c r="Q6" s="10"/>
      <c r="R6" s="10"/>
      <c r="S6" s="10"/>
      <c r="T6" s="10"/>
      <c r="U6" s="10"/>
      <c r="V6" s="10" t="n">
        <v>4327865.4329112</v>
      </c>
      <c r="W6" s="10"/>
      <c r="X6" s="10" t="n">
        <v>3901248.853076</v>
      </c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</row>
    <row r="7">
      <c r="M7" t="s">
        <v>99</v>
      </c>
      <c r="N7" t="n">
        <v>2058</v>
      </c>
      <c r="O7" s="10"/>
      <c r="P7" s="10"/>
      <c r="Q7" s="10"/>
      <c r="R7" s="10"/>
      <c r="S7" s="10"/>
      <c r="T7" s="10"/>
      <c r="U7" s="10"/>
      <c r="V7" s="10"/>
      <c r="W7" s="10" t="n">
        <v>77802.7985282455</v>
      </c>
      <c r="X7" s="10"/>
      <c r="Y7" s="10"/>
      <c r="Z7" s="10"/>
      <c r="AA7" s="10" t="n">
        <v>1707799.69467415</v>
      </c>
      <c r="AB7" s="10" t="n">
        <v>-1677108.60673748</v>
      </c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>
      <c r="M8" t="s">
        <v>100</v>
      </c>
      <c r="N8" t="n">
        <v>1962</v>
      </c>
      <c r="O8" s="10"/>
      <c r="P8" s="10"/>
      <c r="Q8" s="10"/>
      <c r="R8" s="10"/>
      <c r="S8" s="10"/>
      <c r="T8" s="10"/>
      <c r="U8" s="10"/>
      <c r="V8" s="10" t="n">
        <v>9174.62783588944</v>
      </c>
      <c r="W8" s="10"/>
      <c r="X8" s="10"/>
      <c r="Y8" s="10"/>
      <c r="Z8" s="10"/>
      <c r="AA8" s="10" t="n">
        <v>23975.9503369154</v>
      </c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>
      <c r="M9" t="s">
        <v>101</v>
      </c>
      <c r="N9" t="n">
        <v>717</v>
      </c>
      <c r="O9" s="10"/>
      <c r="P9" s="10"/>
      <c r="Q9" s="10"/>
      <c r="R9" s="10" t="n">
        <v>6205788.95455901</v>
      </c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</row>
    <row r="10">
      <c r="M10" t="s">
        <v>102</v>
      </c>
      <c r="N10" t="n">
        <v>1344</v>
      </c>
      <c r="O10" s="10"/>
      <c r="P10" s="10"/>
      <c r="Q10" s="10"/>
      <c r="R10" s="10"/>
      <c r="S10" s="10" t="n">
        <v>93339.3278750279</v>
      </c>
      <c r="T10" s="10" t="n">
        <v>546649.960059199</v>
      </c>
      <c r="U10" s="10" t="n">
        <v>67602.6130440033</v>
      </c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</row>
    <row r="11">
      <c r="M11" t="s">
        <v>103</v>
      </c>
      <c r="N11" t="n">
        <v>590</v>
      </c>
      <c r="O11" s="10" t="n">
        <v>290042.932694163</v>
      </c>
      <c r="P11" s="10"/>
      <c r="Q11" s="10" t="n">
        <v>9038.26119123441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>
      <c r="M12" t="s">
        <v>104</v>
      </c>
      <c r="N12" t="n">
        <v>1958</v>
      </c>
      <c r="O12" s="10"/>
      <c r="P12" s="10"/>
      <c r="Q12" s="10"/>
      <c r="R12" s="10"/>
      <c r="S12" s="10" t="n">
        <v>5246.33959227448</v>
      </c>
      <c r="T12" s="10"/>
      <c r="U12" s="10" t="n">
        <v>133742.777104634</v>
      </c>
      <c r="V12" s="10" t="n">
        <v>57131.1777564738</v>
      </c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>
      <c r="M13" t="s">
        <v>105</v>
      </c>
      <c r="N13" t="n">
        <v>1994</v>
      </c>
      <c r="O13" s="10"/>
      <c r="P13" s="10"/>
      <c r="Q13" s="10"/>
      <c r="R13" s="10"/>
      <c r="S13" s="10"/>
      <c r="T13" s="10"/>
      <c r="U13" s="10"/>
      <c r="V13" s="10"/>
      <c r="W13" s="10" t="n">
        <v>33099.4350544525</v>
      </c>
      <c r="X13" s="10" t="n">
        <v>2782.5213324569</v>
      </c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>
      <c r="M14" t="s">
        <v>106</v>
      </c>
      <c r="N14" t="n">
        <v>2101</v>
      </c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 t="n">
        <v>38624.2795784285</v>
      </c>
      <c r="AG14" s="10"/>
      <c r="AH14" s="10"/>
      <c r="AI14" s="10"/>
      <c r="AJ14" s="10" t="n">
        <v>763840.915300943</v>
      </c>
      <c r="AK14" s="10"/>
      <c r="AL14" s="10"/>
      <c r="AM14" s="10"/>
    </row>
    <row r="15">
      <c r="M15" t="s">
        <v>107</v>
      </c>
      <c r="N15" t="n">
        <v>607</v>
      </c>
      <c r="O15" s="10" t="n">
        <v>361033.263890872</v>
      </c>
      <c r="P15" s="10" t="n">
        <v>2384044.35633512</v>
      </c>
      <c r="Q15" s="10" t="n">
        <v>1634710.85632622</v>
      </c>
      <c r="R15" s="10" t="n">
        <v>511892.34523462</v>
      </c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</row>
    <row r="16">
      <c r="M16" t="s">
        <v>108</v>
      </c>
      <c r="N16" t="n">
        <v>1968</v>
      </c>
      <c r="O16" s="10"/>
      <c r="P16" s="10"/>
      <c r="Q16" s="10"/>
      <c r="R16" s="10"/>
      <c r="S16" s="10" t="n">
        <v>348555.081173606</v>
      </c>
      <c r="T16" s="10"/>
      <c r="U16" s="10"/>
      <c r="V16" s="10"/>
      <c r="W16" s="10"/>
      <c r="X16" s="10" t="n">
        <v>-12855.9315021982</v>
      </c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</row>
    <row r="17">
      <c r="M17" t="s">
        <v>109</v>
      </c>
      <c r="N17" t="n">
        <v>1959</v>
      </c>
      <c r="O17" s="10"/>
      <c r="P17" s="10"/>
      <c r="Q17" s="10"/>
      <c r="R17" s="10"/>
      <c r="S17" s="10" t="n">
        <v>2457781.43201866</v>
      </c>
      <c r="T17" s="10" t="n">
        <v>1901963.10375731</v>
      </c>
      <c r="U17" s="10" t="n">
        <v>3910686.45097292</v>
      </c>
      <c r="V17" s="10"/>
      <c r="W17" s="10" t="n">
        <v>6725.06456798476</v>
      </c>
      <c r="X17" s="10"/>
      <c r="Y17" s="10" t="n">
        <v>-1877.30677258486</v>
      </c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</row>
    <row r="18">
      <c r="M18" t="s">
        <v>110</v>
      </c>
      <c r="N18" t="n">
        <v>1970</v>
      </c>
      <c r="O18" s="10"/>
      <c r="P18" s="10"/>
      <c r="Q18" s="10"/>
      <c r="R18" s="10"/>
      <c r="S18" s="10"/>
      <c r="T18" s="10"/>
      <c r="U18" s="10" t="n">
        <v>17476.6847917365</v>
      </c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>
      <c r="M19" t="s">
        <v>111</v>
      </c>
      <c r="N19" t="n">
        <v>2251</v>
      </c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 t="n">
        <v>124587.149879475</v>
      </c>
      <c r="AI19" s="10"/>
      <c r="AJ19" s="10"/>
      <c r="AK19" s="10"/>
      <c r="AL19" s="10"/>
      <c r="AM19" s="10"/>
    </row>
    <row r="20">
      <c r="M20" t="s">
        <v>72</v>
      </c>
      <c r="N20" t="n">
        <v>2237</v>
      </c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 t="n">
        <v>83598.9169109284</v>
      </c>
      <c r="AJ20" s="10" t="n">
        <v>794088.789125212</v>
      </c>
      <c r="AK20" s="10" t="n">
        <v>356810.3301</v>
      </c>
      <c r="AL20" s="10"/>
      <c r="AM20" s="10"/>
    </row>
    <row r="21">
      <c r="M21" t="s">
        <v>112</v>
      </c>
      <c r="N21" t="n">
        <v>2238</v>
      </c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 t="n">
        <v>6140.66245727424</v>
      </c>
      <c r="AJ21" s="10"/>
      <c r="AK21" s="10"/>
      <c r="AL21" s="10"/>
      <c r="AM21" s="10"/>
    </row>
    <row r="22">
      <c r="M22" t="s">
        <v>113</v>
      </c>
      <c r="N22" t="n">
        <v>1973</v>
      </c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 t="n">
        <v>11283.4640512505</v>
      </c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</row>
    <row r="23">
      <c r="M23" t="s">
        <v>114</v>
      </c>
      <c r="N23" t="n">
        <v>763</v>
      </c>
      <c r="O23" s="10"/>
      <c r="P23" s="10" t="n">
        <v>528019.45814266</v>
      </c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</row>
    <row r="24">
      <c r="M24" t="s">
        <v>115</v>
      </c>
      <c r="N24" t="n">
        <v>1777</v>
      </c>
      <c r="O24" s="10"/>
      <c r="P24" s="10"/>
      <c r="Q24" s="10"/>
      <c r="R24" s="10" t="n">
        <v>532444.352867856</v>
      </c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</row>
    <row r="25">
      <c r="M25" t="s">
        <v>116</v>
      </c>
      <c r="N25" t="n">
        <v>1778</v>
      </c>
      <c r="O25" s="10" t="n">
        <v>70313.3403058548</v>
      </c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>
      <c r="M26" t="s">
        <v>73</v>
      </c>
      <c r="N26" t="n">
        <v>1805</v>
      </c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 t="n">
        <v>479574.195213963</v>
      </c>
      <c r="AJ26" s="10"/>
      <c r="AK26" s="10"/>
      <c r="AL26" s="10"/>
      <c r="AM26" s="10"/>
    </row>
    <row r="27">
      <c r="M27" t="s">
        <v>74</v>
      </c>
      <c r="N27" t="n">
        <v>2243</v>
      </c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 t="n">
        <v>19111.9168823449</v>
      </c>
      <c r="AJ27" s="10"/>
      <c r="AK27" s="10"/>
      <c r="AL27" s="10"/>
      <c r="AM27" s="10"/>
    </row>
    <row r="28">
      <c r="M28" t="s">
        <v>117</v>
      </c>
      <c r="N28" t="n">
        <v>1965</v>
      </c>
      <c r="O28" s="10"/>
      <c r="P28" s="10"/>
      <c r="Q28" s="10"/>
      <c r="R28" s="10"/>
      <c r="S28" s="10"/>
      <c r="T28" s="10"/>
      <c r="U28" s="10" t="n">
        <v>10775.424775193</v>
      </c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>
      <c r="M29" t="s">
        <v>76</v>
      </c>
      <c r="N29" t="n">
        <v>2258</v>
      </c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 t="n">
        <v>20077903.8745695</v>
      </c>
      <c r="AJ29" s="10"/>
      <c r="AK29" s="10"/>
      <c r="AL29" s="10"/>
      <c r="AM29" s="10"/>
    </row>
    <row r="30">
      <c r="M30" t="s">
        <v>118</v>
      </c>
      <c r="N30" t="n">
        <v>1979</v>
      </c>
      <c r="O30" s="10"/>
      <c r="P30" s="10"/>
      <c r="Q30" s="10"/>
      <c r="R30" s="10"/>
      <c r="S30" s="10"/>
      <c r="T30" s="10"/>
      <c r="U30" s="10" t="n">
        <v>740631.142508558</v>
      </c>
      <c r="V30" s="10" t="n">
        <v>277184.803306485</v>
      </c>
      <c r="W30" s="10"/>
      <c r="X30" s="10"/>
      <c r="Y30" s="10" t="n">
        <v>11946.4212670092</v>
      </c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</row>
    <row r="31">
      <c r="M31" t="s">
        <v>119</v>
      </c>
      <c r="N31" t="n">
        <v>154</v>
      </c>
      <c r="O31" s="10" t="n">
        <v>234280.85721653</v>
      </c>
      <c r="P31" s="10" t="n">
        <v>350993.396037082</v>
      </c>
      <c r="Q31" s="10" t="n">
        <v>723492.619802389</v>
      </c>
      <c r="R31" s="10" t="n">
        <v>39194.6458318712</v>
      </c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</row>
    <row r="32">
      <c r="M32" t="s">
        <v>120</v>
      </c>
      <c r="N32" t="n">
        <v>583</v>
      </c>
      <c r="O32" s="10" t="n">
        <v>489945.901641755</v>
      </c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</row>
    <row r="33">
      <c r="M33" t="s">
        <v>82</v>
      </c>
      <c r="N33" t="n">
        <v>2233</v>
      </c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 t="n">
        <v>1361261.04713009</v>
      </c>
      <c r="AM33" s="10"/>
    </row>
    <row r="34">
      <c r="M34" t="s">
        <v>77</v>
      </c>
      <c r="N34" t="n">
        <v>601</v>
      </c>
      <c r="O34" s="10" t="n">
        <v>768395.971228824</v>
      </c>
      <c r="P34" s="10" t="n">
        <v>367473.29971658</v>
      </c>
      <c r="Q34" s="10" t="n">
        <v>10552441.7097882</v>
      </c>
      <c r="R34" s="10" t="n">
        <v>14446901.725191</v>
      </c>
      <c r="S34" s="10" t="n">
        <v>711833.232742544</v>
      </c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>
      <c r="M35" t="s">
        <v>121</v>
      </c>
      <c r="N35" t="n">
        <v>1961</v>
      </c>
      <c r="O35" s="10"/>
      <c r="P35" s="10"/>
      <c r="Q35" s="10"/>
      <c r="R35" s="10"/>
      <c r="S35" s="10"/>
      <c r="T35" s="10" t="n">
        <v>3733.29107005308</v>
      </c>
      <c r="U35" s="10"/>
      <c r="V35" s="10"/>
      <c r="W35" s="10" t="n">
        <v>43502.9697078658</v>
      </c>
      <c r="X35" s="10" t="n">
        <v>64600.7309775302</v>
      </c>
      <c r="Y35" s="10" t="n">
        <v>403818.22258565</v>
      </c>
      <c r="Z35" s="10" t="n">
        <v>103227.58987391</v>
      </c>
      <c r="AA35" s="10" t="n">
        <v>47716.1239497558</v>
      </c>
      <c r="AB35" s="10" t="n">
        <v>10945.9424433318</v>
      </c>
      <c r="AC35" s="10" t="n">
        <v>22051.2771673806</v>
      </c>
      <c r="AD35" s="10" t="n">
        <v>-5359.89841657856</v>
      </c>
      <c r="AE35" s="10" t="n">
        <v>-7034.75945414301</v>
      </c>
      <c r="AF35" s="10"/>
      <c r="AG35" s="10"/>
      <c r="AH35" s="10"/>
      <c r="AI35" s="10"/>
      <c r="AJ35" s="10"/>
      <c r="AK35" s="10"/>
      <c r="AL35" s="10"/>
      <c r="AM35" s="10"/>
    </row>
    <row r="36">
      <c r="M36" t="s">
        <v>78</v>
      </c>
      <c r="N36" t="n">
        <v>2202</v>
      </c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 t="n">
        <v>58133.6068581317</v>
      </c>
      <c r="AI36" s="10" t="n">
        <v>154466.397243959</v>
      </c>
      <c r="AJ36" s="10" t="n">
        <v>168306.030400514</v>
      </c>
      <c r="AK36" s="10" t="n">
        <v>46356.5</v>
      </c>
      <c r="AL36" s="10"/>
      <c r="AM36" s="10"/>
    </row>
    <row r="37">
      <c r="M37" t="s">
        <v>122</v>
      </c>
      <c r="N37" t="n">
        <v>1952</v>
      </c>
      <c r="O37" s="10"/>
      <c r="P37" s="10"/>
      <c r="Q37" s="10"/>
      <c r="R37" s="10"/>
      <c r="S37" s="10"/>
      <c r="T37" s="10"/>
      <c r="U37" s="10"/>
      <c r="V37" s="10"/>
      <c r="W37" s="10" t="n">
        <v>382878.121044313</v>
      </c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>
      <c r="M38" t="s">
        <v>79</v>
      </c>
      <c r="N38" t="n">
        <v>482</v>
      </c>
      <c r="O38" s="10" t="n">
        <v>7028425.71649589</v>
      </c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>
      <c r="M39" t="s">
        <v>80</v>
      </c>
      <c r="N39" t="n">
        <v>604</v>
      </c>
      <c r="O39" s="10" t="n">
        <v>498775.866363743</v>
      </c>
      <c r="P39" s="10" t="n">
        <v>2115576.67686672</v>
      </c>
      <c r="Q39" s="10" t="n">
        <v>46689806.1786352</v>
      </c>
      <c r="R39" s="10" t="n">
        <v>13736537.0559265</v>
      </c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>
      <c r="M40" t="s">
        <v>123</v>
      </c>
      <c r="N40" t="n">
        <v>2015</v>
      </c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 t="n">
        <v>4252.20942799756</v>
      </c>
      <c r="AE40" s="10" t="n">
        <v>77704.0204469398</v>
      </c>
      <c r="AF40" s="10" t="n">
        <v>118341.886596331</v>
      </c>
      <c r="AG40" s="10" t="n">
        <v>96446.9870230631</v>
      </c>
      <c r="AH40" s="10"/>
      <c r="AI40" s="10"/>
      <c r="AJ40" s="10"/>
      <c r="AK40" s="10"/>
      <c r="AL40" s="10"/>
      <c r="AM40" s="10"/>
    </row>
    <row r="41">
      <c r="M41"/>
      <c r="N41"/>
      <c r="O41" s="10" t="n">
        <v>13944884554.3753</v>
      </c>
      <c r="P41" s="10" t="n">
        <v>16123901957.5999</v>
      </c>
      <c r="Q41" s="10" t="n">
        <v>20737566447.6486</v>
      </c>
      <c r="R41" s="10" t="n">
        <v>23649014789.1835</v>
      </c>
      <c r="S41" s="10" t="n">
        <v>27241932696.6099</v>
      </c>
      <c r="T41" s="10" t="n">
        <v>45889167791.7459</v>
      </c>
      <c r="U41" s="10" t="n">
        <v>48398542881.1923</v>
      </c>
      <c r="V41" s="10" t="n">
        <v>46660098186.999</v>
      </c>
      <c r="W41" s="10" t="n">
        <v>52120555957.6808</v>
      </c>
      <c r="X41" s="10" t="n">
        <v>46998950067.1134</v>
      </c>
      <c r="Y41" s="10" t="n">
        <v>38097175829.8049</v>
      </c>
      <c r="Z41" s="10" t="n">
        <v>38480369383.5963</v>
      </c>
      <c r="AA41" s="10" t="n">
        <v>44524338622.5066</v>
      </c>
      <c r="AB41" s="10" t="n">
        <v>32728943764.5373</v>
      </c>
      <c r="AC41" s="10" t="n">
        <v>29441704540.3383</v>
      </c>
      <c r="AD41" s="10" t="n">
        <v>25271294787.5131</v>
      </c>
      <c r="AE41" s="10" t="n">
        <v>23085410357.691</v>
      </c>
      <c r="AF41" s="10" t="n">
        <v>25216898451.7483</v>
      </c>
      <c r="AG41" s="10" t="n">
        <v>28985497691.1817</v>
      </c>
      <c r="AH41" s="10" t="n">
        <v>25997386385.985</v>
      </c>
      <c r="AI41" s="10" t="n">
        <v>28172998094.9636</v>
      </c>
      <c r="AJ41" s="10" t="n">
        <v>57206019014.6902</v>
      </c>
      <c r="AK41" s="10" t="n">
        <v>58510333010.0319</v>
      </c>
      <c r="AL41" s="10" t="n">
        <v>18069578940.9147</v>
      </c>
      <c r="AM41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94</v>
      </c>
      <c r="P1" t="s">
        <v>95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1" t="str">
        <f>AF2</f>
      </c>
      <c r="D2" s="11" t="str">
        <f>AL2</f>
      </c>
      <c r="E2" s="11" t="str">
        <f>AM2</f>
      </c>
      <c r="F2" s="11" t="str">
        <f>AN2</f>
      </c>
      <c r="G2" s="7" t="str">
        <f>AM2/AL2-1</f>
      </c>
      <c r="H2" s="7" t="str">
        <f>AM2/AF2-1</f>
      </c>
      <c r="I2" s="7" t="str">
        <f>AN2/AM2</f>
      </c>
      <c r="J2" s="7" t="str">
        <f>AM2/Sum(AM$1:AM$41)</f>
      </c>
      <c r="K2" s="7" t="str">
        <f>AN2/Sum(AN1:AN$41)</f>
      </c>
      <c r="O2" t="s">
        <v>71</v>
      </c>
      <c r="P2" t="n">
        <v>2190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 t="n">
        <v>13983.3803832674</v>
      </c>
      <c r="AL2" s="11" t="n">
        <v>0</v>
      </c>
      <c r="AM2" s="11" t="n">
        <v>111074.8516</v>
      </c>
      <c r="AN2" s="11"/>
      <c r="AO2" s="11"/>
    </row>
    <row r="3">
      <c r="A3" t="str">
        <f>O3</f>
      </c>
      <c r="B3" t="str">
        <f>P3</f>
      </c>
      <c r="C3" s="11" t="str">
        <f>AF3</f>
      </c>
      <c r="D3" s="11" t="str">
        <f>AL3</f>
      </c>
      <c r="E3" s="11" t="str">
        <f>AM3</f>
      </c>
      <c r="F3" s="11" t="str">
        <f>AN3</f>
      </c>
      <c r="G3" s="7" t="str">
        <f>AM3/AL3-1</f>
      </c>
      <c r="H3" s="7" t="str">
        <f>AM3/AF3-1</f>
      </c>
      <c r="I3" s="7" t="str">
        <f>AN3/AM3</f>
      </c>
      <c r="J3" s="7" t="str">
        <f>AM3/Sum(AM$1:AM$41)</f>
      </c>
      <c r="K3" s="7" t="str">
        <f>AN3/Sum(AN1:AN$41)</f>
      </c>
      <c r="O3" t="s">
        <v>81</v>
      </c>
      <c r="P3" t="n">
        <v>2040</v>
      </c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 t="n">
        <v>708609.729566217</v>
      </c>
      <c r="AO3" s="11"/>
    </row>
    <row r="4">
      <c r="A4" t="str">
        <f>O4</f>
      </c>
      <c r="B4" t="str">
        <f>P4</f>
      </c>
      <c r="C4" s="11" t="str">
        <f>AF4</f>
      </c>
      <c r="D4" s="11" t="str">
        <f>AL4</f>
      </c>
      <c r="E4" s="11" t="str">
        <f>AM4</f>
      </c>
      <c r="F4" s="11" t="str">
        <f>AN4</f>
      </c>
      <c r="G4" s="7" t="str">
        <f>AM4/AL4-1</f>
      </c>
      <c r="H4" s="7" t="str">
        <f>AM4/AF4-1</f>
      </c>
      <c r="I4" s="7" t="str">
        <f>AN4/AM4</f>
      </c>
      <c r="J4" s="7" t="str">
        <f>AM4/Sum(AM$1:AM$41)</f>
      </c>
      <c r="K4" s="7" t="str">
        <f>AN4/Sum(AN1:AN$41)</f>
      </c>
      <c r="O4" t="s">
        <v>96</v>
      </c>
      <c r="P4" t="n">
        <v>1757</v>
      </c>
      <c r="Q4" s="11"/>
      <c r="R4" s="11"/>
      <c r="S4" s="11"/>
      <c r="T4" s="11" t="n">
        <v>799329.398977802</v>
      </c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</row>
    <row r="5">
      <c r="A5" t="str">
        <f>O5</f>
      </c>
      <c r="B5" t="str">
        <f>P5</f>
      </c>
      <c r="C5" s="11" t="str">
        <f>AF5</f>
      </c>
      <c r="D5" s="11" t="str">
        <f>AL5</f>
      </c>
      <c r="E5" s="11" t="str">
        <f>AM5</f>
      </c>
      <c r="F5" s="11" t="str">
        <f>AN5</f>
      </c>
      <c r="G5" s="7" t="str">
        <f>AM5/AL5-1</f>
      </c>
      <c r="H5" s="7" t="str">
        <f>AM5/AF5-1</f>
      </c>
      <c r="I5" s="7" t="str">
        <f>AN5/AM5</f>
      </c>
      <c r="J5" s="7" t="str">
        <f>AM5/Sum(AM$1:AM$41)</f>
      </c>
      <c r="K5" s="7" t="str">
        <f>AN5/Sum(AN1:AN$41)</f>
      </c>
      <c r="O5" t="s">
        <v>97</v>
      </c>
      <c r="P5" t="n">
        <v>487</v>
      </c>
      <c r="Q5" s="11" t="n">
        <v>55298.3609533499</v>
      </c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</row>
    <row r="6">
      <c r="A6" t="str">
        <f>O6</f>
      </c>
      <c r="B6" t="str">
        <f>P6</f>
      </c>
      <c r="C6" s="11" t="str">
        <f>AF6</f>
      </c>
      <c r="D6" s="11" t="str">
        <f>AL6</f>
      </c>
      <c r="E6" s="11" t="str">
        <f>AM6</f>
      </c>
      <c r="F6" s="11" t="str">
        <f>AN6</f>
      </c>
      <c r="G6" s="7" t="str">
        <f>AM6/AL6-1</f>
      </c>
      <c r="H6" s="7" t="str">
        <f>AM6/AF6-1</f>
      </c>
      <c r="I6" s="7" t="str">
        <f>AN6/AM6</f>
      </c>
      <c r="J6" s="7" t="str">
        <f>AM6/Sum(AM$1:AM$41)</f>
      </c>
      <c r="K6" s="7" t="str">
        <f>AN6/Sum(AN1:AN$41)</f>
      </c>
      <c r="O6" t="s">
        <v>98</v>
      </c>
      <c r="P6" t="n">
        <v>1856</v>
      </c>
      <c r="Q6" s="11"/>
      <c r="R6" s="11"/>
      <c r="S6" s="11"/>
      <c r="T6" s="11"/>
      <c r="U6" s="11"/>
      <c r="V6" s="11"/>
      <c r="W6" s="11"/>
      <c r="X6" s="11" t="n">
        <v>4327865.4329112</v>
      </c>
      <c r="Y6" s="11"/>
      <c r="Z6" s="11" t="n">
        <v>3901248.853076</v>
      </c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</row>
    <row r="7">
      <c r="A7" t="str">
        <f>O7</f>
      </c>
      <c r="B7" t="str">
        <f>P7</f>
      </c>
      <c r="C7" s="11" t="str">
        <f>AF7</f>
      </c>
      <c r="D7" s="11" t="str">
        <f>AL7</f>
      </c>
      <c r="E7" s="11" t="str">
        <f>AM7</f>
      </c>
      <c r="F7" s="11" t="str">
        <f>AN7</f>
      </c>
      <c r="G7" s="7" t="str">
        <f>AM7/AL7-1</f>
      </c>
      <c r="H7" s="7" t="str">
        <f>AM7/AF7-1</f>
      </c>
      <c r="I7" s="7" t="str">
        <f>AN7/AM7</f>
      </c>
      <c r="J7" s="7" t="str">
        <f>AM7/Sum(AM$1:AM$41)</f>
      </c>
      <c r="K7" s="7" t="str">
        <f>AN7/Sum(AN1:AN$41)</f>
      </c>
      <c r="O7" t="s">
        <v>99</v>
      </c>
      <c r="P7" t="n">
        <v>2058</v>
      </c>
      <c r="Q7" s="11"/>
      <c r="R7" s="11"/>
      <c r="S7" s="11"/>
      <c r="T7" s="11"/>
      <c r="U7" s="11"/>
      <c r="V7" s="11"/>
      <c r="W7" s="11"/>
      <c r="X7" s="11"/>
      <c r="Y7" s="11" t="n">
        <v>77802.7985282455</v>
      </c>
      <c r="Z7" s="11"/>
      <c r="AA7" s="11"/>
      <c r="AB7" s="11"/>
      <c r="AC7" s="11" t="n">
        <v>1707799.69467415</v>
      </c>
      <c r="AD7" s="11" t="n">
        <v>-1677108.60673748</v>
      </c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</row>
    <row r="8">
      <c r="A8" t="str">
        <f>O8</f>
      </c>
      <c r="B8" t="str">
        <f>P8</f>
      </c>
      <c r="C8" s="11" t="str">
        <f>AF8</f>
      </c>
      <c r="D8" s="11" t="str">
        <f>AL8</f>
      </c>
      <c r="E8" s="11" t="str">
        <f>AM8</f>
      </c>
      <c r="F8" s="11" t="str">
        <f>AN8</f>
      </c>
      <c r="G8" s="7" t="str">
        <f>AM8/AL8-1</f>
      </c>
      <c r="H8" s="7" t="str">
        <f>AM8/AF8-1</f>
      </c>
      <c r="I8" s="7" t="str">
        <f>AN8/AM8</f>
      </c>
      <c r="J8" s="7" t="str">
        <f>AM8/Sum(AM$1:AM$41)</f>
      </c>
      <c r="K8" s="7" t="str">
        <f>AN8/Sum(AN1:AN$41)</f>
      </c>
      <c r="O8" t="s">
        <v>100</v>
      </c>
      <c r="P8" t="n">
        <v>1962</v>
      </c>
      <c r="Q8" s="11"/>
      <c r="R8" s="11"/>
      <c r="S8" s="11"/>
      <c r="T8" s="11"/>
      <c r="U8" s="11"/>
      <c r="V8" s="11"/>
      <c r="W8" s="11"/>
      <c r="X8" s="11" t="n">
        <v>9174.62783588944</v>
      </c>
      <c r="Y8" s="11"/>
      <c r="Z8" s="11"/>
      <c r="AA8" s="11"/>
      <c r="AB8" s="11"/>
      <c r="AC8" s="11" t="n">
        <v>23975.9503369154</v>
      </c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</row>
    <row r="9">
      <c r="A9" t="str">
        <f>O9</f>
      </c>
      <c r="B9" t="str">
        <f>P9</f>
      </c>
      <c r="C9" s="11" t="str">
        <f>AF9</f>
      </c>
      <c r="D9" s="11" t="str">
        <f>AL9</f>
      </c>
      <c r="E9" s="11" t="str">
        <f>AM9</f>
      </c>
      <c r="F9" s="11" t="str">
        <f>AN9</f>
      </c>
      <c r="G9" s="7" t="str">
        <f>AM9/AL9-1</f>
      </c>
      <c r="H9" s="7" t="str">
        <f>AM9/AF9-1</f>
      </c>
      <c r="I9" s="7" t="str">
        <f>AN9/AM9</f>
      </c>
      <c r="J9" s="7" t="str">
        <f>AM9/Sum(AM$1:AM$41)</f>
      </c>
      <c r="K9" s="7" t="str">
        <f>AN9/Sum(AN1:AN$41)</f>
      </c>
      <c r="O9" t="s">
        <v>101</v>
      </c>
      <c r="P9" t="n">
        <v>717</v>
      </c>
      <c r="Q9" s="11"/>
      <c r="R9" s="11"/>
      <c r="S9" s="11"/>
      <c r="T9" s="11" t="n">
        <v>6205788.95455901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</row>
    <row r="10">
      <c r="A10" t="str">
        <f>O10</f>
      </c>
      <c r="B10" t="str">
        <f>P10</f>
      </c>
      <c r="C10" s="11" t="str">
        <f>AF10</f>
      </c>
      <c r="D10" s="11" t="str">
        <f>AL10</f>
      </c>
      <c r="E10" s="11" t="str">
        <f>AM10</f>
      </c>
      <c r="F10" s="11" t="str">
        <f>AN10</f>
      </c>
      <c r="G10" s="7" t="str">
        <f>AM10/AL10-1</f>
      </c>
      <c r="H10" s="7" t="str">
        <f>AM10/AF10-1</f>
      </c>
      <c r="I10" s="7" t="str">
        <f>AN10/AM10</f>
      </c>
      <c r="J10" s="7" t="str">
        <f>AM10/Sum(AM$1:AM$41)</f>
      </c>
      <c r="K10" s="7" t="str">
        <f>AN10/Sum(AN1:AN$41)</f>
      </c>
      <c r="O10" t="s">
        <v>102</v>
      </c>
      <c r="P10" t="n">
        <v>1344</v>
      </c>
      <c r="Q10" s="11"/>
      <c r="R10" s="11"/>
      <c r="S10" s="11"/>
      <c r="T10" s="11"/>
      <c r="U10" s="11" t="n">
        <v>93339.3278750279</v>
      </c>
      <c r="V10" s="11" t="n">
        <v>546649.960059199</v>
      </c>
      <c r="W10" s="11" t="n">
        <v>67602.6130440033</v>
      </c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</row>
    <row r="11">
      <c r="A11" t="str">
        <f>O11</f>
      </c>
      <c r="B11" t="str">
        <f>P11</f>
      </c>
      <c r="C11" s="11" t="str">
        <f>AF11</f>
      </c>
      <c r="D11" s="11" t="str">
        <f>AL11</f>
      </c>
      <c r="E11" s="11" t="str">
        <f>AM11</f>
      </c>
      <c r="F11" s="11" t="str">
        <f>AN11</f>
      </c>
      <c r="G11" s="7" t="str">
        <f>AM11/AL11-1</f>
      </c>
      <c r="H11" s="7" t="str">
        <f>AM11/AF11-1</f>
      </c>
      <c r="I11" s="7" t="str">
        <f>AN11/AM11</f>
      </c>
      <c r="J11" s="7" t="str">
        <f>AM11/Sum(AM$1:AM$41)</f>
      </c>
      <c r="K11" s="7" t="str">
        <f>AN11/Sum(AN1:AN$41)</f>
      </c>
      <c r="O11" t="s">
        <v>103</v>
      </c>
      <c r="P11" t="n">
        <v>590</v>
      </c>
      <c r="Q11" s="11" t="n">
        <v>290042.932694163</v>
      </c>
      <c r="R11" s="11"/>
      <c r="S11" s="11" t="n">
        <v>9038.26119123441</v>
      </c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</row>
    <row r="12">
      <c r="A12" t="str">
        <f>O12</f>
      </c>
      <c r="B12" t="str">
        <f>P12</f>
      </c>
      <c r="C12" s="11" t="str">
        <f>AF12</f>
      </c>
      <c r="D12" s="11" t="str">
        <f>AL12</f>
      </c>
      <c r="E12" s="11" t="str">
        <f>AM12</f>
      </c>
      <c r="F12" s="11" t="str">
        <f>AN12</f>
      </c>
      <c r="G12" s="7" t="str">
        <f>AM12/AL12-1</f>
      </c>
      <c r="H12" s="7" t="str">
        <f>AM12/AF12-1</f>
      </c>
      <c r="I12" s="7" t="str">
        <f>AN12/AM12</f>
      </c>
      <c r="J12" s="7" t="str">
        <f>AM12/Sum(AM$1:AM$41)</f>
      </c>
      <c r="K12" s="7" t="str">
        <f>AN12/Sum(AN1:AN$41)</f>
      </c>
      <c r="O12" t="s">
        <v>104</v>
      </c>
      <c r="P12" t="n">
        <v>1958</v>
      </c>
      <c r="Q12" s="11"/>
      <c r="R12" s="11"/>
      <c r="S12" s="11"/>
      <c r="T12" s="11"/>
      <c r="U12" s="11" t="n">
        <v>5246.33959227448</v>
      </c>
      <c r="V12" s="11"/>
      <c r="W12" s="11" t="n">
        <v>133742.777104634</v>
      </c>
      <c r="X12" s="11" t="n">
        <v>57131.1777564738</v>
      </c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</row>
    <row r="13">
      <c r="A13" t="str">
        <f>O13</f>
      </c>
      <c r="B13" t="str">
        <f>P13</f>
      </c>
      <c r="C13" s="11" t="str">
        <f>AF13</f>
      </c>
      <c r="D13" s="11" t="str">
        <f>AL13</f>
      </c>
      <c r="E13" s="11" t="str">
        <f>AM13</f>
      </c>
      <c r="F13" s="11" t="str">
        <f>AN13</f>
      </c>
      <c r="G13" s="7" t="str">
        <f>AM13/AL13-1</f>
      </c>
      <c r="H13" s="7" t="str">
        <f>AM13/AF13-1</f>
      </c>
      <c r="I13" s="7" t="str">
        <f>AN13/AM13</f>
      </c>
      <c r="J13" s="7" t="str">
        <f>AM13/Sum(AM$1:AM$41)</f>
      </c>
      <c r="K13" s="7" t="str">
        <f>AN13/Sum(AN1:AN$41)</f>
      </c>
      <c r="O13" t="s">
        <v>105</v>
      </c>
      <c r="P13" t="n">
        <v>1994</v>
      </c>
      <c r="Q13" s="11"/>
      <c r="R13" s="11"/>
      <c r="S13" s="11"/>
      <c r="T13" s="11"/>
      <c r="U13" s="11"/>
      <c r="V13" s="11"/>
      <c r="W13" s="11"/>
      <c r="X13" s="11"/>
      <c r="Y13" s="11" t="n">
        <v>33099.4350544525</v>
      </c>
      <c r="Z13" s="11" t="n">
        <v>2782.5213324569</v>
      </c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</row>
    <row r="14">
      <c r="A14" t="str">
        <f>O14</f>
      </c>
      <c r="B14" t="str">
        <f>P14</f>
      </c>
      <c r="C14" s="11" t="str">
        <f>AF14</f>
      </c>
      <c r="D14" s="11" t="str">
        <f>AL14</f>
      </c>
      <c r="E14" s="11" t="str">
        <f>AM14</f>
      </c>
      <c r="F14" s="11" t="str">
        <f>AN14</f>
      </c>
      <c r="G14" s="7" t="str">
        <f>AM14/AL14-1</f>
      </c>
      <c r="H14" s="7" t="str">
        <f>AM14/AF14-1</f>
      </c>
      <c r="I14" s="7" t="str">
        <f>AN14/AM14</f>
      </c>
      <c r="J14" s="7" t="str">
        <f>AM14/Sum(AM$1:AM$41)</f>
      </c>
      <c r="K14" s="7" t="str">
        <f>AN14/Sum(AN1:AN$41)</f>
      </c>
      <c r="O14" t="s">
        <v>106</v>
      </c>
      <c r="P14" t="n">
        <v>2101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 t="n">
        <v>38624.2795784285</v>
      </c>
      <c r="AI14" s="11"/>
      <c r="AJ14" s="11"/>
      <c r="AK14" s="11"/>
      <c r="AL14" s="11" t="n">
        <v>763840.915300943</v>
      </c>
      <c r="AM14" s="11"/>
      <c r="AN14" s="11"/>
      <c r="AO14" s="11"/>
    </row>
    <row r="15">
      <c r="A15" t="str">
        <f>O15</f>
      </c>
      <c r="B15" t="str">
        <f>P15</f>
      </c>
      <c r="C15" s="11" t="str">
        <f>AF15</f>
      </c>
      <c r="D15" s="11" t="str">
        <f>AL15</f>
      </c>
      <c r="E15" s="11" t="str">
        <f>AM15</f>
      </c>
      <c r="F15" s="11" t="str">
        <f>AN15</f>
      </c>
      <c r="G15" s="7" t="str">
        <f>AM15/AL15-1</f>
      </c>
      <c r="H15" s="7" t="str">
        <f>AM15/AF15-1</f>
      </c>
      <c r="I15" s="7" t="str">
        <f>AN15/AM15</f>
      </c>
      <c r="J15" s="7" t="str">
        <f>AM15/Sum(AM$1:AM$41)</f>
      </c>
      <c r="K15" s="7" t="str">
        <f>AN15/Sum(AN1:AN$41)</f>
      </c>
      <c r="O15" t="s">
        <v>107</v>
      </c>
      <c r="P15" t="n">
        <v>607</v>
      </c>
      <c r="Q15" s="11" t="n">
        <v>361033.263890872</v>
      </c>
      <c r="R15" s="11" t="n">
        <v>2384044.35633512</v>
      </c>
      <c r="S15" s="11" t="n">
        <v>1634710.85632622</v>
      </c>
      <c r="T15" s="11" t="n">
        <v>511892.34523462</v>
      </c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</row>
    <row r="16">
      <c r="A16" t="str">
        <f>O16</f>
      </c>
      <c r="B16" t="str">
        <f>P16</f>
      </c>
      <c r="C16" s="11" t="str">
        <f>AF16</f>
      </c>
      <c r="D16" s="11" t="str">
        <f>AL16</f>
      </c>
      <c r="E16" s="11" t="str">
        <f>AM16</f>
      </c>
      <c r="F16" s="11" t="str">
        <f>AN16</f>
      </c>
      <c r="G16" s="7" t="str">
        <f>AM16/AL16-1</f>
      </c>
      <c r="H16" s="7" t="str">
        <f>AM16/AF16-1</f>
      </c>
      <c r="I16" s="7" t="str">
        <f>AN16/AM16</f>
      </c>
      <c r="J16" s="7" t="str">
        <f>AM16/Sum(AM$1:AM$41)</f>
      </c>
      <c r="K16" s="7" t="str">
        <f>AN16/Sum(AN1:AN$41)</f>
      </c>
      <c r="O16" t="s">
        <v>108</v>
      </c>
      <c r="P16" t="n">
        <v>1968</v>
      </c>
      <c r="Q16" s="11"/>
      <c r="R16" s="11"/>
      <c r="S16" s="11"/>
      <c r="T16" s="11"/>
      <c r="U16" s="11" t="n">
        <v>348555.081173606</v>
      </c>
      <c r="V16" s="11"/>
      <c r="W16" s="11"/>
      <c r="X16" s="11"/>
      <c r="Y16" s="11"/>
      <c r="Z16" s="11" t="n">
        <v>-12855.9315021982</v>
      </c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</row>
    <row r="17">
      <c r="A17" t="str">
        <f>O17</f>
      </c>
      <c r="B17" t="str">
        <f>P17</f>
      </c>
      <c r="C17" s="11" t="str">
        <f>AF17</f>
      </c>
      <c r="D17" s="11" t="str">
        <f>AL17</f>
      </c>
      <c r="E17" s="11" t="str">
        <f>AM17</f>
      </c>
      <c r="F17" s="11" t="str">
        <f>AN17</f>
      </c>
      <c r="G17" s="7" t="str">
        <f>AM17/AL17-1</f>
      </c>
      <c r="H17" s="7" t="str">
        <f>AM17/AF17-1</f>
      </c>
      <c r="I17" s="7" t="str">
        <f>AN17/AM17</f>
      </c>
      <c r="J17" s="7" t="str">
        <f>AM17/Sum(AM$1:AM$41)</f>
      </c>
      <c r="K17" s="7" t="str">
        <f>AN17/Sum(AN1:AN$41)</f>
      </c>
      <c r="O17" t="s">
        <v>109</v>
      </c>
      <c r="P17" t="n">
        <v>1959</v>
      </c>
      <c r="Q17" s="11"/>
      <c r="R17" s="11"/>
      <c r="S17" s="11"/>
      <c r="T17" s="11"/>
      <c r="U17" s="11" t="n">
        <v>2457781.43201866</v>
      </c>
      <c r="V17" s="11" t="n">
        <v>1901963.10375731</v>
      </c>
      <c r="W17" s="11" t="n">
        <v>3910686.45097292</v>
      </c>
      <c r="X17" s="11"/>
      <c r="Y17" s="11" t="n">
        <v>6725.06456798476</v>
      </c>
      <c r="Z17" s="11"/>
      <c r="AA17" s="11" t="n">
        <v>-1877.30677258486</v>
      </c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</row>
    <row r="18">
      <c r="A18" t="str">
        <f>O18</f>
      </c>
      <c r="B18" t="str">
        <f>P18</f>
      </c>
      <c r="C18" s="11" t="str">
        <f>AF18</f>
      </c>
      <c r="D18" s="11" t="str">
        <f>AL18</f>
      </c>
      <c r="E18" s="11" t="str">
        <f>AM18</f>
      </c>
      <c r="F18" s="11" t="str">
        <f>AN18</f>
      </c>
      <c r="G18" s="7" t="str">
        <f>AM18/AL18-1</f>
      </c>
      <c r="H18" s="7" t="str">
        <f>AM18/AF18-1</f>
      </c>
      <c r="I18" s="7" t="str">
        <f>AN18/AM18</f>
      </c>
      <c r="J18" s="7" t="str">
        <f>AM18/Sum(AM$1:AM$41)</f>
      </c>
      <c r="K18" s="7" t="str">
        <f>AN18/Sum(AN1:AN$41)</f>
      </c>
      <c r="O18" t="s">
        <v>110</v>
      </c>
      <c r="P18" t="n">
        <v>1970</v>
      </c>
      <c r="Q18" s="11"/>
      <c r="R18" s="11"/>
      <c r="S18" s="11"/>
      <c r="T18" s="11"/>
      <c r="U18" s="11"/>
      <c r="V18" s="11"/>
      <c r="W18" s="11" t="n">
        <v>17476.6847917365</v>
      </c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</row>
    <row r="19">
      <c r="A19" t="str">
        <f>O19</f>
      </c>
      <c r="B19" t="str">
        <f>P19</f>
      </c>
      <c r="C19" s="11" t="str">
        <f>AF19</f>
      </c>
      <c r="D19" s="11" t="str">
        <f>AL19</f>
      </c>
      <c r="E19" s="11" t="str">
        <f>AM19</f>
      </c>
      <c r="F19" s="11" t="str">
        <f>AN19</f>
      </c>
      <c r="G19" s="7" t="str">
        <f>AM19/AL19-1</f>
      </c>
      <c r="H19" s="7" t="str">
        <f>AM19/AF19-1</f>
      </c>
      <c r="I19" s="7" t="str">
        <f>AN19/AM19</f>
      </c>
      <c r="J19" s="7" t="str">
        <f>AM19/Sum(AM$1:AM$41)</f>
      </c>
      <c r="K19" s="7" t="str">
        <f>AN19/Sum(AN1:AN$41)</f>
      </c>
      <c r="O19" t="s">
        <v>111</v>
      </c>
      <c r="P19" t="n">
        <v>2251</v>
      </c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 t="n">
        <v>124587.149879475</v>
      </c>
      <c r="AK19" s="11"/>
      <c r="AL19" s="11"/>
      <c r="AM19" s="11"/>
      <c r="AN19" s="11"/>
      <c r="AO19" s="11"/>
    </row>
    <row r="20">
      <c r="A20" t="str">
        <f>O20</f>
      </c>
      <c r="B20" t="str">
        <f>P20</f>
      </c>
      <c r="C20" s="11" t="str">
        <f>AF20</f>
      </c>
      <c r="D20" s="11" t="str">
        <f>AL20</f>
      </c>
      <c r="E20" s="11" t="str">
        <f>AM20</f>
      </c>
      <c r="F20" s="11" t="str">
        <f>AN20</f>
      </c>
      <c r="G20" s="7" t="str">
        <f>AM20/AL20-1</f>
      </c>
      <c r="H20" s="7" t="str">
        <f>AM20/AF20-1</f>
      </c>
      <c r="I20" s="7" t="str">
        <f>AN20/AM20</f>
      </c>
      <c r="J20" s="7" t="str">
        <f>AM20/Sum(AM$1:AM$41)</f>
      </c>
      <c r="K20" s="7" t="str">
        <f>AN20/Sum(AN1:AN$41)</f>
      </c>
      <c r="O20" t="s">
        <v>72</v>
      </c>
      <c r="P20" t="n">
        <v>2237</v>
      </c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 t="n">
        <v>83598.9169109284</v>
      </c>
      <c r="AL20" s="11" t="n">
        <v>794088.789125212</v>
      </c>
      <c r="AM20" s="11" t="n">
        <v>356810.3301</v>
      </c>
      <c r="AN20" s="11"/>
      <c r="AO20" s="11"/>
    </row>
    <row r="21">
      <c r="A21" t="str">
        <f>O21</f>
      </c>
      <c r="B21" t="str">
        <f>P21</f>
      </c>
      <c r="C21" s="11" t="str">
        <f>AF21</f>
      </c>
      <c r="D21" s="11" t="str">
        <f>AL21</f>
      </c>
      <c r="E21" s="11" t="str">
        <f>AM21</f>
      </c>
      <c r="F21" s="11" t="str">
        <f>AN21</f>
      </c>
      <c r="G21" s="7" t="str">
        <f>AM21/AL21-1</f>
      </c>
      <c r="H21" s="7" t="str">
        <f>AM21/AF21-1</f>
      </c>
      <c r="I21" s="7" t="str">
        <f>AN21/AM21</f>
      </c>
      <c r="J21" s="7" t="str">
        <f>AM21/Sum(AM$1:AM$41)</f>
      </c>
      <c r="K21" s="7" t="str">
        <f>AN21/Sum(AN1:AN$41)</f>
      </c>
      <c r="O21" t="s">
        <v>112</v>
      </c>
      <c r="P21" t="n">
        <v>2238</v>
      </c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 t="n">
        <v>6140.66245727424</v>
      </c>
      <c r="AL21" s="11"/>
      <c r="AM21" s="11"/>
      <c r="AN21" s="11"/>
      <c r="AO21" s="11"/>
    </row>
    <row r="22">
      <c r="A22" t="str">
        <f>O22</f>
      </c>
      <c r="B22" t="str">
        <f>P22</f>
      </c>
      <c r="C22" s="11" t="str">
        <f>AF22</f>
      </c>
      <c r="D22" s="11" t="str">
        <f>AL22</f>
      </c>
      <c r="E22" s="11" t="str">
        <f>AM22</f>
      </c>
      <c r="F22" s="11" t="str">
        <f>AN22</f>
      </c>
      <c r="G22" s="7" t="str">
        <f>AM22/AL22-1</f>
      </c>
      <c r="H22" s="7" t="str">
        <f>AM22/AF22-1</f>
      </c>
      <c r="I22" s="7" t="str">
        <f>AN22/AM22</f>
      </c>
      <c r="J22" s="7" t="str">
        <f>AM22/Sum(AM$1:AM$41)</f>
      </c>
      <c r="K22" s="7" t="str">
        <f>AN22/Sum(AN1:AN$41)</f>
      </c>
      <c r="O22" t="s">
        <v>113</v>
      </c>
      <c r="P22" t="n">
        <v>1973</v>
      </c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 t="n">
        <v>11283.4640512505</v>
      </c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</row>
    <row r="23">
      <c r="A23" t="str">
        <f>O23</f>
      </c>
      <c r="B23" t="str">
        <f>P23</f>
      </c>
      <c r="C23" s="11" t="str">
        <f>AF23</f>
      </c>
      <c r="D23" s="11" t="str">
        <f>AL23</f>
      </c>
      <c r="E23" s="11" t="str">
        <f>AM23</f>
      </c>
      <c r="F23" s="11" t="str">
        <f>AN23</f>
      </c>
      <c r="G23" s="7" t="str">
        <f>AM23/AL23-1</f>
      </c>
      <c r="H23" s="7" t="str">
        <f>AM23/AF23-1</f>
      </c>
      <c r="I23" s="7" t="str">
        <f>AN23/AM23</f>
      </c>
      <c r="J23" s="7" t="str">
        <f>AM23/Sum(AM$1:AM$41)</f>
      </c>
      <c r="K23" s="7" t="str">
        <f>AN23/Sum(AN1:AN$41)</f>
      </c>
      <c r="O23" t="s">
        <v>114</v>
      </c>
      <c r="P23" t="n">
        <v>763</v>
      </c>
      <c r="Q23" s="11"/>
      <c r="R23" s="11" t="n">
        <v>528019.45814266</v>
      </c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</row>
    <row r="24">
      <c r="A24" t="str">
        <f>O24</f>
      </c>
      <c r="B24" t="str">
        <f>P24</f>
      </c>
      <c r="C24" s="11" t="str">
        <f>AF24</f>
      </c>
      <c r="D24" s="11" t="str">
        <f>AL24</f>
      </c>
      <c r="E24" s="11" t="str">
        <f>AM24</f>
      </c>
      <c r="F24" s="11" t="str">
        <f>AN24</f>
      </c>
      <c r="G24" s="7" t="str">
        <f>AM24/AL24-1</f>
      </c>
      <c r="H24" s="7" t="str">
        <f>AM24/AF24-1</f>
      </c>
      <c r="I24" s="7" t="str">
        <f>AN24/AM24</f>
      </c>
      <c r="J24" s="7" t="str">
        <f>AM24/Sum(AM$1:AM$41)</f>
      </c>
      <c r="K24" s="7" t="str">
        <f>AN24/Sum(AN1:AN$41)</f>
      </c>
      <c r="O24" t="s">
        <v>115</v>
      </c>
      <c r="P24" t="n">
        <v>1777</v>
      </c>
      <c r="Q24" s="11"/>
      <c r="R24" s="11"/>
      <c r="S24" s="11"/>
      <c r="T24" s="11" t="n">
        <v>532444.352867856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</row>
    <row r="25">
      <c r="A25" t="str">
        <f>O25</f>
      </c>
      <c r="B25" t="str">
        <f>P25</f>
      </c>
      <c r="C25" s="11" t="str">
        <f>AF25</f>
      </c>
      <c r="D25" s="11" t="str">
        <f>AL25</f>
      </c>
      <c r="E25" s="11" t="str">
        <f>AM25</f>
      </c>
      <c r="F25" s="11" t="str">
        <f>AN25</f>
      </c>
      <c r="G25" s="7" t="str">
        <f>AM25/AL25-1</f>
      </c>
      <c r="H25" s="7" t="str">
        <f>AM25/AF25-1</f>
      </c>
      <c r="I25" s="7" t="str">
        <f>AN25/AM25</f>
      </c>
      <c r="J25" s="7" t="str">
        <f>AM25/Sum(AM$1:AM$41)</f>
      </c>
      <c r="K25" s="7" t="str">
        <f>AN25/Sum(AN1:AN$41)</f>
      </c>
      <c r="O25" t="s">
        <v>116</v>
      </c>
      <c r="P25" t="n">
        <v>1778</v>
      </c>
      <c r="Q25" s="11" t="n">
        <v>70313.3403058548</v>
      </c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</row>
    <row r="26">
      <c r="A26" t="str">
        <f>O26</f>
      </c>
      <c r="B26" t="str">
        <f>P26</f>
      </c>
      <c r="C26" s="11" t="str">
        <f>AF26</f>
      </c>
      <c r="D26" s="11" t="str">
        <f>AL26</f>
      </c>
      <c r="E26" s="11" t="str">
        <f>AM26</f>
      </c>
      <c r="F26" s="11" t="str">
        <f>AN26</f>
      </c>
      <c r="G26" s="7" t="str">
        <f>AM26/AL26-1</f>
      </c>
      <c r="H26" s="7" t="str">
        <f>AM26/AF26-1</f>
      </c>
      <c r="I26" s="7" t="str">
        <f>AN26/AM26</f>
      </c>
      <c r="J26" s="7" t="str">
        <f>AM26/Sum(AM$1:AM$41)</f>
      </c>
      <c r="K26" s="7" t="str">
        <f>AN26/Sum(AN1:AN$41)</f>
      </c>
      <c r="O26" t="s">
        <v>73</v>
      </c>
      <c r="P26" t="n">
        <v>1805</v>
      </c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 t="n">
        <v>479574.195213963</v>
      </c>
      <c r="AL26" s="11"/>
      <c r="AM26" s="11"/>
      <c r="AN26" s="11"/>
      <c r="AO26" s="11"/>
    </row>
    <row r="27">
      <c r="A27" t="str">
        <f>O27</f>
      </c>
      <c r="B27" t="str">
        <f>P27</f>
      </c>
      <c r="C27" s="11" t="str">
        <f>AF27</f>
      </c>
      <c r="D27" s="11" t="str">
        <f>AL27</f>
      </c>
      <c r="E27" s="11" t="str">
        <f>AM27</f>
      </c>
      <c r="F27" s="11" t="str">
        <f>AN27</f>
      </c>
      <c r="G27" s="7" t="str">
        <f>AM27/AL27-1</f>
      </c>
      <c r="H27" s="7" t="str">
        <f>AM27/AF27-1</f>
      </c>
      <c r="I27" s="7" t="str">
        <f>AN27/AM27</f>
      </c>
      <c r="J27" s="7" t="str">
        <f>AM27/Sum(AM$1:AM$41)</f>
      </c>
      <c r="K27" s="7" t="str">
        <f>AN27/Sum(AN1:AN$41)</f>
      </c>
      <c r="O27" t="s">
        <v>74</v>
      </c>
      <c r="P27" t="n">
        <v>2243</v>
      </c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 t="n">
        <v>19111.9168823449</v>
      </c>
      <c r="AL27" s="11"/>
      <c r="AM27" s="11"/>
      <c r="AN27" s="11"/>
      <c r="AO27" s="11"/>
    </row>
    <row r="28">
      <c r="A28" t="str">
        <f>O28</f>
      </c>
      <c r="B28" t="str">
        <f>P28</f>
      </c>
      <c r="C28" s="11" t="str">
        <f>AF28</f>
      </c>
      <c r="D28" s="11" t="str">
        <f>AL28</f>
      </c>
      <c r="E28" s="11" t="str">
        <f>AM28</f>
      </c>
      <c r="F28" s="11" t="str">
        <f>AN28</f>
      </c>
      <c r="G28" s="7" t="str">
        <f>AM28/AL28-1</f>
      </c>
      <c r="H28" s="7" t="str">
        <f>AM28/AF28-1</f>
      </c>
      <c r="I28" s="7" t="str">
        <f>AN28/AM28</f>
      </c>
      <c r="J28" s="7" t="str">
        <f>AM28/Sum(AM$1:AM$41)</f>
      </c>
      <c r="K28" s="7" t="str">
        <f>AN28/Sum(AN1:AN$41)</f>
      </c>
      <c r="O28" t="s">
        <v>117</v>
      </c>
      <c r="P28" t="n">
        <v>1965</v>
      </c>
      <c r="Q28" s="11"/>
      <c r="R28" s="11"/>
      <c r="S28" s="11"/>
      <c r="T28" s="11"/>
      <c r="U28" s="11"/>
      <c r="V28" s="11"/>
      <c r="W28" s="11" t="n">
        <v>10775.424775193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>
      <c r="A29" t="str">
        <f>O29</f>
      </c>
      <c r="B29" t="str">
        <f>P29</f>
      </c>
      <c r="C29" s="11" t="str">
        <f>AF29</f>
      </c>
      <c r="D29" s="11" t="str">
        <f>AL29</f>
      </c>
      <c r="E29" s="11" t="str">
        <f>AM29</f>
      </c>
      <c r="F29" s="11" t="str">
        <f>AN29</f>
      </c>
      <c r="G29" s="7" t="str">
        <f>AM29/AL29-1</f>
      </c>
      <c r="H29" s="7" t="str">
        <f>AM29/AF29-1</f>
      </c>
      <c r="I29" s="7" t="str">
        <f>AN29/AM29</f>
      </c>
      <c r="J29" s="7" t="str">
        <f>AM29/Sum(AM$1:AM$41)</f>
      </c>
      <c r="K29" s="7" t="str">
        <f>AN29/Sum(AN1:AN$41)</f>
      </c>
      <c r="O29" t="s">
        <v>76</v>
      </c>
      <c r="P29" t="n">
        <v>2258</v>
      </c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 t="n">
        <v>20077903.8745695</v>
      </c>
      <c r="AL29" s="11"/>
      <c r="AM29" s="11"/>
      <c r="AN29" s="11"/>
      <c r="AO29" s="11"/>
    </row>
    <row r="30">
      <c r="A30" t="str">
        <f>O30</f>
      </c>
      <c r="B30" t="str">
        <f>P30</f>
      </c>
      <c r="C30" s="11" t="str">
        <f>AF30</f>
      </c>
      <c r="D30" s="11" t="str">
        <f>AL30</f>
      </c>
      <c r="E30" s="11" t="str">
        <f>AM30</f>
      </c>
      <c r="F30" s="11" t="str">
        <f>AN30</f>
      </c>
      <c r="G30" s="7" t="str">
        <f>AM30/AL30-1</f>
      </c>
      <c r="H30" s="7" t="str">
        <f>AM30/AF30-1</f>
      </c>
      <c r="I30" s="7" t="str">
        <f>AN30/AM30</f>
      </c>
      <c r="J30" s="7" t="str">
        <f>AM30/Sum(AM$1:AM$41)</f>
      </c>
      <c r="K30" s="7" t="str">
        <f>AN30/Sum(AN1:AN$41)</f>
      </c>
      <c r="O30" t="s">
        <v>118</v>
      </c>
      <c r="P30" t="n">
        <v>1979</v>
      </c>
      <c r="Q30" s="11"/>
      <c r="R30" s="11"/>
      <c r="S30" s="11"/>
      <c r="T30" s="11"/>
      <c r="U30" s="11"/>
      <c r="V30" s="11"/>
      <c r="W30" s="11" t="n">
        <v>740631.142508558</v>
      </c>
      <c r="X30" s="11" t="n">
        <v>277184.803306485</v>
      </c>
      <c r="Y30" s="11"/>
      <c r="Z30" s="11"/>
      <c r="AA30" s="11" t="n">
        <v>11946.4212670092</v>
      </c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</row>
    <row r="31">
      <c r="A31" t="str">
        <f>O31</f>
      </c>
      <c r="B31" t="str">
        <f>P31</f>
      </c>
      <c r="C31" s="11" t="str">
        <f>AF31</f>
      </c>
      <c r="D31" s="11" t="str">
        <f>AL31</f>
      </c>
      <c r="E31" s="11" t="str">
        <f>AM31</f>
      </c>
      <c r="F31" s="11" t="str">
        <f>AN31</f>
      </c>
      <c r="G31" s="7" t="str">
        <f>AM31/AL31-1</f>
      </c>
      <c r="H31" s="7" t="str">
        <f>AM31/AF31-1</f>
      </c>
      <c r="I31" s="7" t="str">
        <f>AN31/AM31</f>
      </c>
      <c r="J31" s="7" t="str">
        <f>AM31/Sum(AM$1:AM$41)</f>
      </c>
      <c r="K31" s="7" t="str">
        <f>AN31/Sum(AN1:AN$41)</f>
      </c>
      <c r="O31" t="s">
        <v>119</v>
      </c>
      <c r="P31" t="n">
        <v>154</v>
      </c>
      <c r="Q31" s="11" t="n">
        <v>234280.85721653</v>
      </c>
      <c r="R31" s="11" t="n">
        <v>350993.396037082</v>
      </c>
      <c r="S31" s="11" t="n">
        <v>723492.619802389</v>
      </c>
      <c r="T31" s="11" t="n">
        <v>39194.6458318712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>
      <c r="A32" t="str">
        <f>O32</f>
      </c>
      <c r="B32" t="str">
        <f>P32</f>
      </c>
      <c r="C32" s="11" t="str">
        <f>AF32</f>
      </c>
      <c r="D32" s="11" t="str">
        <f>AL32</f>
      </c>
      <c r="E32" s="11" t="str">
        <f>AM32</f>
      </c>
      <c r="F32" s="11" t="str">
        <f>AN32</f>
      </c>
      <c r="G32" s="7" t="str">
        <f>AM32/AL32-1</f>
      </c>
      <c r="H32" s="7" t="str">
        <f>AM32/AF32-1</f>
      </c>
      <c r="I32" s="7" t="str">
        <f>AN32/AM32</f>
      </c>
      <c r="J32" s="7" t="str">
        <f>AM32/Sum(AM$1:AM$41)</f>
      </c>
      <c r="K32" s="7" t="str">
        <f>AN32/Sum(AN1:AN$41)</f>
      </c>
      <c r="O32" t="s">
        <v>120</v>
      </c>
      <c r="P32" t="n">
        <v>583</v>
      </c>
      <c r="Q32" s="11" t="n">
        <v>489945.901641755</v>
      </c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</row>
    <row r="33">
      <c r="A33" t="str">
        <f>O33</f>
      </c>
      <c r="B33" t="str">
        <f>P33</f>
      </c>
      <c r="C33" s="11" t="str">
        <f>AF33</f>
      </c>
      <c r="D33" s="11" t="str">
        <f>AL33</f>
      </c>
      <c r="E33" s="11" t="str">
        <f>AM33</f>
      </c>
      <c r="F33" s="11" t="str">
        <f>AN33</f>
      </c>
      <c r="G33" s="7" t="str">
        <f>AM33/AL33-1</f>
      </c>
      <c r="H33" s="7" t="str">
        <f>AM33/AF33-1</f>
      </c>
      <c r="I33" s="7" t="str">
        <f>AN33/AM33</f>
      </c>
      <c r="J33" s="7" t="str">
        <f>AM33/Sum(AM$1:AM$41)</f>
      </c>
      <c r="K33" s="7" t="str">
        <f>AN33/Sum(AN1:AN$41)</f>
      </c>
      <c r="O33" t="s">
        <v>82</v>
      </c>
      <c r="P33" t="n">
        <v>2233</v>
      </c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 t="n">
        <v>1361261.04713009</v>
      </c>
      <c r="AO33" s="11"/>
    </row>
    <row r="34">
      <c r="A34" t="str">
        <f>O34</f>
      </c>
      <c r="B34" t="str">
        <f>P34</f>
      </c>
      <c r="C34" s="11" t="str">
        <f>AF34</f>
      </c>
      <c r="D34" s="11" t="str">
        <f>AL34</f>
      </c>
      <c r="E34" s="11" t="str">
        <f>AM34</f>
      </c>
      <c r="F34" s="11" t="str">
        <f>AN34</f>
      </c>
      <c r="G34" s="7" t="str">
        <f>AM34/AL34-1</f>
      </c>
      <c r="H34" s="7" t="str">
        <f>AM34/AF34-1</f>
      </c>
      <c r="I34" s="7" t="str">
        <f>AN34/AM34</f>
      </c>
      <c r="J34" s="7" t="str">
        <f>AM34/Sum(AM$1:AM$41)</f>
      </c>
      <c r="K34" s="7" t="str">
        <f>AN34/Sum(AN1:AN$41)</f>
      </c>
      <c r="O34" t="s">
        <v>77</v>
      </c>
      <c r="P34" t="n">
        <v>601</v>
      </c>
      <c r="Q34" s="11" t="n">
        <v>768395.971228824</v>
      </c>
      <c r="R34" s="11" t="n">
        <v>367473.29971658</v>
      </c>
      <c r="S34" s="11" t="n">
        <v>10552441.7097882</v>
      </c>
      <c r="T34" s="11" t="n">
        <v>14446901.725191</v>
      </c>
      <c r="U34" s="11" t="n">
        <v>711833.232742544</v>
      </c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</row>
    <row r="35">
      <c r="A35" t="str">
        <f>O35</f>
      </c>
      <c r="B35" t="str">
        <f>P35</f>
      </c>
      <c r="C35" s="11" t="str">
        <f>AF35</f>
      </c>
      <c r="D35" s="11" t="str">
        <f>AL35</f>
      </c>
      <c r="E35" s="11" t="str">
        <f>AM35</f>
      </c>
      <c r="F35" s="11" t="str">
        <f>AN35</f>
      </c>
      <c r="G35" s="7" t="str">
        <f>AM35/AL35-1</f>
      </c>
      <c r="H35" s="7" t="str">
        <f>AM35/AF35-1</f>
      </c>
      <c r="I35" s="7" t="str">
        <f>AN35/AM35</f>
      </c>
      <c r="J35" s="7" t="str">
        <f>AM35/Sum(AM$1:AM$41)</f>
      </c>
      <c r="K35" s="7" t="str">
        <f>AN35/Sum(AN1:AN$41)</f>
      </c>
      <c r="O35" t="s">
        <v>121</v>
      </c>
      <c r="P35" t="n">
        <v>1961</v>
      </c>
      <c r="Q35" s="11"/>
      <c r="R35" s="11"/>
      <c r="S35" s="11"/>
      <c r="T35" s="11"/>
      <c r="U35" s="11"/>
      <c r="V35" s="11" t="n">
        <v>3733.29107005308</v>
      </c>
      <c r="W35" s="11"/>
      <c r="X35" s="11"/>
      <c r="Y35" s="11" t="n">
        <v>43502.9697078658</v>
      </c>
      <c r="Z35" s="11" t="n">
        <v>64600.7309775302</v>
      </c>
      <c r="AA35" s="11" t="n">
        <v>403818.22258565</v>
      </c>
      <c r="AB35" s="11" t="n">
        <v>103227.58987391</v>
      </c>
      <c r="AC35" s="11" t="n">
        <v>47716.1239497558</v>
      </c>
      <c r="AD35" s="11" t="n">
        <v>10945.9424433318</v>
      </c>
      <c r="AE35" s="11" t="n">
        <v>22051.2771673806</v>
      </c>
      <c r="AF35" s="11" t="n">
        <v>-5359.89841657856</v>
      </c>
      <c r="AG35" s="11" t="n">
        <v>-7034.75945414301</v>
      </c>
      <c r="AH35" s="11"/>
      <c r="AI35" s="11"/>
      <c r="AJ35" s="11"/>
      <c r="AK35" s="11"/>
      <c r="AL35" s="11"/>
      <c r="AM35" s="11"/>
      <c r="AN35" s="11"/>
      <c r="AO35" s="11"/>
    </row>
    <row r="36">
      <c r="A36" t="str">
        <f>O36</f>
      </c>
      <c r="B36" t="str">
        <f>P36</f>
      </c>
      <c r="C36" s="11" t="str">
        <f>AF36</f>
      </c>
      <c r="D36" s="11" t="str">
        <f>AL36</f>
      </c>
      <c r="E36" s="11" t="str">
        <f>AM36</f>
      </c>
      <c r="F36" s="11" t="str">
        <f>AN36</f>
      </c>
      <c r="G36" s="7" t="str">
        <f>AM36/AL36-1</f>
      </c>
      <c r="H36" s="7" t="str">
        <f>AM36/AF36-1</f>
      </c>
      <c r="I36" s="7" t="str">
        <f>AN36/AM36</f>
      </c>
      <c r="J36" s="7" t="str">
        <f>AM36/Sum(AM$1:AM$41)</f>
      </c>
      <c r="K36" s="7" t="str">
        <f>AN36/Sum(AN1:AN$41)</f>
      </c>
      <c r="O36" t="s">
        <v>78</v>
      </c>
      <c r="P36" t="n">
        <v>2202</v>
      </c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 t="n">
        <v>58133.6068581317</v>
      </c>
      <c r="AK36" s="11" t="n">
        <v>154466.397243959</v>
      </c>
      <c r="AL36" s="11" t="n">
        <v>168306.030400514</v>
      </c>
      <c r="AM36" s="11" t="n">
        <v>46356.5</v>
      </c>
      <c r="AN36" s="11"/>
      <c r="AO36" s="11"/>
    </row>
    <row r="37">
      <c r="A37" t="str">
        <f>O37</f>
      </c>
      <c r="B37" t="str">
        <f>P37</f>
      </c>
      <c r="C37" s="11" t="str">
        <f>AF37</f>
      </c>
      <c r="D37" s="11" t="str">
        <f>AL37</f>
      </c>
      <c r="E37" s="11" t="str">
        <f>AM37</f>
      </c>
      <c r="F37" s="11" t="str">
        <f>AN37</f>
      </c>
      <c r="G37" s="7" t="str">
        <f>AM37/AL37-1</f>
      </c>
      <c r="H37" s="7" t="str">
        <f>AM37/AF37-1</f>
      </c>
      <c r="I37" s="7" t="str">
        <f>AN37/AM37</f>
      </c>
      <c r="J37" s="7" t="str">
        <f>AM37/Sum(AM$1:AM$41)</f>
      </c>
      <c r="K37" s="7" t="str">
        <f>AN37/Sum(AN1:AN$41)</f>
      </c>
      <c r="O37" t="s">
        <v>122</v>
      </c>
      <c r="P37" t="n">
        <v>1952</v>
      </c>
      <c r="Q37" s="11"/>
      <c r="R37" s="11"/>
      <c r="S37" s="11"/>
      <c r="T37" s="11"/>
      <c r="U37" s="11"/>
      <c r="V37" s="11"/>
      <c r="W37" s="11"/>
      <c r="X37" s="11"/>
      <c r="Y37" s="11" t="n">
        <v>382878.121044313</v>
      </c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>
      <c r="A38" t="str">
        <f>O38</f>
      </c>
      <c r="B38" t="str">
        <f>P38</f>
      </c>
      <c r="C38" s="11" t="str">
        <f>AF38</f>
      </c>
      <c r="D38" s="11" t="str">
        <f>AL38</f>
      </c>
      <c r="E38" s="11" t="str">
        <f>AM38</f>
      </c>
      <c r="F38" s="11" t="str">
        <f>AN38</f>
      </c>
      <c r="G38" s="7" t="str">
        <f>AM38/AL38-1</f>
      </c>
      <c r="H38" s="7" t="str">
        <f>AM38/AF38-1</f>
      </c>
      <c r="I38" s="7" t="str">
        <f>AN38/AM38</f>
      </c>
      <c r="J38" s="7" t="str">
        <f>AM38/Sum(AM$1:AM$41)</f>
      </c>
      <c r="K38" s="7" t="str">
        <f>AN38/Sum(AN1:AN$41)</f>
      </c>
      <c r="O38" t="s">
        <v>79</v>
      </c>
      <c r="P38" t="n">
        <v>482</v>
      </c>
      <c r="Q38" s="11" t="n">
        <v>7028425.71649589</v>
      </c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</row>
    <row r="39">
      <c r="A39" t="str">
        <f>O39</f>
      </c>
      <c r="B39" t="str">
        <f>P39</f>
      </c>
      <c r="C39" s="11" t="str">
        <f>AF39</f>
      </c>
      <c r="D39" s="11" t="str">
        <f>AL39</f>
      </c>
      <c r="E39" s="11" t="str">
        <f>AM39</f>
      </c>
      <c r="F39" s="11" t="str">
        <f>AN39</f>
      </c>
      <c r="G39" s="7" t="str">
        <f>AM39/AL39-1</f>
      </c>
      <c r="H39" s="7" t="str">
        <f>AM39/AF39-1</f>
      </c>
      <c r="I39" s="7" t="str">
        <f>AN39/AM39</f>
      </c>
      <c r="J39" s="7" t="str">
        <f>AM39/Sum(AM$1:AM$41)</f>
      </c>
      <c r="K39" s="7" t="str">
        <f>AN39/Sum(AN1:AN$41)</f>
      </c>
      <c r="O39" t="s">
        <v>80</v>
      </c>
      <c r="P39" t="n">
        <v>604</v>
      </c>
      <c r="Q39" s="11" t="n">
        <v>498775.866363743</v>
      </c>
      <c r="R39" s="11" t="n">
        <v>2115576.67686672</v>
      </c>
      <c r="S39" s="11" t="n">
        <v>46689806.1786352</v>
      </c>
      <c r="T39" s="11" t="n">
        <v>13736537.0559265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</row>
    <row r="40">
      <c r="A40" t="str">
        <f>O40</f>
      </c>
      <c r="B40" t="str">
        <f>P40</f>
      </c>
      <c r="C40" s="11" t="str">
        <f>AF40</f>
      </c>
      <c r="D40" s="11" t="str">
        <f>AL40</f>
      </c>
      <c r="E40" s="11" t="str">
        <f>AM40</f>
      </c>
      <c r="F40" s="11" t="str">
        <f>AN40</f>
      </c>
      <c r="G40" s="7" t="str">
        <f>AM40/AL40-1</f>
      </c>
      <c r="H40" s="7" t="str">
        <f>AM40/AF40-1</f>
      </c>
      <c r="I40" s="7" t="str">
        <f>AN40/AM40</f>
      </c>
      <c r="J40" s="7" t="str">
        <f>AM40/Sum(AM$1:AM$41)</f>
      </c>
      <c r="K40" s="7" t="str">
        <f>AN40/Sum(AN1:AN$41)</f>
      </c>
      <c r="O40" t="s">
        <v>123</v>
      </c>
      <c r="P40" t="n">
        <v>2015</v>
      </c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 t="n">
        <v>4252.20942799756</v>
      </c>
      <c r="AG40" s="11" t="n">
        <v>77704.0204469398</v>
      </c>
      <c r="AH40" s="11" t="n">
        <v>118341.886596331</v>
      </c>
      <c r="AI40" s="11" t="n">
        <v>96446.9870230631</v>
      </c>
      <c r="AJ40" s="11"/>
      <c r="AK40" s="11"/>
      <c r="AL40" s="11"/>
      <c r="AM40" s="11"/>
      <c r="AN40" s="11"/>
      <c r="AO40" s="11"/>
    </row>
    <row r="41">
      <c r="A41" t="str">
        <f>O41</f>
      </c>
      <c r="B41" t="str">
        <f>P41</f>
      </c>
      <c r="C41" s="11" t="str">
        <f>AF41</f>
      </c>
      <c r="D41" s="11" t="str">
        <f>AL41</f>
      </c>
      <c r="E41" s="11" t="str">
        <f>AM41</f>
      </c>
      <c r="F41" s="11" t="str">
        <f>AN41</f>
      </c>
      <c r="G41" s="7" t="str">
        <f>AM41/AL41-1</f>
      </c>
      <c r="H41" s="7" t="str">
        <f>AM41/AF41-1</f>
      </c>
      <c r="I41" s="7" t="str">
        <f>AN41/AM41</f>
      </c>
      <c r="J41" s="7" t="str">
        <f>AM41/Sum(AM$1:AM$41)</f>
      </c>
      <c r="K41" s="7" t="str">
        <f>AN41/Sum(AN1:AN$41)</f>
      </c>
      <c r="O41"/>
      <c r="P41"/>
      <c r="Q41" s="11" t="n">
        <v>13944884554.3753</v>
      </c>
      <c r="R41" s="11" t="n">
        <v>16123901957.5999</v>
      </c>
      <c r="S41" s="11" t="n">
        <v>20737566447.6486</v>
      </c>
      <c r="T41" s="11" t="n">
        <v>23649014789.1835</v>
      </c>
      <c r="U41" s="11" t="n">
        <v>27241932696.6099</v>
      </c>
      <c r="V41" s="11" t="n">
        <v>45889167791.7459</v>
      </c>
      <c r="W41" s="11" t="n">
        <v>48398542881.1923</v>
      </c>
      <c r="X41" s="11" t="n">
        <v>46660098186.999</v>
      </c>
      <c r="Y41" s="11" t="n">
        <v>52120555957.6808</v>
      </c>
      <c r="Z41" s="11" t="n">
        <v>46998950067.1134</v>
      </c>
      <c r="AA41" s="11" t="n">
        <v>38097175829.8049</v>
      </c>
      <c r="AB41" s="11" t="n">
        <v>38480369383.5963</v>
      </c>
      <c r="AC41" s="11" t="n">
        <v>44524338622.5066</v>
      </c>
      <c r="AD41" s="11" t="n">
        <v>32728943764.5373</v>
      </c>
      <c r="AE41" s="11" t="n">
        <v>29441704540.3383</v>
      </c>
      <c r="AF41" s="11" t="n">
        <v>25271294787.5131</v>
      </c>
      <c r="AG41" s="11" t="n">
        <v>23085410357.691</v>
      </c>
      <c r="AH41" s="11" t="n">
        <v>25216898451.7483</v>
      </c>
      <c r="AI41" s="11" t="n">
        <v>28985497691.1817</v>
      </c>
      <c r="AJ41" s="11" t="n">
        <v>25997386385.985</v>
      </c>
      <c r="AK41" s="11" t="n">
        <v>28172998094.9636</v>
      </c>
      <c r="AL41" s="11" t="n">
        <v>57206019014.6902</v>
      </c>
      <c r="AM41" s="11" t="n">
        <v>58510333010.0319</v>
      </c>
      <c r="AN41" s="11" t="n">
        <v>18069578940.9147</v>
      </c>
      <c r="AO41" s="11"/>
    </row>
    <row r="42">
      <c r="A42" t="str">
        <f>O42</f>
      </c>
      <c r="B42" t="str">
        <f>P42</f>
      </c>
      <c r="C42" s="11" t="str">
        <f>AF42</f>
      </c>
      <c r="D42" s="11" t="str">
        <f>AL42</f>
      </c>
      <c r="E42" s="11" t="str">
        <f>AM42</f>
      </c>
      <c r="F42" s="11" t="str">
        <f>AN42</f>
      </c>
      <c r="G42" s="7" t="str">
        <f>AM42/AL42-1</f>
      </c>
      <c r="H42" s="7" t="str">
        <f>AM42/AF42-1</f>
      </c>
      <c r="I42" s="7" t="str">
        <f>AN42/AM42</f>
      </c>
      <c r="J42" s="7" t="str">
        <f>Sum(J$1:J$41)</f>
      </c>
      <c r="K42" s="7" t="str">
        <f>Sum(K$1:K$41)</f>
      </c>
      <c r="O42" t="s">
        <v>124</v>
      </c>
      <c r="P42" t="s">
        <v>125</v>
      </c>
      <c r="Q42" s="11" t="str">
        <f>Sum(Q2:Q41)</f>
      </c>
      <c r="R42" s="11" t="str">
        <f>Sum(R2:R41)</f>
      </c>
      <c r="S42" s="11" t="str">
        <f>Sum(S2:S41)</f>
      </c>
      <c r="T42" s="11" t="str">
        <f>Sum(T2:T41)</f>
      </c>
      <c r="U42" s="11" t="str">
        <f>Sum(U2:U41)</f>
      </c>
      <c r="V42" s="11" t="str">
        <f>Sum(V2:V41)</f>
      </c>
      <c r="W42" s="11" t="str">
        <f>Sum(W2:W41)</f>
      </c>
      <c r="X42" s="11" t="str">
        <f>Sum(X2:X41)</f>
      </c>
      <c r="Y42" s="11" t="str">
        <f>Sum(Y2:Y41)</f>
      </c>
      <c r="Z42" s="11" t="str">
        <f>Sum(Z2:Z41)</f>
      </c>
      <c r="AA42" s="11" t="str">
        <f>Sum(AA2:AA41)</f>
      </c>
      <c r="AB42" s="11" t="str">
        <f>Sum(AB2:AB41)</f>
      </c>
      <c r="AC42" s="11" t="str">
        <f>Sum(AC2:AC41)</f>
      </c>
      <c r="AD42" s="11" t="str">
        <f>Sum(AD2:AD41)</f>
      </c>
      <c r="AE42" s="11" t="str">
        <f>Sum(AE2:AE41)</f>
      </c>
      <c r="AF42" s="11" t="str">
        <f>Sum(AF2:AF41)</f>
      </c>
      <c r="AG42" s="11" t="str">
        <f>Sum(AG2:AG41)</f>
      </c>
      <c r="AH42" s="11" t="str">
        <f>Sum(AH2:AH41)</f>
      </c>
      <c r="AI42" s="11" t="str">
        <f>Sum(AI2:AI41)</f>
      </c>
      <c r="AJ42" s="11" t="str">
        <f>Sum(AJ2:AJ41)</f>
      </c>
      <c r="AK42" s="11" t="str">
        <f>Sum(AK2:AK41)</f>
      </c>
      <c r="AL42" s="11" t="str">
        <f>Sum(AL2:AL41)</f>
      </c>
      <c r="AM42" s="11" t="str">
        <f>Sum(AM2:AM41)</f>
      </c>
      <c r="AN42" s="11"/>
      <c r="AO42" s="11"/>
    </row>
    <row r="43">
      <c r="P43" t="str">
        <f>Sum(A2:A41)</f>
      </c>
    </row>
    <row r="44">
      <c r="P44" t="str">
        <f>Sum(B2:B41)</f>
      </c>
    </row>
    <row r="45">
      <c r="P45" t="str">
        <f>Sum(C2:C41)</f>
      </c>
    </row>
    <row r="46">
      <c r="P46" t="str">
        <f>Sum(D2:D41)</f>
      </c>
    </row>
    <row r="47">
      <c r="P47" t="str">
        <f>Sum(E2:E41)</f>
      </c>
    </row>
    <row r="48">
      <c r="P48" t="str">
        <f>Sum(F2:F41)</f>
      </c>
    </row>
    <row r="49">
      <c r="P49" t="str">
        <f>Sum(G2:G41)</f>
      </c>
    </row>
    <row r="50">
      <c r="P50" t="str">
        <f>Sum(H2:H41)</f>
      </c>
    </row>
    <row r="51">
      <c r="P51" t="str">
        <f>Sum(I2:I41)</f>
      </c>
    </row>
    <row r="52">
      <c r="P52" t="str">
        <f>Sum(J2:J41)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126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127</v>
      </c>
      <c r="L2" s="12" t="n">
        <v>30111000</v>
      </c>
      <c r="M2" s="12" t="n">
        <v>13597000</v>
      </c>
      <c r="N2" s="12" t="n">
        <v>13953771</v>
      </c>
      <c r="O2" s="12" t="n">
        <v>18674971</v>
      </c>
      <c r="P2" s="12" t="n">
        <v>42598531</v>
      </c>
      <c r="Q2" s="12" t="n">
        <v>45034796</v>
      </c>
      <c r="R2" s="12" t="n">
        <v>38378094</v>
      </c>
      <c r="S2" s="12" t="n">
        <v>140240126</v>
      </c>
      <c r="T2" s="12" t="n">
        <v>104833252</v>
      </c>
      <c r="U2" s="12" t="n">
        <v>120269918</v>
      </c>
      <c r="V2" s="12" t="n">
        <v>141621032</v>
      </c>
      <c r="W2" s="12" t="n">
        <v>167387698</v>
      </c>
      <c r="X2" s="12" t="n">
        <v>194914548</v>
      </c>
      <c r="Y2" s="12" t="n">
        <v>237972736.0938</v>
      </c>
      <c r="Z2" s="12" t="n">
        <v>241431334.4687</v>
      </c>
      <c r="AA2" s="12" t="n">
        <v>331749108</v>
      </c>
      <c r="AB2" s="12" t="n">
        <v>404721717.5</v>
      </c>
      <c r="AC2" s="12" t="n">
        <v>469941277.8006</v>
      </c>
      <c r="AD2" s="12" t="n">
        <v>482143127.9571</v>
      </c>
      <c r="AE2" s="12" t="n">
        <v>528644654.4707</v>
      </c>
      <c r="AF2" s="12" t="n">
        <v>396200149.9131</v>
      </c>
      <c r="AG2" s="12" t="n">
        <v>501762224.2915</v>
      </c>
      <c r="AH2" s="12" t="n">
        <v>507418922.0973</v>
      </c>
      <c r="AI2" s="12" t="n">
        <v>394639030.7921</v>
      </c>
      <c r="AJ2" s="12" t="n">
        <v>396679796.2526</v>
      </c>
      <c r="AK2" s="12" t="n">
        <v>301457763.5519</v>
      </c>
      <c r="AL2" s="12" t="n">
        <v>399023693.5743</v>
      </c>
      <c r="AM2" s="12" t="n">
        <v>394228159.2218</v>
      </c>
      <c r="AN2" s="12" t="n">
        <v>429151483.6875</v>
      </c>
      <c r="AO2" s="12" t="n">
        <v>402214113.6291</v>
      </c>
      <c r="AP2" s="12" t="n">
        <v>339092196.6452</v>
      </c>
      <c r="AQ2" s="12" t="n">
        <v>649540054.9249</v>
      </c>
      <c r="AR2" s="12" t="n">
        <v>393387686.8236</v>
      </c>
      <c r="AS2" s="12" t="n">
        <v>218152609.2603</v>
      </c>
      <c r="AT2" s="12"/>
      <c r="AU2" s="12"/>
    </row>
    <row r="3">
      <c r="A3" t="str">
        <f>K3</f>
      </c>
      <c r="K3" t="s">
        <v>128</v>
      </c>
      <c r="L3" s="12" t="n">
        <v>2386958000</v>
      </c>
      <c r="M3" s="12" t="n">
        <v>3052712759</v>
      </c>
      <c r="N3" s="12" t="n">
        <v>1785408612</v>
      </c>
      <c r="O3" s="12" t="n">
        <v>2036876584</v>
      </c>
      <c r="P3" s="12" t="n">
        <v>1953315555</v>
      </c>
      <c r="Q3" s="12" t="n">
        <v>1586935646</v>
      </c>
      <c r="R3" s="12" t="n">
        <v>1743108770</v>
      </c>
      <c r="S3" s="12" t="n">
        <v>2647311646</v>
      </c>
      <c r="T3" s="12" t="n">
        <v>2270709689</v>
      </c>
      <c r="U3" s="12" t="n">
        <v>1940590999</v>
      </c>
      <c r="V3" s="12" t="n">
        <v>3133656618</v>
      </c>
      <c r="W3" s="12" t="n">
        <v>4066372130</v>
      </c>
      <c r="X3" s="12" t="n">
        <v>5170767563</v>
      </c>
      <c r="Y3" s="12" t="n">
        <v>6229146305.4502</v>
      </c>
      <c r="Z3" s="12" t="n">
        <v>7635286235.0547</v>
      </c>
      <c r="AA3" s="12" t="n">
        <v>11747449210.4333</v>
      </c>
      <c r="AB3" s="12" t="n">
        <v>14282600486.8851</v>
      </c>
      <c r="AC3" s="12" t="n">
        <v>15022581864.7645</v>
      </c>
      <c r="AD3" s="12" t="n">
        <v>16959785224.5165</v>
      </c>
      <c r="AE3" s="12" t="n">
        <v>19110907734.8788</v>
      </c>
      <c r="AF3" s="12" t="n">
        <v>15191590610.7486</v>
      </c>
      <c r="AG3" s="12" t="n">
        <v>13502160211.8373</v>
      </c>
      <c r="AH3" s="12" t="n">
        <v>19189431657.5008</v>
      </c>
      <c r="AI3" s="12" t="n">
        <v>12093074783.4167</v>
      </c>
      <c r="AJ3" s="12" t="n">
        <v>13408759456.7059</v>
      </c>
      <c r="AK3" s="12" t="n">
        <v>11643235519.9765</v>
      </c>
      <c r="AL3" s="12" t="n">
        <v>10383241927.8079</v>
      </c>
      <c r="AM3" s="12" t="n">
        <v>11689270480.4705</v>
      </c>
      <c r="AN3" s="12" t="n">
        <v>13020552578.0978</v>
      </c>
      <c r="AO3" s="12" t="n">
        <v>11275525890.0348</v>
      </c>
      <c r="AP3" s="12" t="n">
        <v>13519812320.2638</v>
      </c>
      <c r="AQ3" s="12" t="n">
        <v>40703244847.2274</v>
      </c>
      <c r="AR3" s="12" t="n">
        <v>43055563480.5771</v>
      </c>
      <c r="AS3" s="12" t="n">
        <v>7758793046.6635</v>
      </c>
      <c r="AT3" s="12"/>
      <c r="AU3" s="12"/>
    </row>
    <row r="4">
      <c r="A4" t="str">
        <f>K4</f>
      </c>
      <c r="K4" t="s">
        <v>129</v>
      </c>
      <c r="L4" s="12" t="n">
        <v>1514879000</v>
      </c>
      <c r="M4" s="12" t="n">
        <v>5061698635</v>
      </c>
      <c r="N4" s="12" t="n">
        <v>2779829427</v>
      </c>
      <c r="O4" s="12" t="n">
        <v>3157075187</v>
      </c>
      <c r="P4" s="12" t="n">
        <v>3089117240</v>
      </c>
      <c r="Q4" s="12" t="n">
        <v>2523714645</v>
      </c>
      <c r="R4" s="12" t="n">
        <v>2593563710</v>
      </c>
      <c r="S4" s="12" t="n">
        <v>2433131791</v>
      </c>
      <c r="T4" s="12" t="n">
        <v>2130508612</v>
      </c>
      <c r="U4" s="12" t="n">
        <v>2453757306</v>
      </c>
      <c r="V4" s="12" t="n">
        <v>2563949881</v>
      </c>
      <c r="W4" s="12" t="n">
        <v>2510241963</v>
      </c>
      <c r="X4" s="12" t="n">
        <v>3561908054.5504</v>
      </c>
      <c r="Y4" s="12" t="n">
        <v>4640374633.7626</v>
      </c>
      <c r="Z4" s="12" t="n">
        <v>4894933392.3031</v>
      </c>
      <c r="AA4" s="12" t="n">
        <v>7229434635.3946</v>
      </c>
      <c r="AB4" s="12" t="n">
        <v>8110837810.4568</v>
      </c>
      <c r="AC4" s="12" t="n">
        <v>7208887802.4903</v>
      </c>
      <c r="AD4" s="12" t="n">
        <v>7579145153.4862</v>
      </c>
      <c r="AE4" s="12" t="n">
        <v>7954493979.3237</v>
      </c>
      <c r="AF4" s="12" t="n">
        <v>7128076595.8921</v>
      </c>
      <c r="AG4" s="12" t="n">
        <v>9454234204.1367</v>
      </c>
      <c r="AH4" s="12" t="n">
        <v>9323950466.9613</v>
      </c>
      <c r="AI4" s="12" t="n">
        <v>8964332856.345</v>
      </c>
      <c r="AJ4" s="12" t="n">
        <v>5514468423.9351</v>
      </c>
      <c r="AK4" s="12" t="n">
        <v>4402268896.9698</v>
      </c>
      <c r="AL4" s="12" t="n">
        <v>4138831671.977</v>
      </c>
      <c r="AM4" s="12" t="n">
        <v>4640103344.2329</v>
      </c>
      <c r="AN4" s="12" t="n">
        <v>5684913156.6925</v>
      </c>
      <c r="AO4" s="12" t="n">
        <v>5609964127.5824</v>
      </c>
      <c r="AP4" s="12" t="n">
        <v>5134084558.3298</v>
      </c>
      <c r="AQ4" s="12" t="n">
        <v>5495795849.5662</v>
      </c>
      <c r="AR4" s="12" t="n">
        <v>6867012794.6409</v>
      </c>
      <c r="AS4" s="12" t="n">
        <v>4027034507.8012</v>
      </c>
      <c r="AT4" s="12"/>
      <c r="AU4" s="12"/>
    </row>
    <row r="5">
      <c r="A5" t="str">
        <f>K5</f>
      </c>
      <c r="K5" t="s">
        <v>130</v>
      </c>
      <c r="L5" s="12" t="n">
        <v>1006760000</v>
      </c>
      <c r="M5" s="12" t="n">
        <v>3161122535</v>
      </c>
      <c r="N5" s="12" t="n">
        <v>1950037131</v>
      </c>
      <c r="O5" s="12" t="n">
        <v>2368032827</v>
      </c>
      <c r="P5" s="12" t="n">
        <v>2157678428</v>
      </c>
      <c r="Q5" s="12" t="n">
        <v>1908689506</v>
      </c>
      <c r="R5" s="12" t="n">
        <v>2275561588</v>
      </c>
      <c r="S5" s="12" t="n">
        <v>1883768354</v>
      </c>
      <c r="T5" s="12" t="n">
        <v>1800449147</v>
      </c>
      <c r="U5" s="12" t="n">
        <v>1796077489</v>
      </c>
      <c r="V5" s="12" t="n">
        <v>1918370553.09</v>
      </c>
      <c r="W5" s="12" t="n">
        <v>2272684343</v>
      </c>
      <c r="X5" s="12" t="n">
        <v>2934764489.7609</v>
      </c>
      <c r="Y5" s="12" t="n">
        <v>4071406977.1196</v>
      </c>
      <c r="Z5" s="12" t="n">
        <v>4282497017.0214</v>
      </c>
      <c r="AA5" s="12" t="n">
        <v>6364720590.1493</v>
      </c>
      <c r="AB5" s="12" t="n">
        <v>5945017942.8345</v>
      </c>
      <c r="AC5" s="12" t="n">
        <v>5855269353.1367</v>
      </c>
      <c r="AD5" s="12" t="n">
        <v>6325647361.5496</v>
      </c>
      <c r="AE5" s="12" t="n">
        <v>6024291082.1388</v>
      </c>
      <c r="AF5" s="12" t="n">
        <v>5417815454.5495</v>
      </c>
      <c r="AG5" s="12" t="n">
        <v>5703934233.6115</v>
      </c>
      <c r="AH5" s="12" t="n">
        <v>5731674007.7387</v>
      </c>
      <c r="AI5" s="12" t="n">
        <v>4484391983.9015</v>
      </c>
      <c r="AJ5" s="12" t="n">
        <v>4747438138.7546</v>
      </c>
      <c r="AK5" s="12" t="n">
        <v>4658892052.807</v>
      </c>
      <c r="AL5" s="12" t="n">
        <v>4388412075.616</v>
      </c>
      <c r="AM5" s="12" t="n">
        <v>4701329502.2627</v>
      </c>
      <c r="AN5" s="12" t="n">
        <v>6249653182.7191</v>
      </c>
      <c r="AO5" s="12" t="n">
        <v>5906922462.5278</v>
      </c>
      <c r="AP5" s="12" t="n">
        <v>6152029694.868</v>
      </c>
      <c r="AQ5" s="12" t="n">
        <v>6413386957.494</v>
      </c>
      <c r="AR5" s="12" t="n">
        <v>8191850221.2045</v>
      </c>
      <c r="AS5" s="12" t="n">
        <v>3198465350.7443</v>
      </c>
      <c r="AT5" s="12"/>
      <c r="AU5" s="12"/>
    </row>
    <row r="6">
      <c r="A6" t="str">
        <f>K6</f>
      </c>
      <c r="K6" t="s">
        <v>131</v>
      </c>
      <c r="L6" s="12" t="n">
        <v>5954823000</v>
      </c>
      <c r="M6" s="12" t="n">
        <v>2377403186</v>
      </c>
      <c r="N6" s="12" t="n">
        <v>3141724361</v>
      </c>
      <c r="O6" s="12" t="n">
        <v>2969809014</v>
      </c>
      <c r="P6" s="12" t="n">
        <v>1382993891</v>
      </c>
      <c r="Q6" s="12" t="n">
        <v>2500318600</v>
      </c>
      <c r="R6" s="12" t="n">
        <v>2976233267</v>
      </c>
      <c r="S6" s="12" t="n">
        <v>2585373105</v>
      </c>
      <c r="T6" s="12" t="n">
        <v>2253745461</v>
      </c>
      <c r="U6" s="12" t="n">
        <v>1363018864</v>
      </c>
      <c r="V6" s="12" t="n">
        <v>879167116</v>
      </c>
      <c r="W6" s="12" t="n">
        <v>1208278563</v>
      </c>
      <c r="X6" s="12" t="n">
        <v>1529553521.9302</v>
      </c>
      <c r="Y6" s="12" t="n">
        <v>364274974</v>
      </c>
      <c r="Z6" s="12" t="n">
        <v>1262442327.0468</v>
      </c>
      <c r="AA6" s="12" t="n">
        <v>6115148196.2424</v>
      </c>
      <c r="AB6" s="12" t="n">
        <v>5876820323.6711</v>
      </c>
      <c r="AC6" s="12" t="n">
        <v>5735051408.7301</v>
      </c>
      <c r="AD6" s="12" t="n">
        <v>7753416636.0949</v>
      </c>
      <c r="AE6" s="12" t="n">
        <v>2000556393.9062</v>
      </c>
      <c r="AF6" s="12" t="n">
        <v>987853548.4521</v>
      </c>
      <c r="AG6" s="12" t="n">
        <v>844916290.003</v>
      </c>
      <c r="AH6" s="12" t="n">
        <v>605357172.154</v>
      </c>
      <c r="AI6" s="12" t="n">
        <v>527618199.99</v>
      </c>
      <c r="AJ6" s="12" t="n">
        <v>200511085.6199</v>
      </c>
      <c r="AK6" s="12" t="n">
        <v>63256558.623</v>
      </c>
      <c r="AL6" s="12" t="n">
        <v>96740294.9042</v>
      </c>
      <c r="AM6" s="12" t="n">
        <v>151640577.0625</v>
      </c>
      <c r="AN6" s="12" t="n">
        <v>-872307.916400002</v>
      </c>
      <c r="AO6" s="12" t="n">
        <v>18004787.5583</v>
      </c>
      <c r="AP6" s="12" t="n">
        <v>364433433.0654</v>
      </c>
      <c r="AQ6" s="12" t="n">
        <v>238835556.419</v>
      </c>
      <c r="AR6" s="12" t="n">
        <v>3033068.4675</v>
      </c>
      <c r="AS6" s="12" t="n">
        <v>549987.1266</v>
      </c>
      <c r="AT6" s="12"/>
      <c r="AU6" s="12"/>
    </row>
    <row r="7">
      <c r="A7" t="str">
        <f>K7</f>
      </c>
      <c r="K7" t="s">
        <v>124</v>
      </c>
      <c r="L7" s="12" t="str">
        <f>Sum(L2:L6)</f>
      </c>
      <c r="M7" s="12" t="str">
        <f>Sum(M2:M6)</f>
      </c>
      <c r="N7" s="12" t="str">
        <f>Sum(N2:N6)</f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/>
      <c r="AU7" s="12"/>
    </row>
    <row r="10">
      <c r="A10" t="str">
        <f>K10</f>
      </c>
      <c r="K10" t="s">
        <v>126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127</v>
      </c>
      <c r="L11" s="12" t="n">
        <v>59846563.0003195</v>
      </c>
      <c r="M11" s="12" t="n">
        <v>26093724.6480596</v>
      </c>
      <c r="N11" s="12" t="n">
        <v>26125459.1197912</v>
      </c>
      <c r="O11" s="12" t="n">
        <v>34162392.5011195</v>
      </c>
      <c r="P11" s="12" t="n">
        <v>76264330.4857793</v>
      </c>
      <c r="Q11" s="12" t="n">
        <v>78953527.2051542</v>
      </c>
      <c r="R11" s="12" t="n">
        <v>66041997.5380048</v>
      </c>
      <c r="S11" s="12" t="n">
        <v>237116528.715069</v>
      </c>
      <c r="T11" s="12" t="n">
        <v>175064996.980152</v>
      </c>
      <c r="U11" s="12" t="n">
        <v>198370540.680975</v>
      </c>
      <c r="V11" s="12" t="n">
        <v>228821357.081721</v>
      </c>
      <c r="W11" s="12" t="n">
        <v>264050267.078869</v>
      </c>
      <c r="X11" s="12" t="n">
        <v>302695634.84457</v>
      </c>
      <c r="Y11" s="12" t="n">
        <v>362631978.104967</v>
      </c>
      <c r="Z11" s="12" t="n">
        <v>359124119.319196</v>
      </c>
      <c r="AA11" s="12" t="n">
        <v>478931161.018745</v>
      </c>
      <c r="AB11" s="12" t="n">
        <v>565855510.809417</v>
      </c>
      <c r="AC11" s="12" t="n">
        <v>639504053.477134</v>
      </c>
      <c r="AD11" s="12" t="n">
        <v>642704393.760483</v>
      </c>
      <c r="AE11" s="12" t="n">
        <v>697602655.123667</v>
      </c>
      <c r="AF11" s="12" t="n">
        <v>518320017.234147</v>
      </c>
      <c r="AG11" s="12" t="n">
        <v>643451292.017498</v>
      </c>
      <c r="AH11" s="12" t="n">
        <v>638992648.47521</v>
      </c>
      <c r="AI11" s="12" t="n">
        <v>488037838.805418</v>
      </c>
      <c r="AJ11" s="12" t="n">
        <v>481251317.460856</v>
      </c>
      <c r="AK11" s="12" t="n">
        <v>361582781.068372</v>
      </c>
      <c r="AL11" s="12" t="n">
        <v>474674605.699799</v>
      </c>
      <c r="AM11" s="12" t="n">
        <v>460743871.142103</v>
      </c>
      <c r="AN11" s="12" t="n">
        <v>490053013.55817</v>
      </c>
      <c r="AO11" s="12" t="n">
        <v>450469791.339063</v>
      </c>
      <c r="AP11" s="12" t="n">
        <v>374775147.857061</v>
      </c>
      <c r="AQ11" s="12" t="n">
        <v>694545123.137641</v>
      </c>
      <c r="AR11" s="12" t="n">
        <v>393387686.8236</v>
      </c>
      <c r="AS11" s="12" t="n">
        <v>208073605.182061</v>
      </c>
      <c r="AT11" s="12"/>
      <c r="AU11" s="12"/>
    </row>
    <row r="12">
      <c r="A12" t="str">
        <f>K12</f>
      </c>
      <c r="K12" t="s">
        <v>128</v>
      </c>
      <c r="L12" s="12" t="n">
        <v>4744154373.0237</v>
      </c>
      <c r="M12" s="12" t="n">
        <v>5858398629.32737</v>
      </c>
      <c r="N12" s="12" t="n">
        <v>3342796703.83936</v>
      </c>
      <c r="O12" s="12" t="n">
        <v>3726087571.37815</v>
      </c>
      <c r="P12" s="12" t="n">
        <v>3497029111.86147</v>
      </c>
      <c r="Q12" s="12" t="n">
        <v>2782163523.05204</v>
      </c>
      <c r="R12" s="12" t="n">
        <v>2999585781.8477</v>
      </c>
      <c r="S12" s="12" t="n">
        <v>4476046662.46874</v>
      </c>
      <c r="T12" s="12" t="n">
        <v>3791943655.88874</v>
      </c>
      <c r="U12" s="12" t="n">
        <v>3200767840.48579</v>
      </c>
      <c r="V12" s="12" t="n">
        <v>5063143163.36063</v>
      </c>
      <c r="W12" s="12" t="n">
        <v>6414609076.99781</v>
      </c>
      <c r="X12" s="12" t="n">
        <v>8030025394.08189</v>
      </c>
      <c r="Y12" s="12" t="n">
        <v>9492211938.76714</v>
      </c>
      <c r="Z12" s="12" t="n">
        <v>11357330443.2424</v>
      </c>
      <c r="AA12" s="12" t="n">
        <v>16959260337.6693</v>
      </c>
      <c r="AB12" s="12" t="n">
        <v>19969000537.2474</v>
      </c>
      <c r="AC12" s="12" t="n">
        <v>20442983942.9541</v>
      </c>
      <c r="AD12" s="12" t="n">
        <v>22607661188.1125</v>
      </c>
      <c r="AE12" s="12" t="n">
        <v>25218868411.7561</v>
      </c>
      <c r="AF12" s="12" t="n">
        <v>19874059888.4286</v>
      </c>
      <c r="AG12" s="12" t="n">
        <v>17314939253.551</v>
      </c>
      <c r="AH12" s="12" t="n">
        <v>24165251281.68</v>
      </c>
      <c r="AI12" s="12" t="n">
        <v>14955130185.5902</v>
      </c>
      <c r="AJ12" s="12" t="n">
        <v>16267486307.637</v>
      </c>
      <c r="AK12" s="12" t="n">
        <v>13965450517.3238</v>
      </c>
      <c r="AL12" s="12" t="n">
        <v>12351801026.6979</v>
      </c>
      <c r="AM12" s="12" t="n">
        <v>13661529766.4949</v>
      </c>
      <c r="AN12" s="12" t="n">
        <v>14868318697.7766</v>
      </c>
      <c r="AO12" s="12" t="n">
        <v>12628308213.9828</v>
      </c>
      <c r="AP12" s="12" t="n">
        <v>14942513308.9341</v>
      </c>
      <c r="AQ12" s="12" t="n">
        <v>43523474788.3065</v>
      </c>
      <c r="AR12" s="12" t="n">
        <v>43055563480.5771</v>
      </c>
      <c r="AS12" s="12" t="n">
        <v>7400324234.28167</v>
      </c>
      <c r="AT12" s="12"/>
      <c r="AU12" s="12"/>
    </row>
    <row r="13">
      <c r="A13" t="str">
        <f>K13</f>
      </c>
      <c r="K13" t="s">
        <v>129</v>
      </c>
      <c r="L13" s="12" t="n">
        <v>3010869832.0003</v>
      </c>
      <c r="M13" s="12" t="n">
        <v>9713802341.18916</v>
      </c>
      <c r="N13" s="12" t="n">
        <v>5204637517.34791</v>
      </c>
      <c r="O13" s="12" t="n">
        <v>5775282954.5941</v>
      </c>
      <c r="P13" s="12" t="n">
        <v>5530459679.48233</v>
      </c>
      <c r="Q13" s="12" t="n">
        <v>4424493737.73234</v>
      </c>
      <c r="R13" s="12" t="n">
        <v>4463070212.67077</v>
      </c>
      <c r="S13" s="12" t="n">
        <v>4113913618.33345</v>
      </c>
      <c r="T13" s="12" t="n">
        <v>3557816595.50127</v>
      </c>
      <c r="U13" s="12" t="n">
        <v>4047172988.76941</v>
      </c>
      <c r="V13" s="12" t="n">
        <v>4142650868.83379</v>
      </c>
      <c r="W13" s="12" t="n">
        <v>3959849312.00101</v>
      </c>
      <c r="X13" s="12" t="n">
        <v>5531521535.42751</v>
      </c>
      <c r="Y13" s="12" t="n">
        <v>7071180758.81669</v>
      </c>
      <c r="Z13" s="12" t="n">
        <v>7281112236.34425</v>
      </c>
      <c r="AA13" s="12" t="n">
        <v>10436807334.0492</v>
      </c>
      <c r="AB13" s="12" t="n">
        <v>11340044464.8201</v>
      </c>
      <c r="AC13" s="12" t="n">
        <v>9809976668.42648</v>
      </c>
      <c r="AD13" s="12" t="n">
        <v>10103120025.2376</v>
      </c>
      <c r="AE13" s="12" t="n">
        <v>10496797940.1918</v>
      </c>
      <c r="AF13" s="12" t="n">
        <v>9325147365.13721</v>
      </c>
      <c r="AG13" s="12" t="n">
        <v>12123948195.3381</v>
      </c>
      <c r="AH13" s="12" t="n">
        <v>11741650820.8041</v>
      </c>
      <c r="AI13" s="12" t="n">
        <v>11085912168.2968</v>
      </c>
      <c r="AJ13" s="12" t="n">
        <v>6690144593.15978</v>
      </c>
      <c r="AK13" s="12" t="n">
        <v>5280290718.08292</v>
      </c>
      <c r="AL13" s="12" t="n">
        <v>4923512873.02117</v>
      </c>
      <c r="AM13" s="12" t="n">
        <v>5422999669.89031</v>
      </c>
      <c r="AN13" s="12" t="n">
        <v>6491667698.11821</v>
      </c>
      <c r="AO13" s="12" t="n">
        <v>6283020123.70965</v>
      </c>
      <c r="AP13" s="12" t="n">
        <v>5674348506.08481</v>
      </c>
      <c r="AQ13" s="12" t="n">
        <v>5876586326.17757</v>
      </c>
      <c r="AR13" s="12" t="n">
        <v>6867012794.6409</v>
      </c>
      <c r="AS13" s="12" t="n">
        <v>3840978987.47089</v>
      </c>
      <c r="AT13" s="12"/>
      <c r="AU13" s="12"/>
    </row>
    <row r="14">
      <c r="A14" t="str">
        <f>K14</f>
      </c>
      <c r="K14" t="s">
        <v>130</v>
      </c>
      <c r="L14" s="12" t="n">
        <v>2000967279.93762</v>
      </c>
      <c r="M14" s="12" t="n">
        <v>6066445613.52255</v>
      </c>
      <c r="N14" s="12" t="n">
        <v>3651028481.69255</v>
      </c>
      <c r="O14" s="12" t="n">
        <v>4331876439.94251</v>
      </c>
      <c r="P14" s="12" t="n">
        <v>3862900829.02222</v>
      </c>
      <c r="Q14" s="12" t="n">
        <v>3346251836.87217</v>
      </c>
      <c r="R14" s="12" t="n">
        <v>3915844095.65192</v>
      </c>
      <c r="S14" s="12" t="n">
        <v>3185055702.27297</v>
      </c>
      <c r="T14" s="12" t="n">
        <v>3006637860.30859</v>
      </c>
      <c r="U14" s="12" t="n">
        <v>2962410455.77047</v>
      </c>
      <c r="V14" s="12" t="n">
        <v>3099568949.21982</v>
      </c>
      <c r="W14" s="12" t="n">
        <v>3585107597.06554</v>
      </c>
      <c r="X14" s="12" t="n">
        <v>4557589002.27127</v>
      </c>
      <c r="Y14" s="12" t="n">
        <v>6204166031.86548</v>
      </c>
      <c r="Z14" s="12" t="n">
        <v>6370125787.97752</v>
      </c>
      <c r="AA14" s="12" t="n">
        <v>9188458833.17376</v>
      </c>
      <c r="AB14" s="12" t="n">
        <v>8311936373.45089</v>
      </c>
      <c r="AC14" s="12" t="n">
        <v>7967949746.94724</v>
      </c>
      <c r="AD14" s="12" t="n">
        <v>8432187698.85501</v>
      </c>
      <c r="AE14" s="12" t="n">
        <v>7949690626.01347</v>
      </c>
      <c r="AF14" s="12" t="n">
        <v>7087736338.28622</v>
      </c>
      <c r="AG14" s="12" t="n">
        <v>7314627675.25509</v>
      </c>
      <c r="AH14" s="12" t="n">
        <v>7217897076.56817</v>
      </c>
      <c r="AI14" s="12" t="n">
        <v>5545708359.8317</v>
      </c>
      <c r="AJ14" s="12" t="n">
        <v>5759584633.30634</v>
      </c>
      <c r="AK14" s="12" t="n">
        <v>5588096738.00711</v>
      </c>
      <c r="AL14" s="12" t="n">
        <v>5220411231.67886</v>
      </c>
      <c r="AM14" s="12" t="n">
        <v>5494556143.99275</v>
      </c>
      <c r="AN14" s="12" t="n">
        <v>7136550827.15518</v>
      </c>
      <c r="AO14" s="12" t="n">
        <v>6615606063.99967</v>
      </c>
      <c r="AP14" s="12" t="n">
        <v>6799412847.96836</v>
      </c>
      <c r="AQ14" s="12" t="n">
        <v>6857755115.0976</v>
      </c>
      <c r="AR14" s="12" t="n">
        <v>8191850221.2045</v>
      </c>
      <c r="AS14" s="12" t="n">
        <v>3050691068.21993</v>
      </c>
      <c r="AT14" s="12"/>
      <c r="AU14" s="12"/>
    </row>
    <row r="15">
      <c r="A15" t="str">
        <f>K15</f>
      </c>
      <c r="K15" t="s">
        <v>131</v>
      </c>
      <c r="L15" s="12" t="n">
        <v>11835398685.7046</v>
      </c>
      <c r="M15" s="12" t="n">
        <v>4562425837.5306</v>
      </c>
      <c r="N15" s="12" t="n">
        <v>5882208569.92406</v>
      </c>
      <c r="O15" s="12" t="n">
        <v>5432714256.40396</v>
      </c>
      <c r="P15" s="12" t="n">
        <v>2475979821.06561</v>
      </c>
      <c r="Q15" s="12" t="n">
        <v>4383476559.029</v>
      </c>
      <c r="R15" s="12" t="n">
        <v>5121577691.99643</v>
      </c>
      <c r="S15" s="12" t="n">
        <v>4371321629.38088</v>
      </c>
      <c r="T15" s="12" t="n">
        <v>3763614452.44487</v>
      </c>
      <c r="U15" s="12" t="n">
        <v>2248133145.06499</v>
      </c>
      <c r="V15" s="12" t="n">
        <v>1420496728.0901</v>
      </c>
      <c r="W15" s="12" t="n">
        <v>1906031811.64378</v>
      </c>
      <c r="X15" s="12" t="n">
        <v>2375344370.64908</v>
      </c>
      <c r="Y15" s="12" t="n">
        <v>555096170.107853</v>
      </c>
      <c r="Z15" s="12" t="n">
        <v>1877856865.13999</v>
      </c>
      <c r="AA15" s="12" t="n">
        <v>8828162472.18985</v>
      </c>
      <c r="AB15" s="12" t="n">
        <v>8216586909.95764</v>
      </c>
      <c r="AC15" s="12" t="n">
        <v>7804355131.23585</v>
      </c>
      <c r="AD15" s="12" t="n">
        <v>10335426660.1042</v>
      </c>
      <c r="AE15" s="12" t="n">
        <v>2639946210.20223</v>
      </c>
      <c r="AF15" s="12" t="n">
        <v>1292337391.51994</v>
      </c>
      <c r="AG15" s="12" t="n">
        <v>1083506195.0244</v>
      </c>
      <c r="AH15" s="12" t="n">
        <v>762326286.74808</v>
      </c>
      <c r="AI15" s="12" t="n">
        <v>652489049.34894</v>
      </c>
      <c r="AJ15" s="12" t="n">
        <v>243259740.051484</v>
      </c>
      <c r="AK15" s="12" t="n">
        <v>75872925.3419311</v>
      </c>
      <c r="AL15" s="12" t="n">
        <v>115081289.85424</v>
      </c>
      <c r="AM15" s="12" t="n">
        <v>177225966.394476</v>
      </c>
      <c r="AN15" s="12" t="n">
        <v>-996098.439435317</v>
      </c>
      <c r="AO15" s="12" t="n">
        <v>20164913.7105386</v>
      </c>
      <c r="AP15" s="12" t="n">
        <v>402783063.462971</v>
      </c>
      <c r="AQ15" s="12" t="n">
        <v>255383897.705678</v>
      </c>
      <c r="AR15" s="12" t="n">
        <v>3033068.4675</v>
      </c>
      <c r="AS15" s="12" t="n">
        <v>524576.830061368</v>
      </c>
      <c r="AT15" s="12"/>
      <c r="AU15" s="12"/>
    </row>
    <row r="16">
      <c r="A16" t="str">
        <f>K16</f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../output/AcqTrends/Platform//Other_Products/DoD_Other_Products_Contracts.xlsx</dc:creator>
  <cp:lastModifiedBy>../output/AcqTrends/Platform//Other_Products/DoD_Other_Products_Contracts.xlsx</cp:lastModifiedBy>
  <dcterms:created xsi:type="dcterms:W3CDTF">2023-11-12T22:34:44Z</dcterms:created>
</coreProperties>
</file>