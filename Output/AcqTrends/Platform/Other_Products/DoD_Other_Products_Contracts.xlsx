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<sst xmlns="http://schemas.openxmlformats.org/spreadsheetml/2006/main" count="135" uniqueCount="135">
  <si>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</si>
  <si>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</si>
  <si>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</si>
  <si>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</si>
  <si>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</si>
  <si>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</si>
  <si>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</si>
  <si>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</si>
  <si>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</si>
  <si>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</si>
  <si>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</si>
  <si>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</si>
  <si>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</si>
  <si>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</si>
  <si>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</si>
  <si>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</si>
  <si>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</si>
  <si>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</si>
  <si>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</si>
  <si>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</si>
  <si>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</si>
  <si>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</si>
  <si>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</si>
  <si>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</si>
  <si>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</si>
  <si>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</si>
  <si>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</si>
  <si>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</si>
  <si>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</si>
  <si>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</si>
  <si>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</si>
  <si>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</si>
  <si>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</si>
  <si>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</si>
  <si>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</si>
  <si>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</si>
  <si>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</si>
  <si>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</si>
  <si>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</si>
  <si>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</si>
  <si>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</si>
  <si>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</si>
  <si>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</si>
  <si>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</si>
  <si>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</si>
  <si>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</si>
  <si>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</si>
  <si>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</si>
  <si>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</si>
  <si>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</si>
  <si>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</si>
  <si>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</si>
  <si>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</si>
  <si>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</si>
  <si>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</si>
  <si>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</si>
  <si>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</si>
  <si>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</si>
  <si>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</si>
  <si>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</si>
  <si>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</si>
  <si>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</si>
  <si>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</si>
  <si>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</si>
  <si>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</si>
  <si>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</si>
  <si>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</si>
  <si>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</si>
  <si>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</si>
  <si>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</si>
  <si>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</si>
  <si>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ACWS</t>
  </si>
  <si>
    <t xml:space="preserve">Department of Defense Healthcare Management System Modernization (DHMSM)</t>
  </si>
  <si>
    <t xml:space="preserve">MQ-9 Reaper</t>
  </si>
  <si>
    <t xml:space="preserve">Massive Ordnance Penetrator (MOP)</t>
  </si>
  <si>
    <t xml:space="preserve">Other Labeled Project</t>
  </si>
  <si>
    <t xml:space="preserve">Other UAS</t>
  </si>
  <si>
    <t xml:space="preserve">SOLDIER ENHANCEMENT</t>
  </si>
  <si>
    <t xml:space="preserve">STATUS OF FORCES AGREEMENT</t>
  </si>
  <si>
    <t xml:space="preserve">TRACKWOLF HF SYSTEM</t>
  </si>
  <si>
    <t xml:space="preserve">WATER PURIFICATION ROWPU</t>
  </si>
  <si>
    <t xml:space="preserve">AH-64E New Build</t>
  </si>
  <si>
    <t xml:space="preserve">RQ-7B Shadow Tactical Unmanned Aircraft System (RQ-7B Shadow)</t>
  </si>
  <si>
    <t xml:space="preserve">TopPStext</t>
  </si>
  <si>
    <t xml:space="preserve">CLOTHING, SPECIAL
PURPOSE</t>
  </si>
  <si>
    <t xml:space="preserve">DAIRY FOODS AND
EGGS</t>
  </si>
  <si>
    <t xml:space="preserve">DRUGS AND
BIOLOGICALS</t>
  </si>
  <si>
    <t xml:space="preserve">FUEL OILS</t>
  </si>
  <si>
    <t xml:space="preserve">HARDWARE</t>
  </si>
  <si>
    <t xml:space="preserve">LIQUID PROPELLANTS
-PETROLEUM BASE</t>
  </si>
  <si>
    <t xml:space="preserve">MED &amp; SURGICAL
INSTRUMENTS,EQ &amp;
SUP</t>
  </si>
  <si>
    <t xml:space="preserve">MISCELLANEOUS ITEMS</t>
  </si>
  <si>
    <t xml:space="preserve">Other Labeled PSC</t>
  </si>
  <si>
    <t xml:space="preserve">TRAINING AIDS</t>
  </si>
  <si>
    <t xml:space="preserve">Project.Name</t>
  </si>
  <si>
    <t xml:space="preserve">ProjectID</t>
  </si>
  <si>
    <t xml:space="preserve">AIR CARGO MATERIALS HAND</t>
  </si>
  <si>
    <t xml:space="preserve">AIR TRAFFIC CNTL COMM CON</t>
  </si>
  <si>
    <t xml:space="preserve">ASM</t>
  </si>
  <si>
    <t xml:space="preserve">ATS</t>
  </si>
  <si>
    <t xml:space="preserve">BSM ENERGY</t>
  </si>
  <si>
    <t xml:space="preserve">C-11 GULFSTREAM II</t>
  </si>
  <si>
    <t xml:space="preserve">CBDP</t>
  </si>
  <si>
    <t xml:space="preserve">CBT FEEDING CLOTHING &amp; EQ</t>
  </si>
  <si>
    <t xml:space="preserve">CHCS II</t>
  </si>
  <si>
    <t xml:space="preserve">DADS</t>
  </si>
  <si>
    <t xml:space="preserve">DEAMS Inc 1</t>
  </si>
  <si>
    <t xml:space="preserve">DECON APP PWR DR LT WT M1</t>
  </si>
  <si>
    <t xml:space="preserve">DLS</t>
  </si>
  <si>
    <t xml:space="preserve">DMLSS</t>
  </si>
  <si>
    <t xml:space="preserve">DTS</t>
  </si>
  <si>
    <t xml:space="preserve">Defense Enterprise Office Solution (DEOS)</t>
  </si>
  <si>
    <t xml:space="preserve">ICBM FUZE MOD</t>
  </si>
  <si>
    <t xml:space="preserve">ILS-S</t>
  </si>
  <si>
    <t xml:space="preserve">LTH TRAINER</t>
  </si>
  <si>
    <t xml:space="preserve">MOBILE ARRESTING BARRIERS</t>
  </si>
  <si>
    <t xml:space="preserve">MODERNIZATION</t>
  </si>
  <si>
    <t xml:space="preserve">NSIPS</t>
  </si>
  <si>
    <t xml:space="preserve">PKI</t>
  </si>
  <si>
    <t xml:space="preserve">QM-107 GD MSL TGT SYS</t>
  </si>
  <si>
    <t xml:space="preserve">REMOTE SENSING CHEM AGENT</t>
  </si>
  <si>
    <t xml:space="preserve">SPS</t>
  </si>
  <si>
    <t xml:space="preserve">TMIP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</si>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</sst>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10893531000</v>
      </c>
      <c r="O2" s="1" t="n">
        <v>13665728115</v>
      </c>
      <c r="P2" s="1" t="n">
        <v>9670567147</v>
      </c>
      <c r="Q2" s="1" t="n">
        <v>10550437083</v>
      </c>
      <c r="R2" s="1" t="n">
        <v>8625703645</v>
      </c>
      <c r="S2" s="1" t="n">
        <v>8564693193</v>
      </c>
      <c r="T2" s="1" t="n">
        <v>9626815429</v>
      </c>
      <c r="U2" s="1" t="n">
        <v>9689390520</v>
      </c>
      <c r="V2" s="1" t="n">
        <v>8558812514</v>
      </c>
      <c r="W2" s="1" t="n">
        <v>7673146029</v>
      </c>
      <c r="X2" s="1" t="n">
        <v>8636545116.09</v>
      </c>
      <c r="Y2" s="1" t="n">
        <v>10224727570</v>
      </c>
      <c r="Z2" s="1" t="n">
        <v>13387175813.2413</v>
      </c>
      <c r="AA2" s="1" t="n">
        <v>15539351530.4263</v>
      </c>
      <c r="AB2" s="1" t="n">
        <v>18316590305.9026</v>
      </c>
      <c r="AC2" s="1" t="n">
        <v>31788501748.0453</v>
      </c>
      <c r="AD2" s="1" t="n">
        <v>34619998279.9158</v>
      </c>
      <c r="AE2" s="1" t="n">
        <v>34291731704.586</v>
      </c>
      <c r="AF2" s="1" t="n">
        <v>39100082213.1777</v>
      </c>
      <c r="AG2" s="1" t="n">
        <v>35615937472.8764</v>
      </c>
      <c r="AH2" s="1" t="n">
        <v>29121536359.5554</v>
      </c>
      <c r="AI2" s="1" t="n">
        <v>30007007163.88</v>
      </c>
      <c r="AJ2" s="1" t="n">
        <v>35357832226.4521</v>
      </c>
      <c r="AK2" s="1" t="n">
        <v>26464056854.4453</v>
      </c>
      <c r="AL2" s="1" t="n">
        <v>24267856901.2681</v>
      </c>
      <c r="AM2" s="1" t="n">
        <v>21069110791.9282</v>
      </c>
      <c r="AN2" s="1" t="n">
        <v>19406249663.8794</v>
      </c>
      <c r="AO2" s="1" t="n">
        <v>21576569443.7504</v>
      </c>
      <c r="AP2" s="1" t="n">
        <v>25383412216.5396</v>
      </c>
      <c r="AQ2" s="1" t="n">
        <v>23212977680.1147</v>
      </c>
      <c r="AR2" s="1" t="n">
        <v>25509679725.0878</v>
      </c>
      <c r="AS2" s="1" t="n">
        <v>53503934881.0247</v>
      </c>
      <c r="AT2" s="1" t="n">
        <v>58510550519.1283</v>
      </c>
      <c r="AU2" s="1" t="n">
        <v>32031182874.2855</v>
      </c>
      <c r="AV2" s="1"/>
      <c r="AW2" s="1"/>
    </row>
    <row r="3">
      <c r="A3" t="str">
        <f>M3</f>
      </c>
      <c r="M3" t="s">
        <v>36</v>
      </c>
      <c r="N3" s="1"/>
      <c r="O3" s="1"/>
      <c r="P3" s="1"/>
      <c r="Q3" s="1"/>
      <c r="R3" s="1"/>
      <c r="S3" s="1"/>
      <c r="T3" s="1" t="n">
        <v>30000</v>
      </c>
      <c r="U3" s="1"/>
      <c r="V3" s="1" t="n">
        <v>1433647</v>
      </c>
      <c r="W3" s="1" t="n">
        <v>568547</v>
      </c>
      <c r="X3" s="1" t="n">
        <v>179512</v>
      </c>
      <c r="Y3" s="1" t="n">
        <v>237128</v>
      </c>
      <c r="Z3" s="1" t="n">
        <v>2191690</v>
      </c>
      <c r="AA3" s="1" t="n">
        <v>2095383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>
      <c r="A4" t="str">
        <f>M4</f>
      </c>
      <c r="M4" t="s">
        <v>37</v>
      </c>
      <c r="N4" s="1"/>
      <c r="O4" s="1" t="n">
        <v>806000</v>
      </c>
      <c r="P4" s="1" t="n">
        <v>386155</v>
      </c>
      <c r="Q4" s="1" t="n">
        <v>31500</v>
      </c>
      <c r="R4" s="1"/>
      <c r="S4" s="1"/>
      <c r="T4" s="1"/>
      <c r="U4" s="1" t="n">
        <v>434502</v>
      </c>
      <c r="V4" s="1"/>
      <c r="W4" s="1"/>
      <c r="X4" s="1" t="n">
        <v>40572</v>
      </c>
      <c r="Y4" s="1"/>
      <c r="Z4" s="1" t="n">
        <v>2540673</v>
      </c>
      <c r="AA4" s="1" t="n">
        <v>1728714</v>
      </c>
      <c r="AB4" s="1"/>
      <c r="AC4" s="1"/>
      <c r="AD4" s="1"/>
      <c r="AE4" s="1"/>
      <c r="AF4" s="1"/>
      <c r="AG4" s="1" t="n">
        <v>2956374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>
      <c r="A5" t="str">
        <f>M5</f>
      </c>
      <c r="M5" t="s">
        <v>124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21651236733.6665</v>
      </c>
      <c r="O9" s="1" t="n">
        <v>26225619368.1</v>
      </c>
      <c r="P9" s="1" t="n">
        <v>18106073739.0735</v>
      </c>
      <c r="Q9" s="1" t="n">
        <v>19300065991.4177</v>
      </c>
      <c r="R9" s="1" t="n">
        <v>15442633771.9174</v>
      </c>
      <c r="S9" s="1" t="n">
        <v>15015339183.8907</v>
      </c>
      <c r="T9" s="1" t="n">
        <v>16566068154.9439</v>
      </c>
      <c r="U9" s="1" t="n">
        <v>16382719489.7636</v>
      </c>
      <c r="V9" s="1" t="n">
        <v>14292683459.9874</v>
      </c>
      <c r="W9" s="1" t="n">
        <v>12655917221.9341</v>
      </c>
      <c r="X9" s="1" t="n">
        <v>13954325470.2538</v>
      </c>
      <c r="Y9" s="1" t="n">
        <v>16129274002.3653</v>
      </c>
      <c r="Z9" s="1" t="n">
        <v>20789826737.6376</v>
      </c>
      <c r="AA9" s="1" t="n">
        <v>23679459573.5782</v>
      </c>
      <c r="AB9" s="1" t="n">
        <v>27245549452.0351</v>
      </c>
      <c r="AC9" s="1" t="n">
        <v>45891620149.3984</v>
      </c>
      <c r="AD9" s="1" t="n">
        <v>48403423794.2838</v>
      </c>
      <c r="AE9" s="1" t="n">
        <v>46664769539.8616</v>
      </c>
      <c r="AF9" s="1" t="n">
        <v>52121026263.059</v>
      </c>
      <c r="AG9" s="1" t="n">
        <v>46999004597.2822</v>
      </c>
      <c r="AH9" s="1" t="n">
        <v>38097601000.6061</v>
      </c>
      <c r="AI9" s="1" t="n">
        <v>38480472611.1862</v>
      </c>
      <c r="AJ9" s="1" t="n">
        <v>44526118114.2755</v>
      </c>
      <c r="AK9" s="1" t="n">
        <v>32727277601.8731</v>
      </c>
      <c r="AL9" s="1" t="n">
        <v>29441726591.6155</v>
      </c>
      <c r="AM9" s="1" t="n">
        <v>25271293679.8241</v>
      </c>
      <c r="AN9" s="1" t="n">
        <v>23085481026.952</v>
      </c>
      <c r="AO9" s="1" t="n">
        <v>25217052356.4422</v>
      </c>
      <c r="AP9" s="1" t="n">
        <v>28985610265.6807</v>
      </c>
      <c r="AQ9" s="1" t="n">
        <v>25997956952.7544</v>
      </c>
      <c r="AR9" s="1" t="n">
        <v>28194084338.5415</v>
      </c>
      <c r="AS9" s="1" t="n">
        <v>57211093847.917</v>
      </c>
      <c r="AT9" s="1" t="n">
        <v>58510550519.1283</v>
      </c>
      <c r="AU9" s="1" t="n">
        <v>30551290316.8899</v>
      </c>
      <c r="AV9" s="1"/>
      <c r="AW9" s="1"/>
    </row>
    <row r="10">
      <c r="A10" t="str">
        <f>M10</f>
      </c>
      <c r="M10" t="s">
        <v>36</v>
      </c>
      <c r="N10" s="1"/>
      <c r="O10" s="1"/>
      <c r="P10" s="1"/>
      <c r="Q10" s="1"/>
      <c r="R10" s="1"/>
      <c r="S10" s="1"/>
      <c r="T10" s="1" t="n">
        <v>51624.7608893799</v>
      </c>
      <c r="U10" s="1"/>
      <c r="V10" s="1" t="n">
        <v>2394101.13620823</v>
      </c>
      <c r="W10" s="1" t="n">
        <v>937748.837515181</v>
      </c>
      <c r="X10" s="1" t="n">
        <v>290042.932694163</v>
      </c>
      <c r="Y10" s="1" t="n">
        <v>374063.999206668</v>
      </c>
      <c r="Z10" s="1" t="n">
        <v>3403619.70278635</v>
      </c>
      <c r="AA10" s="1" t="n">
        <v>3193024.94331961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>
      <c r="A11" t="str">
        <f>M11</f>
      </c>
      <c r="M11" t="s">
        <v>37</v>
      </c>
      <c r="N11" s="1"/>
      <c r="O11" s="1" t="n">
        <v>1546778.11769773</v>
      </c>
      <c r="P11" s="1" t="n">
        <v>722992.850205366</v>
      </c>
      <c r="Q11" s="1" t="n">
        <v>57623.4021346145</v>
      </c>
      <c r="R11" s="1"/>
      <c r="S11" s="1"/>
      <c r="T11" s="1"/>
      <c r="U11" s="1" t="n">
        <v>734651.407541911</v>
      </c>
      <c r="V11" s="1"/>
      <c r="W11" s="1"/>
      <c r="X11" s="1" t="n">
        <v>65553.3995792348</v>
      </c>
      <c r="Y11" s="1"/>
      <c r="Z11" s="1" t="n">
        <v>3945578.38067304</v>
      </c>
      <c r="AA11" s="1" t="n">
        <v>2634280.66461636</v>
      </c>
      <c r="AB11" s="1"/>
      <c r="AC11" s="1"/>
      <c r="AD11" s="1"/>
      <c r="AE11" s="1"/>
      <c r="AF11" s="1"/>
      <c r="AG11" s="1" t="n">
        <v>3901248.853076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1889147000</v>
      </c>
      <c r="P2" s="2" t="n">
        <v>2224991000</v>
      </c>
      <c r="Q2" s="2" t="n">
        <v>2347889913</v>
      </c>
      <c r="R2" s="2" t="n">
        <v>2333415353</v>
      </c>
      <c r="S2" s="2" t="n">
        <v>1316857899</v>
      </c>
      <c r="T2" s="2" t="n">
        <v>2541714943</v>
      </c>
      <c r="U2" s="2" t="n">
        <v>3024844467</v>
      </c>
      <c r="V2" s="2" t="n">
        <v>2710793834</v>
      </c>
      <c r="W2" s="2" t="n">
        <v>2233217471</v>
      </c>
      <c r="X2" s="2" t="n">
        <v>1338477701</v>
      </c>
      <c r="Y2" s="2" t="n">
        <v>934362095</v>
      </c>
      <c r="Z2" s="2" t="n">
        <v>1229718881</v>
      </c>
      <c r="AA2" s="2" t="n">
        <v>1613606872</v>
      </c>
      <c r="AB2" s="2" t="n">
        <v>256256382.2</v>
      </c>
      <c r="AC2" s="2" t="n">
        <v>965003610.1391</v>
      </c>
      <c r="AD2" s="2" t="n">
        <v>491944855.9602</v>
      </c>
      <c r="AE2" s="2" t="n">
        <v>432108874.0595</v>
      </c>
      <c r="AF2" s="2" t="n">
        <v>341197386.9397</v>
      </c>
      <c r="AG2" s="2" t="n">
        <v>407518458.1065</v>
      </c>
      <c r="AH2" s="2" t="n">
        <v>479236674.7835</v>
      </c>
      <c r="AI2" s="2" t="n">
        <v>333341094.7275</v>
      </c>
      <c r="AJ2" s="2" t="n">
        <v>379786063.4437</v>
      </c>
      <c r="AK2" s="2" t="n">
        <v>222564038.064</v>
      </c>
      <c r="AL2" s="2" t="n">
        <v>210614199.3949</v>
      </c>
      <c r="AM2" s="2" t="n">
        <v>230213218.6151</v>
      </c>
      <c r="AN2" s="2" t="n">
        <v>222216341.3382</v>
      </c>
      <c r="AO2" s="2" t="n">
        <v>324146923.1634</v>
      </c>
      <c r="AP2" s="2" t="n">
        <v>289789774.7107</v>
      </c>
      <c r="AQ2" s="2" t="n">
        <v>312878649.3838</v>
      </c>
      <c r="AR2" s="2" t="n">
        <v>318310661.2567</v>
      </c>
      <c r="AS2" s="2" t="n">
        <v>590992119.8512</v>
      </c>
      <c r="AT2" s="2" t="n">
        <v>1464155576.5723</v>
      </c>
      <c r="AU2" s="2" t="n">
        <v>748292262.3522</v>
      </c>
      <c r="AV2" s="2" t="n">
        <v>162344918.7376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590341000</v>
      </c>
      <c r="P3" s="2" t="n">
        <v>923833000</v>
      </c>
      <c r="Q3" s="2" t="n">
        <v>506926160</v>
      </c>
      <c r="R3" s="2" t="n">
        <v>400062592</v>
      </c>
      <c r="S3" s="2" t="n">
        <v>403456065</v>
      </c>
      <c r="T3" s="2" t="n">
        <v>355629574</v>
      </c>
      <c r="U3" s="2" t="n">
        <v>427423612</v>
      </c>
      <c r="V3" s="2" t="n">
        <v>397867969</v>
      </c>
      <c r="W3" s="2" t="n">
        <v>468050906</v>
      </c>
      <c r="X3" s="2" t="n">
        <v>557552113</v>
      </c>
      <c r="Y3" s="2" t="n">
        <v>554428929</v>
      </c>
      <c r="Z3" s="2" t="n">
        <v>561231563</v>
      </c>
      <c r="AA3" s="2" t="n">
        <v>809979038.3111</v>
      </c>
      <c r="AB3" s="2" t="n">
        <v>1485296497.2066</v>
      </c>
      <c r="AC3" s="2" t="n">
        <v>1778521057.0106</v>
      </c>
      <c r="AD3" s="2" t="n">
        <v>8163691613.762</v>
      </c>
      <c r="AE3" s="2" t="n">
        <v>7672705938.5842</v>
      </c>
      <c r="AF3" s="2" t="n">
        <v>8669795984.5413</v>
      </c>
      <c r="AG3" s="2" t="n">
        <v>10848137077.8156</v>
      </c>
      <c r="AH3" s="2" t="n">
        <v>5075474772.317</v>
      </c>
      <c r="AI3" s="2" t="n">
        <v>4420076841.5801</v>
      </c>
      <c r="AJ3" s="2" t="n">
        <v>4126748952.4405</v>
      </c>
      <c r="AK3" s="2" t="n">
        <v>2777847440.1066</v>
      </c>
      <c r="AL3" s="2" t="n">
        <v>2250642026.7699</v>
      </c>
      <c r="AM3" s="2" t="n">
        <v>2228264178.4254</v>
      </c>
      <c r="AN3" s="2" t="n">
        <v>1473711588.7223</v>
      </c>
      <c r="AO3" s="2" t="n">
        <v>1542345445.8659</v>
      </c>
      <c r="AP3" s="2" t="n">
        <v>1542435044.1626</v>
      </c>
      <c r="AQ3" s="2" t="n">
        <v>1753128965.5719</v>
      </c>
      <c r="AR3" s="2" t="n">
        <v>1939421856.5435</v>
      </c>
      <c r="AS3" s="2" t="n">
        <v>3618715402.02</v>
      </c>
      <c r="AT3" s="2" t="n">
        <v>31358164698.0982</v>
      </c>
      <c r="AU3" s="2" t="n">
        <v>30228663110.2515</v>
      </c>
      <c r="AV3" s="2" t="n">
        <v>2516687193.1465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 t="n">
        <v>7895537000</v>
      </c>
      <c r="P4" s="2" t="n">
        <v>9984736000</v>
      </c>
      <c r="Q4" s="2" t="n">
        <v>5631751068</v>
      </c>
      <c r="R4" s="2" t="n">
        <v>6686941724</v>
      </c>
      <c r="S4" s="2" t="n">
        <v>5662783369</v>
      </c>
      <c r="T4" s="2" t="n">
        <v>5295928289</v>
      </c>
      <c r="U4" s="2" t="n">
        <v>5748884997</v>
      </c>
      <c r="V4" s="2" t="n">
        <v>6065228099</v>
      </c>
      <c r="W4" s="2" t="n">
        <v>5318326033</v>
      </c>
      <c r="X4" s="2" t="n">
        <v>5068748837</v>
      </c>
      <c r="Y4" s="2" t="n">
        <v>6585223450</v>
      </c>
      <c r="Z4" s="2" t="n">
        <v>7774887487</v>
      </c>
      <c r="AA4" s="2" t="n">
        <v>10211590447</v>
      </c>
      <c r="AB4" s="2" t="n">
        <v>12512582120.8095</v>
      </c>
      <c r="AC4" s="2" t="n">
        <v>13572791804.9392</v>
      </c>
      <c r="AD4" s="2" t="n">
        <v>20780953526.0112</v>
      </c>
      <c r="AE4" s="2" t="n">
        <v>24185177235.4957</v>
      </c>
      <c r="AF4" s="2" t="n">
        <v>23316711150.8062</v>
      </c>
      <c r="AG4" s="2" t="n">
        <v>26551940297.6589</v>
      </c>
      <c r="AH4" s="2" t="n">
        <v>28430072451.6079</v>
      </c>
      <c r="AI4" s="2" t="n">
        <v>22844697482.3154</v>
      </c>
      <c r="AJ4" s="2" t="n">
        <v>23916994664.6706</v>
      </c>
      <c r="AK4" s="2" t="n">
        <v>31059933062.3093</v>
      </c>
      <c r="AL4" s="2" t="n">
        <v>22844295036.0963</v>
      </c>
      <c r="AM4" s="2" t="n">
        <v>20749522875.1983</v>
      </c>
      <c r="AN4" s="2" t="n">
        <v>18450716508.7696</v>
      </c>
      <c r="AO4" s="2" t="n">
        <v>16592360264.4304</v>
      </c>
      <c r="AP4" s="2" t="n">
        <v>18920284137.9659</v>
      </c>
      <c r="AQ4" s="2" t="n">
        <v>22258279666.5481</v>
      </c>
      <c r="AR4" s="2" t="n">
        <v>19973308684.8079</v>
      </c>
      <c r="AS4" s="2" t="n">
        <v>20367951909.0919</v>
      </c>
      <c r="AT4" s="2" t="n">
        <v>19630956220.1732</v>
      </c>
      <c r="AU4" s="2" t="n">
        <v>26485005082.3797</v>
      </c>
      <c r="AV4" s="2" t="n">
        <v>12008914079.0683</v>
      </c>
      <c r="AW4" s="2"/>
    </row>
    <row r="5">
      <c r="A5" t="str">
        <f>M5</f>
      </c>
      <c r="B5" t="str">
        <f>N5</f>
      </c>
      <c r="M5" t="s">
        <v>44</v>
      </c>
      <c r="N5" t="s">
        <v>44</v>
      </c>
      <c r="O5" s="2" t="n">
        <v>429563000</v>
      </c>
      <c r="P5" s="2" t="n">
        <v>434814115</v>
      </c>
      <c r="Q5" s="2" t="n">
        <v>330980559</v>
      </c>
      <c r="R5" s="2" t="n">
        <v>337122503</v>
      </c>
      <c r="S5" s="2" t="n">
        <v>378625920</v>
      </c>
      <c r="T5" s="2" t="n">
        <v>331712362</v>
      </c>
      <c r="U5" s="2" t="n">
        <v>345727989</v>
      </c>
      <c r="V5" s="2" t="n">
        <v>443321365</v>
      </c>
      <c r="W5" s="2" t="n">
        <v>370740199</v>
      </c>
      <c r="X5" s="2" t="n">
        <v>388959077</v>
      </c>
      <c r="Y5" s="2" t="n">
        <v>374593742</v>
      </c>
      <c r="Z5" s="2" t="n">
        <v>476084505</v>
      </c>
      <c r="AA5" s="2" t="n">
        <v>502905326.9304</v>
      </c>
      <c r="AB5" s="2" t="n">
        <v>837821122.2101</v>
      </c>
      <c r="AC5" s="2" t="n">
        <v>1214805406.1661</v>
      </c>
      <c r="AD5" s="2" t="n">
        <v>1632008527.4902</v>
      </c>
      <c r="AE5" s="2" t="n">
        <v>1735556623.755</v>
      </c>
      <c r="AF5" s="2" t="n">
        <v>1907301540.6384</v>
      </c>
      <c r="AG5" s="2" t="n">
        <v>1185544805.4371</v>
      </c>
      <c r="AH5" s="2" t="n">
        <v>1590143499.7894</v>
      </c>
      <c r="AI5" s="2" t="n">
        <v>1496508140.2991</v>
      </c>
      <c r="AJ5" s="2" t="n">
        <v>1552807381.6479</v>
      </c>
      <c r="AK5" s="2" t="n">
        <v>1252099033.891</v>
      </c>
      <c r="AL5" s="2" t="n">
        <v>1133149360.9472</v>
      </c>
      <c r="AM5" s="2" t="n">
        <v>1002054811.4853</v>
      </c>
      <c r="AN5" s="2" t="n">
        <v>729866377.4363</v>
      </c>
      <c r="AO5" s="2" t="n">
        <v>796482792.1449</v>
      </c>
      <c r="AP5" s="2" t="n">
        <v>688345371.5456</v>
      </c>
      <c r="AQ5" s="2" t="n">
        <v>926092699.603</v>
      </c>
      <c r="AR5" s="2" t="n">
        <v>861686485.1605</v>
      </c>
      <c r="AS5" s="2" t="n">
        <v>815195008.1399</v>
      </c>
      <c r="AT5" s="2" t="n">
        <v>977604993.676</v>
      </c>
      <c r="AU5" s="2" t="n">
        <v>891394362.9641</v>
      </c>
      <c r="AV5" s="2" t="n">
        <v>443531158.9718</v>
      </c>
      <c r="AW5" s="2"/>
    </row>
    <row r="6">
      <c r="A6" t="str">
        <f>M6</f>
      </c>
      <c r="B6" t="str">
        <f>N6</f>
      </c>
      <c r="M6" t="s">
        <v>43</v>
      </c>
      <c r="N6" t="s">
        <v>43</v>
      </c>
      <c r="O6" s="2" t="n">
        <v>88943000</v>
      </c>
      <c r="P6" s="2" t="n">
        <v>98160000</v>
      </c>
      <c r="Q6" s="2" t="n">
        <v>853405602</v>
      </c>
      <c r="R6" s="2" t="n">
        <v>792926411</v>
      </c>
      <c r="S6" s="2" t="n">
        <v>863980392</v>
      </c>
      <c r="T6" s="2" t="n">
        <v>39708025</v>
      </c>
      <c r="U6" s="2" t="n">
        <v>79964364</v>
      </c>
      <c r="V6" s="2" t="n">
        <v>72613755</v>
      </c>
      <c r="W6" s="2" t="n">
        <v>169911552</v>
      </c>
      <c r="X6" s="2" t="n">
        <v>319976848</v>
      </c>
      <c r="Y6" s="2" t="n">
        <v>188156984.09</v>
      </c>
      <c r="Z6" s="2" t="n">
        <v>183042261</v>
      </c>
      <c r="AA6" s="2" t="n">
        <v>253826493</v>
      </c>
      <c r="AB6" s="2" t="n">
        <v>451219504</v>
      </c>
      <c r="AC6" s="2" t="n">
        <v>785468427.6397</v>
      </c>
      <c r="AD6" s="2" t="n">
        <v>719903216.996</v>
      </c>
      <c r="AE6" s="2" t="n">
        <v>594449609.4531</v>
      </c>
      <c r="AF6" s="2" t="n">
        <v>56725643.9966</v>
      </c>
      <c r="AG6" s="2" t="n">
        <v>106996864.5862</v>
      </c>
      <c r="AH6" s="2" t="n">
        <v>43966446.2204</v>
      </c>
      <c r="AI6" s="2" t="n">
        <v>26912800.6333</v>
      </c>
      <c r="AJ6" s="2" t="n">
        <v>30670101.6773</v>
      </c>
      <c r="AK6" s="2" t="n">
        <v>45388652.0812</v>
      </c>
      <c r="AL6" s="2" t="n">
        <v>25356231.237</v>
      </c>
      <c r="AM6" s="2" t="n">
        <v>57801817.544</v>
      </c>
      <c r="AN6" s="2" t="n">
        <v>192599975.6618</v>
      </c>
      <c r="AO6" s="2" t="n">
        <v>150914238.2748</v>
      </c>
      <c r="AP6" s="2" t="n">
        <v>135717734.8656</v>
      </c>
      <c r="AQ6" s="2" t="n">
        <v>133018112.1737</v>
      </c>
      <c r="AR6" s="2" t="n">
        <v>119903693.5638</v>
      </c>
      <c r="AS6" s="2" t="n">
        <v>116597764.0692</v>
      </c>
      <c r="AT6" s="2" t="n">
        <v>69921777.1118</v>
      </c>
      <c r="AU6" s="2" t="n">
        <v>157492433.7661</v>
      </c>
      <c r="AV6" s="2" t="n">
        <v>71518151.6717</v>
      </c>
      <c r="AW6" s="2"/>
    </row>
    <row r="7">
      <c r="A7" t="str">
        <f>M7</f>
      </c>
      <c r="B7" t="str">
        <f>N7</f>
      </c>
      <c r="M7" t="s">
        <v>124</v>
      </c>
      <c r="N7" t="s">
        <v>125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2" t="n">
        <v>3754739296.34899</v>
      </c>
      <c r="P11" s="2" t="n">
        <v>4269934728.13199</v>
      </c>
      <c r="Q11" s="2" t="n">
        <v>4395922932.93703</v>
      </c>
      <c r="R11" s="2" t="n">
        <v>4268550197.87309</v>
      </c>
      <c r="S11" s="2" t="n">
        <v>2357576274.45287</v>
      </c>
      <c r="T11" s="2" t="n">
        <v>4456051269.77588</v>
      </c>
      <c r="U11" s="2" t="n">
        <v>5205229077.88129</v>
      </c>
      <c r="V11" s="2" t="n">
        <v>4583381677.65403</v>
      </c>
      <c r="W11" s="2" t="n">
        <v>3729333988.5768</v>
      </c>
      <c r="X11" s="2" t="n">
        <v>2207655494.00972</v>
      </c>
      <c r="Y11" s="2" t="n">
        <v>1509676914.25678</v>
      </c>
      <c r="Z11" s="2" t="n">
        <v>1939853423.15884</v>
      </c>
      <c r="AA11" s="2" t="n">
        <v>2505876352.0802</v>
      </c>
      <c r="AB11" s="2" t="n">
        <v>390493298.957491</v>
      </c>
      <c r="AC11" s="2" t="n">
        <v>1435422922.18899</v>
      </c>
      <c r="AD11" s="2" t="n">
        <v>710198506.463559</v>
      </c>
      <c r="AE11" s="2" t="n">
        <v>604146447.012002</v>
      </c>
      <c r="AF11" s="2" t="n">
        <v>464307185.367801</v>
      </c>
      <c r="AG11" s="2" t="n">
        <v>543228531.895304</v>
      </c>
      <c r="AH11" s="2" t="n">
        <v>632403588.940737</v>
      </c>
      <c r="AI11" s="2" t="n">
        <v>436086059.033302</v>
      </c>
      <c r="AJ11" s="2" t="n">
        <v>487031150.179051</v>
      </c>
      <c r="AK11" s="2" t="n">
        <v>280274893.080519</v>
      </c>
      <c r="AL11" s="2" t="n">
        <v>260460042.404092</v>
      </c>
      <c r="AM11" s="2" t="n">
        <v>279294322.02509</v>
      </c>
      <c r="AN11" s="2" t="n">
        <v>266536849.98254</v>
      </c>
      <c r="AO11" s="2" t="n">
        <v>385601946.498798</v>
      </c>
      <c r="AP11" s="2" t="n">
        <v>338684235.243799</v>
      </c>
      <c r="AQ11" s="2" t="n">
        <v>357279727.174825</v>
      </c>
      <c r="AR11" s="2" t="n">
        <v>356500014.043592</v>
      </c>
      <c r="AS11" s="2" t="n">
        <v>653182707.508132</v>
      </c>
      <c r="AT11" s="2" t="n">
        <v>1565603395.06799</v>
      </c>
      <c r="AU11" s="2" t="n">
        <v>748292262.3522</v>
      </c>
      <c r="AV11" s="2" t="n">
        <v>154844320.401482</v>
      </c>
      <c r="AW11" s="2"/>
    </row>
    <row r="12">
      <c r="A12" t="str">
        <f>M12</f>
      </c>
      <c r="B12" t="str">
        <f>N12</f>
      </c>
      <c r="M12" t="s">
        <v>41</v>
      </c>
      <c r="N12" t="s">
        <v>41</v>
      </c>
      <c r="O12" s="2" t="n">
        <v>1173321372.52737</v>
      </c>
      <c r="P12" s="2" t="n">
        <v>1772909018.37102</v>
      </c>
      <c r="Q12" s="2" t="n">
        <v>949111080.426413</v>
      </c>
      <c r="R12" s="2" t="n">
        <v>731840241.835943</v>
      </c>
      <c r="S12" s="2" t="n">
        <v>722309102.106174</v>
      </c>
      <c r="T12" s="2" t="n">
        <v>623478104.480953</v>
      </c>
      <c r="U12" s="2" t="n">
        <v>735521392.265836</v>
      </c>
      <c r="V12" s="2" t="n">
        <v>672710973.578238</v>
      </c>
      <c r="W12" s="2" t="n">
        <v>781615841.1784</v>
      </c>
      <c r="X12" s="2" t="n">
        <v>919614114.259477</v>
      </c>
      <c r="Y12" s="2" t="n">
        <v>895807481.046638</v>
      </c>
      <c r="Z12" s="2" t="n">
        <v>885329960.767134</v>
      </c>
      <c r="AA12" s="2" t="n">
        <v>1257869777.95199</v>
      </c>
      <c r="AB12" s="2" t="n">
        <v>2263351742.28574</v>
      </c>
      <c r="AC12" s="2" t="n">
        <v>2645513307.93552</v>
      </c>
      <c r="AD12" s="2" t="n">
        <v>11785551817.6044</v>
      </c>
      <c r="AE12" s="2" t="n">
        <v>10727477055.0656</v>
      </c>
      <c r="AF12" s="2" t="n">
        <v>11798005276.0687</v>
      </c>
      <c r="AG12" s="2" t="n">
        <v>14460737817.7719</v>
      </c>
      <c r="AH12" s="2" t="n">
        <v>6697626935.67115</v>
      </c>
      <c r="AI12" s="2" t="n">
        <v>5782467031.38943</v>
      </c>
      <c r="AJ12" s="2" t="n">
        <v>5292072254.00264</v>
      </c>
      <c r="AK12" s="2" t="n">
        <v>3498143280.6588</v>
      </c>
      <c r="AL12" s="2" t="n">
        <v>2783299128.9908</v>
      </c>
      <c r="AM12" s="2" t="n">
        <v>2703326667.1217</v>
      </c>
      <c r="AN12" s="2" t="n">
        <v>1767639779.66405</v>
      </c>
      <c r="AO12" s="2" t="n">
        <v>1834758757.8354</v>
      </c>
      <c r="AP12" s="2" t="n">
        <v>1802680697.98861</v>
      </c>
      <c r="AQ12" s="2" t="n">
        <v>2001918123.0659</v>
      </c>
      <c r="AR12" s="2" t="n">
        <v>2172104183.89545</v>
      </c>
      <c r="AS12" s="2" t="n">
        <v>3999515805.02956</v>
      </c>
      <c r="AT12" s="2" t="n">
        <v>33530896511.2694</v>
      </c>
      <c r="AU12" s="2" t="n">
        <v>30228663110.2515</v>
      </c>
      <c r="AV12" s="2" t="n">
        <v>2400412166.36875</v>
      </c>
      <c r="AW12" s="2"/>
    </row>
    <row r="13">
      <c r="A13" t="str">
        <f>M13</f>
      </c>
      <c r="B13" t="str">
        <f>N13</f>
      </c>
      <c r="M13" t="s">
        <v>42</v>
      </c>
      <c r="N13" t="s">
        <v>43</v>
      </c>
      <c r="O13" s="2" t="n">
        <v>15692629022.3458</v>
      </c>
      <c r="P13" s="2" t="n">
        <v>19161502674.6759</v>
      </c>
      <c r="Q13" s="2" t="n">
        <v>10544252324.3269</v>
      </c>
      <c r="R13" s="2" t="n">
        <v>12232518476.5963</v>
      </c>
      <c r="S13" s="2" t="n">
        <v>10138105051.6223</v>
      </c>
      <c r="T13" s="2" t="n">
        <v>9284647769.74025</v>
      </c>
      <c r="U13" s="2" t="n">
        <v>9892827111.68895</v>
      </c>
      <c r="V13" s="2" t="n">
        <v>10255023820.3578</v>
      </c>
      <c r="W13" s="2" t="n">
        <v>8881273003.97593</v>
      </c>
      <c r="X13" s="2" t="n">
        <v>8360282139.47691</v>
      </c>
      <c r="Y13" s="2" t="n">
        <v>10639943412.6096</v>
      </c>
      <c r="Z13" s="2" t="n">
        <v>12264707275.2653</v>
      </c>
      <c r="AA13" s="2" t="n">
        <v>15858251140.5327</v>
      </c>
      <c r="AB13" s="2" t="n">
        <v>19067152313.9587</v>
      </c>
      <c r="AC13" s="2" t="n">
        <v>20189247242.4018</v>
      </c>
      <c r="AD13" s="2" t="n">
        <v>30000521355.7021</v>
      </c>
      <c r="AE13" s="2" t="n">
        <v>33814137534.1631</v>
      </c>
      <c r="AF13" s="2" t="n">
        <v>31729775610.4391</v>
      </c>
      <c r="AG13" s="2" t="n">
        <v>35394155184.7439</v>
      </c>
      <c r="AH13" s="2" t="n">
        <v>37516494037.8662</v>
      </c>
      <c r="AI13" s="2" t="n">
        <v>29886066411.9882</v>
      </c>
      <c r="AJ13" s="2" t="n">
        <v>30670744773.3598</v>
      </c>
      <c r="AK13" s="2" t="n">
        <v>39113773697.9032</v>
      </c>
      <c r="AL13" s="2" t="n">
        <v>28250830527.5134</v>
      </c>
      <c r="AM13" s="2" t="n">
        <v>25173289173.5544</v>
      </c>
      <c r="AN13" s="2" t="n">
        <v>22130667027.2449</v>
      </c>
      <c r="AO13" s="2" t="n">
        <v>19738106265.3137</v>
      </c>
      <c r="AP13" s="2" t="n">
        <v>22112588238.3515</v>
      </c>
      <c r="AQ13" s="2" t="n">
        <v>25416985474.4234</v>
      </c>
      <c r="AR13" s="2" t="n">
        <v>22369608352.1649</v>
      </c>
      <c r="AS13" s="2" t="n">
        <v>22511288268.4895</v>
      </c>
      <c r="AT13" s="2" t="n">
        <v>20991137962.7331</v>
      </c>
      <c r="AU13" s="2" t="n">
        <v>26485005082.3797</v>
      </c>
      <c r="AV13" s="2" t="n">
        <v>11454082787.3933</v>
      </c>
      <c r="AW13" s="2"/>
    </row>
    <row r="14">
      <c r="A14" t="str">
        <f>M14</f>
      </c>
      <c r="B14" t="str">
        <f>N14</f>
      </c>
      <c r="M14" t="s">
        <v>44</v>
      </c>
      <c r="N14" t="s">
        <v>44</v>
      </c>
      <c r="O14" s="2" t="n">
        <v>853770022.320953</v>
      </c>
      <c r="P14" s="2" t="n">
        <v>834442876.362411</v>
      </c>
      <c r="Q14" s="2" t="n">
        <v>619690481.06065</v>
      </c>
      <c r="R14" s="2" t="n">
        <v>616703033.618945</v>
      </c>
      <c r="S14" s="2" t="n">
        <v>677855588.338533</v>
      </c>
      <c r="T14" s="2" t="n">
        <v>581547232.887498</v>
      </c>
      <c r="U14" s="2" t="n">
        <v>594937492.163039</v>
      </c>
      <c r="V14" s="2" t="n">
        <v>749563097.041328</v>
      </c>
      <c r="W14" s="2" t="n">
        <v>619113025.496488</v>
      </c>
      <c r="X14" s="2" t="n">
        <v>641540492.338765</v>
      </c>
      <c r="Y14" s="2" t="n">
        <v>605242365.40488</v>
      </c>
      <c r="Z14" s="2" t="n">
        <v>751012423.250847</v>
      </c>
      <c r="AA14" s="2" t="n">
        <v>780994793.6873</v>
      </c>
      <c r="AB14" s="2" t="n">
        <v>1276703944.46117</v>
      </c>
      <c r="AC14" s="2" t="n">
        <v>1806997930.04771</v>
      </c>
      <c r="AD14" s="2" t="n">
        <v>2356056791.15609</v>
      </c>
      <c r="AE14" s="2" t="n">
        <v>2426542084.12612</v>
      </c>
      <c r="AF14" s="2" t="n">
        <v>2595488253.66002</v>
      </c>
      <c r="AG14" s="2" t="n">
        <v>1580349923.64786</v>
      </c>
      <c r="AH14" s="2" t="n">
        <v>2098362894.80954</v>
      </c>
      <c r="AI14" s="2" t="n">
        <v>1957773426.48912</v>
      </c>
      <c r="AJ14" s="2" t="n">
        <v>1991293619.97405</v>
      </c>
      <c r="AK14" s="2" t="n">
        <v>1576768313.07809</v>
      </c>
      <c r="AL14" s="2" t="n">
        <v>1401330638.91429</v>
      </c>
      <c r="AM14" s="2" t="n">
        <v>1215691352.95261</v>
      </c>
      <c r="AN14" s="2" t="n">
        <v>875436450.706236</v>
      </c>
      <c r="AO14" s="2" t="n">
        <v>947487984.789697</v>
      </c>
      <c r="AP14" s="2" t="n">
        <v>804485686.143577</v>
      </c>
      <c r="AQ14" s="2" t="n">
        <v>1057515901.7862</v>
      </c>
      <c r="AR14" s="2" t="n">
        <v>965067405.685035</v>
      </c>
      <c r="AS14" s="2" t="n">
        <v>900978650.439534</v>
      </c>
      <c r="AT14" s="2" t="n">
        <v>1045340892.47379</v>
      </c>
      <c r="AU14" s="2" t="n">
        <v>891394362.9641</v>
      </c>
      <c r="AV14" s="2" t="n">
        <v>423039300.656372</v>
      </c>
      <c r="AW14" s="2"/>
    </row>
    <row r="15">
      <c r="A15" t="str">
        <f>M15</f>
      </c>
      <c r="B15" t="str">
        <f>N15</f>
      </c>
      <c r="M15" t="s">
        <v>43</v>
      </c>
      <c r="N15" t="s">
        <v>43</v>
      </c>
      <c r="O15" s="2" t="n">
        <v>176777020.123457</v>
      </c>
      <c r="P15" s="2" t="n">
        <v>188376848.676438</v>
      </c>
      <c r="Q15" s="2" t="n">
        <v>1597819913.17271</v>
      </c>
      <c r="R15" s="2" t="n">
        <v>1450511664.89554</v>
      </c>
      <c r="S15" s="2" t="n">
        <v>1546787755.39751</v>
      </c>
      <c r="T15" s="2" t="n">
        <v>69614807.0061302</v>
      </c>
      <c r="U15" s="2" t="n">
        <v>137604705.705711</v>
      </c>
      <c r="V15" s="2" t="n">
        <v>122774572.53972</v>
      </c>
      <c r="W15" s="2" t="n">
        <v>283741701.896006</v>
      </c>
      <c r="X15" s="2" t="n">
        <v>527762730.686772</v>
      </c>
      <c r="Y15" s="2" t="n">
        <v>304010893.268153</v>
      </c>
      <c r="Z15" s="2" t="n">
        <v>288744982.344939</v>
      </c>
      <c r="AA15" s="2" t="n">
        <v>394183873.02217</v>
      </c>
      <c r="AB15" s="2" t="n">
        <v>687585577.999012</v>
      </c>
      <c r="AC15" s="2" t="n">
        <v>1168368049.44932</v>
      </c>
      <c r="AD15" s="2" t="n">
        <v>1039291667.17465</v>
      </c>
      <c r="AE15" s="2" t="n">
        <v>831120675.918614</v>
      </c>
      <c r="AF15" s="2" t="n">
        <v>77193217.5051856</v>
      </c>
      <c r="AG15" s="2" t="n">
        <v>142628508.010727</v>
      </c>
      <c r="AH15" s="2" t="n">
        <v>58018385.9995937</v>
      </c>
      <c r="AI15" s="2" t="n">
        <v>35208071.7060072</v>
      </c>
      <c r="AJ15" s="2" t="n">
        <v>39330813.6706238</v>
      </c>
      <c r="AK15" s="2" t="n">
        <v>57157929.5549494</v>
      </c>
      <c r="AL15" s="2" t="n">
        <v>31357264.0504357</v>
      </c>
      <c r="AM15" s="2" t="n">
        <v>70125075.9616918</v>
      </c>
      <c r="AN15" s="2" t="n">
        <v>231013572.226362</v>
      </c>
      <c r="AO15" s="2" t="n">
        <v>179526072.514382</v>
      </c>
      <c r="AP15" s="2" t="n">
        <v>158616560.186998</v>
      </c>
      <c r="AQ15" s="2" t="n">
        <v>151894911.718417</v>
      </c>
      <c r="AR15" s="2" t="n">
        <v>134289150.952758</v>
      </c>
      <c r="AS15" s="2" t="n">
        <v>128867442.840507</v>
      </c>
      <c r="AT15" s="2" t="n">
        <v>74766488.8807093</v>
      </c>
      <c r="AU15" s="2" t="n">
        <v>157492433.7661</v>
      </c>
      <c r="AV15" s="2" t="n">
        <v>68213897.1646768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47</v>
      </c>
      <c r="N2" t="s">
        <v>132</v>
      </c>
      <c r="O2" t="s">
        <v>48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3231731618.09</v>
      </c>
      <c r="AA2" s="3" t="n">
        <v>3812954846</v>
      </c>
      <c r="AB2" s="3" t="n">
        <v>5281950979.2413</v>
      </c>
      <c r="AC2" s="3" t="n">
        <v>7730994674.9821</v>
      </c>
      <c r="AD2" s="3" t="n">
        <v>8841237665.2824</v>
      </c>
      <c r="AE2" s="3" t="n">
        <v>18576306264.9327</v>
      </c>
      <c r="AF2" s="3" t="n">
        <v>20160233468.79</v>
      </c>
      <c r="AG2" s="3" t="n">
        <v>21127357773.9114</v>
      </c>
      <c r="AH2" s="3" t="n">
        <v>23115888908.3915</v>
      </c>
      <c r="AI2" s="3" t="n">
        <v>16246412582.411</v>
      </c>
      <c r="AJ2" s="3" t="n">
        <v>15810048131.7744</v>
      </c>
      <c r="AK2" s="3" t="n">
        <v>15421728885.6504</v>
      </c>
      <c r="AL2" s="3" t="n">
        <v>13330137081.8715</v>
      </c>
      <c r="AM2" s="3" t="n">
        <v>11912698410.6653</v>
      </c>
      <c r="AN2" s="3" t="n">
        <v>15150245474.8841</v>
      </c>
      <c r="AO2" s="3" t="n">
        <v>14449186882.6444</v>
      </c>
      <c r="AP2" s="3" t="n">
        <v>13874270370.8504</v>
      </c>
      <c r="AQ2" s="3" t="n">
        <v>14619393160.0578</v>
      </c>
      <c r="AR2" s="3" t="n">
        <v>17627562934.3755</v>
      </c>
      <c r="AS2" s="3" t="n">
        <v>16712077668.9378</v>
      </c>
      <c r="AT2" s="3" t="n">
        <v>19627140988.74</v>
      </c>
      <c r="AU2" s="3" t="n">
        <v>44827882805.4319</v>
      </c>
      <c r="AV2" s="3" t="n">
        <v>46047462499.3524</v>
      </c>
      <c r="AW2" s="3" t="n">
        <v>20232724941.8784</v>
      </c>
      <c r="AX2" s="3"/>
    </row>
    <row r="3">
      <c r="A3" t="str">
        <f>N3</f>
      </c>
      <c r="B3" t="str">
        <f>O3</f>
      </c>
      <c r="M3" t="s">
        <v>49</v>
      </c>
      <c r="N3" t="s">
        <v>49</v>
      </c>
      <c r="O3" t="s">
        <v>50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3867172348</v>
      </c>
      <c r="AA3" s="3" t="n">
        <v>4793771907</v>
      </c>
      <c r="AB3" s="3" t="n">
        <v>5982434518</v>
      </c>
      <c r="AC3" s="3" t="n">
        <v>6737871820.6396</v>
      </c>
      <c r="AD3" s="3" t="n">
        <v>7454215863.1515</v>
      </c>
      <c r="AE3" s="3" t="n">
        <v>11867070482.5472</v>
      </c>
      <c r="AF3" s="3" t="n">
        <v>13547520958.8447</v>
      </c>
      <c r="AG3" s="3" t="n">
        <v>12063425081.4159</v>
      </c>
      <c r="AH3" s="3" t="n">
        <v>14901437616.8322</v>
      </c>
      <c r="AI3" s="3" t="n">
        <v>18552748295.3222</v>
      </c>
      <c r="AJ3" s="3" t="n">
        <v>12503494324.5602</v>
      </c>
      <c r="AK3" s="3" t="n">
        <v>14004822873.7905</v>
      </c>
      <c r="AL3" s="3" t="n">
        <v>21578178999.083</v>
      </c>
      <c r="AM3" s="3" t="n">
        <v>14179757511.9419</v>
      </c>
      <c r="AN3" s="3" t="n">
        <v>8748283143.6861</v>
      </c>
      <c r="AO3" s="3" t="n">
        <v>6424190470.4862</v>
      </c>
      <c r="AP3" s="3" t="n">
        <v>5064511735.4566</v>
      </c>
      <c r="AQ3" s="3" t="n">
        <v>6586632602.9288</v>
      </c>
      <c r="AR3" s="3" t="n">
        <v>7300405322.4195</v>
      </c>
      <c r="AS3" s="3" t="n">
        <v>6124733385.5651</v>
      </c>
      <c r="AT3" s="3" t="n">
        <v>5270353073.0496</v>
      </c>
      <c r="AU3" s="3" t="n">
        <v>5881643425.5445</v>
      </c>
      <c r="AV3" s="3" t="n">
        <v>12090182374.6482</v>
      </c>
      <c r="AW3" s="3" t="n">
        <v>11286954750.38</v>
      </c>
      <c r="AX3" s="3"/>
    </row>
    <row r="4">
      <c r="A4" t="str">
        <f>N4</f>
      </c>
      <c r="B4" t="str">
        <f>O4</f>
      </c>
      <c r="M4" t="s">
        <v>49</v>
      </c>
      <c r="N4" t="s">
        <v>49</v>
      </c>
      <c r="O4" t="s">
        <v>51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13308850</v>
      </c>
      <c r="AA4" s="3" t="n">
        <v>21168463</v>
      </c>
      <c r="AB4" s="3" t="n">
        <v>35646463</v>
      </c>
      <c r="AC4" s="3" t="n">
        <v>26260225.0938</v>
      </c>
      <c r="AD4" s="3" t="n">
        <v>21301234.4687</v>
      </c>
      <c r="AE4" s="3" t="n">
        <v>100080424</v>
      </c>
      <c r="AF4" s="3" t="n">
        <v>78752737</v>
      </c>
      <c r="AG4" s="3" t="n">
        <v>14627137.9375</v>
      </c>
      <c r="AH4" s="3" t="n">
        <v>186468402.9031</v>
      </c>
      <c r="AI4" s="3" t="n">
        <v>13271019.9576</v>
      </c>
      <c r="AJ4" s="3" t="n">
        <v>27115107.0589</v>
      </c>
      <c r="AK4" s="3" t="n">
        <v>15297739.9783</v>
      </c>
      <c r="AL4" s="3" t="n">
        <v>4202802.6717</v>
      </c>
      <c r="AM4" s="3" t="n">
        <v>26937521.885</v>
      </c>
      <c r="AN4" s="3" t="n">
        <v>5430959.5516</v>
      </c>
      <c r="AO4" s="3" t="n">
        <v>9631482.8865</v>
      </c>
      <c r="AP4" s="3" t="n">
        <v>11533251.3814</v>
      </c>
      <c r="AQ4" s="3" t="n">
        <v>409162.7537</v>
      </c>
      <c r="AR4" s="3" t="n">
        <v>-700398.5598</v>
      </c>
      <c r="AS4" s="3" t="n">
        <v>-926041.8509</v>
      </c>
      <c r="AT4" s="3" t="n">
        <v>-286436.3467</v>
      </c>
      <c r="AU4" s="3" t="n">
        <v>5160064.13</v>
      </c>
      <c r="AV4" s="3" t="n">
        <v>600000</v>
      </c>
      <c r="AW4" s="3" t="n">
        <v>3300000</v>
      </c>
      <c r="AX4" s="3"/>
    </row>
    <row r="5">
      <c r="A5" t="str">
        <f>N5</f>
      </c>
      <c r="B5" t="str">
        <f>O5</f>
      </c>
      <c r="M5" t="s">
        <v>52</v>
      </c>
      <c r="N5" t="s">
        <v>52</v>
      </c>
      <c r="O5" t="s">
        <v>52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27192491</v>
      </c>
      <c r="AA5" s="3" t="n">
        <v>38013886</v>
      </c>
      <c r="AB5" s="3" t="n">
        <v>26618774</v>
      </c>
      <c r="AC5" s="3" t="n">
        <v>57444973</v>
      </c>
      <c r="AD5" s="3" t="n">
        <v>36817459</v>
      </c>
      <c r="AE5" s="3" t="n">
        <v>73757462.04</v>
      </c>
      <c r="AF5" s="3" t="n">
        <v>94946460.8691</v>
      </c>
      <c r="AG5" s="3" t="n">
        <v>112141706.2405</v>
      </c>
      <c r="AH5" s="3" t="n">
        <v>56714274.0859</v>
      </c>
      <c r="AI5" s="3" t="n">
        <v>14745532.3494</v>
      </c>
      <c r="AJ5" s="3" t="n">
        <v>46239552.4833</v>
      </c>
      <c r="AK5" s="3" t="n">
        <v>128128965.0707</v>
      </c>
      <c r="AL5" s="3" t="n">
        <v>92880505.6119</v>
      </c>
      <c r="AM5" s="3" t="n">
        <v>69908011.43</v>
      </c>
      <c r="AN5" s="3" t="n">
        <v>18500060.43</v>
      </c>
      <c r="AO5" s="3" t="n">
        <v>4335306.9007</v>
      </c>
      <c r="AP5" s="3" t="n">
        <v>41074974.6011</v>
      </c>
      <c r="AQ5" s="3" t="n">
        <v>53286671.5322</v>
      </c>
      <c r="AR5" s="3" t="n">
        <v>74120297.7939</v>
      </c>
      <c r="AS5" s="3" t="n">
        <v>18804604.8084</v>
      </c>
      <c r="AT5" s="3" t="n">
        <v>33607502.4177</v>
      </c>
      <c r="AU5" s="3" t="n">
        <v>92581.7795</v>
      </c>
      <c r="AV5" s="3" t="n">
        <v>3059.4</v>
      </c>
      <c r="AW5" s="3" t="n">
        <v>8769598.9824</v>
      </c>
      <c r="AX5" s="3"/>
    </row>
    <row r="6">
      <c r="A6" t="str">
        <f>N6</f>
      </c>
      <c r="B6" t="str">
        <f>O6</f>
      </c>
      <c r="M6" t="s">
        <v>53</v>
      </c>
      <c r="N6" t="s">
        <v>53</v>
      </c>
      <c r="O6" t="s">
        <v>54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980649600</v>
      </c>
      <c r="AA6" s="3" t="n">
        <v>1299225568</v>
      </c>
      <c r="AB6" s="3" t="n">
        <v>1687510320</v>
      </c>
      <c r="AC6" s="3" t="n">
        <v>276779002</v>
      </c>
      <c r="AD6" s="3" t="n">
        <v>1052342496</v>
      </c>
      <c r="AE6" s="3" t="n">
        <v>317292195</v>
      </c>
      <c r="AF6" s="3" t="n">
        <v>308483431.79</v>
      </c>
      <c r="AG6" s="3" t="n">
        <v>210054318.5435</v>
      </c>
      <c r="AH6" s="3" t="n">
        <v>138082537.9984</v>
      </c>
      <c r="AI6" s="3" t="n">
        <v>96862252.3651</v>
      </c>
      <c r="AJ6" s="3" t="n">
        <v>163976967.5597</v>
      </c>
      <c r="AK6" s="3" t="n">
        <v>184806659.5081</v>
      </c>
      <c r="AL6" s="3" t="n">
        <v>235769398.9436</v>
      </c>
      <c r="AM6" s="3" t="n">
        <v>211690145.2669</v>
      </c>
      <c r="AN6" s="3" t="n">
        <v>195038154.2248</v>
      </c>
      <c r="AO6" s="3" t="n">
        <v>141905384.4047</v>
      </c>
      <c r="AP6" s="3" t="n">
        <v>287180709.8184</v>
      </c>
      <c r="AQ6" s="3" t="n">
        <v>217723841.2498</v>
      </c>
      <c r="AR6" s="3" t="n">
        <v>343471582.0635</v>
      </c>
      <c r="AS6" s="3" t="n">
        <v>256918462.8829</v>
      </c>
      <c r="AT6" s="3" t="n">
        <v>255403259.2125</v>
      </c>
      <c r="AU6" s="3" t="n">
        <v>254637125.377</v>
      </c>
      <c r="AV6" s="3" t="n">
        <v>178882072.5834</v>
      </c>
      <c r="AW6" s="3" t="n">
        <v>272144400.4561</v>
      </c>
      <c r="AX6" s="3"/>
    </row>
    <row r="7">
      <c r="A7" t="str">
        <f>N7</f>
      </c>
      <c r="B7" t="str">
        <f>O7</f>
      </c>
      <c r="M7" t="s">
        <v>55</v>
      </c>
      <c r="N7" t="s">
        <v>55</v>
      </c>
      <c r="O7" t="s">
        <v>56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28080419</v>
      </c>
      <c r="AA7" s="3" t="n">
        <v>41682083</v>
      </c>
      <c r="AB7" s="3" t="n">
        <v>12774421</v>
      </c>
      <c r="AC7" s="3" t="n">
        <v>27099676</v>
      </c>
      <c r="AD7" s="3" t="n">
        <v>23263145</v>
      </c>
      <c r="AE7" s="3" t="n">
        <v>114122216.7656</v>
      </c>
      <c r="AF7" s="3" t="n">
        <v>85051998.333</v>
      </c>
      <c r="AG7" s="3" t="n">
        <v>216405827.4977</v>
      </c>
      <c r="AH7" s="3" t="n">
        <v>253846636.0412</v>
      </c>
      <c r="AI7" s="3" t="n">
        <v>299230424.5229</v>
      </c>
      <c r="AJ7" s="3" t="n">
        <v>569526219.0317</v>
      </c>
      <c r="AK7" s="3" t="n">
        <v>252099898.7514</v>
      </c>
      <c r="AL7" s="3" t="n">
        <v>116797427.5198</v>
      </c>
      <c r="AM7" s="3" t="n">
        <v>62256743.9662</v>
      </c>
      <c r="AN7" s="3" t="n">
        <v>144282477.1119</v>
      </c>
      <c r="AO7" s="3" t="n">
        <v>28738791.4791</v>
      </c>
      <c r="AP7" s="3" t="n">
        <v>126968740.402</v>
      </c>
      <c r="AQ7" s="3" t="n">
        <v>86231194.678</v>
      </c>
      <c r="AR7" s="3" t="n">
        <v>38552478.447</v>
      </c>
      <c r="AS7" s="3" t="n">
        <v>101369599.7714</v>
      </c>
      <c r="AT7" s="3" t="n">
        <v>323461338.0147</v>
      </c>
      <c r="AU7" s="3" t="n">
        <v>2534518878.7618</v>
      </c>
      <c r="AV7" s="3" t="n">
        <v>193420513.1443</v>
      </c>
      <c r="AW7" s="3" t="n">
        <v>227289182.5886</v>
      </c>
      <c r="AX7" s="3"/>
    </row>
    <row r="8">
      <c r="A8" t="str">
        <f>N8</f>
      </c>
      <c r="B8" t="str">
        <f>O8</f>
      </c>
      <c r="M8" t="s">
        <v>57</v>
      </c>
      <c r="N8" t="s">
        <v>57</v>
      </c>
      <c r="O8" t="s">
        <v>58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 t="n">
        <v>29458</v>
      </c>
      <c r="AE8" s="3" t="n">
        <v>1481741</v>
      </c>
      <c r="AF8" s="3" t="n">
        <v>19688033.039</v>
      </c>
      <c r="AG8" s="3" t="n">
        <v>545133910.1395</v>
      </c>
      <c r="AH8" s="3" t="n">
        <v>419626804.6038</v>
      </c>
      <c r="AI8" s="3" t="n">
        <v>369797748.4371</v>
      </c>
      <c r="AJ8" s="3" t="n">
        <v>484142.0236</v>
      </c>
      <c r="AK8" s="3" t="n">
        <v>140427.3608</v>
      </c>
      <c r="AL8" s="3" t="n">
        <v>-178790.0492</v>
      </c>
      <c r="AM8" s="3" t="n">
        <v>-611827.46</v>
      </c>
      <c r="AN8" s="3" t="n">
        <v>-149735.36</v>
      </c>
      <c r="AO8" s="3" t="n">
        <v>-4.69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57</v>
      </c>
      <c r="N9" t="s">
        <v>57</v>
      </c>
      <c r="O9"/>
      <c r="P9" s="3" t="n">
        <v>10893531000</v>
      </c>
      <c r="Q9" s="3" t="n">
        <v>13666534115</v>
      </c>
      <c r="R9" s="3" t="n">
        <v>9670953302</v>
      </c>
      <c r="S9" s="3" t="n">
        <v>10550468583</v>
      </c>
      <c r="T9" s="3" t="n">
        <v>8625703645</v>
      </c>
      <c r="U9" s="3" t="n">
        <v>8564693193</v>
      </c>
      <c r="V9" s="3" t="n">
        <v>9626845429</v>
      </c>
      <c r="W9" s="3" t="n">
        <v>9689825022</v>
      </c>
      <c r="X9" s="3" t="n">
        <v>8560246161</v>
      </c>
      <c r="Y9" s="3" t="n">
        <v>7673714576</v>
      </c>
      <c r="Z9" s="3" t="n">
        <v>488629874</v>
      </c>
      <c r="AA9" s="3" t="n">
        <v>218147945</v>
      </c>
      <c r="AB9" s="3" t="n">
        <v>364972701</v>
      </c>
      <c r="AC9" s="3" t="n">
        <v>686725255.7108</v>
      </c>
      <c r="AD9" s="3" t="n">
        <v>887382985</v>
      </c>
      <c r="AE9" s="3" t="n">
        <v>738390961.7598</v>
      </c>
      <c r="AF9" s="3" t="n">
        <v>325321191.25</v>
      </c>
      <c r="AG9" s="3" t="n">
        <v>2585948.9</v>
      </c>
      <c r="AH9" s="3" t="n">
        <v>28017032.3216</v>
      </c>
      <c r="AI9" s="3" t="n">
        <v>25825991.5111</v>
      </c>
      <c r="AJ9" s="3" t="n">
        <v>651915.0636</v>
      </c>
      <c r="AK9" s="3" t="n">
        <v>-18286.2302</v>
      </c>
      <c r="AL9" s="3" t="n">
        <v>44800.7998</v>
      </c>
      <c r="AM9" s="3" t="n">
        <v>1420336.75</v>
      </c>
      <c r="AN9" s="3" t="n">
        <v>6226366.7396</v>
      </c>
      <c r="AO9" s="3" t="n">
        <v>11122477.8166</v>
      </c>
      <c r="AP9" s="3" t="n">
        <v>709881.3695</v>
      </c>
      <c r="AQ9" s="3" t="n">
        <v>12892810.5501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124</v>
      </c>
      <c r="O10" t="s">
        <v>125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47</v>
      </c>
      <c r="N14" t="s">
        <v>132</v>
      </c>
      <c r="O14" t="s">
        <v>48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5221605888.13716</v>
      </c>
      <c r="AA14" s="3" t="n">
        <v>6014849104.65742</v>
      </c>
      <c r="AB14" s="3" t="n">
        <v>8202689441.52564</v>
      </c>
      <c r="AC14" s="3" t="n">
        <v>11780786058.6294</v>
      </c>
      <c r="AD14" s="3" t="n">
        <v>13151158267.105</v>
      </c>
      <c r="AE14" s="3" t="n">
        <v>26817771961.8888</v>
      </c>
      <c r="AF14" s="3" t="n">
        <v>28186723652.9487</v>
      </c>
      <c r="AG14" s="3" t="n">
        <v>28750466438.9384</v>
      </c>
      <c r="AH14" s="3" t="n">
        <v>30813844490.6433</v>
      </c>
      <c r="AI14" s="3" t="n">
        <v>21438863436.6729</v>
      </c>
      <c r="AJ14" s="3" t="n">
        <v>20683143158.657</v>
      </c>
      <c r="AK14" s="3" t="n">
        <v>19776561279.8513</v>
      </c>
      <c r="AL14" s="3" t="n">
        <v>16786641623.9979</v>
      </c>
      <c r="AM14" s="3" t="n">
        <v>14732064324.7389</v>
      </c>
      <c r="AN14" s="3" t="n">
        <v>18380254460.9569</v>
      </c>
      <c r="AO14" s="3" t="n">
        <v>17331042052.6082</v>
      </c>
      <c r="AP14" s="3" t="n">
        <v>16504693640.2776</v>
      </c>
      <c r="AQ14" s="3" t="n">
        <v>17086034167.65</v>
      </c>
      <c r="AR14" s="3" t="n">
        <v>20129116794.4962</v>
      </c>
      <c r="AS14" s="3" t="n">
        <v>18717110825.4814</v>
      </c>
      <c r="AT14" s="3" t="n">
        <v>21692521204.6768</v>
      </c>
      <c r="AU14" s="3" t="n">
        <v>47933898990.5685</v>
      </c>
      <c r="AV14" s="3" t="n">
        <v>46047462499.3524</v>
      </c>
      <c r="AW14" s="3" t="n">
        <v>19297940261.1242</v>
      </c>
      <c r="AX14" s="3"/>
    </row>
    <row r="15">
      <c r="A15" t="str">
        <f>N15</f>
      </c>
      <c r="B15" t="str">
        <f>O15</f>
      </c>
      <c r="M15" t="s">
        <v>49</v>
      </c>
      <c r="N15" t="s">
        <v>49</v>
      </c>
      <c r="O15" t="s">
        <v>50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6248306570.3</v>
      </c>
      <c r="AA15" s="3" t="n">
        <v>7562065596.71146</v>
      </c>
      <c r="AB15" s="3" t="n">
        <v>9290516448.99322</v>
      </c>
      <c r="AC15" s="3" t="n">
        <v>10267427381.1483</v>
      </c>
      <c r="AD15" s="3" t="n">
        <v>11087992007.9989</v>
      </c>
      <c r="AE15" s="3" t="n">
        <v>17131952150.1098</v>
      </c>
      <c r="AF15" s="3" t="n">
        <v>18941260280.5738</v>
      </c>
      <c r="AG15" s="3" t="n">
        <v>16416113252.4659</v>
      </c>
      <c r="AH15" s="3" t="n">
        <v>19863851363.527</v>
      </c>
      <c r="AI15" s="3" t="n">
        <v>24482317869.2998</v>
      </c>
      <c r="AJ15" s="3" t="n">
        <v>16357417823.3263</v>
      </c>
      <c r="AK15" s="3" t="n">
        <v>17959545251.4207</v>
      </c>
      <c r="AL15" s="3" t="n">
        <v>27173400808.3605</v>
      </c>
      <c r="AM15" s="3" t="n">
        <v>17535665940.1454</v>
      </c>
      <c r="AN15" s="3" t="n">
        <v>10613403627.2888</v>
      </c>
      <c r="AO15" s="3" t="n">
        <v>7705479630.25479</v>
      </c>
      <c r="AP15" s="3" t="n">
        <v>6024692643.07542</v>
      </c>
      <c r="AQ15" s="3" t="n">
        <v>7697954933.64744</v>
      </c>
      <c r="AR15" s="3" t="n">
        <v>8336416776.9088</v>
      </c>
      <c r="AS15" s="3" t="n">
        <v>6859548873.87943</v>
      </c>
      <c r="AT15" s="3" t="n">
        <v>5824956668.87249</v>
      </c>
      <c r="AU15" s="3" t="n">
        <v>6289168352.70277</v>
      </c>
      <c r="AV15" s="3" t="n">
        <v>12090182374.6482</v>
      </c>
      <c r="AW15" s="3" t="n">
        <v>10765479149.6722</v>
      </c>
      <c r="AX15" s="3"/>
    </row>
    <row r="16">
      <c r="A16" t="str">
        <f>N16</f>
      </c>
      <c r="B16" t="str">
        <f>O16</f>
      </c>
      <c r="M16" t="s">
        <v>49</v>
      </c>
      <c r="N16" t="s">
        <v>49</v>
      </c>
      <c r="O16" t="s">
        <v>51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21503508.8728704</v>
      </c>
      <c r="AA16" s="3" t="n">
        <v>33392766.4672176</v>
      </c>
      <c r="AB16" s="3" t="n">
        <v>55357739.3707342</v>
      </c>
      <c r="AC16" s="3" t="n">
        <v>40016337.7013611</v>
      </c>
      <c r="AD16" s="3" t="n">
        <v>31685145.9476787</v>
      </c>
      <c r="AE16" s="3" t="n">
        <v>144481575.099121</v>
      </c>
      <c r="AF16" s="3" t="n">
        <v>110106940.882842</v>
      </c>
      <c r="AG16" s="3" t="n">
        <v>19904857.1463634</v>
      </c>
      <c r="AH16" s="3" t="n">
        <v>248565321.984608</v>
      </c>
      <c r="AI16" s="3" t="n">
        <v>17512517.4922847</v>
      </c>
      <c r="AJ16" s="3" t="n">
        <v>35472734.5791196</v>
      </c>
      <c r="AK16" s="3" t="n">
        <v>19617560.026333</v>
      </c>
      <c r="AL16" s="3" t="n">
        <v>5292589.40346198</v>
      </c>
      <c r="AM16" s="3" t="n">
        <v>33312797.1076302</v>
      </c>
      <c r="AN16" s="3" t="n">
        <v>6588831.75794458</v>
      </c>
      <c r="AO16" s="3" t="n">
        <v>11552458.7155425</v>
      </c>
      <c r="AP16" s="3" t="n">
        <v>13719840.8015922</v>
      </c>
      <c r="AQ16" s="3" t="n">
        <v>478198.288623103</v>
      </c>
      <c r="AR16" s="3" t="n">
        <v>-799793.168539358</v>
      </c>
      <c r="AS16" s="3" t="n">
        <v>-1037143.81273761</v>
      </c>
      <c r="AT16" s="3" t="n">
        <v>-316578.27944195</v>
      </c>
      <c r="AU16" s="3" t="n">
        <v>5517592.56322283</v>
      </c>
      <c r="AV16" s="3" t="n">
        <v>600000</v>
      </c>
      <c r="AW16" s="3" t="n">
        <v>3147534.65213655</v>
      </c>
      <c r="AX16" s="3"/>
    </row>
    <row r="17">
      <c r="A17" t="str">
        <f>N17</f>
      </c>
      <c r="B17" t="str">
        <f>O17</f>
      </c>
      <c r="M17" t="s">
        <v>52</v>
      </c>
      <c r="N17" t="s">
        <v>52</v>
      </c>
      <c r="O17" t="s">
        <v>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43935724.8367777</v>
      </c>
      <c r="AA17" s="3" t="n">
        <v>59966036.1599911</v>
      </c>
      <c r="AB17" s="3" t="n">
        <v>41338046.7358143</v>
      </c>
      <c r="AC17" s="3" t="n">
        <v>87536852.0491584</v>
      </c>
      <c r="AD17" s="3" t="n">
        <v>54765209.1972334</v>
      </c>
      <c r="AE17" s="3" t="n">
        <v>106480307.186277</v>
      </c>
      <c r="AF17" s="3" t="n">
        <v>132747949.496016</v>
      </c>
      <c r="AG17" s="3" t="n">
        <v>152604333.971852</v>
      </c>
      <c r="AH17" s="3" t="n">
        <v>75601021.8343038</v>
      </c>
      <c r="AI17" s="3" t="n">
        <v>19458292.8838137</v>
      </c>
      <c r="AJ17" s="3" t="n">
        <v>60491864.1381131</v>
      </c>
      <c r="AK17" s="3" t="n">
        <v>164310392.70846</v>
      </c>
      <c r="AL17" s="3" t="n">
        <v>116964420.694749</v>
      </c>
      <c r="AM17" s="3" t="n">
        <v>86453067.6172657</v>
      </c>
      <c r="AN17" s="3" t="n">
        <v>22444244.8018541</v>
      </c>
      <c r="AO17" s="3" t="n">
        <v>5199973.31457058</v>
      </c>
      <c r="AP17" s="3" t="n">
        <v>48862380.0713627</v>
      </c>
      <c r="AQ17" s="3" t="n">
        <v>62277406.490921</v>
      </c>
      <c r="AR17" s="3" t="n">
        <v>84638820.2776885</v>
      </c>
      <c r="AS17" s="3" t="n">
        <v>21060689.113622</v>
      </c>
      <c r="AT17" s="3" t="n">
        <v>37144047.5844355</v>
      </c>
      <c r="AU17" s="3" t="n">
        <v>98996.5483353664</v>
      </c>
      <c r="AV17" s="3" t="n">
        <v>3059.4</v>
      </c>
      <c r="AW17" s="3" t="n">
        <v>8364429.29771075</v>
      </c>
      <c r="AX17" s="3"/>
    </row>
    <row r="18">
      <c r="A18" t="str">
        <f>N18</f>
      </c>
      <c r="B18" t="str">
        <f>O18</f>
      </c>
      <c r="M18" t="s">
        <v>53</v>
      </c>
      <c r="N18" t="s">
        <v>53</v>
      </c>
      <c r="O18" t="s">
        <v>54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1584465027.01412</v>
      </c>
      <c r="AA18" s="3" t="n">
        <v>2049498632.96462</v>
      </c>
      <c r="AB18" s="3" t="n">
        <v>2620645882.31333</v>
      </c>
      <c r="AC18" s="3" t="n">
        <v>421766453.757194</v>
      </c>
      <c r="AD18" s="3" t="n">
        <v>1565337709.49752</v>
      </c>
      <c r="AE18" s="3" t="n">
        <v>458060370.530178</v>
      </c>
      <c r="AF18" s="3" t="n">
        <v>431301416.069357</v>
      </c>
      <c r="AG18" s="3" t="n">
        <v>285845475.816966</v>
      </c>
      <c r="AH18" s="3" t="n">
        <v>184066200.941615</v>
      </c>
      <c r="AI18" s="3" t="n">
        <v>127820008.884432</v>
      </c>
      <c r="AJ18" s="3" t="n">
        <v>214519213.761501</v>
      </c>
      <c r="AK18" s="3" t="n">
        <v>236992898.382963</v>
      </c>
      <c r="AL18" s="3" t="n">
        <v>296904404.033026</v>
      </c>
      <c r="AM18" s="3" t="n">
        <v>261790631.263964</v>
      </c>
      <c r="AN18" s="3" t="n">
        <v>236619988.117692</v>
      </c>
      <c r="AO18" s="3" t="n">
        <v>170208068.079142</v>
      </c>
      <c r="AP18" s="3" t="n">
        <v>341627307.833675</v>
      </c>
      <c r="AQ18" s="3" t="n">
        <v>254459056.540714</v>
      </c>
      <c r="AR18" s="3" t="n">
        <v>392214148.755868</v>
      </c>
      <c r="AS18" s="3" t="n">
        <v>287742280.651883</v>
      </c>
      <c r="AT18" s="3" t="n">
        <v>282279554.591735</v>
      </c>
      <c r="AU18" s="3" t="n">
        <v>272280319.372809</v>
      </c>
      <c r="AV18" s="3" t="n">
        <v>178882072.5834</v>
      </c>
      <c r="AW18" s="3" t="n">
        <v>259570888.127425</v>
      </c>
      <c r="AX18" s="3"/>
    </row>
    <row r="19">
      <c r="A19" t="str">
        <f>N19</f>
      </c>
      <c r="B19" t="str">
        <f>O19</f>
      </c>
      <c r="M19" t="s">
        <v>55</v>
      </c>
      <c r="N19" t="s">
        <v>55</v>
      </c>
      <c r="O19" t="s">
        <v>56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45370376.7884092</v>
      </c>
      <c r="AA19" s="3" t="n">
        <v>65752533.0717767</v>
      </c>
      <c r="AB19" s="3" t="n">
        <v>19838239.444122</v>
      </c>
      <c r="AC19" s="3" t="n">
        <v>41295525.1731449</v>
      </c>
      <c r="AD19" s="3" t="n">
        <v>34603447.3077182</v>
      </c>
      <c r="AE19" s="3" t="n">
        <v>164753075.307686</v>
      </c>
      <c r="AF19" s="3" t="n">
        <v>118914157.261851</v>
      </c>
      <c r="AG19" s="3" t="n">
        <v>294488716.821283</v>
      </c>
      <c r="AH19" s="3" t="n">
        <v>338381569.423746</v>
      </c>
      <c r="AI19" s="3" t="n">
        <v>394866262.007245</v>
      </c>
      <c r="AJ19" s="3" t="n">
        <v>745069984.775513</v>
      </c>
      <c r="AK19" s="3" t="n">
        <v>323288597.100188</v>
      </c>
      <c r="AL19" s="3" t="n">
        <v>147083000.447621</v>
      </c>
      <c r="AM19" s="3" t="n">
        <v>76990982.6591199</v>
      </c>
      <c r="AN19" s="3" t="n">
        <v>175043278.867678</v>
      </c>
      <c r="AO19" s="3" t="n">
        <v>34470673.5202989</v>
      </c>
      <c r="AP19" s="3" t="n">
        <v>151040747.09613</v>
      </c>
      <c r="AQ19" s="3" t="n">
        <v>100780458.01593</v>
      </c>
      <c r="AR19" s="3" t="n">
        <v>44023518.4106834</v>
      </c>
      <c r="AS19" s="3" t="n">
        <v>113531427.440798</v>
      </c>
      <c r="AT19" s="3" t="n">
        <v>357499441.095493</v>
      </c>
      <c r="AU19" s="3" t="n">
        <v>2710129596.16143</v>
      </c>
      <c r="AV19" s="3" t="n">
        <v>193420513.1443</v>
      </c>
      <c r="AW19" s="3" t="n">
        <v>216788054.016185</v>
      </c>
      <c r="AX19" s="3"/>
    </row>
    <row r="20">
      <c r="A20" t="str">
        <f>N20</f>
      </c>
      <c r="B20" t="str">
        <f>O20</f>
      </c>
      <c r="M20" t="s">
        <v>57</v>
      </c>
      <c r="N20" t="s">
        <v>57</v>
      </c>
      <c r="O20" t="s">
        <v>58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 t="n">
        <v>43818.1660644235</v>
      </c>
      <c r="AE20" s="3" t="n">
        <v>2139122.36791629</v>
      </c>
      <c r="AF20" s="3" t="n">
        <v>27526523.8073517</v>
      </c>
      <c r="AG20" s="3" t="n">
        <v>741827461.621642</v>
      </c>
      <c r="AH20" s="3" t="n">
        <v>559369148.744833</v>
      </c>
      <c r="AI20" s="3" t="n">
        <v>487987325.676766</v>
      </c>
      <c r="AJ20" s="3" t="n">
        <v>633368.013795973</v>
      </c>
      <c r="AK20" s="3" t="n">
        <v>180081.644984246</v>
      </c>
      <c r="AL20" s="3" t="n">
        <v>-225150.308914601</v>
      </c>
      <c r="AM20" s="3" t="n">
        <v>-756628.027138834</v>
      </c>
      <c r="AN20" s="3" t="n">
        <v>-181658.707983677</v>
      </c>
      <c r="AO20" s="3" t="n">
        <v>-5.62540908958447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57</v>
      </c>
      <c r="N21" t="s">
        <v>57</v>
      </c>
      <c r="O21"/>
      <c r="P21" s="3" t="n">
        <v>21651236733.6665</v>
      </c>
      <c r="Q21" s="3" t="n">
        <v>26227166146.2177</v>
      </c>
      <c r="R21" s="3" t="n">
        <v>18106796731.9237</v>
      </c>
      <c r="S21" s="3" t="n">
        <v>19300123614.8198</v>
      </c>
      <c r="T21" s="3" t="n">
        <v>15442633771.9174</v>
      </c>
      <c r="U21" s="3" t="n">
        <v>15015339183.8907</v>
      </c>
      <c r="V21" s="3" t="n">
        <v>16566119779.7048</v>
      </c>
      <c r="W21" s="3" t="n">
        <v>16383454141.1711</v>
      </c>
      <c r="X21" s="3" t="n">
        <v>14295077561.1236</v>
      </c>
      <c r="Y21" s="3" t="n">
        <v>12656854970.7716</v>
      </c>
      <c r="Z21" s="3" t="n">
        <v>789493970.636724</v>
      </c>
      <c r="AA21" s="3" t="n">
        <v>344123396.332007</v>
      </c>
      <c r="AB21" s="3" t="n">
        <v>566790137.338196</v>
      </c>
      <c r="AC21" s="3" t="n">
        <v>1046458270.72765</v>
      </c>
      <c r="AD21" s="3" t="n">
        <v>1319963846.81492</v>
      </c>
      <c r="AE21" s="3" t="n">
        <v>1065981586.90865</v>
      </c>
      <c r="AF21" s="3" t="n">
        <v>454842873.243877</v>
      </c>
      <c r="AG21" s="3" t="n">
        <v>3519003.07922392</v>
      </c>
      <c r="AH21" s="3" t="n">
        <v>37347145.959579</v>
      </c>
      <c r="AI21" s="3" t="n">
        <v>34080133.2179992</v>
      </c>
      <c r="AJ21" s="3" t="n">
        <v>852853.354736148</v>
      </c>
      <c r="AK21" s="3" t="n">
        <v>-23449.9487579673</v>
      </c>
      <c r="AL21" s="3" t="n">
        <v>56417.6471773755</v>
      </c>
      <c r="AM21" s="3" t="n">
        <v>1756486.36794642</v>
      </c>
      <c r="AN21" s="3" t="n">
        <v>7553818.53256489</v>
      </c>
      <c r="AO21" s="3" t="n">
        <v>13340828.956973</v>
      </c>
      <c r="AP21" s="3" t="n">
        <v>844467.796242034</v>
      </c>
      <c r="AQ21" s="3" t="n">
        <v>15068135.8086669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133</v>
      </c>
      <c r="AY1" t="s">
        <v>134</v>
      </c>
    </row>
    <row r="2">
      <c r="A2" t="str">
        <f>N2</f>
      </c>
      <c r="B2" t="str">
        <f>O2</f>
      </c>
      <c r="N2" t="s">
        <v>61</v>
      </c>
      <c r="O2" t="s">
        <v>62</v>
      </c>
      <c r="P2" s="13" t="n">
        <v>21060000</v>
      </c>
      <c r="Q2" s="13" t="n">
        <v>37406000</v>
      </c>
      <c r="R2" s="13" t="n">
        <v>2963000</v>
      </c>
      <c r="S2" s="13" t="n">
        <v>244000</v>
      </c>
      <c r="T2" s="13" t="n">
        <v>2865000</v>
      </c>
      <c r="U2" s="13" t="n">
        <v>4434000</v>
      </c>
      <c r="V2" s="13" t="n">
        <v>52072000</v>
      </c>
      <c r="W2" s="13" t="n">
        <v>2674129062</v>
      </c>
      <c r="X2" s="13" t="n">
        <v>2187317165</v>
      </c>
      <c r="Y2" s="13" t="n">
        <v>1332627861</v>
      </c>
      <c r="Z2" s="13" t="n">
        <v>1598712225</v>
      </c>
      <c r="AA2" s="13" t="n">
        <v>1950251110</v>
      </c>
      <c r="AB2" s="13" t="n">
        <v>2453706466</v>
      </c>
      <c r="AC2" s="13" t="n">
        <v>1537937968.2</v>
      </c>
      <c r="AD2" s="13" t="n">
        <v>2359572844.28</v>
      </c>
      <c r="AE2" s="13" t="n">
        <v>2281786766.95</v>
      </c>
      <c r="AF2" s="13" t="n">
        <v>3084333702.33</v>
      </c>
      <c r="AG2" s="13" t="n">
        <v>2683224380.25</v>
      </c>
      <c r="AH2" s="13" t="n">
        <v>3837830269.16</v>
      </c>
      <c r="AI2" s="13" t="n">
        <v>1610368591.89</v>
      </c>
      <c r="AJ2" s="13" t="n">
        <v>1517218766.1628</v>
      </c>
      <c r="AK2" s="13" t="n">
        <v>1382941978.1415</v>
      </c>
      <c r="AL2" s="13" t="n">
        <v>1114566997.5758</v>
      </c>
      <c r="AM2" s="13" t="n">
        <v>933732790.2203</v>
      </c>
      <c r="AN2" s="13" t="n">
        <v>818535950.9229</v>
      </c>
      <c r="AO2" s="13" t="n">
        <v>655986106.1738</v>
      </c>
      <c r="AP2" s="13" t="n">
        <v>753481921.2797</v>
      </c>
      <c r="AQ2" s="13" t="n">
        <v>774690757.5639</v>
      </c>
      <c r="AR2" s="13" t="n">
        <v>929673402.36</v>
      </c>
      <c r="AS2" s="13" t="n">
        <v>886690123.11</v>
      </c>
      <c r="AT2" s="13" t="n">
        <v>3037069947.75</v>
      </c>
      <c r="AU2" s="13" t="n">
        <v>31136299475.1</v>
      </c>
      <c r="AV2" s="13" t="n">
        <v>28768751266.92</v>
      </c>
      <c r="AW2" s="13" t="n">
        <v>2618371745.11</v>
      </c>
      <c r="AX2" s="13" t="n">
        <v>1338431505.3</v>
      </c>
      <c r="AY2" s="13" t="n">
        <v>388548670.46</v>
      </c>
      <c r="AZ2" s="13"/>
    </row>
    <row r="3">
      <c r="A3" t="str">
        <f>N3</f>
      </c>
      <c r="B3" t="str">
        <f>O3</f>
      </c>
      <c r="N3" t="s">
        <v>61</v>
      </c>
      <c r="O3" t="s">
        <v>63</v>
      </c>
      <c r="P3" s="13" t="n">
        <v>-665000</v>
      </c>
      <c r="Q3" s="13" t="n">
        <v>2141000</v>
      </c>
      <c r="R3" s="13" t="n">
        <v>-23000</v>
      </c>
      <c r="S3" s="13" t="n">
        <v>75000</v>
      </c>
      <c r="T3" s="13" t="n">
        <v>192000</v>
      </c>
      <c r="U3" s="13" t="n">
        <v>36000</v>
      </c>
      <c r="V3" s="13" t="n">
        <v>1740000</v>
      </c>
      <c r="W3" s="13" t="n">
        <v>3632198</v>
      </c>
      <c r="X3" s="13" t="n">
        <v>48953421</v>
      </c>
      <c r="Y3" s="13" t="n">
        <v>108533418</v>
      </c>
      <c r="Z3" s="13" t="n">
        <v>307681077.09</v>
      </c>
      <c r="AA3" s="13" t="n">
        <v>348461644</v>
      </c>
      <c r="AB3" s="13" t="n">
        <v>427869132.31</v>
      </c>
      <c r="AC3" s="13" t="n">
        <v>777990920.63</v>
      </c>
      <c r="AD3" s="13" t="n">
        <v>959844055.1</v>
      </c>
      <c r="AE3" s="13" t="n">
        <v>1564435271.75</v>
      </c>
      <c r="AF3" s="13" t="n">
        <v>1929237400.67</v>
      </c>
      <c r="AG3" s="13" t="n">
        <v>2848479475.8</v>
      </c>
      <c r="AH3" s="13" t="n">
        <v>3259018579.42</v>
      </c>
      <c r="AI3" s="13" t="n">
        <v>2228682831.76</v>
      </c>
      <c r="AJ3" s="13" t="n">
        <v>1645780523.1147</v>
      </c>
      <c r="AK3" s="13" t="n">
        <v>1435866272.1331</v>
      </c>
      <c r="AL3" s="13" t="n">
        <v>1230738448.4406</v>
      </c>
      <c r="AM3" s="13" t="n">
        <v>1140369649.5738</v>
      </c>
      <c r="AN3" s="13" t="n">
        <v>1287870537.6731</v>
      </c>
      <c r="AO3" s="13" t="n">
        <v>1399759572.6978</v>
      </c>
      <c r="AP3" s="13" t="n">
        <v>1296473981.2177</v>
      </c>
      <c r="AQ3" s="13" t="n">
        <v>1321918170.5489</v>
      </c>
      <c r="AR3" s="13" t="n">
        <v>1800678199.42</v>
      </c>
      <c r="AS3" s="13" t="n">
        <v>1628137775.79</v>
      </c>
      <c r="AT3" s="13" t="n">
        <v>1523306342.98</v>
      </c>
      <c r="AU3" s="13" t="n">
        <v>1186115924.75</v>
      </c>
      <c r="AV3" s="13" t="n">
        <v>1408904330.45</v>
      </c>
      <c r="AW3" s="13" t="n">
        <v>2072209669.46</v>
      </c>
      <c r="AX3" s="13" t="n">
        <v>2413298021.84</v>
      </c>
      <c r="AY3" s="13" t="n">
        <v>1152058287.63</v>
      </c>
      <c r="AZ3" s="13"/>
    </row>
    <row r="4">
      <c r="A4" t="str">
        <f>N4</f>
      </c>
      <c r="B4" t="str">
        <f>O4</f>
      </c>
      <c r="N4" t="s">
        <v>64</v>
      </c>
      <c r="O4" t="s">
        <v>65</v>
      </c>
      <c r="P4" s="13"/>
      <c r="Q4" s="13"/>
      <c r="R4" s="13"/>
      <c r="S4" s="13"/>
      <c r="T4" s="13"/>
      <c r="U4" s="13"/>
      <c r="V4" s="13"/>
      <c r="W4" s="13" t="n">
        <v>913295</v>
      </c>
      <c r="X4" s="13" t="n">
        <v>366332</v>
      </c>
      <c r="Y4" s="13" t="n">
        <v>380077</v>
      </c>
      <c r="Z4" s="13" t="n">
        <v>527371</v>
      </c>
      <c r="AA4" s="13" t="n">
        <v>1137225</v>
      </c>
      <c r="AB4" s="13" t="n">
        <v>56869623</v>
      </c>
      <c r="AC4" s="13" t="n">
        <v>389317.7003</v>
      </c>
      <c r="AD4" s="13" t="n">
        <v>1783936</v>
      </c>
      <c r="AE4" s="13" t="n">
        <v>2559084</v>
      </c>
      <c r="AF4" s="13" t="n">
        <v>4391024</v>
      </c>
      <c r="AG4" s="13" t="n">
        <v>533453</v>
      </c>
      <c r="AH4" s="13" t="n">
        <v>51786.0605</v>
      </c>
      <c r="AI4" s="13" t="n">
        <v>53399.27</v>
      </c>
      <c r="AJ4" s="13" t="n">
        <v>72495977.7688</v>
      </c>
      <c r="AK4" s="13" t="n">
        <v>236501323.2642</v>
      </c>
      <c r="AL4" s="13" t="n">
        <v>369192415.3956</v>
      </c>
      <c r="AM4" s="13" t="n">
        <v>595334492.4775</v>
      </c>
      <c r="AN4" s="13" t="n">
        <v>430511510.4199</v>
      </c>
      <c r="AO4" s="13" t="n">
        <v>342322141.5123</v>
      </c>
      <c r="AP4" s="13" t="n">
        <v>283920232.3311</v>
      </c>
      <c r="AQ4" s="13" t="n">
        <v>388592826.8452</v>
      </c>
      <c r="AR4" s="13" t="n">
        <v>524892499.6879</v>
      </c>
      <c r="AS4" s="13" t="n">
        <v>221272913.7422</v>
      </c>
      <c r="AT4" s="13" t="n">
        <v>240419448.1106</v>
      </c>
      <c r="AU4" s="13" t="n">
        <v>342189843.2346</v>
      </c>
      <c r="AV4" s="13" t="n">
        <v>260460252.073</v>
      </c>
      <c r="AW4" s="13" t="n">
        <v>475703171.6093</v>
      </c>
      <c r="AX4" s="13" t="n">
        <v>530515537.5617</v>
      </c>
      <c r="AY4" s="13" t="n">
        <v>250731011.14</v>
      </c>
      <c r="AZ4" s="13"/>
    </row>
    <row r="5">
      <c r="A5" t="str">
        <f>N5</f>
      </c>
      <c r="B5" t="str">
        <f>O5</f>
      </c>
      <c r="N5" t="s">
        <v>64</v>
      </c>
      <c r="O5" t="s">
        <v>66</v>
      </c>
      <c r="P5" s="13" t="n">
        <v>199000</v>
      </c>
      <c r="Q5" s="13" t="n">
        <v>189000</v>
      </c>
      <c r="R5" s="13" t="n">
        <v>116000</v>
      </c>
      <c r="S5" s="13" t="n">
        <v>521000</v>
      </c>
      <c r="T5" s="13" t="n">
        <v>578000</v>
      </c>
      <c r="U5" s="13" t="n">
        <v>2627000</v>
      </c>
      <c r="V5" s="13" t="n">
        <v>2885000</v>
      </c>
      <c r="W5" s="13" t="n">
        <v>8028971</v>
      </c>
      <c r="X5" s="13" t="n">
        <v>9799544</v>
      </c>
      <c r="Y5" s="13" t="n">
        <v>22190554</v>
      </c>
      <c r="Z5" s="13" t="n">
        <v>83567523</v>
      </c>
      <c r="AA5" s="13" t="n">
        <v>118543525</v>
      </c>
      <c r="AB5" s="13" t="n">
        <v>189875776.9702</v>
      </c>
      <c r="AC5" s="13" t="n">
        <v>522166820.5005</v>
      </c>
      <c r="AD5" s="13" t="n">
        <v>790503286.4706</v>
      </c>
      <c r="AE5" s="13" t="n">
        <v>673812468.9155</v>
      </c>
      <c r="AF5" s="13" t="n">
        <v>529692342.9485</v>
      </c>
      <c r="AG5" s="13" t="n">
        <v>612686585.4741</v>
      </c>
      <c r="AH5" s="13" t="n">
        <v>535205367.0442</v>
      </c>
      <c r="AI5" s="13" t="n">
        <v>695208994.6451</v>
      </c>
      <c r="AJ5" s="13" t="n">
        <v>778569109.4058</v>
      </c>
      <c r="AK5" s="13" t="n">
        <v>541541477.1325</v>
      </c>
      <c r="AL5" s="13" t="n">
        <v>441652698.1897</v>
      </c>
      <c r="AM5" s="13" t="n">
        <v>249454015.7443</v>
      </c>
      <c r="AN5" s="13" t="n">
        <v>247947587.1599</v>
      </c>
      <c r="AO5" s="13" t="n">
        <v>208757868.436</v>
      </c>
      <c r="AP5" s="13" t="n">
        <v>167165439.571</v>
      </c>
      <c r="AQ5" s="13" t="n">
        <v>165406256.1792</v>
      </c>
      <c r="AR5" s="13" t="n">
        <v>173710895.8635</v>
      </c>
      <c r="AS5" s="13" t="n">
        <v>121857062.0622</v>
      </c>
      <c r="AT5" s="13" t="n">
        <v>131794490.0948</v>
      </c>
      <c r="AU5" s="13" t="n">
        <v>85288215.1159</v>
      </c>
      <c r="AV5" s="13" t="n">
        <v>90457122.9833</v>
      </c>
      <c r="AW5" s="13" t="n">
        <v>133750375.3453</v>
      </c>
      <c r="AX5" s="13" t="n">
        <v>93871332.5201</v>
      </c>
      <c r="AY5" s="13" t="n">
        <v>22080711.19</v>
      </c>
      <c r="AZ5" s="13"/>
    </row>
    <row r="6">
      <c r="A6" t="str">
        <f>N6</f>
      </c>
      <c r="B6" t="str">
        <f>O6</f>
      </c>
      <c r="N6" t="s">
        <v>64</v>
      </c>
      <c r="O6" t="s">
        <v>67</v>
      </c>
      <c r="P6" s="13"/>
      <c r="Q6" s="13"/>
      <c r="R6" s="13"/>
      <c r="S6" s="13"/>
      <c r="T6" s="13"/>
      <c r="U6" s="13"/>
      <c r="V6" s="13"/>
      <c r="W6" s="13" t="n">
        <v>7844883</v>
      </c>
      <c r="X6" s="13" t="n">
        <v>14512831</v>
      </c>
      <c r="Y6" s="13" t="n">
        <v>34917484</v>
      </c>
      <c r="Z6" s="13" t="n">
        <v>2781590840</v>
      </c>
      <c r="AA6" s="13" t="n">
        <v>2460751560</v>
      </c>
      <c r="AB6" s="13" t="n">
        <v>3201496880</v>
      </c>
      <c r="AC6" s="13" t="n">
        <v>1747103476.0938</v>
      </c>
      <c r="AD6" s="13" t="n">
        <v>1849361530.5703</v>
      </c>
      <c r="AE6" s="13" t="n">
        <v>2758095613.4063</v>
      </c>
      <c r="AF6" s="13" t="n">
        <v>2712588818.2207</v>
      </c>
      <c r="AG6" s="13" t="n">
        <v>2264038913.7418</v>
      </c>
      <c r="AH6" s="13" t="n">
        <v>1997100755.8897</v>
      </c>
      <c r="AI6" s="13" t="n">
        <v>1324969517.325</v>
      </c>
      <c r="AJ6" s="13" t="n">
        <v>1405777423.7046</v>
      </c>
      <c r="AK6" s="13" t="n">
        <v>1980006279.3494</v>
      </c>
      <c r="AL6" s="13" t="n">
        <v>1100547649.6283</v>
      </c>
      <c r="AM6" s="13" t="n">
        <v>653280576.4857</v>
      </c>
      <c r="AN6" s="13" t="n">
        <v>739649536.109</v>
      </c>
      <c r="AO6" s="13" t="n">
        <v>487330508.2533</v>
      </c>
      <c r="AP6" s="13" t="n">
        <v>757439668.8605</v>
      </c>
      <c r="AQ6" s="13" t="n">
        <v>641445324.2484</v>
      </c>
      <c r="AR6" s="13" t="n">
        <v>685980514.1633</v>
      </c>
      <c r="AS6" s="13" t="n">
        <v>969085458.7044</v>
      </c>
      <c r="AT6" s="13" t="n">
        <v>913549870.6599</v>
      </c>
      <c r="AU6" s="13" t="n">
        <v>756118910.0536</v>
      </c>
      <c r="AV6" s="13" t="n">
        <v>811597892.7403</v>
      </c>
      <c r="AW6" s="13" t="n">
        <v>925160550.1679</v>
      </c>
      <c r="AX6" s="13" t="n">
        <v>923092254.72</v>
      </c>
      <c r="AY6" s="13" t="n">
        <v>479014505.41</v>
      </c>
      <c r="AZ6" s="13"/>
    </row>
    <row r="7">
      <c r="A7" t="str">
        <f>N7</f>
      </c>
      <c r="B7" t="str">
        <f>O7</f>
      </c>
      <c r="N7" t="s">
        <v>64</v>
      </c>
      <c r="O7" t="s">
        <v>68</v>
      </c>
      <c r="P7" s="13" t="n">
        <v>0</v>
      </c>
      <c r="Q7" s="13" t="n">
        <v>140000</v>
      </c>
      <c r="R7" s="13" t="n">
        <v>1035000</v>
      </c>
      <c r="S7" s="13" t="n">
        <v>144000</v>
      </c>
      <c r="T7" s="13" t="n">
        <v>47000</v>
      </c>
      <c r="U7" s="13"/>
      <c r="V7" s="13" t="n">
        <v>52000</v>
      </c>
      <c r="W7" s="13" t="n">
        <v>36279917</v>
      </c>
      <c r="X7" s="13" t="n">
        <v>108096818</v>
      </c>
      <c r="Y7" s="13" t="n">
        <v>296031736</v>
      </c>
      <c r="Z7" s="13" t="n">
        <v>3780810535</v>
      </c>
      <c r="AA7" s="13" t="n">
        <v>5299884728</v>
      </c>
      <c r="AB7" s="13" t="n">
        <v>7012088763.9609</v>
      </c>
      <c r="AC7" s="13" t="n">
        <v>10944337572.3016</v>
      </c>
      <c r="AD7" s="13" t="n">
        <v>12341868071.5076</v>
      </c>
      <c r="AE7" s="13" t="n">
        <v>24504381625.0343</v>
      </c>
      <c r="AF7" s="13" t="n">
        <v>26356494847.5699</v>
      </c>
      <c r="AG7" s="13" t="n">
        <v>25879685213.9251</v>
      </c>
      <c r="AH7" s="13" t="n">
        <v>29467634293.5367</v>
      </c>
      <c r="AI7" s="13" t="n">
        <v>29759353101.609</v>
      </c>
      <c r="AJ7" s="13" t="n">
        <v>24019282427.6154</v>
      </c>
      <c r="AK7" s="13" t="n">
        <v>24410864279.9094</v>
      </c>
      <c r="AL7" s="13" t="n">
        <v>31096775272.6566</v>
      </c>
      <c r="AM7" s="13" t="n">
        <v>23088193447.4896</v>
      </c>
      <c r="AN7" s="13" t="n">
        <v>20815495827.719</v>
      </c>
      <c r="AO7" s="13" t="n">
        <v>17971237842.9517</v>
      </c>
      <c r="AP7" s="13" t="n">
        <v>16145579387.1198</v>
      </c>
      <c r="AQ7" s="13" t="n">
        <v>18300033550.6743</v>
      </c>
      <c r="AR7" s="13" t="n">
        <v>21251874763.298</v>
      </c>
      <c r="AS7" s="13" t="n">
        <v>19386874893.827</v>
      </c>
      <c r="AT7" s="13" t="n">
        <v>19751174229.1781</v>
      </c>
      <c r="AU7" s="13" t="n">
        <v>19869230769.144</v>
      </c>
      <c r="AV7" s="13" t="n">
        <v>27207167964.6115</v>
      </c>
      <c r="AW7" s="13" t="n">
        <v>26614984036.4218</v>
      </c>
      <c r="AX7" s="13" t="n">
        <v>27022519991.07</v>
      </c>
      <c r="AY7" s="13" t="n">
        <v>11193043760.01</v>
      </c>
      <c r="AZ7" s="13"/>
    </row>
    <row r="8">
      <c r="A8" t="str">
        <f>N8</f>
      </c>
      <c r="B8" t="str">
        <f>O8</f>
      </c>
      <c r="N8" t="s">
        <v>64</v>
      </c>
      <c r="O8" t="s">
        <v>69</v>
      </c>
      <c r="P8" s="13"/>
      <c r="Q8" s="13"/>
      <c r="R8" s="13"/>
      <c r="S8" s="13"/>
      <c r="T8" s="13"/>
      <c r="U8" s="13"/>
      <c r="V8" s="13" t="n">
        <v>0</v>
      </c>
      <c r="W8" s="13" t="n">
        <v>1835652</v>
      </c>
      <c r="X8" s="13" t="n">
        <v>15727114</v>
      </c>
      <c r="Y8" s="13" t="n">
        <v>23775583</v>
      </c>
      <c r="Z8" s="13" t="n">
        <v>83875629</v>
      </c>
      <c r="AA8" s="13" t="n">
        <v>45834886</v>
      </c>
      <c r="AB8" s="13" t="n">
        <v>50001518</v>
      </c>
      <c r="AC8" s="13" t="n">
        <v>13249552</v>
      </c>
      <c r="AD8" s="13" t="n">
        <v>13656582</v>
      </c>
      <c r="AE8" s="13" t="n">
        <v>3430917</v>
      </c>
      <c r="AF8" s="13" t="n">
        <v>3260143.8799</v>
      </c>
      <c r="AG8" s="13" t="n">
        <v>3083682.3501</v>
      </c>
      <c r="AH8" s="13" t="n">
        <v>3264314.3688</v>
      </c>
      <c r="AI8" s="13" t="n">
        <v>218199.7002</v>
      </c>
      <c r="AJ8" s="13" t="n">
        <v>15489.6504</v>
      </c>
      <c r="AK8" s="13" t="n">
        <v>-430.86</v>
      </c>
      <c r="AL8" s="13" t="n">
        <v>6413.4399</v>
      </c>
      <c r="AM8" s="13" t="n">
        <v>14064.48</v>
      </c>
      <c r="AN8" s="13" t="n">
        <v>18434.96</v>
      </c>
      <c r="AO8" s="13"/>
      <c r="AP8" s="13"/>
      <c r="AQ8" s="13"/>
      <c r="AR8" s="13" t="n">
        <v>21232.3105</v>
      </c>
      <c r="AS8" s="13"/>
      <c r="AT8" s="13" t="n">
        <v>0</v>
      </c>
      <c r="AU8" s="13"/>
      <c r="AV8" s="13"/>
      <c r="AW8" s="13"/>
      <c r="AX8" s="13" t="n">
        <v>10115</v>
      </c>
      <c r="AY8" s="13"/>
      <c r="AZ8" s="13"/>
    </row>
    <row r="9">
      <c r="A9" t="str">
        <f>N9</f>
      </c>
      <c r="B9" t="str">
        <f>O9</f>
      </c>
      <c r="N9"/>
      <c r="O9"/>
      <c r="P9" s="13" t="n">
        <v>10893531000</v>
      </c>
      <c r="Q9" s="13" t="n">
        <v>13666534115</v>
      </c>
      <c r="R9" s="13" t="n">
        <v>9670953302</v>
      </c>
      <c r="S9" s="13" t="n">
        <v>10550468583</v>
      </c>
      <c r="T9" s="13" t="n">
        <v>8625703645</v>
      </c>
      <c r="U9" s="13" t="n">
        <v>8564693193</v>
      </c>
      <c r="V9" s="13" t="n">
        <v>9626845429</v>
      </c>
      <c r="W9" s="13" t="n">
        <v>9689825022</v>
      </c>
      <c r="X9" s="13" t="n">
        <v>8560246161</v>
      </c>
      <c r="Y9" s="13" t="n">
        <v>7673714576</v>
      </c>
      <c r="Z9" s="13" t="n">
        <v>0</v>
      </c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 t="n">
        <v>0</v>
      </c>
      <c r="AQ9" s="13" t="n">
        <v>0</v>
      </c>
      <c r="AR9" s="13" t="n">
        <v>0</v>
      </c>
      <c r="AS9" s="13"/>
      <c r="AT9" s="13" t="n">
        <v>0</v>
      </c>
      <c r="AU9" s="13" t="n">
        <v>0</v>
      </c>
      <c r="AV9" s="13" t="n">
        <v>0</v>
      </c>
      <c r="AW9" s="13" t="n">
        <v>0</v>
      </c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124</v>
      </c>
      <c r="O10" t="s">
        <v>125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133</v>
      </c>
      <c r="AY13" t="s">
        <v>134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13" t="n">
        <v>43558017.5979272</v>
      </c>
      <c r="Q14" s="13" t="n">
        <v>74695737.2800554</v>
      </c>
      <c r="R14" s="13" t="n">
        <v>5772317.4282721</v>
      </c>
      <c r="S14" s="13" t="n">
        <v>464448.463975183</v>
      </c>
      <c r="T14" s="13" t="n">
        <v>5336953.30648697</v>
      </c>
      <c r="U14" s="13" t="n">
        <v>8088140.77125544</v>
      </c>
      <c r="V14" s="13" t="n">
        <v>93230112.0299305</v>
      </c>
      <c r="W14" s="13" t="n">
        <v>4704293626.2176</v>
      </c>
      <c r="X14" s="13" t="n">
        <v>3800253437.89107</v>
      </c>
      <c r="Y14" s="13" t="n">
        <v>2286993995.65249</v>
      </c>
      <c r="Z14" s="13" t="n">
        <v>2687712453.13874</v>
      </c>
      <c r="AA14" s="13" t="n">
        <v>3201118096.85697</v>
      </c>
      <c r="AB14" s="13" t="n">
        <v>3965103897.24489</v>
      </c>
      <c r="AC14" s="13" t="n">
        <v>2438447690.08369</v>
      </c>
      <c r="AD14" s="13" t="n">
        <v>3651997681.16837</v>
      </c>
      <c r="AE14" s="13" t="n">
        <v>3427312794.29204</v>
      </c>
      <c r="AF14" s="13" t="n">
        <v>4487005302.02192</v>
      </c>
      <c r="AG14" s="13" t="n">
        <v>3798900489.16176</v>
      </c>
      <c r="AH14" s="13" t="n">
        <v>5323076250.04833</v>
      </c>
      <c r="AI14" s="13" t="n">
        <v>2210973950.0547</v>
      </c>
      <c r="AJ14" s="13" t="n">
        <v>2065197309.5184</v>
      </c>
      <c r="AK14" s="13" t="n">
        <v>1845383989.72192</v>
      </c>
      <c r="AL14" s="13" t="n">
        <v>1460760075.65184</v>
      </c>
      <c r="AM14" s="13" t="n">
        <v>1201948346.12689</v>
      </c>
      <c r="AN14" s="13" t="n">
        <v>1034783383.71036</v>
      </c>
      <c r="AO14" s="13" t="n">
        <v>820789503.682924</v>
      </c>
      <c r="AP14" s="13" t="n">
        <v>935301384.685293</v>
      </c>
      <c r="AQ14" s="13" t="n">
        <v>945665007.939915</v>
      </c>
      <c r="AR14" s="13" t="n">
        <v>1110205754.13188</v>
      </c>
      <c r="AS14" s="13" t="n">
        <v>1039652899.55359</v>
      </c>
      <c r="AT14" s="13" t="n">
        <v>3515076594.9262</v>
      </c>
      <c r="AU14" s="13" t="n">
        <v>34837837551.9696</v>
      </c>
      <c r="AV14" s="13" t="n">
        <v>30084823671.6889</v>
      </c>
      <c r="AW14" s="13" t="n">
        <v>2618371745.11</v>
      </c>
      <c r="AX14" s="13" t="n">
        <v>1303617122.08111</v>
      </c>
      <c r="AY14" s="13" t="n">
        <v>370316491.293116</v>
      </c>
      <c r="AZ14" s="13"/>
    </row>
    <row r="15">
      <c r="A15" t="str">
        <f>N15</f>
      </c>
      <c r="B15" t="str">
        <f>O15</f>
      </c>
      <c r="N15" t="s">
        <v>61</v>
      </c>
      <c r="O15" t="s">
        <v>63</v>
      </c>
      <c r="P15" s="13" t="n">
        <v>-1375407.48825364</v>
      </c>
      <c r="Q15" s="13" t="n">
        <v>4275345.49314545</v>
      </c>
      <c r="R15" s="13" t="n">
        <v>-44807.0539487878</v>
      </c>
      <c r="S15" s="13" t="n">
        <v>142760.798353028</v>
      </c>
      <c r="T15" s="13" t="n">
        <v>357659.698026352</v>
      </c>
      <c r="U15" s="13" t="n">
        <v>65668.2606597194</v>
      </c>
      <c r="V15" s="13" t="n">
        <v>3115309.47403747</v>
      </c>
      <c r="W15" s="13" t="n">
        <v>6389716.24196061</v>
      </c>
      <c r="X15" s="13" t="n">
        <v>85051866.0158636</v>
      </c>
      <c r="Y15" s="13" t="n">
        <v>186260007.431768</v>
      </c>
      <c r="Z15" s="13" t="n">
        <v>517265239.833851</v>
      </c>
      <c r="AA15" s="13" t="n">
        <v>571960640.837134</v>
      </c>
      <c r="AB15" s="13" t="n">
        <v>691421564.698755</v>
      </c>
      <c r="AC15" s="13" t="n">
        <v>1233528401.36762</v>
      </c>
      <c r="AD15" s="13" t="n">
        <v>1485585949.17127</v>
      </c>
      <c r="AE15" s="13" t="n">
        <v>2349829134.06825</v>
      </c>
      <c r="AF15" s="13" t="n">
        <v>2806602424.09111</v>
      </c>
      <c r="AG15" s="13" t="n">
        <v>4032868124.49715</v>
      </c>
      <c r="AH15" s="13" t="n">
        <v>4520263581.7383</v>
      </c>
      <c r="AI15" s="13" t="n">
        <v>3059895547.37422</v>
      </c>
      <c r="AJ15" s="13" t="n">
        <v>2240192109.53363</v>
      </c>
      <c r="AK15" s="13" t="n">
        <v>1916005640.04646</v>
      </c>
      <c r="AL15" s="13" t="n">
        <v>1613015272.26447</v>
      </c>
      <c r="AM15" s="13" t="n">
        <v>1467941823.00821</v>
      </c>
      <c r="AN15" s="13" t="n">
        <v>1628110568.93918</v>
      </c>
      <c r="AO15" s="13" t="n">
        <v>1751421187.3348</v>
      </c>
      <c r="AP15" s="13" t="n">
        <v>1609320510.01559</v>
      </c>
      <c r="AQ15" s="13" t="n">
        <v>1613665511.09903</v>
      </c>
      <c r="AR15" s="13" t="n">
        <v>2150350104.95202</v>
      </c>
      <c r="AS15" s="13" t="n">
        <v>1909007572.49421</v>
      </c>
      <c r="AT15" s="13" t="n">
        <v>1763060635.82056</v>
      </c>
      <c r="AU15" s="13" t="n">
        <v>1327123473.27241</v>
      </c>
      <c r="AV15" s="13" t="n">
        <v>1473356905.85242</v>
      </c>
      <c r="AW15" s="13" t="n">
        <v>2072209669.46</v>
      </c>
      <c r="AX15" s="13" t="n">
        <v>2350524931.2328</v>
      </c>
      <c r="AY15" s="13" t="n">
        <v>1097999337.72831</v>
      </c>
      <c r="AZ15" s="13"/>
    </row>
    <row r="16">
      <c r="A16" t="str">
        <f>N16</f>
      </c>
      <c r="B16" t="str">
        <f>O16</f>
      </c>
      <c r="N16" t="s">
        <v>64</v>
      </c>
      <c r="O16" t="s">
        <v>65</v>
      </c>
      <c r="P16" s="13"/>
      <c r="Q16" s="13"/>
      <c r="R16" s="13"/>
      <c r="S16" s="13"/>
      <c r="T16" s="13"/>
      <c r="U16" s="13"/>
      <c r="V16" s="13"/>
      <c r="W16" s="13" t="n">
        <v>1606656.8769658</v>
      </c>
      <c r="X16" s="13" t="n">
        <v>636466.656361429</v>
      </c>
      <c r="Y16" s="13" t="n">
        <v>652270.481748251</v>
      </c>
      <c r="Z16" s="13" t="n">
        <v>886602.092583755</v>
      </c>
      <c r="AA16" s="13" t="n">
        <v>1866627.07639642</v>
      </c>
      <c r="AB16" s="13" t="n">
        <v>91899323.2958892</v>
      </c>
      <c r="AC16" s="13" t="n">
        <v>617275.122036506</v>
      </c>
      <c r="AD16" s="13" t="n">
        <v>2761063.36413646</v>
      </c>
      <c r="AE16" s="13" t="n">
        <v>3843821.6321991</v>
      </c>
      <c r="AF16" s="13" t="n">
        <v>6387943.02783179</v>
      </c>
      <c r="AG16" s="13" t="n">
        <v>755261.049937237</v>
      </c>
      <c r="AH16" s="13" t="n">
        <v>71827.3423778719</v>
      </c>
      <c r="AI16" s="13" t="n">
        <v>73315.1376129186</v>
      </c>
      <c r="AJ16" s="13" t="n">
        <v>98679571.8442665</v>
      </c>
      <c r="AK16" s="13" t="n">
        <v>315585008.191247</v>
      </c>
      <c r="AL16" s="13" t="n">
        <v>483866417.915075</v>
      </c>
      <c r="AM16" s="13" t="n">
        <v>766344843.107412</v>
      </c>
      <c r="AN16" s="13" t="n">
        <v>544247515.306173</v>
      </c>
      <c r="AO16" s="13" t="n">
        <v>428323737.327927</v>
      </c>
      <c r="AP16" s="13" t="n">
        <v>352431795.561121</v>
      </c>
      <c r="AQ16" s="13" t="n">
        <v>474355263.821059</v>
      </c>
      <c r="AR16" s="13" t="n">
        <v>626820851.252577</v>
      </c>
      <c r="AS16" s="13" t="n">
        <v>259444669.979944</v>
      </c>
      <c r="AT16" s="13" t="n">
        <v>278259239.845539</v>
      </c>
      <c r="AU16" s="13" t="n">
        <v>382869974.001708</v>
      </c>
      <c r="AV16" s="13" t="n">
        <v>272375421.664896</v>
      </c>
      <c r="AW16" s="13" t="n">
        <v>475703171.6093</v>
      </c>
      <c r="AX16" s="13" t="n">
        <v>516716122.981938</v>
      </c>
      <c r="AY16" s="13" t="n">
        <v>238965759.923501</v>
      </c>
      <c r="AZ16" s="13"/>
    </row>
    <row r="17">
      <c r="A17" t="str">
        <f>N17</f>
      </c>
      <c r="B17" t="str">
        <f>O17</f>
      </c>
      <c r="N17" t="s">
        <v>64</v>
      </c>
      <c r="O17" t="s">
        <v>66</v>
      </c>
      <c r="P17" s="13" t="n">
        <v>411588.105507479</v>
      </c>
      <c r="Q17" s="13" t="n">
        <v>377412.563383694</v>
      </c>
      <c r="R17" s="13" t="n">
        <v>225983.402524321</v>
      </c>
      <c r="S17" s="13" t="n">
        <v>991711.679225699</v>
      </c>
      <c r="T17" s="13" t="n">
        <v>1076704.7159335</v>
      </c>
      <c r="U17" s="13" t="n">
        <v>4791958.90980786</v>
      </c>
      <c r="V17" s="13" t="n">
        <v>5165326.34057362</v>
      </c>
      <c r="W17" s="13" t="n">
        <v>14124463.0399914</v>
      </c>
      <c r="X17" s="13" t="n">
        <v>17025766.2545088</v>
      </c>
      <c r="Y17" s="13" t="n">
        <v>38082397.3769541</v>
      </c>
      <c r="Z17" s="13" t="n">
        <v>140491496.050866</v>
      </c>
      <c r="AA17" s="13" t="n">
        <v>194575878.560949</v>
      </c>
      <c r="AB17" s="13" t="n">
        <v>306832619.830143</v>
      </c>
      <c r="AC17" s="13" t="n">
        <v>827911465.621745</v>
      </c>
      <c r="AD17" s="13" t="n">
        <v>1223491012.85217</v>
      </c>
      <c r="AE17" s="13" t="n">
        <v>1012086724.80578</v>
      </c>
      <c r="AF17" s="13" t="n">
        <v>770582103.179977</v>
      </c>
      <c r="AG17" s="13" t="n">
        <v>867439706.642627</v>
      </c>
      <c r="AH17" s="13" t="n">
        <v>742330634.344321</v>
      </c>
      <c r="AI17" s="13" t="n">
        <v>954495129.093418</v>
      </c>
      <c r="AJ17" s="13" t="n">
        <v>1059767296.50236</v>
      </c>
      <c r="AK17" s="13" t="n">
        <v>722627548.708645</v>
      </c>
      <c r="AL17" s="13" t="n">
        <v>578833421.609139</v>
      </c>
      <c r="AM17" s="13" t="n">
        <v>321109898.676506</v>
      </c>
      <c r="AN17" s="13" t="n">
        <v>313452381.578178</v>
      </c>
      <c r="AO17" s="13" t="n">
        <v>261204110.286586</v>
      </c>
      <c r="AP17" s="13" t="n">
        <v>207503408.756961</v>
      </c>
      <c r="AQ17" s="13" t="n">
        <v>201911416.956737</v>
      </c>
      <c r="AR17" s="13" t="n">
        <v>207443641.663293</v>
      </c>
      <c r="AS17" s="13" t="n">
        <v>142878605.052795</v>
      </c>
      <c r="AT17" s="13" t="n">
        <v>152537720.711923</v>
      </c>
      <c r="AU17" s="13" t="n">
        <v>95427428.223489</v>
      </c>
      <c r="AV17" s="13" t="n">
        <v>94595228.3278304</v>
      </c>
      <c r="AW17" s="13" t="n">
        <v>133750375.3453</v>
      </c>
      <c r="AX17" s="13" t="n">
        <v>91429614.3367774</v>
      </c>
      <c r="AY17" s="13" t="n">
        <v>21044600.367457</v>
      </c>
      <c r="AZ17" s="13"/>
    </row>
    <row r="18">
      <c r="A18" t="str">
        <f>N18</f>
      </c>
      <c r="B18" t="str">
        <f>O18</f>
      </c>
      <c r="N18" t="s">
        <v>64</v>
      </c>
      <c r="O18" t="s">
        <v>67</v>
      </c>
      <c r="P18" s="13"/>
      <c r="Q18" s="13"/>
      <c r="R18" s="13"/>
      <c r="S18" s="13"/>
      <c r="T18" s="13"/>
      <c r="U18" s="13"/>
      <c r="V18" s="13"/>
      <c r="W18" s="13" t="n">
        <v>13800617.7860845</v>
      </c>
      <c r="X18" s="13" t="n">
        <v>25214649.6099399</v>
      </c>
      <c r="Y18" s="13" t="n">
        <v>59923763.1062044</v>
      </c>
      <c r="Z18" s="13" t="n">
        <v>4676336505.90534</v>
      </c>
      <c r="AA18" s="13" t="n">
        <v>4039047233.556</v>
      </c>
      <c r="AB18" s="13" t="n">
        <v>5173507072.58778</v>
      </c>
      <c r="AC18" s="13" t="n">
        <v>2770086000.67548</v>
      </c>
      <c r="AD18" s="13" t="n">
        <v>2862324864.28941</v>
      </c>
      <c r="AE18" s="13" t="n">
        <v>4142743099.67339</v>
      </c>
      <c r="AF18" s="13" t="n">
        <v>3946200892.71372</v>
      </c>
      <c r="AG18" s="13" t="n">
        <v>3205419047.3976</v>
      </c>
      <c r="AH18" s="13" t="n">
        <v>2769981697.22519</v>
      </c>
      <c r="AI18" s="13" t="n">
        <v>1819132031.12336</v>
      </c>
      <c r="AJ18" s="13" t="n">
        <v>1913506356.47551</v>
      </c>
      <c r="AK18" s="13" t="n">
        <v>2642100641.39538</v>
      </c>
      <c r="AL18" s="13" t="n">
        <v>1442386210.45314</v>
      </c>
      <c r="AM18" s="13" t="n">
        <v>840935990.133268</v>
      </c>
      <c r="AN18" s="13" t="n">
        <v>935056119.247675</v>
      </c>
      <c r="AO18" s="13" t="n">
        <v>609762557.825876</v>
      </c>
      <c r="AP18" s="13" t="n">
        <v>940214159.21646</v>
      </c>
      <c r="AQ18" s="13" t="n">
        <v>783012307.460438</v>
      </c>
      <c r="AR18" s="13" t="n">
        <v>819190386.767175</v>
      </c>
      <c r="AS18" s="13" t="n">
        <v>1136262241.78913</v>
      </c>
      <c r="AT18" s="13" t="n">
        <v>1057334148.99893</v>
      </c>
      <c r="AU18" s="13" t="n">
        <v>846007656.737925</v>
      </c>
      <c r="AV18" s="13" t="n">
        <v>848725732.613986</v>
      </c>
      <c r="AW18" s="13" t="n">
        <v>925160550.1679</v>
      </c>
      <c r="AX18" s="13" t="n">
        <v>899081397.701949</v>
      </c>
      <c r="AY18" s="13" t="n">
        <v>456537325.715029</v>
      </c>
      <c r="AZ18" s="13"/>
    </row>
    <row r="19">
      <c r="A19" t="str">
        <f>N19</f>
      </c>
      <c r="B19" t="str">
        <f>O19</f>
      </c>
      <c r="N19" t="s">
        <v>64</v>
      </c>
      <c r="O19" t="s">
        <v>68</v>
      </c>
      <c r="P19" s="13" t="n">
        <v>0</v>
      </c>
      <c r="Q19" s="13" t="n">
        <v>279564.8617657</v>
      </c>
      <c r="R19" s="13" t="n">
        <v>2016317.42769545</v>
      </c>
      <c r="S19" s="13" t="n">
        <v>274100.732837813</v>
      </c>
      <c r="T19" s="13" t="n">
        <v>87552.1135793675</v>
      </c>
      <c r="U19" s="13"/>
      <c r="V19" s="13" t="n">
        <v>93101.2026723841</v>
      </c>
      <c r="W19" s="13" t="n">
        <v>63823165.7282678</v>
      </c>
      <c r="X19" s="13" t="n">
        <v>187807836.377302</v>
      </c>
      <c r="Y19" s="13" t="n">
        <v>508035906.022966</v>
      </c>
      <c r="Z19" s="13" t="n">
        <v>6356198069.27895</v>
      </c>
      <c r="AA19" s="13" t="n">
        <v>8699165367.50834</v>
      </c>
      <c r="AB19" s="13" t="n">
        <v>11331290385.0042</v>
      </c>
      <c r="AC19" s="13" t="n">
        <v>17352581979.5643</v>
      </c>
      <c r="AD19" s="13" t="n">
        <v>19101963174.2648</v>
      </c>
      <c r="AE19" s="13" t="n">
        <v>36806322955.3891</v>
      </c>
      <c r="AF19" s="13" t="n">
        <v>38342716300.2567</v>
      </c>
      <c r="AG19" s="13" t="n">
        <v>36640375490.8385</v>
      </c>
      <c r="AH19" s="13" t="n">
        <v>40871652275.3798</v>
      </c>
      <c r="AI19" s="13" t="n">
        <v>40858443718.7231</v>
      </c>
      <c r="AJ19" s="13" t="n">
        <v>32694400143.4472</v>
      </c>
      <c r="AK19" s="13" t="n">
        <v>32573613954.4753</v>
      </c>
      <c r="AL19" s="13" t="n">
        <v>40755672739.8299</v>
      </c>
      <c r="AM19" s="13" t="n">
        <v>29720297091.3342</v>
      </c>
      <c r="AN19" s="13" t="n">
        <v>26314701488.5909</v>
      </c>
      <c r="AO19" s="13" t="n">
        <v>22486152146.9115</v>
      </c>
      <c r="AP19" s="13" t="n">
        <v>20041599314.9142</v>
      </c>
      <c r="AQ19" s="13" t="n">
        <v>22338850959.5994</v>
      </c>
      <c r="AR19" s="13" t="n">
        <v>25378755150.3676</v>
      </c>
      <c r="AS19" s="13" t="n">
        <v>22731301693.0375</v>
      </c>
      <c r="AT19" s="13" t="n">
        <v>22859825901.1875</v>
      </c>
      <c r="AU19" s="13" t="n">
        <v>22231319889.8795</v>
      </c>
      <c r="AV19" s="13" t="n">
        <v>28451803250.9303</v>
      </c>
      <c r="AW19" s="13" t="n">
        <v>26614984036.4218</v>
      </c>
      <c r="AX19" s="13" t="n">
        <v>26319628313.1739</v>
      </c>
      <c r="AY19" s="13" t="n">
        <v>10667823640.189</v>
      </c>
      <c r="AZ19" s="13"/>
    </row>
    <row r="20">
      <c r="A20" t="str">
        <f>N20</f>
      </c>
      <c r="B20" t="str">
        <f>O20</f>
      </c>
      <c r="N20" t="s">
        <v>64</v>
      </c>
      <c r="O20" t="s">
        <v>69</v>
      </c>
      <c r="P20" s="13"/>
      <c r="Q20" s="13"/>
      <c r="R20" s="13"/>
      <c r="S20" s="13"/>
      <c r="T20" s="13"/>
      <c r="U20" s="13"/>
      <c r="V20" s="13" t="n">
        <v>0</v>
      </c>
      <c r="W20" s="13" t="n">
        <v>3229255.50836917</v>
      </c>
      <c r="X20" s="13" t="n">
        <v>27324349.6658633</v>
      </c>
      <c r="Y20" s="13" t="n">
        <v>40802550.4759707</v>
      </c>
      <c r="Z20" s="13" t="n">
        <v>141009475.659789</v>
      </c>
      <c r="AA20" s="13" t="n">
        <v>75232816.0664276</v>
      </c>
      <c r="AB20" s="13" t="n">
        <v>80800705.6415202</v>
      </c>
      <c r="AC20" s="13" t="n">
        <v>21007569.9651641</v>
      </c>
      <c r="AD20" s="13" t="n">
        <v>21136794.2793494</v>
      </c>
      <c r="AE20" s="13" t="n">
        <v>5153341.18883148</v>
      </c>
      <c r="AF20" s="13" t="n">
        <v>4742769.19628216</v>
      </c>
      <c r="AG20" s="13" t="n">
        <v>4365867.60109973</v>
      </c>
      <c r="AH20" s="13" t="n">
        <v>4527608.84942782</v>
      </c>
      <c r="AI20" s="13" t="n">
        <v>299579.770421217</v>
      </c>
      <c r="AJ20" s="13" t="n">
        <v>21084.0948219778</v>
      </c>
      <c r="AK20" s="13" t="n">
        <v>-574.935288955583</v>
      </c>
      <c r="AL20" s="13" t="n">
        <v>8405.50363853331</v>
      </c>
      <c r="AM20" s="13" t="n">
        <v>18104.5141095948</v>
      </c>
      <c r="AN20" s="13" t="n">
        <v>23305.2564958898</v>
      </c>
      <c r="AO20" s="13"/>
      <c r="AP20" s="13"/>
      <c r="AQ20" s="13"/>
      <c r="AR20" s="13" t="n">
        <v>25355.3917222716</v>
      </c>
      <c r="AS20" s="13"/>
      <c r="AT20" s="13" t="n">
        <v>0</v>
      </c>
      <c r="AU20" s="13"/>
      <c r="AV20" s="13"/>
      <c r="AW20" s="13"/>
      <c r="AX20" s="13" t="n">
        <v>9851.89539967892</v>
      </c>
      <c r="AY20" s="13"/>
      <c r="AZ20" s="13"/>
    </row>
    <row r="21">
      <c r="A21" t="str">
        <f>N21</f>
      </c>
      <c r="B21" t="str">
        <f>O21</f>
      </c>
      <c r="N21"/>
      <c r="O21"/>
      <c r="P21" s="13" t="n">
        <v>22530893399.8844</v>
      </c>
      <c r="Q21" s="13" t="n">
        <v>27290590861.9728</v>
      </c>
      <c r="R21" s="13" t="n">
        <v>18840301145.1705</v>
      </c>
      <c r="S21" s="13" t="n">
        <v>20082577572.1016</v>
      </c>
      <c r="T21" s="13" t="n">
        <v>16068055004.8724</v>
      </c>
      <c r="U21" s="13" t="n">
        <v>15623014029.6791</v>
      </c>
      <c r="V21" s="13" t="n">
        <v>17235978603.4816</v>
      </c>
      <c r="W21" s="13" t="n">
        <v>17046216182.2758</v>
      </c>
      <c r="X21" s="13" t="n">
        <v>14872605319.0069</v>
      </c>
      <c r="Y21" s="13" t="n">
        <v>13169272287.6841</v>
      </c>
      <c r="Z21" s="13" t="n">
        <v>0</v>
      </c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 t="n">
        <v>0</v>
      </c>
      <c r="AQ21" s="13" t="n">
        <v>0</v>
      </c>
      <c r="AR21" s="13" t="n">
        <v>0</v>
      </c>
      <c r="AS21" s="13"/>
      <c r="AT21" s="13" t="n">
        <v>0</v>
      </c>
      <c r="AU21" s="13" t="n">
        <v>0</v>
      </c>
      <c r="AV21" s="13" t="n">
        <v>0</v>
      </c>
      <c r="AW21" s="13" t="n">
        <v>0</v>
      </c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133</v>
      </c>
      <c r="AX1" t="s">
        <v>134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21060000</v>
      </c>
      <c r="P2" s="5" t="n">
        <v>37406000</v>
      </c>
      <c r="Q2" s="5" t="n">
        <v>2963000</v>
      </c>
      <c r="R2" s="5" t="n">
        <v>244000</v>
      </c>
      <c r="S2" s="5" t="n">
        <v>2865000</v>
      </c>
      <c r="T2" s="5" t="n">
        <v>4434000</v>
      </c>
      <c r="U2" s="5" t="n">
        <v>52072000</v>
      </c>
      <c r="V2" s="5" t="n">
        <v>2674129062</v>
      </c>
      <c r="W2" s="5" t="n">
        <v>2187317165</v>
      </c>
      <c r="X2" s="5" t="n">
        <v>1332627861</v>
      </c>
      <c r="Y2" s="5" t="n">
        <v>1598712225</v>
      </c>
      <c r="Z2" s="5" t="n">
        <v>1950251110</v>
      </c>
      <c r="AA2" s="5" t="n">
        <v>2453706466</v>
      </c>
      <c r="AB2" s="5" t="n">
        <v>1537937968.2</v>
      </c>
      <c r="AC2" s="5" t="n">
        <v>2359572844.28</v>
      </c>
      <c r="AD2" s="5" t="n">
        <v>2281786766.95</v>
      </c>
      <c r="AE2" s="5" t="n">
        <v>3084333702.33</v>
      </c>
      <c r="AF2" s="5" t="n">
        <v>2683224380.25</v>
      </c>
      <c r="AG2" s="5" t="n">
        <v>3837830269.16</v>
      </c>
      <c r="AH2" s="5" t="n">
        <v>1610368591.89</v>
      </c>
      <c r="AI2" s="5" t="n">
        <v>1517218766.1628</v>
      </c>
      <c r="AJ2" s="5" t="n">
        <v>1382941978.1415</v>
      </c>
      <c r="AK2" s="5" t="n">
        <v>1114566997.5758</v>
      </c>
      <c r="AL2" s="5" t="n">
        <v>933732790.2203</v>
      </c>
      <c r="AM2" s="5" t="n">
        <v>818535950.9229</v>
      </c>
      <c r="AN2" s="5" t="n">
        <v>655986106.1738</v>
      </c>
      <c r="AO2" s="5" t="n">
        <v>753481921.2797</v>
      </c>
      <c r="AP2" s="5" t="n">
        <v>774690757.5639</v>
      </c>
      <c r="AQ2" s="5" t="n">
        <v>929673402.36</v>
      </c>
      <c r="AR2" s="5" t="n">
        <v>886690123.11</v>
      </c>
      <c r="AS2" s="5" t="n">
        <v>3037069947.75</v>
      </c>
      <c r="AT2" s="5" t="n">
        <v>31136299475.1</v>
      </c>
      <c r="AU2" s="5" t="n">
        <v>28768751266.92</v>
      </c>
      <c r="AV2" s="5" t="n">
        <v>2618371745.11</v>
      </c>
      <c r="AW2" s="5" t="n">
        <v>1338431505.3</v>
      </c>
      <c r="AX2" s="5" t="n">
        <v>388548670.46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-665000</v>
      </c>
      <c r="P3" s="5" t="n">
        <v>2141000</v>
      </c>
      <c r="Q3" s="5" t="n">
        <v>-23000</v>
      </c>
      <c r="R3" s="5" t="n">
        <v>75000</v>
      </c>
      <c r="S3" s="5" t="n">
        <v>192000</v>
      </c>
      <c r="T3" s="5" t="n">
        <v>36000</v>
      </c>
      <c r="U3" s="5" t="n">
        <v>1740000</v>
      </c>
      <c r="V3" s="5" t="n">
        <v>3632198</v>
      </c>
      <c r="W3" s="5" t="n">
        <v>48953421</v>
      </c>
      <c r="X3" s="5" t="n">
        <v>108533418</v>
      </c>
      <c r="Y3" s="5" t="n">
        <v>307681077.09</v>
      </c>
      <c r="Z3" s="5" t="n">
        <v>348461644</v>
      </c>
      <c r="AA3" s="5" t="n">
        <v>427869132.31</v>
      </c>
      <c r="AB3" s="5" t="n">
        <v>777990920.63</v>
      </c>
      <c r="AC3" s="5" t="n">
        <v>959844055.1</v>
      </c>
      <c r="AD3" s="5" t="n">
        <v>1564435271.75</v>
      </c>
      <c r="AE3" s="5" t="n">
        <v>1929237400.67</v>
      </c>
      <c r="AF3" s="5" t="n">
        <v>2848479475.8</v>
      </c>
      <c r="AG3" s="5" t="n">
        <v>3259018579.42</v>
      </c>
      <c r="AH3" s="5" t="n">
        <v>2228682831.76</v>
      </c>
      <c r="AI3" s="5" t="n">
        <v>1645780523.1147</v>
      </c>
      <c r="AJ3" s="5" t="n">
        <v>1435866272.1331</v>
      </c>
      <c r="AK3" s="5" t="n">
        <v>1230738448.4406</v>
      </c>
      <c r="AL3" s="5" t="n">
        <v>1140369649.5738</v>
      </c>
      <c r="AM3" s="5" t="n">
        <v>1287870537.6731</v>
      </c>
      <c r="AN3" s="5" t="n">
        <v>1399759572.6978</v>
      </c>
      <c r="AO3" s="5" t="n">
        <v>1296473981.2177</v>
      </c>
      <c r="AP3" s="5" t="n">
        <v>1321918170.5489</v>
      </c>
      <c r="AQ3" s="5" t="n">
        <v>1800678199.42</v>
      </c>
      <c r="AR3" s="5" t="n">
        <v>1628137775.79</v>
      </c>
      <c r="AS3" s="5" t="n">
        <v>1523306342.98</v>
      </c>
      <c r="AT3" s="5" t="n">
        <v>1186115924.75</v>
      </c>
      <c r="AU3" s="5" t="n">
        <v>1408904330.45</v>
      </c>
      <c r="AV3" s="5" t="n">
        <v>2072209669.46</v>
      </c>
      <c r="AW3" s="5" t="n">
        <v>2413298021.84</v>
      </c>
      <c r="AX3" s="5" t="n">
        <v>1152058287.63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 t="n">
        <v>913295</v>
      </c>
      <c r="W4" s="5" t="n">
        <v>366332</v>
      </c>
      <c r="X4" s="5" t="n">
        <v>380077</v>
      </c>
      <c r="Y4" s="5" t="n">
        <v>527371</v>
      </c>
      <c r="Z4" s="5" t="n">
        <v>1137225</v>
      </c>
      <c r="AA4" s="5" t="n">
        <v>56869623</v>
      </c>
      <c r="AB4" s="5" t="n">
        <v>389317.7003</v>
      </c>
      <c r="AC4" s="5" t="n">
        <v>1783936</v>
      </c>
      <c r="AD4" s="5" t="n">
        <v>2559084</v>
      </c>
      <c r="AE4" s="5" t="n">
        <v>4391024</v>
      </c>
      <c r="AF4" s="5" t="n">
        <v>533453</v>
      </c>
      <c r="AG4" s="5" t="n">
        <v>51786.0605</v>
      </c>
      <c r="AH4" s="5" t="n">
        <v>53399.27</v>
      </c>
      <c r="AI4" s="5" t="n">
        <v>72495977.7688</v>
      </c>
      <c r="AJ4" s="5" t="n">
        <v>236501323.2642</v>
      </c>
      <c r="AK4" s="5" t="n">
        <v>369192415.3956</v>
      </c>
      <c r="AL4" s="5" t="n">
        <v>595334492.4775</v>
      </c>
      <c r="AM4" s="5" t="n">
        <v>430511510.4199</v>
      </c>
      <c r="AN4" s="5" t="n">
        <v>342322141.5123</v>
      </c>
      <c r="AO4" s="5" t="n">
        <v>283920232.3311</v>
      </c>
      <c r="AP4" s="5" t="n">
        <v>388592826.8452</v>
      </c>
      <c r="AQ4" s="5" t="n">
        <v>524892499.6879</v>
      </c>
      <c r="AR4" s="5" t="n">
        <v>221272913.7422</v>
      </c>
      <c r="AS4" s="5" t="n">
        <v>240419448.1106</v>
      </c>
      <c r="AT4" s="5" t="n">
        <v>342189843.2346</v>
      </c>
      <c r="AU4" s="5" t="n">
        <v>260460252.073</v>
      </c>
      <c r="AV4" s="5" t="n">
        <v>475703171.6093</v>
      </c>
      <c r="AW4" s="5" t="n">
        <v>530515537.5617</v>
      </c>
      <c r="AX4" s="5" t="n">
        <v>250731011.14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199000</v>
      </c>
      <c r="P5" s="5" t="n">
        <v>189000</v>
      </c>
      <c r="Q5" s="5" t="n">
        <v>116000</v>
      </c>
      <c r="R5" s="5" t="n">
        <v>521000</v>
      </c>
      <c r="S5" s="5" t="n">
        <v>578000</v>
      </c>
      <c r="T5" s="5" t="n">
        <v>2627000</v>
      </c>
      <c r="U5" s="5" t="n">
        <v>2885000</v>
      </c>
      <c r="V5" s="5" t="n">
        <v>8028971</v>
      </c>
      <c r="W5" s="5" t="n">
        <v>9799544</v>
      </c>
      <c r="X5" s="5" t="n">
        <v>22190554</v>
      </c>
      <c r="Y5" s="5" t="n">
        <v>83567523</v>
      </c>
      <c r="Z5" s="5" t="n">
        <v>118543525</v>
      </c>
      <c r="AA5" s="5" t="n">
        <v>189875776.9702</v>
      </c>
      <c r="AB5" s="5" t="n">
        <v>522166820.5005</v>
      </c>
      <c r="AC5" s="5" t="n">
        <v>790503286.4706</v>
      </c>
      <c r="AD5" s="5" t="n">
        <v>673812468.9155</v>
      </c>
      <c r="AE5" s="5" t="n">
        <v>529692342.9485</v>
      </c>
      <c r="AF5" s="5" t="n">
        <v>612686585.4741</v>
      </c>
      <c r="AG5" s="5" t="n">
        <v>535205367.0442</v>
      </c>
      <c r="AH5" s="5" t="n">
        <v>695208994.6451</v>
      </c>
      <c r="AI5" s="5" t="n">
        <v>778569109.4058</v>
      </c>
      <c r="AJ5" s="5" t="n">
        <v>541541477.1325</v>
      </c>
      <c r="AK5" s="5" t="n">
        <v>441652698.1897</v>
      </c>
      <c r="AL5" s="5" t="n">
        <v>249454015.7443</v>
      </c>
      <c r="AM5" s="5" t="n">
        <v>247947587.1599</v>
      </c>
      <c r="AN5" s="5" t="n">
        <v>208757868.436</v>
      </c>
      <c r="AO5" s="5" t="n">
        <v>167165439.571</v>
      </c>
      <c r="AP5" s="5" t="n">
        <v>165406256.1792</v>
      </c>
      <c r="AQ5" s="5" t="n">
        <v>173710895.8635</v>
      </c>
      <c r="AR5" s="5" t="n">
        <v>121857062.0622</v>
      </c>
      <c r="AS5" s="5" t="n">
        <v>131794490.0948</v>
      </c>
      <c r="AT5" s="5" t="n">
        <v>85288215.1159</v>
      </c>
      <c r="AU5" s="5" t="n">
        <v>90457122.9833</v>
      </c>
      <c r="AV5" s="5" t="n">
        <v>133750375.3453</v>
      </c>
      <c r="AW5" s="5" t="n">
        <v>93871332.5201</v>
      </c>
      <c r="AX5" s="5" t="n">
        <v>22080711.19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7844883</v>
      </c>
      <c r="W6" s="5" t="n">
        <v>14512831</v>
      </c>
      <c r="X6" s="5" t="n">
        <v>34917484</v>
      </c>
      <c r="Y6" s="5" t="n">
        <v>2781590840</v>
      </c>
      <c r="Z6" s="5" t="n">
        <v>2460751560</v>
      </c>
      <c r="AA6" s="5" t="n">
        <v>3201496880</v>
      </c>
      <c r="AB6" s="5" t="n">
        <v>1747103476.0938</v>
      </c>
      <c r="AC6" s="5" t="n">
        <v>1849361530.5703</v>
      </c>
      <c r="AD6" s="5" t="n">
        <v>2758095613.4063</v>
      </c>
      <c r="AE6" s="5" t="n">
        <v>2712588818.2207</v>
      </c>
      <c r="AF6" s="5" t="n">
        <v>2264038913.7418</v>
      </c>
      <c r="AG6" s="5" t="n">
        <v>1997100755.8897</v>
      </c>
      <c r="AH6" s="5" t="n">
        <v>1324969517.325</v>
      </c>
      <c r="AI6" s="5" t="n">
        <v>1405777423.7046</v>
      </c>
      <c r="AJ6" s="5" t="n">
        <v>1980006279.3494</v>
      </c>
      <c r="AK6" s="5" t="n">
        <v>1100547649.6283</v>
      </c>
      <c r="AL6" s="5" t="n">
        <v>653280576.4857</v>
      </c>
      <c r="AM6" s="5" t="n">
        <v>739649536.109</v>
      </c>
      <c r="AN6" s="5" t="n">
        <v>487330508.2533</v>
      </c>
      <c r="AO6" s="5" t="n">
        <v>757439668.8605</v>
      </c>
      <c r="AP6" s="5" t="n">
        <v>641445324.2484</v>
      </c>
      <c r="AQ6" s="5" t="n">
        <v>685980514.1633</v>
      </c>
      <c r="AR6" s="5" t="n">
        <v>969085458.7044</v>
      </c>
      <c r="AS6" s="5" t="n">
        <v>913549870.6599</v>
      </c>
      <c r="AT6" s="5" t="n">
        <v>756118910.0536</v>
      </c>
      <c r="AU6" s="5" t="n">
        <v>811597892.7403</v>
      </c>
      <c r="AV6" s="5" t="n">
        <v>925160550.1679</v>
      </c>
      <c r="AW6" s="5" t="n">
        <v>923092254.72</v>
      </c>
      <c r="AX6" s="5" t="n">
        <v>479014505.41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0</v>
      </c>
      <c r="P7" s="5" t="n">
        <v>140000</v>
      </c>
      <c r="Q7" s="5" t="n">
        <v>1035000</v>
      </c>
      <c r="R7" s="5" t="n">
        <v>144000</v>
      </c>
      <c r="S7" s="5" t="n">
        <v>47000</v>
      </c>
      <c r="T7" s="5"/>
      <c r="U7" s="5" t="n">
        <v>52000</v>
      </c>
      <c r="V7" s="5" t="n">
        <v>36279917</v>
      </c>
      <c r="W7" s="5" t="n">
        <v>108096818</v>
      </c>
      <c r="X7" s="5" t="n">
        <v>296031736</v>
      </c>
      <c r="Y7" s="5" t="n">
        <v>3780810535</v>
      </c>
      <c r="Z7" s="5" t="n">
        <v>5299884728</v>
      </c>
      <c r="AA7" s="5" t="n">
        <v>7012088763.9609</v>
      </c>
      <c r="AB7" s="5" t="n">
        <v>10944337572.3016</v>
      </c>
      <c r="AC7" s="5" t="n">
        <v>12341868071.5076</v>
      </c>
      <c r="AD7" s="5" t="n">
        <v>24504381625.0343</v>
      </c>
      <c r="AE7" s="5" t="n">
        <v>26356494847.5699</v>
      </c>
      <c r="AF7" s="5" t="n">
        <v>25879685213.9251</v>
      </c>
      <c r="AG7" s="5" t="n">
        <v>29467634293.5367</v>
      </c>
      <c r="AH7" s="5" t="n">
        <v>29759353101.609</v>
      </c>
      <c r="AI7" s="5" t="n">
        <v>24019282427.6154</v>
      </c>
      <c r="AJ7" s="5" t="n">
        <v>24410864279.9094</v>
      </c>
      <c r="AK7" s="5" t="n">
        <v>31096775272.6566</v>
      </c>
      <c r="AL7" s="5" t="n">
        <v>23088193447.4896</v>
      </c>
      <c r="AM7" s="5" t="n">
        <v>20815495827.719</v>
      </c>
      <c r="AN7" s="5" t="n">
        <v>17971237842.9517</v>
      </c>
      <c r="AO7" s="5" t="n">
        <v>16145579387.1198</v>
      </c>
      <c r="AP7" s="5" t="n">
        <v>18300033550.6743</v>
      </c>
      <c r="AQ7" s="5" t="n">
        <v>21251874763.298</v>
      </c>
      <c r="AR7" s="5" t="n">
        <v>19386874893.827</v>
      </c>
      <c r="AS7" s="5" t="n">
        <v>19751174229.1781</v>
      </c>
      <c r="AT7" s="5" t="n">
        <v>19869230769.144</v>
      </c>
      <c r="AU7" s="5" t="n">
        <v>27207167964.6115</v>
      </c>
      <c r="AV7" s="5" t="n">
        <v>26614984036.4218</v>
      </c>
      <c r="AW7" s="5" t="n">
        <v>27022519991.07</v>
      </c>
      <c r="AX7" s="5" t="n">
        <v>11193043760.01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 t="n">
        <v>0</v>
      </c>
      <c r="V8" s="5" t="n">
        <v>1835652</v>
      </c>
      <c r="W8" s="5" t="n">
        <v>15727114</v>
      </c>
      <c r="X8" s="5" t="n">
        <v>23775583</v>
      </c>
      <c r="Y8" s="5" t="n">
        <v>83875629</v>
      </c>
      <c r="Z8" s="5" t="n">
        <v>45834886</v>
      </c>
      <c r="AA8" s="5" t="n">
        <v>50001518</v>
      </c>
      <c r="AB8" s="5" t="n">
        <v>13249552</v>
      </c>
      <c r="AC8" s="5" t="n">
        <v>13656582</v>
      </c>
      <c r="AD8" s="5" t="n">
        <v>3430917</v>
      </c>
      <c r="AE8" s="5" t="n">
        <v>3260143.8799</v>
      </c>
      <c r="AF8" s="5" t="n">
        <v>3083682.3501</v>
      </c>
      <c r="AG8" s="5" t="n">
        <v>3264314.3688</v>
      </c>
      <c r="AH8" s="5" t="n">
        <v>218199.7002</v>
      </c>
      <c r="AI8" s="5" t="n">
        <v>15489.6504</v>
      </c>
      <c r="AJ8" s="5" t="n">
        <v>-430.86</v>
      </c>
      <c r="AK8" s="5" t="n">
        <v>6413.4399</v>
      </c>
      <c r="AL8" s="5" t="n">
        <v>14064.48</v>
      </c>
      <c r="AM8" s="5" t="n">
        <v>18434.96</v>
      </c>
      <c r="AN8" s="5"/>
      <c r="AO8" s="5"/>
      <c r="AP8" s="5"/>
      <c r="AQ8" s="5" t="n">
        <v>21232.3105</v>
      </c>
      <c r="AR8" s="5"/>
      <c r="AS8" s="5" t="n">
        <v>0</v>
      </c>
      <c r="AT8" s="5"/>
      <c r="AU8" s="5"/>
      <c r="AV8" s="5"/>
      <c r="AW8" s="5" t="n">
        <v>10115</v>
      </c>
      <c r="AX8" s="5"/>
      <c r="AY8" s="5"/>
    </row>
    <row r="9">
      <c r="A9" t="str">
        <f>M9</f>
      </c>
      <c r="B9" t="str">
        <f>N9</f>
      </c>
      <c r="M9"/>
      <c r="N9"/>
      <c r="O9" s="5" t="n">
        <v>10893531000</v>
      </c>
      <c r="P9" s="5" t="n">
        <v>13666534115</v>
      </c>
      <c r="Q9" s="5" t="n">
        <v>9670953302</v>
      </c>
      <c r="R9" s="5" t="n">
        <v>10550468583</v>
      </c>
      <c r="S9" s="5" t="n">
        <v>8625703645</v>
      </c>
      <c r="T9" s="5" t="n">
        <v>8564693193</v>
      </c>
      <c r="U9" s="5" t="n">
        <v>9626845429</v>
      </c>
      <c r="V9" s="5" t="n">
        <v>9689825022</v>
      </c>
      <c r="W9" s="5" t="n">
        <v>8560246161</v>
      </c>
      <c r="X9" s="5" t="n">
        <v>7673714576</v>
      </c>
      <c r="Y9" s="5" t="n">
        <v>0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 t="n">
        <v>0</v>
      </c>
      <c r="AQ9" s="5" t="n">
        <v>0</v>
      </c>
      <c r="AR9" s="5"/>
      <c r="AS9" s="5" t="n">
        <v>0</v>
      </c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124</v>
      </c>
      <c r="N10" t="s">
        <v>125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133</v>
      </c>
      <c r="AX13" t="s">
        <v>134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43558017.5979272</v>
      </c>
      <c r="P14" s="5" t="n">
        <v>74695737.2800554</v>
      </c>
      <c r="Q14" s="5" t="n">
        <v>5772317.4282721</v>
      </c>
      <c r="R14" s="5" t="n">
        <v>464448.463975183</v>
      </c>
      <c r="S14" s="5" t="n">
        <v>5336953.30648697</v>
      </c>
      <c r="T14" s="5" t="n">
        <v>8088140.77125544</v>
      </c>
      <c r="U14" s="5" t="n">
        <v>93230112.0299305</v>
      </c>
      <c r="V14" s="5" t="n">
        <v>4704293626.2176</v>
      </c>
      <c r="W14" s="5" t="n">
        <v>3800253437.89107</v>
      </c>
      <c r="X14" s="5" t="n">
        <v>2286993995.65249</v>
      </c>
      <c r="Y14" s="5" t="n">
        <v>2687712453.13874</v>
      </c>
      <c r="Z14" s="5" t="n">
        <v>3201118096.85697</v>
      </c>
      <c r="AA14" s="5" t="n">
        <v>3965103897.24489</v>
      </c>
      <c r="AB14" s="5" t="n">
        <v>2438447690.08369</v>
      </c>
      <c r="AC14" s="5" t="n">
        <v>3651997681.16837</v>
      </c>
      <c r="AD14" s="5" t="n">
        <v>3427312794.29204</v>
      </c>
      <c r="AE14" s="5" t="n">
        <v>4487005302.02192</v>
      </c>
      <c r="AF14" s="5" t="n">
        <v>3798900489.16176</v>
      </c>
      <c r="AG14" s="5" t="n">
        <v>5323076250.04833</v>
      </c>
      <c r="AH14" s="5" t="n">
        <v>2210973950.0547</v>
      </c>
      <c r="AI14" s="5" t="n">
        <v>2065197309.5184</v>
      </c>
      <c r="AJ14" s="5" t="n">
        <v>1845383989.72192</v>
      </c>
      <c r="AK14" s="5" t="n">
        <v>1460760075.65184</v>
      </c>
      <c r="AL14" s="5" t="n">
        <v>1201948346.12689</v>
      </c>
      <c r="AM14" s="5" t="n">
        <v>1034783383.71036</v>
      </c>
      <c r="AN14" s="5" t="n">
        <v>820789503.682924</v>
      </c>
      <c r="AO14" s="5" t="n">
        <v>935301384.685293</v>
      </c>
      <c r="AP14" s="5" t="n">
        <v>945665007.939915</v>
      </c>
      <c r="AQ14" s="5" t="n">
        <v>1110205754.13188</v>
      </c>
      <c r="AR14" s="5" t="n">
        <v>1039652899.55359</v>
      </c>
      <c r="AS14" s="5" t="n">
        <v>3515076594.9262</v>
      </c>
      <c r="AT14" s="5" t="n">
        <v>34837837551.9696</v>
      </c>
      <c r="AU14" s="5" t="n">
        <v>30084823671.6889</v>
      </c>
      <c r="AV14" s="5" t="n">
        <v>2618371745.11</v>
      </c>
      <c r="AW14" s="5" t="n">
        <v>1303617122.08111</v>
      </c>
      <c r="AX14" s="5" t="n">
        <v>370316491.293116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-1375407.48825364</v>
      </c>
      <c r="P15" s="5" t="n">
        <v>4275345.49314545</v>
      </c>
      <c r="Q15" s="5" t="n">
        <v>-44807.0539487878</v>
      </c>
      <c r="R15" s="5" t="n">
        <v>142760.798353028</v>
      </c>
      <c r="S15" s="5" t="n">
        <v>357659.698026352</v>
      </c>
      <c r="T15" s="5" t="n">
        <v>65668.2606597194</v>
      </c>
      <c r="U15" s="5" t="n">
        <v>3115309.47403747</v>
      </c>
      <c r="V15" s="5" t="n">
        <v>6389716.24196061</v>
      </c>
      <c r="W15" s="5" t="n">
        <v>85051866.0158636</v>
      </c>
      <c r="X15" s="5" t="n">
        <v>186260007.431768</v>
      </c>
      <c r="Y15" s="5" t="n">
        <v>517265239.833851</v>
      </c>
      <c r="Z15" s="5" t="n">
        <v>571960640.837134</v>
      </c>
      <c r="AA15" s="5" t="n">
        <v>691421564.698755</v>
      </c>
      <c r="AB15" s="5" t="n">
        <v>1233528401.36762</v>
      </c>
      <c r="AC15" s="5" t="n">
        <v>1485585949.17127</v>
      </c>
      <c r="AD15" s="5" t="n">
        <v>2349829134.06825</v>
      </c>
      <c r="AE15" s="5" t="n">
        <v>2806602424.09111</v>
      </c>
      <c r="AF15" s="5" t="n">
        <v>4032868124.49715</v>
      </c>
      <c r="AG15" s="5" t="n">
        <v>4520263581.7383</v>
      </c>
      <c r="AH15" s="5" t="n">
        <v>3059895547.37422</v>
      </c>
      <c r="AI15" s="5" t="n">
        <v>2240192109.53363</v>
      </c>
      <c r="AJ15" s="5" t="n">
        <v>1916005640.04646</v>
      </c>
      <c r="AK15" s="5" t="n">
        <v>1613015272.26447</v>
      </c>
      <c r="AL15" s="5" t="n">
        <v>1467941823.00821</v>
      </c>
      <c r="AM15" s="5" t="n">
        <v>1628110568.93918</v>
      </c>
      <c r="AN15" s="5" t="n">
        <v>1751421187.3348</v>
      </c>
      <c r="AO15" s="5" t="n">
        <v>1609320510.01559</v>
      </c>
      <c r="AP15" s="5" t="n">
        <v>1613665511.09903</v>
      </c>
      <c r="AQ15" s="5" t="n">
        <v>2150350104.95202</v>
      </c>
      <c r="AR15" s="5" t="n">
        <v>1909007572.49421</v>
      </c>
      <c r="AS15" s="5" t="n">
        <v>1763060635.82056</v>
      </c>
      <c r="AT15" s="5" t="n">
        <v>1327123473.27241</v>
      </c>
      <c r="AU15" s="5" t="n">
        <v>1473356905.85242</v>
      </c>
      <c r="AV15" s="5" t="n">
        <v>2072209669.46</v>
      </c>
      <c r="AW15" s="5" t="n">
        <v>2350524931.2328</v>
      </c>
      <c r="AX15" s="5" t="n">
        <v>1097999337.72831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 t="n">
        <v>1606656.8769658</v>
      </c>
      <c r="W16" s="5" t="n">
        <v>636466.656361429</v>
      </c>
      <c r="X16" s="5" t="n">
        <v>652270.481748251</v>
      </c>
      <c r="Y16" s="5" t="n">
        <v>886602.092583755</v>
      </c>
      <c r="Z16" s="5" t="n">
        <v>1866627.07639642</v>
      </c>
      <c r="AA16" s="5" t="n">
        <v>91899323.2958892</v>
      </c>
      <c r="AB16" s="5" t="n">
        <v>617275.122036506</v>
      </c>
      <c r="AC16" s="5" t="n">
        <v>2761063.36413646</v>
      </c>
      <c r="AD16" s="5" t="n">
        <v>3843821.6321991</v>
      </c>
      <c r="AE16" s="5" t="n">
        <v>6387943.02783179</v>
      </c>
      <c r="AF16" s="5" t="n">
        <v>755261.049937237</v>
      </c>
      <c r="AG16" s="5" t="n">
        <v>71827.3423778719</v>
      </c>
      <c r="AH16" s="5" t="n">
        <v>73315.1376129186</v>
      </c>
      <c r="AI16" s="5" t="n">
        <v>98679571.8442665</v>
      </c>
      <c r="AJ16" s="5" t="n">
        <v>315585008.191247</v>
      </c>
      <c r="AK16" s="5" t="n">
        <v>483866417.915075</v>
      </c>
      <c r="AL16" s="5" t="n">
        <v>766344843.107412</v>
      </c>
      <c r="AM16" s="5" t="n">
        <v>544247515.306173</v>
      </c>
      <c r="AN16" s="5" t="n">
        <v>428323737.327927</v>
      </c>
      <c r="AO16" s="5" t="n">
        <v>352431795.561121</v>
      </c>
      <c r="AP16" s="5" t="n">
        <v>474355263.821059</v>
      </c>
      <c r="AQ16" s="5" t="n">
        <v>626820851.252577</v>
      </c>
      <c r="AR16" s="5" t="n">
        <v>259444669.979944</v>
      </c>
      <c r="AS16" s="5" t="n">
        <v>278259239.845539</v>
      </c>
      <c r="AT16" s="5" t="n">
        <v>382869974.001708</v>
      </c>
      <c r="AU16" s="5" t="n">
        <v>272375421.664896</v>
      </c>
      <c r="AV16" s="5" t="n">
        <v>475703171.6093</v>
      </c>
      <c r="AW16" s="5" t="n">
        <v>516716122.981938</v>
      </c>
      <c r="AX16" s="5" t="n">
        <v>238965759.923501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411588.105507479</v>
      </c>
      <c r="P17" s="5" t="n">
        <v>377412.563383694</v>
      </c>
      <c r="Q17" s="5" t="n">
        <v>225983.402524321</v>
      </c>
      <c r="R17" s="5" t="n">
        <v>991711.679225699</v>
      </c>
      <c r="S17" s="5" t="n">
        <v>1076704.7159335</v>
      </c>
      <c r="T17" s="5" t="n">
        <v>4791958.90980786</v>
      </c>
      <c r="U17" s="5" t="n">
        <v>5165326.34057362</v>
      </c>
      <c r="V17" s="5" t="n">
        <v>14124463.0399914</v>
      </c>
      <c r="W17" s="5" t="n">
        <v>17025766.2545088</v>
      </c>
      <c r="X17" s="5" t="n">
        <v>38082397.3769541</v>
      </c>
      <c r="Y17" s="5" t="n">
        <v>140491496.050866</v>
      </c>
      <c r="Z17" s="5" t="n">
        <v>194575878.560949</v>
      </c>
      <c r="AA17" s="5" t="n">
        <v>306832619.830143</v>
      </c>
      <c r="AB17" s="5" t="n">
        <v>827911465.621745</v>
      </c>
      <c r="AC17" s="5" t="n">
        <v>1223491012.85217</v>
      </c>
      <c r="AD17" s="5" t="n">
        <v>1012086724.80578</v>
      </c>
      <c r="AE17" s="5" t="n">
        <v>770582103.179977</v>
      </c>
      <c r="AF17" s="5" t="n">
        <v>867439706.642627</v>
      </c>
      <c r="AG17" s="5" t="n">
        <v>742330634.344321</v>
      </c>
      <c r="AH17" s="5" t="n">
        <v>954495129.093418</v>
      </c>
      <c r="AI17" s="5" t="n">
        <v>1059767296.50236</v>
      </c>
      <c r="AJ17" s="5" t="n">
        <v>722627548.708645</v>
      </c>
      <c r="AK17" s="5" t="n">
        <v>578833421.609139</v>
      </c>
      <c r="AL17" s="5" t="n">
        <v>321109898.676506</v>
      </c>
      <c r="AM17" s="5" t="n">
        <v>313452381.578178</v>
      </c>
      <c r="AN17" s="5" t="n">
        <v>261204110.286586</v>
      </c>
      <c r="AO17" s="5" t="n">
        <v>207503408.756961</v>
      </c>
      <c r="AP17" s="5" t="n">
        <v>201911416.956737</v>
      </c>
      <c r="AQ17" s="5" t="n">
        <v>207443641.663293</v>
      </c>
      <c r="AR17" s="5" t="n">
        <v>142878605.052795</v>
      </c>
      <c r="AS17" s="5" t="n">
        <v>152537720.711923</v>
      </c>
      <c r="AT17" s="5" t="n">
        <v>95427428.223489</v>
      </c>
      <c r="AU17" s="5" t="n">
        <v>94595228.3278304</v>
      </c>
      <c r="AV17" s="5" t="n">
        <v>133750375.3453</v>
      </c>
      <c r="AW17" s="5" t="n">
        <v>91429614.3367774</v>
      </c>
      <c r="AX17" s="5" t="n">
        <v>21044600.367457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13800617.7860845</v>
      </c>
      <c r="W18" s="5" t="n">
        <v>25214649.6099399</v>
      </c>
      <c r="X18" s="5" t="n">
        <v>59923763.1062044</v>
      </c>
      <c r="Y18" s="5" t="n">
        <v>4676336505.90534</v>
      </c>
      <c r="Z18" s="5" t="n">
        <v>4039047233.556</v>
      </c>
      <c r="AA18" s="5" t="n">
        <v>5173507072.58778</v>
      </c>
      <c r="AB18" s="5" t="n">
        <v>2770086000.67548</v>
      </c>
      <c r="AC18" s="5" t="n">
        <v>2862324864.28941</v>
      </c>
      <c r="AD18" s="5" t="n">
        <v>4142743099.67339</v>
      </c>
      <c r="AE18" s="5" t="n">
        <v>3946200892.71372</v>
      </c>
      <c r="AF18" s="5" t="n">
        <v>3205419047.3976</v>
      </c>
      <c r="AG18" s="5" t="n">
        <v>2769981697.22519</v>
      </c>
      <c r="AH18" s="5" t="n">
        <v>1819132031.12336</v>
      </c>
      <c r="AI18" s="5" t="n">
        <v>1913506356.47551</v>
      </c>
      <c r="AJ18" s="5" t="n">
        <v>2642100641.39538</v>
      </c>
      <c r="AK18" s="5" t="n">
        <v>1442386210.45314</v>
      </c>
      <c r="AL18" s="5" t="n">
        <v>840935990.133268</v>
      </c>
      <c r="AM18" s="5" t="n">
        <v>935056119.247675</v>
      </c>
      <c r="AN18" s="5" t="n">
        <v>609762557.825876</v>
      </c>
      <c r="AO18" s="5" t="n">
        <v>940214159.21646</v>
      </c>
      <c r="AP18" s="5" t="n">
        <v>783012307.460438</v>
      </c>
      <c r="AQ18" s="5" t="n">
        <v>819190386.767175</v>
      </c>
      <c r="AR18" s="5" t="n">
        <v>1136262241.78913</v>
      </c>
      <c r="AS18" s="5" t="n">
        <v>1057334148.99893</v>
      </c>
      <c r="AT18" s="5" t="n">
        <v>846007656.737925</v>
      </c>
      <c r="AU18" s="5" t="n">
        <v>848725732.613986</v>
      </c>
      <c r="AV18" s="5" t="n">
        <v>925160550.1679</v>
      </c>
      <c r="AW18" s="5" t="n">
        <v>899081397.701949</v>
      </c>
      <c r="AX18" s="5" t="n">
        <v>456537325.715029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0</v>
      </c>
      <c r="P19" s="5" t="n">
        <v>279564.8617657</v>
      </c>
      <c r="Q19" s="5" t="n">
        <v>2016317.42769545</v>
      </c>
      <c r="R19" s="5" t="n">
        <v>274100.732837813</v>
      </c>
      <c r="S19" s="5" t="n">
        <v>87552.1135793675</v>
      </c>
      <c r="T19" s="5"/>
      <c r="U19" s="5" t="n">
        <v>93101.2026723841</v>
      </c>
      <c r="V19" s="5" t="n">
        <v>63823165.7282678</v>
      </c>
      <c r="W19" s="5" t="n">
        <v>187807836.377302</v>
      </c>
      <c r="X19" s="5" t="n">
        <v>508035906.022966</v>
      </c>
      <c r="Y19" s="5" t="n">
        <v>6356198069.27895</v>
      </c>
      <c r="Z19" s="5" t="n">
        <v>8699165367.50834</v>
      </c>
      <c r="AA19" s="5" t="n">
        <v>11331290385.0042</v>
      </c>
      <c r="AB19" s="5" t="n">
        <v>17352581979.5643</v>
      </c>
      <c r="AC19" s="5" t="n">
        <v>19101963174.2648</v>
      </c>
      <c r="AD19" s="5" t="n">
        <v>36806322955.3891</v>
      </c>
      <c r="AE19" s="5" t="n">
        <v>38342716300.2567</v>
      </c>
      <c r="AF19" s="5" t="n">
        <v>36640375490.8385</v>
      </c>
      <c r="AG19" s="5" t="n">
        <v>40871652275.3798</v>
      </c>
      <c r="AH19" s="5" t="n">
        <v>40858443718.7231</v>
      </c>
      <c r="AI19" s="5" t="n">
        <v>32694400143.4472</v>
      </c>
      <c r="AJ19" s="5" t="n">
        <v>32573613954.4753</v>
      </c>
      <c r="AK19" s="5" t="n">
        <v>40755672739.8299</v>
      </c>
      <c r="AL19" s="5" t="n">
        <v>29720297091.3342</v>
      </c>
      <c r="AM19" s="5" t="n">
        <v>26314701488.5909</v>
      </c>
      <c r="AN19" s="5" t="n">
        <v>22486152146.9115</v>
      </c>
      <c r="AO19" s="5" t="n">
        <v>20041599314.9142</v>
      </c>
      <c r="AP19" s="5" t="n">
        <v>22338850959.5994</v>
      </c>
      <c r="AQ19" s="5" t="n">
        <v>25378755150.3676</v>
      </c>
      <c r="AR19" s="5" t="n">
        <v>22731301693.0375</v>
      </c>
      <c r="AS19" s="5" t="n">
        <v>22859825901.1875</v>
      </c>
      <c r="AT19" s="5" t="n">
        <v>22231319889.8795</v>
      </c>
      <c r="AU19" s="5" t="n">
        <v>28451803250.9303</v>
      </c>
      <c r="AV19" s="5" t="n">
        <v>26614984036.4218</v>
      </c>
      <c r="AW19" s="5" t="n">
        <v>26319628313.1739</v>
      </c>
      <c r="AX19" s="5" t="n">
        <v>10667823640.189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 t="n">
        <v>0</v>
      </c>
      <c r="V20" s="5" t="n">
        <v>3229255.50836917</v>
      </c>
      <c r="W20" s="5" t="n">
        <v>27324349.6658633</v>
      </c>
      <c r="X20" s="5" t="n">
        <v>40802550.4759707</v>
      </c>
      <c r="Y20" s="5" t="n">
        <v>141009475.659789</v>
      </c>
      <c r="Z20" s="5" t="n">
        <v>75232816.0664276</v>
      </c>
      <c r="AA20" s="5" t="n">
        <v>80800705.6415202</v>
      </c>
      <c r="AB20" s="5" t="n">
        <v>21007569.9651641</v>
      </c>
      <c r="AC20" s="5" t="n">
        <v>21136794.2793494</v>
      </c>
      <c r="AD20" s="5" t="n">
        <v>5153341.18883148</v>
      </c>
      <c r="AE20" s="5" t="n">
        <v>4742769.19628216</v>
      </c>
      <c r="AF20" s="5" t="n">
        <v>4365867.60109973</v>
      </c>
      <c r="AG20" s="5" t="n">
        <v>4527608.84942782</v>
      </c>
      <c r="AH20" s="5" t="n">
        <v>299579.770421217</v>
      </c>
      <c r="AI20" s="5" t="n">
        <v>21084.0948219778</v>
      </c>
      <c r="AJ20" s="5" t="n">
        <v>-574.935288955583</v>
      </c>
      <c r="AK20" s="5" t="n">
        <v>8405.50363853331</v>
      </c>
      <c r="AL20" s="5" t="n">
        <v>18104.5141095948</v>
      </c>
      <c r="AM20" s="5" t="n">
        <v>23305.2564958898</v>
      </c>
      <c r="AN20" s="5"/>
      <c r="AO20" s="5"/>
      <c r="AP20" s="5"/>
      <c r="AQ20" s="5" t="n">
        <v>25355.3917222716</v>
      </c>
      <c r="AR20" s="5"/>
      <c r="AS20" s="5" t="n">
        <v>0</v>
      </c>
      <c r="AT20" s="5"/>
      <c r="AU20" s="5"/>
      <c r="AV20" s="5"/>
      <c r="AW20" s="5" t="n">
        <v>9851.89539967892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22530893399.8844</v>
      </c>
      <c r="P21" s="5" t="n">
        <v>27290590861.9728</v>
      </c>
      <c r="Q21" s="5" t="n">
        <v>18840301145.1705</v>
      </c>
      <c r="R21" s="5" t="n">
        <v>20082577572.1016</v>
      </c>
      <c r="S21" s="5" t="n">
        <v>16068055004.8724</v>
      </c>
      <c r="T21" s="5" t="n">
        <v>15623014029.6791</v>
      </c>
      <c r="U21" s="5" t="n">
        <v>17235978603.4816</v>
      </c>
      <c r="V21" s="5" t="n">
        <v>17046216182.2758</v>
      </c>
      <c r="W21" s="5" t="n">
        <v>14872605319.0069</v>
      </c>
      <c r="X21" s="5" t="n">
        <v>13169272287.6841</v>
      </c>
      <c r="Y21" s="5" t="n">
        <v>0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 t="n">
        <v>0</v>
      </c>
      <c r="AQ21" s="5" t="n">
        <v>0</v>
      </c>
      <c r="AR21" s="5"/>
      <c r="AS21" s="5" t="n">
        <v>0</v>
      </c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 t="n">
        <v>12652</v>
      </c>
      <c r="AI2" s="6" t="n">
        <v>0</v>
      </c>
      <c r="AJ2" s="6" t="n">
        <v>111074.8516</v>
      </c>
      <c r="AK2" s="6"/>
      <c r="AL2" s="6"/>
      <c r="AM2" s="6"/>
    </row>
    <row r="3">
      <c r="A3" t="str">
        <f>M3</f>
      </c>
      <c r="M3" t="s">
        <v>81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 t="n">
        <v>742934.5078</v>
      </c>
      <c r="AL3" s="6"/>
      <c r="AM3" s="6"/>
    </row>
    <row r="4">
      <c r="A4" t="str">
        <f>M4</f>
      </c>
      <c r="M4" t="s">
        <v>72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75639.3281</v>
      </c>
      <c r="AI4" s="6" t="n">
        <v>742633.5</v>
      </c>
      <c r="AJ4" s="6" t="n">
        <v>356810.3301</v>
      </c>
      <c r="AK4" s="6"/>
      <c r="AL4" s="6"/>
      <c r="AM4" s="6"/>
    </row>
    <row r="5">
      <c r="A5" t="str">
        <f>M5</f>
      </c>
      <c r="M5" t="s">
        <v>75</v>
      </c>
      <c r="N5" s="6" t="n">
        <v>928939</v>
      </c>
      <c r="O5" s="6" t="n">
        <v>2068529</v>
      </c>
      <c r="P5" s="6" t="n">
        <v>1524336</v>
      </c>
      <c r="Q5" s="6" t="n">
        <v>5308076</v>
      </c>
      <c r="R5" s="6" t="n">
        <v>1952916</v>
      </c>
      <c r="S5" s="6" t="n">
        <v>1698707</v>
      </c>
      <c r="T5" s="6" t="n">
        <v>3491019</v>
      </c>
      <c r="U5" s="6" t="n">
        <v>3432758.5813</v>
      </c>
      <c r="V5" s="6" t="n">
        <v>408103.4902</v>
      </c>
      <c r="W5" s="6" t="n">
        <v>2997694.9102</v>
      </c>
      <c r="X5" s="6" t="n">
        <v>324997.5489</v>
      </c>
      <c r="Y5" s="6" t="n">
        <v>80496.6992</v>
      </c>
      <c r="Z5" s="6" t="n">
        <v>1413080.0995</v>
      </c>
      <c r="AA5" s="6" t="n">
        <v>-1347298.85</v>
      </c>
      <c r="AB5" s="6" t="n">
        <v>18176.15</v>
      </c>
      <c r="AC5" s="6" t="n">
        <v>-923.499299999999</v>
      </c>
      <c r="AD5" s="6" t="n">
        <v>59406.4001</v>
      </c>
      <c r="AE5" s="6" t="n">
        <v>134305.6015</v>
      </c>
      <c r="AF5" s="6" t="n">
        <v>84461</v>
      </c>
      <c r="AG5" s="6" t="n">
        <v>111241</v>
      </c>
      <c r="AH5" s="6" t="n">
        <v>18623015.3965</v>
      </c>
      <c r="AI5" s="6" t="n">
        <v>714345.625</v>
      </c>
      <c r="AJ5" s="6"/>
      <c r="AK5" s="6"/>
      <c r="AL5" s="6"/>
      <c r="AM5" s="6"/>
    </row>
    <row r="6">
      <c r="A6" t="str">
        <f>M6</f>
      </c>
      <c r="M6" t="s">
        <v>82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 t="n">
        <v>1427200</v>
      </c>
      <c r="AL6" s="6"/>
      <c r="AM6" s="6"/>
    </row>
    <row r="7">
      <c r="A7" t="str">
        <f>M7</f>
      </c>
      <c r="M7" t="s">
        <v>77</v>
      </c>
      <c r="N7" s="6" t="n">
        <v>475572</v>
      </c>
      <c r="O7" s="6" t="n">
        <v>232950</v>
      </c>
      <c r="P7" s="6" t="n">
        <v>6795025</v>
      </c>
      <c r="Q7" s="6" t="n">
        <v>9480600</v>
      </c>
      <c r="R7" s="6" t="n">
        <v>478550</v>
      </c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>
      <c r="A8" t="str">
        <f>M8</f>
      </c>
      <c r="M8" t="s">
        <v>78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 t="n">
        <v>51906.1602</v>
      </c>
      <c r="AH8" s="6" t="n">
        <v>139759.4004</v>
      </c>
      <c r="AI8" s="6" t="n">
        <v>157400.1524</v>
      </c>
      <c r="AJ8" s="6" t="n">
        <v>46356.5</v>
      </c>
      <c r="AK8" s="6"/>
      <c r="AL8" s="6"/>
      <c r="AM8" s="6"/>
    </row>
    <row r="9">
      <c r="A9" t="str">
        <f>M9</f>
      </c>
      <c r="M9" t="s">
        <v>79</v>
      </c>
      <c r="N9" s="6" t="n">
        <v>4350000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>
      <c r="A10" t="str">
        <f>M10</f>
      </c>
      <c r="M10" t="s">
        <v>80</v>
      </c>
      <c r="N10" s="6" t="n">
        <v>308700</v>
      </c>
      <c r="O10" s="6" t="n">
        <v>1341114</v>
      </c>
      <c r="P10" s="6" t="n">
        <v>30064928</v>
      </c>
      <c r="Q10" s="6" t="n">
        <v>9014432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>
      <c r="A11" t="str">
        <f>M11</f>
      </c>
      <c r="M11"/>
      <c r="N11" s="6" t="n">
        <v>8630701989.09</v>
      </c>
      <c r="O11" s="6" t="n">
        <v>10221322104</v>
      </c>
      <c r="P11" s="6" t="n">
        <v>13353523888.2415</v>
      </c>
      <c r="Q11" s="6" t="n">
        <v>15519372518.4262</v>
      </c>
      <c r="R11" s="6" t="n">
        <v>18314158839.8947</v>
      </c>
      <c r="S11" s="6" t="n">
        <v>31786803033.2196</v>
      </c>
      <c r="T11" s="6" t="n">
        <v>34616507262.3475</v>
      </c>
      <c r="U11" s="6" t="n">
        <v>34288298948.3409</v>
      </c>
      <c r="V11" s="6" t="n">
        <v>39099729400.1141</v>
      </c>
      <c r="W11" s="6" t="n">
        <v>35615896149.808</v>
      </c>
      <c r="X11" s="6" t="n">
        <v>29121211362.0065</v>
      </c>
      <c r="Y11" s="6" t="n">
        <v>30006926667.1808</v>
      </c>
      <c r="Z11" s="6" t="n">
        <v>35356419146.3526</v>
      </c>
      <c r="AA11" s="6" t="n">
        <v>26465404153.2953</v>
      </c>
      <c r="AB11" s="6" t="n">
        <v>24267838725.1181</v>
      </c>
      <c r="AC11" s="6" t="n">
        <v>21069111715.4275</v>
      </c>
      <c r="AD11" s="6" t="n">
        <v>19406190257.4793</v>
      </c>
      <c r="AE11" s="6" t="n">
        <v>21576437757.6489</v>
      </c>
      <c r="AF11" s="6" t="n">
        <v>25383313632.2805</v>
      </c>
      <c r="AG11" s="6" t="n">
        <v>23212468234.1722</v>
      </c>
      <c r="AH11" s="6" t="n">
        <v>25490601137.0472</v>
      </c>
      <c r="AI11" s="6" t="n">
        <v>53499188886.3541</v>
      </c>
      <c r="AJ11" s="6" t="n">
        <v>58510333010.0319</v>
      </c>
      <c r="AK11" s="6" t="n">
        <v>18944862279.6072</v>
      </c>
      <c r="AL11" s="6"/>
      <c r="AM11" s="6"/>
    </row>
    <row r="12">
      <c r="A12" t="str">
        <f>M12</f>
      </c>
      <c r="M12" t="s">
        <v>124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71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 t="n">
        <v>13983.3803832674</v>
      </c>
      <c r="AI16" s="6" t="n">
        <v>0</v>
      </c>
      <c r="AJ16" s="6" t="n">
        <v>111074.8516</v>
      </c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81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 t="n">
        <v>708609.729566217</v>
      </c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72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83598.9169109284</v>
      </c>
      <c r="AI18" s="6" t="n">
        <v>794088.789125212</v>
      </c>
      <c r="AJ18" s="6" t="n">
        <v>356810.3301</v>
      </c>
      <c r="AK18" s="6"/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 t="n">
        <v>1500914.65670252</v>
      </c>
      <c r="O19" s="6" t="n">
        <v>3263057.21051487</v>
      </c>
      <c r="P19" s="6" t="n">
        <v>2367241.73731984</v>
      </c>
      <c r="Q19" s="6" t="n">
        <v>8088649.69747116</v>
      </c>
      <c r="R19" s="6" t="n">
        <v>2904922.18065957</v>
      </c>
      <c r="S19" s="6" t="n">
        <v>2452346.35488657</v>
      </c>
      <c r="T19" s="6" t="n">
        <v>4880915.09319704</v>
      </c>
      <c r="U19" s="6" t="n">
        <v>4671356.04181004</v>
      </c>
      <c r="V19" s="6" t="n">
        <v>544008.388902862</v>
      </c>
      <c r="W19" s="6" t="n">
        <v>3955776.17388379</v>
      </c>
      <c r="X19" s="6" t="n">
        <v>425170.801131324</v>
      </c>
      <c r="Y19" s="6" t="n">
        <v>103227.58987391</v>
      </c>
      <c r="Z19" s="6" t="n">
        <v>1779491.76896082</v>
      </c>
      <c r="AA19" s="6" t="n">
        <v>-1666162.66429415</v>
      </c>
      <c r="AB19" s="6" t="n">
        <v>22051.2771673806</v>
      </c>
      <c r="AC19" s="6" t="n">
        <v>-1107.688988581</v>
      </c>
      <c r="AD19" s="6" t="n">
        <v>70669.2609927968</v>
      </c>
      <c r="AE19" s="6" t="n">
        <v>156966.16617476</v>
      </c>
      <c r="AF19" s="6" t="n">
        <v>96446.9870230631</v>
      </c>
      <c r="AG19" s="6" t="n">
        <v>124587.149879475</v>
      </c>
      <c r="AH19" s="6" t="n">
        <v>20582730.649123</v>
      </c>
      <c r="AI19" s="6" t="n">
        <v>763840.915300943</v>
      </c>
      <c r="AJ19" s="6"/>
      <c r="AK19" s="6"/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82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 t="n">
        <v>1361261.04713009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 t="n">
        <v>768395.971228824</v>
      </c>
      <c r="O21" s="6" t="n">
        <v>367473.29971658</v>
      </c>
      <c r="P21" s="6" t="n">
        <v>10552441.7097882</v>
      </c>
      <c r="Q21" s="6" t="n">
        <v>14446901.725191</v>
      </c>
      <c r="R21" s="6" t="n">
        <v>711833.232742544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78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 t="n">
        <v>58133.6068581317</v>
      </c>
      <c r="AH22" s="6" t="n">
        <v>154466.397243959</v>
      </c>
      <c r="AI22" s="6" t="n">
        <v>168306.030400514</v>
      </c>
      <c r="AJ22" s="6" t="n">
        <v>46356.5</v>
      </c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79</v>
      </c>
      <c r="N23" s="6" t="n">
        <v>7028425.71649589</v>
      </c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80</v>
      </c>
      <c r="N24" s="6" t="n">
        <v>498775.866363743</v>
      </c>
      <c r="O24" s="6" t="n">
        <v>2115576.67686672</v>
      </c>
      <c r="P24" s="6" t="n">
        <v>46689806.1786352</v>
      </c>
      <c r="Q24" s="6" t="n">
        <v>13736537.0559265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13944884554.3753</v>
      </c>
      <c r="O25" s="6" t="n">
        <v>16123901957.5999</v>
      </c>
      <c r="P25" s="6" t="n">
        <v>20737566447.6486</v>
      </c>
      <c r="Q25" s="6" t="n">
        <v>23649014789.1835</v>
      </c>
      <c r="R25" s="6" t="n">
        <v>27241932696.6099</v>
      </c>
      <c r="S25" s="6" t="n">
        <v>45889167791.7459</v>
      </c>
      <c r="T25" s="6" t="n">
        <v>48398542881.1923</v>
      </c>
      <c r="U25" s="6" t="n">
        <v>46660098186.999</v>
      </c>
      <c r="V25" s="6" t="n">
        <v>52120555957.6808</v>
      </c>
      <c r="W25" s="6" t="n">
        <v>46998950067.1134</v>
      </c>
      <c r="X25" s="6" t="n">
        <v>38097175829.8049</v>
      </c>
      <c r="Y25" s="6" t="n">
        <v>38480369383.5963</v>
      </c>
      <c r="Z25" s="6" t="n">
        <v>44524338622.5066</v>
      </c>
      <c r="AA25" s="6" t="n">
        <v>32728943764.5373</v>
      </c>
      <c r="AB25" s="6" t="n">
        <v>29441704540.3383</v>
      </c>
      <c r="AC25" s="6" t="n">
        <v>25271294787.5131</v>
      </c>
      <c r="AD25" s="6" t="n">
        <v>23085410357.691</v>
      </c>
      <c r="AE25" s="6" t="n">
        <v>25216898451.7483</v>
      </c>
      <c r="AF25" s="6" t="n">
        <v>28985497691.1817</v>
      </c>
      <c r="AG25" s="6" t="n">
        <v>25997386385.985</v>
      </c>
      <c r="AH25" s="6" t="n">
        <v>28172998094.9636</v>
      </c>
      <c r="AI25" s="6" t="n">
        <v>57206019014.6902</v>
      </c>
      <c r="AJ25" s="6" t="n">
        <v>58510333010.0319</v>
      </c>
      <c r="AK25" s="6" t="n">
        <v>18069578940.9147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13944884554.3753</v>
      </c>
      <c r="O27" s="8" t="n">
        <v>16123901957.5999</v>
      </c>
      <c r="P27" s="8" t="n">
        <v>20737566447.6486</v>
      </c>
      <c r="Q27" s="8" t="n">
        <v>23649014789.1835</v>
      </c>
      <c r="R27" s="8" t="n">
        <v>27241932696.6099</v>
      </c>
      <c r="S27" s="8" t="n">
        <v>45889167791.7459</v>
      </c>
      <c r="T27" s="8" t="n">
        <v>48398542881.1923</v>
      </c>
      <c r="U27" s="8" t="n">
        <v>46660098186.999</v>
      </c>
      <c r="V27" s="8" t="n">
        <v>52120555957.6808</v>
      </c>
      <c r="W27" s="8" t="n">
        <v>46998950067.1134</v>
      </c>
      <c r="X27" s="8" t="n">
        <v>38097175829.8049</v>
      </c>
      <c r="Y27" s="8" t="n">
        <v>38480369383.5963</v>
      </c>
      <c r="Z27" s="8" t="n">
        <v>44524338622.5066</v>
      </c>
      <c r="AA27" s="8" t="n">
        <v>32728943764.5373</v>
      </c>
      <c r="AB27" s="8" t="n">
        <v>29441704540.3383</v>
      </c>
      <c r="AC27" s="8" t="n">
        <v>25271294787.5131</v>
      </c>
      <c r="AD27" s="8" t="n">
        <v>23085410357.691</v>
      </c>
      <c r="AE27" s="8" t="n">
        <v>25216898451.7483</v>
      </c>
      <c r="AF27" s="8" t="n">
        <v>28985497691.1817</v>
      </c>
      <c r="AG27" s="8" t="n">
        <v>25997386385.985</v>
      </c>
      <c r="AH27" s="8" t="n">
        <v>28172998094.9636</v>
      </c>
      <c r="AI27" s="8" t="n">
        <v>57206019014.6902</v>
      </c>
      <c r="AJ27" s="8" t="n">
        <v>58510333010.0319</v>
      </c>
      <c r="AK27" s="8" t="n">
        <v>18069578940.9147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84</v>
      </c>
      <c r="N2" s="9" t="n">
        <v>459097932</v>
      </c>
      <c r="O2" s="9" t="n">
        <v>548411023</v>
      </c>
      <c r="P2" s="9" t="n">
        <v>832797665</v>
      </c>
      <c r="Q2" s="9" t="n">
        <v>1219515147</v>
      </c>
      <c r="R2" s="9" t="n">
        <v>725862200.8403</v>
      </c>
      <c r="S2" s="9" t="n">
        <v>1230990068.2002</v>
      </c>
      <c r="T2" s="9" t="n">
        <v>1042720953.7099</v>
      </c>
      <c r="U2" s="9" t="n">
        <v>1318035621.8528</v>
      </c>
      <c r="V2" s="9" t="n">
        <v>1351809825.1366</v>
      </c>
      <c r="W2" s="9" t="n">
        <v>1768009026.3895</v>
      </c>
      <c r="X2" s="9" t="n">
        <v>1587083382.298</v>
      </c>
      <c r="Y2" s="9" t="n">
        <v>1410585786.8818</v>
      </c>
      <c r="Z2" s="9" t="n">
        <v>890549532.2677</v>
      </c>
      <c r="AA2" s="9" t="n">
        <v>567809741.7066</v>
      </c>
      <c r="AB2" s="9" t="n">
        <v>736507122.3047</v>
      </c>
      <c r="AC2" s="9" t="n">
        <v>674159625.7648</v>
      </c>
      <c r="AD2" s="9" t="n">
        <v>710567941.8812</v>
      </c>
      <c r="AE2" s="9" t="n">
        <v>937113034.6959</v>
      </c>
      <c r="AF2" s="9" t="n">
        <v>1028457434.8177</v>
      </c>
      <c r="AG2" s="9" t="n">
        <v>1205698262.4414</v>
      </c>
      <c r="AH2" s="9" t="n">
        <v>1020157057.1304</v>
      </c>
      <c r="AI2" s="9" t="n">
        <v>932020538.0158</v>
      </c>
      <c r="AJ2" s="9" t="n">
        <v>741919247.7764</v>
      </c>
      <c r="AK2" s="9" t="n">
        <v>366673514.9359</v>
      </c>
      <c r="AL2" s="9"/>
      <c r="AM2" s="9"/>
    </row>
    <row r="3">
      <c r="A3" t="str">
        <f>M3</f>
      </c>
      <c r="M3" t="s">
        <v>85</v>
      </c>
      <c r="N3" s="9" t="n">
        <v>352897325</v>
      </c>
      <c r="O3" s="9" t="n">
        <v>448113569</v>
      </c>
      <c r="P3" s="9" t="n">
        <v>579764400</v>
      </c>
      <c r="Q3" s="9" t="n">
        <v>773839454</v>
      </c>
      <c r="R3" s="9" t="n">
        <v>1419422640</v>
      </c>
      <c r="S3" s="9" t="n">
        <v>2082441094</v>
      </c>
      <c r="T3" s="9" t="n">
        <v>623763409</v>
      </c>
      <c r="U3" s="9" t="n">
        <v>2832145616.4917</v>
      </c>
      <c r="V3" s="9" t="n">
        <v>2179114331.2079</v>
      </c>
      <c r="W3" s="9" t="n">
        <v>3085627793.682</v>
      </c>
      <c r="X3" s="9" t="n">
        <v>3590845387.3924</v>
      </c>
      <c r="Y3" s="9" t="n">
        <v>2940000773.9181</v>
      </c>
      <c r="Z3" s="9" t="n">
        <v>3459631431.9175</v>
      </c>
      <c r="AA3" s="9" t="n">
        <v>2594877340.071</v>
      </c>
      <c r="AB3" s="9" t="n">
        <v>1677379606.3216</v>
      </c>
      <c r="AC3" s="9" t="n">
        <v>886083634.1166</v>
      </c>
      <c r="AD3" s="9" t="n">
        <v>926958912.4214</v>
      </c>
      <c r="AE3" s="9" t="n">
        <v>885005816.8274</v>
      </c>
      <c r="AF3" s="9" t="n">
        <v>129361428.5928</v>
      </c>
      <c r="AG3" s="9" t="n">
        <v>118961459.0804</v>
      </c>
      <c r="AH3" s="9" t="n">
        <v>120588082.29</v>
      </c>
      <c r="AI3" s="9" t="n">
        <v>132967240.9077</v>
      </c>
      <c r="AJ3" s="9" t="n">
        <v>157429127.7033</v>
      </c>
      <c r="AK3" s="9" t="n">
        <v>124227948.1281</v>
      </c>
      <c r="AL3" s="9"/>
      <c r="AM3" s="9"/>
    </row>
    <row r="4">
      <c r="A4" t="str">
        <f>M4</f>
      </c>
      <c r="M4" t="s">
        <v>86</v>
      </c>
      <c r="N4" s="9" t="n">
        <v>736757613</v>
      </c>
      <c r="O4" s="9" t="n">
        <v>849744241</v>
      </c>
      <c r="P4" s="9" t="n">
        <v>1249078193</v>
      </c>
      <c r="Q4" s="9" t="n">
        <v>1588906421</v>
      </c>
      <c r="R4" s="9" t="n">
        <v>1806736603</v>
      </c>
      <c r="S4" s="9" t="n">
        <v>2690517886.7539</v>
      </c>
      <c r="T4" s="9" t="n">
        <v>2880898231.9418</v>
      </c>
      <c r="U4" s="9" t="n">
        <v>3133140506.9743</v>
      </c>
      <c r="V4" s="9" t="n">
        <v>1987659287.4977</v>
      </c>
      <c r="W4" s="9" t="n">
        <v>1946761137.4897</v>
      </c>
      <c r="X4" s="9" t="n">
        <v>2104321873.9524</v>
      </c>
      <c r="Y4" s="9" t="n">
        <v>2907585252.1852</v>
      </c>
      <c r="Z4" s="9" t="n">
        <v>2457362421.743</v>
      </c>
      <c r="AA4" s="9" t="n">
        <v>2906697573.0363</v>
      </c>
      <c r="AB4" s="9" t="n">
        <v>3870494777.6554</v>
      </c>
      <c r="AC4" s="9" t="n">
        <v>4534180988.1847</v>
      </c>
      <c r="AD4" s="9" t="n">
        <v>5063758801.5356</v>
      </c>
      <c r="AE4" s="9" t="n">
        <v>5236042702.1013</v>
      </c>
      <c r="AF4" s="9" t="n">
        <v>5142518414.2291</v>
      </c>
      <c r="AG4" s="9" t="n">
        <v>5288320490.5081</v>
      </c>
      <c r="AH4" s="9" t="n">
        <v>6889985973.0751</v>
      </c>
      <c r="AI4" s="9" t="n">
        <v>35363822553.1787</v>
      </c>
      <c r="AJ4" s="9" t="n">
        <v>29068842595.8633</v>
      </c>
      <c r="AK4" s="9" t="n">
        <v>4953344795.2403</v>
      </c>
      <c r="AL4" s="9"/>
      <c r="AM4" s="9"/>
    </row>
    <row r="5">
      <c r="A5" t="str">
        <f>M5</f>
      </c>
      <c r="M5" t="s">
        <v>87</v>
      </c>
      <c r="N5" s="9" t="n">
        <v>437090158</v>
      </c>
      <c r="O5" s="9" t="n">
        <v>497848036</v>
      </c>
      <c r="P5" s="9" t="n">
        <v>825355303</v>
      </c>
      <c r="Q5" s="9" t="n">
        <v>960277521.96</v>
      </c>
      <c r="R5" s="9" t="n">
        <v>808838395.6021</v>
      </c>
      <c r="S5" s="9" t="n">
        <v>1741767167.6412</v>
      </c>
      <c r="T5" s="9" t="n">
        <v>2795401495.8985</v>
      </c>
      <c r="U5" s="9" t="n">
        <v>1154956802.8551</v>
      </c>
      <c r="V5" s="9" t="n">
        <v>910139498.5583</v>
      </c>
      <c r="W5" s="9" t="n">
        <v>2004699077.9879</v>
      </c>
      <c r="X5" s="9" t="n">
        <v>1064878984.6433</v>
      </c>
      <c r="Y5" s="9" t="n">
        <v>3947450253.9542</v>
      </c>
      <c r="Z5" s="9" t="n">
        <v>3552665575.1199</v>
      </c>
      <c r="AA5" s="9" t="n">
        <v>1962273046.4232</v>
      </c>
      <c r="AB5" s="9" t="n">
        <v>2931394294.9802</v>
      </c>
      <c r="AC5" s="9" t="n">
        <v>1709229091.1199</v>
      </c>
      <c r="AD5" s="9" t="n">
        <v>989853667.3922</v>
      </c>
      <c r="AE5" s="9" t="n">
        <v>1426188632.0583</v>
      </c>
      <c r="AF5" s="9" t="n">
        <v>1699196784.6141</v>
      </c>
      <c r="AG5" s="9" t="n">
        <v>1678508999.0201</v>
      </c>
      <c r="AH5" s="9" t="n">
        <v>1226763985.7226</v>
      </c>
      <c r="AI5" s="9" t="n">
        <v>1331638642.9258</v>
      </c>
      <c r="AJ5" s="9" t="n">
        <v>2375656105.9127</v>
      </c>
      <c r="AK5" s="9" t="n">
        <v>1094586304.6162</v>
      </c>
      <c r="AL5" s="9"/>
      <c r="AM5" s="9"/>
    </row>
    <row r="6">
      <c r="A6" t="str">
        <f>M6</f>
      </c>
      <c r="M6" t="s">
        <v>88</v>
      </c>
      <c r="N6" s="9" t="n">
        <v>31133452</v>
      </c>
      <c r="O6" s="9" t="n">
        <v>39672103</v>
      </c>
      <c r="P6" s="9" t="n">
        <v>44209783</v>
      </c>
      <c r="Q6" s="9" t="n">
        <v>93684907</v>
      </c>
      <c r="R6" s="9" t="n">
        <v>169879169.8262</v>
      </c>
      <c r="S6" s="9" t="n">
        <v>180485318.9699</v>
      </c>
      <c r="T6" s="9" t="n">
        <v>277976089.9111</v>
      </c>
      <c r="U6" s="9" t="n">
        <v>182271265.2974</v>
      </c>
      <c r="V6" s="9" t="n">
        <v>193897219.0126</v>
      </c>
      <c r="W6" s="9" t="n">
        <v>200746794.8601</v>
      </c>
      <c r="X6" s="9" t="n">
        <v>247891394.4015</v>
      </c>
      <c r="Y6" s="9" t="n">
        <v>239976623.4756</v>
      </c>
      <c r="Z6" s="9" t="n">
        <v>199484452.6684</v>
      </c>
      <c r="AA6" s="9" t="n">
        <v>185795368.1603</v>
      </c>
      <c r="AB6" s="9" t="n">
        <v>206086707.8428</v>
      </c>
      <c r="AC6" s="9" t="n">
        <v>261480763.3258</v>
      </c>
      <c r="AD6" s="9" t="n">
        <v>284702677.6265</v>
      </c>
      <c r="AE6" s="9" t="n">
        <v>268883049.551</v>
      </c>
      <c r="AF6" s="9" t="n">
        <v>298999574.4432</v>
      </c>
      <c r="AG6" s="9" t="n">
        <v>360706148.1876</v>
      </c>
      <c r="AH6" s="9" t="n">
        <v>276805301.0146</v>
      </c>
      <c r="AI6" s="9" t="n">
        <v>238593902.1989</v>
      </c>
      <c r="AJ6" s="9" t="n">
        <v>264713957.6649</v>
      </c>
      <c r="AK6" s="9" t="n">
        <v>190061477.6331</v>
      </c>
      <c r="AL6" s="9"/>
      <c r="AM6" s="9"/>
    </row>
    <row r="7">
      <c r="A7" t="str">
        <f>M7</f>
      </c>
      <c r="M7" t="s">
        <v>89</v>
      </c>
      <c r="N7" s="9" t="n">
        <v>2996201351</v>
      </c>
      <c r="O7" s="9" t="n">
        <v>3558080529</v>
      </c>
      <c r="P7" s="9" t="n">
        <v>4440797189</v>
      </c>
      <c r="Q7" s="9" t="n">
        <v>4561426670.6396</v>
      </c>
      <c r="R7" s="9" t="n">
        <v>5606871996.0494</v>
      </c>
      <c r="S7" s="9" t="n">
        <v>7702181463.3514</v>
      </c>
      <c r="T7" s="9" t="n">
        <v>10143111001.6907</v>
      </c>
      <c r="U7" s="9" t="n">
        <v>11094113431.2974</v>
      </c>
      <c r="V7" s="9" t="n">
        <v>13373223167.5188</v>
      </c>
      <c r="W7" s="9" t="n">
        <v>16646154967.3648</v>
      </c>
      <c r="X7" s="9" t="n">
        <v>11191475647.4348</v>
      </c>
      <c r="Y7" s="9" t="n">
        <v>9953957979.879</v>
      </c>
      <c r="Z7" s="9" t="n">
        <v>18043760088.266</v>
      </c>
      <c r="AA7" s="9" t="n">
        <v>12216659607.5609</v>
      </c>
      <c r="AB7" s="9" t="n">
        <v>9435329257.8295</v>
      </c>
      <c r="AC7" s="9" t="n">
        <v>7166662750.8959</v>
      </c>
      <c r="AD7" s="9" t="n">
        <v>4814168603.3955</v>
      </c>
      <c r="AE7" s="9" t="n">
        <v>6037416151.6929</v>
      </c>
      <c r="AF7" s="9" t="n">
        <v>7781369529.4628</v>
      </c>
      <c r="AG7" s="9" t="n">
        <v>5837423459.2227</v>
      </c>
      <c r="AH7" s="9" t="n">
        <v>4679148729.4954</v>
      </c>
      <c r="AI7" s="9" t="n">
        <v>5521919289.2933</v>
      </c>
      <c r="AJ7" s="9" t="n">
        <v>11285455838.6019</v>
      </c>
      <c r="AK7" s="9" t="n">
        <v>5541663643.9273</v>
      </c>
      <c r="AL7" s="9"/>
      <c r="AM7" s="9"/>
    </row>
    <row r="8">
      <c r="A8" t="str">
        <f>M8</f>
      </c>
      <c r="M8" t="s">
        <v>90</v>
      </c>
      <c r="N8" s="9" t="n">
        <v>103504171</v>
      </c>
      <c r="O8" s="9" t="n">
        <v>100810898</v>
      </c>
      <c r="P8" s="9" t="n">
        <v>112304027.1104</v>
      </c>
      <c r="Q8" s="9" t="n">
        <v>198883811.7908</v>
      </c>
      <c r="R8" s="9" t="n">
        <v>236306378.9521</v>
      </c>
      <c r="S8" s="9" t="n">
        <v>522574159.3837</v>
      </c>
      <c r="T8" s="9" t="n">
        <v>610113509.0499</v>
      </c>
      <c r="U8" s="9" t="n">
        <v>812821209.8059</v>
      </c>
      <c r="V8" s="9" t="n">
        <v>799679061.5584</v>
      </c>
      <c r="W8" s="9" t="n">
        <v>867836250.7221</v>
      </c>
      <c r="X8" s="9" t="n">
        <v>1139844157.3288</v>
      </c>
      <c r="Y8" s="9" t="n">
        <v>1146690570.3966</v>
      </c>
      <c r="Z8" s="9" t="n">
        <v>999071000.1631</v>
      </c>
      <c r="AA8" s="9" t="n">
        <v>911268876.3629</v>
      </c>
      <c r="AB8" s="9" t="n">
        <v>981552477.4816</v>
      </c>
      <c r="AC8" s="9" t="n">
        <v>1150447194.5467</v>
      </c>
      <c r="AD8" s="9" t="n">
        <v>1203776456.9095</v>
      </c>
      <c r="AE8" s="9" t="n">
        <v>1159742980.4968</v>
      </c>
      <c r="AF8" s="9" t="n">
        <v>1343633873.3998</v>
      </c>
      <c r="AG8" s="9" t="n">
        <v>1144902755.0278</v>
      </c>
      <c r="AH8" s="9" t="n">
        <v>2999051371.0285</v>
      </c>
      <c r="AI8" s="9" t="n">
        <v>1911056459.6524</v>
      </c>
      <c r="AJ8" s="9" t="n">
        <v>5673187536.0425</v>
      </c>
      <c r="AK8" s="9" t="n">
        <v>441436102.494</v>
      </c>
      <c r="AL8" s="9"/>
      <c r="AM8" s="9"/>
    </row>
    <row r="9">
      <c r="A9" t="str">
        <f>M9</f>
      </c>
      <c r="M9" t="s">
        <v>91</v>
      </c>
      <c r="N9" s="9" t="n">
        <v>1199911177</v>
      </c>
      <c r="O9" s="9" t="n">
        <v>1445565407</v>
      </c>
      <c r="P9" s="9" t="n">
        <v>1921751259.5</v>
      </c>
      <c r="Q9" s="9" t="n">
        <v>956012972.294</v>
      </c>
      <c r="R9" s="9" t="n">
        <v>2268977283.9856</v>
      </c>
      <c r="S9" s="9" t="n">
        <v>7916223216.629</v>
      </c>
      <c r="T9" s="9" t="n">
        <v>6404530376.8275</v>
      </c>
      <c r="U9" s="9" t="n">
        <v>5994458608.6737</v>
      </c>
      <c r="V9" s="9" t="n">
        <v>7944111297.3159</v>
      </c>
      <c r="W9" s="9" t="n">
        <v>1712287969.6769</v>
      </c>
      <c r="X9" s="9" t="n">
        <v>807778407.7217</v>
      </c>
      <c r="Y9" s="9" t="n">
        <v>359795096.3429</v>
      </c>
      <c r="Z9" s="9" t="n">
        <v>170981063.079</v>
      </c>
      <c r="AA9" s="9" t="n">
        <v>116738076.03</v>
      </c>
      <c r="AB9" s="9" t="n">
        <v>75093172.1998</v>
      </c>
      <c r="AC9" s="9" t="n">
        <v>73264816.5093</v>
      </c>
      <c r="AD9" s="9" t="n">
        <v>43458376.9399</v>
      </c>
      <c r="AE9" s="9" t="n">
        <v>38845236.0897</v>
      </c>
      <c r="AF9" s="9" t="n">
        <v>39343269.6616</v>
      </c>
      <c r="AG9" s="9" t="n">
        <v>22623644.6857</v>
      </c>
      <c r="AH9" s="9" t="n">
        <v>19046291.4674</v>
      </c>
      <c r="AI9" s="9" t="n">
        <v>19810437.2907</v>
      </c>
      <c r="AJ9" s="9" t="n">
        <v>17131920.0082</v>
      </c>
      <c r="AK9" s="9" t="n">
        <v>9055497.1334</v>
      </c>
      <c r="AL9" s="9"/>
      <c r="AM9" s="9"/>
    </row>
    <row r="10">
      <c r="A10" t="str">
        <f>M10</f>
      </c>
      <c r="M10" t="s">
        <v>92</v>
      </c>
      <c r="N10" s="9" t="n">
        <v>2202498474</v>
      </c>
      <c r="O10" s="9" t="n">
        <v>2575232743</v>
      </c>
      <c r="P10" s="9" t="n">
        <v>3239533144.1111</v>
      </c>
      <c r="Q10" s="9" t="n">
        <v>4857983384.9919</v>
      </c>
      <c r="R10" s="9" t="n">
        <v>4802594341.9691</v>
      </c>
      <c r="S10" s="9" t="n">
        <v>7114870673.0403</v>
      </c>
      <c r="T10" s="9" t="n">
        <v>9241534057.7949</v>
      </c>
      <c r="U10" s="9" t="n">
        <v>7101009301.0523</v>
      </c>
      <c r="V10" s="9" t="n">
        <v>9716408861.5842</v>
      </c>
      <c r="W10" s="9" t="n">
        <v>6692747335.2876</v>
      </c>
      <c r="X10" s="9" t="n">
        <v>6532579618.0269</v>
      </c>
      <c r="Y10" s="9" t="n">
        <v>6092005201.7781</v>
      </c>
      <c r="Z10" s="9" t="n">
        <v>4723367948.0541</v>
      </c>
      <c r="AA10" s="9" t="n">
        <v>4305239214.8198</v>
      </c>
      <c r="AB10" s="9" t="n">
        <v>3500893435.9963</v>
      </c>
      <c r="AC10" s="9" t="n">
        <v>3992114771.4397</v>
      </c>
      <c r="AD10" s="9" t="n">
        <v>4515561336.087</v>
      </c>
      <c r="AE10" s="9" t="n">
        <v>4994386075.8346</v>
      </c>
      <c r="AF10" s="9" t="n">
        <v>7058496564.1468</v>
      </c>
      <c r="AG10" s="9" t="n">
        <v>6783385996.925</v>
      </c>
      <c r="AH10" s="9" t="n">
        <v>7523523218.4488</v>
      </c>
      <c r="AI10" s="9" t="n">
        <v>7121238530.5632</v>
      </c>
      <c r="AJ10" s="9" t="n">
        <v>8261130437.3622</v>
      </c>
      <c r="AK10" s="9" t="n">
        <v>5860038077.0355</v>
      </c>
      <c r="AL10" s="9"/>
      <c r="AM10" s="9"/>
    </row>
    <row r="11">
      <c r="A11" t="str">
        <f>M11</f>
      </c>
      <c r="M11" t="s">
        <v>93</v>
      </c>
      <c r="N11" s="9" t="n">
        <v>117673547.09</v>
      </c>
      <c r="O11" s="9" t="n">
        <v>161486148</v>
      </c>
      <c r="P11" s="9" t="n">
        <v>146317213.52</v>
      </c>
      <c r="Q11" s="9" t="n">
        <v>332645335.7499</v>
      </c>
      <c r="R11" s="9" t="n">
        <v>471101295.6699</v>
      </c>
      <c r="S11" s="9" t="n">
        <v>606450692.25</v>
      </c>
      <c r="T11" s="9" t="n">
        <v>599949155.5232</v>
      </c>
      <c r="U11" s="9" t="n">
        <v>668779342.6216</v>
      </c>
      <c r="V11" s="9" t="n">
        <v>644094954.2139</v>
      </c>
      <c r="W11" s="9" t="n">
        <v>694023491.2576</v>
      </c>
      <c r="X11" s="9" t="n">
        <v>854837506.3556</v>
      </c>
      <c r="Y11" s="9" t="n">
        <v>1008959625.0685</v>
      </c>
      <c r="Z11" s="9" t="n">
        <v>860958713.1734</v>
      </c>
      <c r="AA11" s="9" t="n">
        <v>696698010.2743</v>
      </c>
      <c r="AB11" s="9" t="n">
        <v>853126048.6562</v>
      </c>
      <c r="AC11" s="9" t="n">
        <v>621487156.0248</v>
      </c>
      <c r="AD11" s="9" t="n">
        <v>853442889.6906</v>
      </c>
      <c r="AE11" s="9" t="n">
        <v>592948383.9025</v>
      </c>
      <c r="AF11" s="9" t="n">
        <v>862021219.9126</v>
      </c>
      <c r="AG11" s="9" t="n">
        <v>772100166.2336</v>
      </c>
      <c r="AH11" s="9" t="n">
        <v>754382193.4994</v>
      </c>
      <c r="AI11" s="9" t="n">
        <v>927735671.605</v>
      </c>
      <c r="AJ11" s="9" t="n">
        <v>665380484.7782</v>
      </c>
      <c r="AK11" s="9" t="n">
        <v>365945052.9712</v>
      </c>
      <c r="AL11" s="9"/>
      <c r="AM11" s="9"/>
    </row>
    <row r="12">
      <c r="A12" t="str">
        <f>M12</f>
      </c>
      <c r="M12" t="s">
        <v>124</v>
      </c>
      <c r="N12" s="9" t="str">
        <f>Sum(N2:N11)</f>
      </c>
      <c r="O12" s="9" t="str">
        <f>Sum(O2:O11)</f>
      </c>
      <c r="P12" s="9" t="str">
        <f>Sum(P2:P11)</f>
      </c>
      <c r="Q12" s="9" t="str">
        <f>Sum(Q2:Q11)</f>
      </c>
      <c r="R12" s="9" t="str">
        <f>Sum(R2:R11)</f>
      </c>
      <c r="S12" s="9" t="str">
        <f>Sum(S2:S11)</f>
      </c>
      <c r="T12" s="9" t="str">
        <f>Sum(T2:T11)</f>
      </c>
      <c r="U12" s="9" t="str">
        <f>Sum(U2:U11)</f>
      </c>
      <c r="V12" s="9" t="str">
        <f>Sum(V2:V11)</f>
      </c>
      <c r="W12" s="9" t="str">
        <f>Sum(W2:W11)</f>
      </c>
      <c r="X12" s="9" t="str">
        <f>Sum(X2:X11)</f>
      </c>
      <c r="Y12" s="9" t="str">
        <f>Sum(Y2:Y11)</f>
      </c>
      <c r="Z12" s="9" t="str">
        <f>Sum(Z2:Z11)</f>
      </c>
      <c r="AA12" s="9" t="str">
        <f>Sum(AA2:AA11)</f>
      </c>
      <c r="AB12" s="9" t="str">
        <f>Sum(AB2:AB11)</f>
      </c>
      <c r="AC12" s="9" t="str">
        <f>Sum(AC2:AC11)</f>
      </c>
      <c r="AD12" s="9" t="str">
        <f>Sum(AD2:AD11)</f>
      </c>
      <c r="AE12" s="9" t="str">
        <f>Sum(AE2:AE11)</f>
      </c>
      <c r="AF12" s="9" t="str">
        <f>Sum(AF2:AF11)</f>
      </c>
      <c r="AG12" s="9" t="str">
        <f>Sum(AG2:AG11)</f>
      </c>
      <c r="AH12" s="9" t="str">
        <f>Sum(AH2:AH11)</f>
      </c>
      <c r="AI12" s="9" t="str">
        <f>Sum(AI2:AI11)</f>
      </c>
      <c r="AJ12" s="9" t="str">
        <f>Sum(AJ2:AJ11)</f>
      </c>
      <c r="AK12" s="9" t="str">
        <f>Sum(AK2:AK11)</f>
      </c>
      <c r="AL12" s="9"/>
      <c r="AM12" s="9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83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84</v>
      </c>
      <c r="N16" s="9" t="n">
        <v>741778324.519284</v>
      </c>
      <c r="O16" s="9" t="n">
        <v>865105851.997233</v>
      </c>
      <c r="P16" s="9" t="n">
        <v>1293306325.72511</v>
      </c>
      <c r="Q16" s="9" t="n">
        <v>1858343931.93373</v>
      </c>
      <c r="R16" s="9" t="n">
        <v>1079705019.22426</v>
      </c>
      <c r="S16" s="9" t="n">
        <v>1777124605.15694</v>
      </c>
      <c r="T16" s="9" t="n">
        <v>1457864434.69814</v>
      </c>
      <c r="U16" s="9" t="n">
        <v>1793605206.90367</v>
      </c>
      <c r="V16" s="9" t="n">
        <v>1801983817.18133</v>
      </c>
      <c r="W16" s="9" t="n">
        <v>2333075309.96756</v>
      </c>
      <c r="X16" s="9" t="n">
        <v>2076266468.46336</v>
      </c>
      <c r="Y16" s="9" t="n">
        <v>1808911080.04838</v>
      </c>
      <c r="Z16" s="9" t="n">
        <v>1121469025.77074</v>
      </c>
      <c r="AA16" s="9" t="n">
        <v>702192681.344632</v>
      </c>
      <c r="AB16" s="9" t="n">
        <v>893529305.694044</v>
      </c>
      <c r="AC16" s="9" t="n">
        <v>808619122.944172</v>
      </c>
      <c r="AD16" s="9" t="n">
        <v>845284535.898296</v>
      </c>
      <c r="AE16" s="9" t="n">
        <v>1095226399.24002</v>
      </c>
      <c r="AF16" s="9" t="n">
        <v>1174407369.90606</v>
      </c>
      <c r="AG16" s="9" t="n">
        <v>1350352029.6672</v>
      </c>
      <c r="AH16" s="9" t="n">
        <v>1127509024.70195</v>
      </c>
      <c r="AI16" s="9" t="n">
        <v>996597999.514963</v>
      </c>
      <c r="AJ16" s="9" t="n">
        <v>741919247.7764</v>
      </c>
      <c r="AK16" s="9" t="n">
        <v>349732604.327714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85</v>
      </c>
      <c r="N17" s="9" t="n">
        <v>570186812.485657</v>
      </c>
      <c r="O17" s="9" t="n">
        <v>706888911.132018</v>
      </c>
      <c r="P17" s="9" t="n">
        <v>900354308.690602</v>
      </c>
      <c r="Q17" s="9" t="n">
        <v>1179206225.66224</v>
      </c>
      <c r="R17" s="9" t="n">
        <v>2111361835.66849</v>
      </c>
      <c r="S17" s="9" t="n">
        <v>3006325885.59233</v>
      </c>
      <c r="T17" s="9" t="n">
        <v>872105318.696959</v>
      </c>
      <c r="U17" s="9" t="n">
        <v>3854031742.56259</v>
      </c>
      <c r="V17" s="9" t="n">
        <v>2904793771.73321</v>
      </c>
      <c r="W17" s="9" t="n">
        <v>4071812934.06089</v>
      </c>
      <c r="X17" s="9" t="n">
        <v>4697643459.96995</v>
      </c>
      <c r="Y17" s="9" t="n">
        <v>3770206693.38199</v>
      </c>
      <c r="Z17" s="9" t="n">
        <v>4356713861.38245</v>
      </c>
      <c r="AA17" s="9" t="n">
        <v>3209004255.03162</v>
      </c>
      <c r="AB17" s="9" t="n">
        <v>2034994353.25464</v>
      </c>
      <c r="AC17" s="9" t="n">
        <v>1062810859.16664</v>
      </c>
      <c r="AD17" s="9" t="n">
        <v>1102701075.99917</v>
      </c>
      <c r="AE17" s="9" t="n">
        <v>1034327448.43303</v>
      </c>
      <c r="AF17" s="9" t="n">
        <v>147719302.693251</v>
      </c>
      <c r="AG17" s="9" t="n">
        <v>133233871.794849</v>
      </c>
      <c r="AH17" s="9" t="n">
        <v>133277665.535079</v>
      </c>
      <c r="AI17" s="9" t="n">
        <v>142180221.233914</v>
      </c>
      <c r="AJ17" s="9" t="n">
        <v>157429127.7033</v>
      </c>
      <c r="AK17" s="9" t="n">
        <v>118488415.605157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86</v>
      </c>
      <c r="N18" s="9" t="n">
        <v>1190401414.72031</v>
      </c>
      <c r="O18" s="9" t="n">
        <v>1340452114.85482</v>
      </c>
      <c r="P18" s="9" t="n">
        <v>1939775765.7404</v>
      </c>
      <c r="Q18" s="9" t="n">
        <v>2421236516.11839</v>
      </c>
      <c r="R18" s="9" t="n">
        <v>2687483349.34233</v>
      </c>
      <c r="S18" s="9" t="n">
        <v>3884178809.14015</v>
      </c>
      <c r="T18" s="9" t="n">
        <v>4027884025.33742</v>
      </c>
      <c r="U18" s="9" t="n">
        <v>4263630689.5638</v>
      </c>
      <c r="V18" s="9" t="n">
        <v>2649581178.90518</v>
      </c>
      <c r="W18" s="9" t="n">
        <v>2568957667.34676</v>
      </c>
      <c r="X18" s="9" t="n">
        <v>2752932199.07269</v>
      </c>
      <c r="Y18" s="9" t="n">
        <v>3728637582.89363</v>
      </c>
      <c r="Z18" s="9" t="n">
        <v>3094556497.11052</v>
      </c>
      <c r="AA18" s="9" t="n">
        <v>3594622657.4657</v>
      </c>
      <c r="AB18" s="9" t="n">
        <v>4695678299.14356</v>
      </c>
      <c r="AC18" s="9" t="n">
        <v>5438512354.95848</v>
      </c>
      <c r="AD18" s="9" t="n">
        <v>6023796960.39335</v>
      </c>
      <c r="AE18" s="9" t="n">
        <v>6119488239.48471</v>
      </c>
      <c r="AF18" s="9" t="n">
        <v>5872300905.30561</v>
      </c>
      <c r="AG18" s="9" t="n">
        <v>5922787259.74802</v>
      </c>
      <c r="AH18" s="9" t="n">
        <v>7615024873.29164</v>
      </c>
      <c r="AI18" s="9" t="n">
        <v>37814096765.218</v>
      </c>
      <c r="AJ18" s="9" t="n">
        <v>29068842595.8633</v>
      </c>
      <c r="AK18" s="9" t="n">
        <v>4724492238.48457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87</v>
      </c>
      <c r="N19" s="9" t="n">
        <v>706219702.738955</v>
      </c>
      <c r="O19" s="9" t="n">
        <v>785343895.884691</v>
      </c>
      <c r="P19" s="9" t="n">
        <v>1281748591.76708</v>
      </c>
      <c r="Q19" s="9" t="n">
        <v>1463307700.84869</v>
      </c>
      <c r="R19" s="9" t="n">
        <v>1203130393.70543</v>
      </c>
      <c r="S19" s="9" t="n">
        <v>2514510368.54855</v>
      </c>
      <c r="T19" s="9" t="n">
        <v>3908348064.81333</v>
      </c>
      <c r="U19" s="9" t="n">
        <v>1571684786.8176</v>
      </c>
      <c r="V19" s="9" t="n">
        <v>1213230305.98173</v>
      </c>
      <c r="W19" s="9" t="n">
        <v>2645412920.95073</v>
      </c>
      <c r="X19" s="9" t="n">
        <v>1393104201.98896</v>
      </c>
      <c r="Y19" s="9" t="n">
        <v>5062142670.60092</v>
      </c>
      <c r="Z19" s="9" t="n">
        <v>4473871757.89488</v>
      </c>
      <c r="AA19" s="9" t="n">
        <v>2426682162.68504</v>
      </c>
      <c r="AB19" s="9" t="n">
        <v>3556363040.87975</v>
      </c>
      <c r="AC19" s="9" t="n">
        <v>2050130674.91857</v>
      </c>
      <c r="AD19" s="9" t="n">
        <v>1177520049.15067</v>
      </c>
      <c r="AE19" s="9" t="n">
        <v>1666820738.04804</v>
      </c>
      <c r="AF19" s="9" t="n">
        <v>1940332345.52405</v>
      </c>
      <c r="AG19" s="9" t="n">
        <v>1879888280.71452</v>
      </c>
      <c r="AH19" s="9" t="n">
        <v>1355857370.60167</v>
      </c>
      <c r="AI19" s="9" t="n">
        <v>1423904681.80238</v>
      </c>
      <c r="AJ19" s="9" t="n">
        <v>2375656105.9127</v>
      </c>
      <c r="AK19" s="9" t="n">
        <v>1044014643.49503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88</v>
      </c>
      <c r="N20" s="9" t="n">
        <v>50303253.9494461</v>
      </c>
      <c r="O20" s="9" t="n">
        <v>62581835.57032</v>
      </c>
      <c r="P20" s="9" t="n">
        <v>68656282.8113049</v>
      </c>
      <c r="Q20" s="9" t="n">
        <v>142760652.760654</v>
      </c>
      <c r="R20" s="9" t="n">
        <v>252691753.490761</v>
      </c>
      <c r="S20" s="9" t="n">
        <v>260558480.118333</v>
      </c>
      <c r="T20" s="9" t="n">
        <v>388648040.241255</v>
      </c>
      <c r="U20" s="9" t="n">
        <v>248037826.20592</v>
      </c>
      <c r="V20" s="9" t="n">
        <v>258468051.023274</v>
      </c>
      <c r="W20" s="9" t="n">
        <v>264906673.921042</v>
      </c>
      <c r="X20" s="9" t="n">
        <v>324298392.735499</v>
      </c>
      <c r="Y20" s="9" t="n">
        <v>307741916.297917</v>
      </c>
      <c r="Z20" s="9" t="n">
        <v>251210771.197385</v>
      </c>
      <c r="AA20" s="9" t="n">
        <v>229767364.254395</v>
      </c>
      <c r="AB20" s="9" t="n">
        <v>250024076.3393</v>
      </c>
      <c r="AC20" s="9" t="n">
        <v>313632465.408196</v>
      </c>
      <c r="AD20" s="9" t="n">
        <v>338679465.456033</v>
      </c>
      <c r="AE20" s="9" t="n">
        <v>314250045.910397</v>
      </c>
      <c r="AF20" s="9" t="n">
        <v>341431051.920113</v>
      </c>
      <c r="AG20" s="9" t="n">
        <v>403981903.674873</v>
      </c>
      <c r="AH20" s="9" t="n">
        <v>305933750.884602</v>
      </c>
      <c r="AI20" s="9" t="n">
        <v>255125499.845864</v>
      </c>
      <c r="AJ20" s="9" t="n">
        <v>264713957.6649</v>
      </c>
      <c r="AK20" s="9" t="n">
        <v>181280329.359533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89</v>
      </c>
      <c r="N21" s="9" t="n">
        <v>4841052557.96969</v>
      </c>
      <c r="O21" s="9" t="n">
        <v>5612790696.06759</v>
      </c>
      <c r="P21" s="9" t="n">
        <v>6896406338.74253</v>
      </c>
      <c r="Q21" s="9" t="n">
        <v>6950876826.08649</v>
      </c>
      <c r="R21" s="9" t="n">
        <v>8340106192.71024</v>
      </c>
      <c r="S21" s="9" t="n">
        <v>11119290517.0372</v>
      </c>
      <c r="T21" s="9" t="n">
        <v>14181436302.7314</v>
      </c>
      <c r="U21" s="9" t="n">
        <v>15097057535.0484</v>
      </c>
      <c r="V21" s="9" t="n">
        <v>17826717400.1256</v>
      </c>
      <c r="W21" s="9" t="n">
        <v>21966365884.2072</v>
      </c>
      <c r="X21" s="9" t="n">
        <v>14640998625.8871</v>
      </c>
      <c r="Y21" s="9" t="n">
        <v>12764785415.811</v>
      </c>
      <c r="Z21" s="9" t="n">
        <v>22722507074.8179</v>
      </c>
      <c r="AA21" s="9" t="n">
        <v>15107963701.2296</v>
      </c>
      <c r="AB21" s="9" t="n">
        <v>11446926914.1096</v>
      </c>
      <c r="AC21" s="9" t="n">
        <v>8596036200.61326</v>
      </c>
      <c r="AD21" s="9" t="n">
        <v>5726886950.29485</v>
      </c>
      <c r="AE21" s="9" t="n">
        <v>7056072541.64158</v>
      </c>
      <c r="AF21" s="9" t="n">
        <v>8885635335.00381</v>
      </c>
      <c r="AG21" s="9" t="n">
        <v>6537768910.96035</v>
      </c>
      <c r="AH21" s="9" t="n">
        <v>5171539405.18626</v>
      </c>
      <c r="AI21" s="9" t="n">
        <v>5904519796.21451</v>
      </c>
      <c r="AJ21" s="9" t="n">
        <v>11285455838.6019</v>
      </c>
      <c r="AK21" s="9" t="n">
        <v>5285629802.95349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90</v>
      </c>
      <c r="N22" s="9" t="n">
        <v>167234799.361147</v>
      </c>
      <c r="O22" s="9" t="n">
        <v>159026887.037783</v>
      </c>
      <c r="P22" s="9" t="n">
        <v>174404317.84386</v>
      </c>
      <c r="Q22" s="9" t="n">
        <v>303066776.751796</v>
      </c>
      <c r="R22" s="9" t="n">
        <v>351500853.927819</v>
      </c>
      <c r="S22" s="9" t="n">
        <v>754416644.496389</v>
      </c>
      <c r="T22" s="9" t="n">
        <v>853020918.787628</v>
      </c>
      <c r="U22" s="9" t="n">
        <v>1106100874.67911</v>
      </c>
      <c r="V22" s="9" t="n">
        <v>1065984801.31729</v>
      </c>
      <c r="W22" s="9" t="n">
        <v>1145201918.90044</v>
      </c>
      <c r="X22" s="9" t="n">
        <v>1491175718.63738</v>
      </c>
      <c r="Y22" s="9" t="n">
        <v>1470496369.28691</v>
      </c>
      <c r="Z22" s="9" t="n">
        <v>1258130110.26534</v>
      </c>
      <c r="AA22" s="9" t="n">
        <v>1126937931.34993</v>
      </c>
      <c r="AB22" s="9" t="n">
        <v>1190817952.937</v>
      </c>
      <c r="AC22" s="9" t="n">
        <v>1379901088.54796</v>
      </c>
      <c r="AD22" s="9" t="n">
        <v>1432000465.72628</v>
      </c>
      <c r="AE22" s="9" t="n">
        <v>1355419337.41812</v>
      </c>
      <c r="AF22" s="9" t="n">
        <v>1534310968.98614</v>
      </c>
      <c r="AG22" s="9" t="n">
        <v>1282262575.29213</v>
      </c>
      <c r="AH22" s="9" t="n">
        <v>3314644017.55067</v>
      </c>
      <c r="AI22" s="9" t="n">
        <v>2043468965.50625</v>
      </c>
      <c r="AJ22" s="9" t="n">
        <v>5673187536.0425</v>
      </c>
      <c r="AK22" s="9" t="n">
        <v>421041039.183021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91</v>
      </c>
      <c r="N23" s="9" t="n">
        <v>1938732545.73279</v>
      </c>
      <c r="O23" s="9" t="n">
        <v>2280346383.62924</v>
      </c>
      <c r="P23" s="9" t="n">
        <v>2984414059.78431</v>
      </c>
      <c r="Q23" s="9" t="n">
        <v>1456809216.58325</v>
      </c>
      <c r="R23" s="9" t="n">
        <v>3375056807.18601</v>
      </c>
      <c r="S23" s="9" t="n">
        <v>11428292901.4648</v>
      </c>
      <c r="T23" s="9" t="n">
        <v>8954396690.79323</v>
      </c>
      <c r="U23" s="9" t="n">
        <v>8157360844.29321</v>
      </c>
      <c r="V23" s="9" t="n">
        <v>10589625651.0816</v>
      </c>
      <c r="W23" s="9" t="n">
        <v>2259545469.4967</v>
      </c>
      <c r="X23" s="9" t="n">
        <v>1056758101.43816</v>
      </c>
      <c r="Y23" s="9" t="n">
        <v>461395075.98504</v>
      </c>
      <c r="Z23" s="9" t="n">
        <v>215316452.694302</v>
      </c>
      <c r="AA23" s="9" t="n">
        <v>144366354.786629</v>
      </c>
      <c r="AB23" s="9" t="n">
        <v>91102920.781113</v>
      </c>
      <c r="AC23" s="9" t="n">
        <v>87877305.9143186</v>
      </c>
      <c r="AD23" s="9" t="n">
        <v>51697651.7196694</v>
      </c>
      <c r="AE23" s="9" t="n">
        <v>45399355.7607024</v>
      </c>
      <c r="AF23" s="9" t="n">
        <v>44926531.9910634</v>
      </c>
      <c r="AG23" s="9" t="n">
        <v>25337918.674565</v>
      </c>
      <c r="AH23" s="9" t="n">
        <v>21050548.4096771</v>
      </c>
      <c r="AI23" s="9" t="n">
        <v>21183054.8449712</v>
      </c>
      <c r="AJ23" s="9" t="n">
        <v>17131920.0082</v>
      </c>
      <c r="AK23" s="9" t="n">
        <v>8637118.4908181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92</v>
      </c>
      <c r="N24" s="9" t="n">
        <v>3558642969.01254</v>
      </c>
      <c r="O24" s="9" t="n">
        <v>4062370781.74883</v>
      </c>
      <c r="P24" s="9" t="n">
        <v>5030884311.70738</v>
      </c>
      <c r="Q24" s="9" t="n">
        <v>7402781316.11805</v>
      </c>
      <c r="R24" s="9" t="n">
        <v>7143759807.74196</v>
      </c>
      <c r="S24" s="9" t="n">
        <v>10271416530.6434</v>
      </c>
      <c r="T24" s="9" t="n">
        <v>12920910217.6143</v>
      </c>
      <c r="U24" s="9" t="n">
        <v>9663173775.78526</v>
      </c>
      <c r="V24" s="9" t="n">
        <v>12952126256.3118</v>
      </c>
      <c r="W24" s="9" t="n">
        <v>8831789504.88611</v>
      </c>
      <c r="X24" s="9" t="n">
        <v>8546101713.84791</v>
      </c>
      <c r="Y24" s="9" t="n">
        <v>7812283245.50825</v>
      </c>
      <c r="Z24" s="9" t="n">
        <v>5948137255.84962</v>
      </c>
      <c r="AA24" s="9" t="n">
        <v>5324155691.65504</v>
      </c>
      <c r="AB24" s="9" t="n">
        <v>4247278521.06291</v>
      </c>
      <c r="AC24" s="9" t="n">
        <v>4788332350.08983</v>
      </c>
      <c r="AD24" s="9" t="n">
        <v>5371666723.64843</v>
      </c>
      <c r="AE24" s="9" t="n">
        <v>5837058365.13721</v>
      </c>
      <c r="AF24" s="9" t="n">
        <v>8060178384.39755</v>
      </c>
      <c r="AG24" s="9" t="n">
        <v>7597223396.85211</v>
      </c>
      <c r="AH24" s="9" t="n">
        <v>8315229764.93153</v>
      </c>
      <c r="AI24" s="9" t="n">
        <v>7614652021.22815</v>
      </c>
      <c r="AJ24" s="9" t="n">
        <v>8261130437.3622</v>
      </c>
      <c r="AK24" s="9" t="n">
        <v>5589294821.30573</v>
      </c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 t="s">
        <v>93</v>
      </c>
      <c r="N25" s="9" t="n">
        <v>190128686.096241</v>
      </c>
      <c r="O25" s="9" t="n">
        <v>254740706.864478</v>
      </c>
      <c r="P25" s="9" t="n">
        <v>227225634.461748</v>
      </c>
      <c r="Q25" s="9" t="n">
        <v>506897714.79885</v>
      </c>
      <c r="R25" s="9" t="n">
        <v>700753439.026028</v>
      </c>
      <c r="S25" s="9" t="n">
        <v>875505395.90272</v>
      </c>
      <c r="T25" s="9" t="n">
        <v>838809782.571795</v>
      </c>
      <c r="U25" s="9" t="n">
        <v>910086261.181248</v>
      </c>
      <c r="V25" s="9" t="n">
        <v>858588732.408656</v>
      </c>
      <c r="W25" s="9" t="n">
        <v>915837559.54981</v>
      </c>
      <c r="X25" s="9" t="n">
        <v>1118322118.5651</v>
      </c>
      <c r="Y25" s="9" t="n">
        <v>1293872561.37212</v>
      </c>
      <c r="Z25" s="9" t="n">
        <v>1084205307.2924</v>
      </c>
      <c r="AA25" s="9" t="n">
        <v>861584802.070496</v>
      </c>
      <c r="AB25" s="9" t="n">
        <v>1035011207.41356</v>
      </c>
      <c r="AC25" s="9" t="n">
        <v>745441257.262667</v>
      </c>
      <c r="AD25" s="9" t="n">
        <v>1015247148.66524</v>
      </c>
      <c r="AE25" s="9" t="n">
        <v>692992946.84068</v>
      </c>
      <c r="AF25" s="9" t="n">
        <v>984351942.441074</v>
      </c>
      <c r="AG25" s="9" t="n">
        <v>864732959.36312</v>
      </c>
      <c r="AH25" s="9" t="n">
        <v>833766453.214175</v>
      </c>
      <c r="AI25" s="9" t="n">
        <v>992016245.015986</v>
      </c>
      <c r="AJ25" s="9" t="n">
        <v>665380484.7782</v>
      </c>
      <c r="AK25" s="9" t="n">
        <v>349037798.486303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9" t="str">
        <f>Sum(N16:N25)</f>
      </c>
      <c r="O26" s="9" t="str">
        <f>Sum(O16:O25)</f>
      </c>
      <c r="P26" s="9" t="str">
        <f>Sum(P16:P25)</f>
      </c>
      <c r="Q26" s="9" t="str">
        <f>Sum(Q16:Q25)</f>
      </c>
      <c r="R26" s="9" t="str">
        <f>Sum(R16:R25)</f>
      </c>
      <c r="S26" s="9" t="str">
        <f>Sum(S16:S25)</f>
      </c>
      <c r="T26" s="9" t="str">
        <f>Sum(T16:T25)</f>
      </c>
      <c r="U26" s="9" t="str">
        <f>Sum(U16:U25)</f>
      </c>
      <c r="V26" s="9" t="str">
        <f>Sum(V16:V25)</f>
      </c>
      <c r="W26" s="9" t="str">
        <f>Sum(W16:W25)</f>
      </c>
      <c r="X26" s="9" t="str">
        <f>Sum(X16:X25)</f>
      </c>
      <c r="Y26" s="9" t="str">
        <f>Sum(Y16:Y25)</f>
      </c>
      <c r="Z26" s="9" t="str">
        <f>Sum(Z16:Z25)</f>
      </c>
      <c r="AA26" s="9" t="str">
        <f>Sum(AA16:AA25)</f>
      </c>
      <c r="AB26" s="9" t="str">
        <f>Sum(AB16:AB25)</f>
      </c>
      <c r="AC26" s="9" t="str">
        <f>Sum(AC16:AC25)</f>
      </c>
      <c r="AD26" s="9" t="str">
        <f>Sum(AD16:AD25)</f>
      </c>
      <c r="AE26" s="9" t="str">
        <f>Sum(AE16:AE25)</f>
      </c>
      <c r="AF26" s="9" t="str">
        <f>Sum(AF16:AF25)</f>
      </c>
      <c r="AG26" s="9" t="str">
        <f>Sum(AG16:AG25)</f>
      </c>
      <c r="AH26" s="9" t="str">
        <f>Sum(AH16:AH25)</f>
      </c>
      <c r="AI26" s="9" t="str">
        <f>Sum(AI16:AI25)</f>
      </c>
      <c r="AJ26" s="9" t="str">
        <f>Sum(AJ16:AJ25)</f>
      </c>
      <c r="AK26" s="9" t="str">
        <f>Sum(AK16:AK25)</f>
      </c>
      <c r="AL26" s="9"/>
      <c r="AM26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71</v>
      </c>
      <c r="N2" t="n">
        <v>2190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 t="n">
        <v>13983.3803832674</v>
      </c>
      <c r="AJ2" s="10" t="n">
        <v>0</v>
      </c>
      <c r="AK2" s="10" t="n">
        <v>111074.8516</v>
      </c>
      <c r="AL2" s="10"/>
      <c r="AM2" s="10"/>
    </row>
    <row r="3">
      <c r="M3" t="s">
        <v>81</v>
      </c>
      <c r="N3" t="n">
        <v>2040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708609.729566217</v>
      </c>
      <c r="AM3" s="10"/>
    </row>
    <row r="4">
      <c r="M4" t="s">
        <v>96</v>
      </c>
      <c r="N4" t="n">
        <v>1757</v>
      </c>
      <c r="O4" s="10"/>
      <c r="P4" s="10"/>
      <c r="Q4" s="10"/>
      <c r="R4" s="10" t="n">
        <v>799329.398977802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97</v>
      </c>
      <c r="N5" t="n">
        <v>487</v>
      </c>
      <c r="O5" s="10" t="n">
        <v>55298.3609533499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98</v>
      </c>
      <c r="N6" t="n">
        <v>1856</v>
      </c>
      <c r="O6" s="10"/>
      <c r="P6" s="10"/>
      <c r="Q6" s="10"/>
      <c r="R6" s="10"/>
      <c r="S6" s="10"/>
      <c r="T6" s="10"/>
      <c r="U6" s="10"/>
      <c r="V6" s="10" t="n">
        <v>4327865.4329112</v>
      </c>
      <c r="W6" s="10"/>
      <c r="X6" s="10" t="n">
        <v>3901248.853076</v>
      </c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99</v>
      </c>
      <c r="N7" t="n">
        <v>2058</v>
      </c>
      <c r="O7" s="10"/>
      <c r="P7" s="10"/>
      <c r="Q7" s="10"/>
      <c r="R7" s="10"/>
      <c r="S7" s="10"/>
      <c r="T7" s="10"/>
      <c r="U7" s="10"/>
      <c r="V7" s="10"/>
      <c r="W7" s="10" t="n">
        <v>77802.7985282455</v>
      </c>
      <c r="X7" s="10"/>
      <c r="Y7" s="10"/>
      <c r="Z7" s="10"/>
      <c r="AA7" s="10" t="n">
        <v>1707799.69467415</v>
      </c>
      <c r="AB7" s="10" t="n">
        <v>-1677108.60673748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100</v>
      </c>
      <c r="N8" t="n">
        <v>1962</v>
      </c>
      <c r="O8" s="10"/>
      <c r="P8" s="10"/>
      <c r="Q8" s="10"/>
      <c r="R8" s="10"/>
      <c r="S8" s="10"/>
      <c r="T8" s="10"/>
      <c r="U8" s="10"/>
      <c r="V8" s="10" t="n">
        <v>9174.62783588944</v>
      </c>
      <c r="W8" s="10"/>
      <c r="X8" s="10"/>
      <c r="Y8" s="10"/>
      <c r="Z8" s="10"/>
      <c r="AA8" s="10" t="n">
        <v>23975.9503369154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101</v>
      </c>
      <c r="N9" t="n">
        <v>717</v>
      </c>
      <c r="O9" s="10"/>
      <c r="P9" s="10"/>
      <c r="Q9" s="10"/>
      <c r="R9" s="10" t="n">
        <v>6205788.95455901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102</v>
      </c>
      <c r="N10" t="n">
        <v>1344</v>
      </c>
      <c r="O10" s="10"/>
      <c r="P10" s="10"/>
      <c r="Q10" s="10"/>
      <c r="R10" s="10"/>
      <c r="S10" s="10" t="n">
        <v>93339.3278750279</v>
      </c>
      <c r="T10" s="10" t="n">
        <v>546649.960059199</v>
      </c>
      <c r="U10" s="10" t="n">
        <v>67602.6130440033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103</v>
      </c>
      <c r="N11" t="n">
        <v>590</v>
      </c>
      <c r="O11" s="10" t="n">
        <v>290042.932694163</v>
      </c>
      <c r="P11" s="10"/>
      <c r="Q11" s="10" t="n">
        <v>9038.26119123441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1958</v>
      </c>
      <c r="O12" s="10"/>
      <c r="P12" s="10"/>
      <c r="Q12" s="10"/>
      <c r="R12" s="10"/>
      <c r="S12" s="10" t="n">
        <v>5246.33959227448</v>
      </c>
      <c r="T12" s="10"/>
      <c r="U12" s="10" t="n">
        <v>133742.777104634</v>
      </c>
      <c r="V12" s="10" t="n">
        <v>57131.1777564738</v>
      </c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1994</v>
      </c>
      <c r="O13" s="10"/>
      <c r="P13" s="10"/>
      <c r="Q13" s="10"/>
      <c r="R13" s="10"/>
      <c r="S13" s="10"/>
      <c r="T13" s="10"/>
      <c r="U13" s="10"/>
      <c r="V13" s="10"/>
      <c r="W13" s="10" t="n">
        <v>33099.4350544525</v>
      </c>
      <c r="X13" s="10" t="n">
        <v>2782.5213324569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2101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 t="n">
        <v>38624.2795784285</v>
      </c>
      <c r="AG14" s="10"/>
      <c r="AH14" s="10"/>
      <c r="AI14" s="10"/>
      <c r="AJ14" s="10" t="n">
        <v>763840.915300943</v>
      </c>
      <c r="AK14" s="10"/>
      <c r="AL14" s="10"/>
      <c r="AM14" s="10"/>
    </row>
    <row r="15">
      <c r="M15" t="s">
        <v>107</v>
      </c>
      <c r="N15" t="n">
        <v>607</v>
      </c>
      <c r="O15" s="10" t="n">
        <v>361033.263890872</v>
      </c>
      <c r="P15" s="10" t="n">
        <v>2384044.35633512</v>
      </c>
      <c r="Q15" s="10" t="n">
        <v>1634710.85632622</v>
      </c>
      <c r="R15" s="10" t="n">
        <v>511892.34523462</v>
      </c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108</v>
      </c>
      <c r="N16" t="n">
        <v>1968</v>
      </c>
      <c r="O16" s="10"/>
      <c r="P16" s="10"/>
      <c r="Q16" s="10"/>
      <c r="R16" s="10"/>
      <c r="S16" s="10" t="n">
        <v>348555.081173606</v>
      </c>
      <c r="T16" s="10"/>
      <c r="U16" s="10"/>
      <c r="V16" s="10"/>
      <c r="W16" s="10"/>
      <c r="X16" s="10" t="n">
        <v>-12855.9315021982</v>
      </c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109</v>
      </c>
      <c r="N17" t="n">
        <v>1959</v>
      </c>
      <c r="O17" s="10"/>
      <c r="P17" s="10"/>
      <c r="Q17" s="10"/>
      <c r="R17" s="10"/>
      <c r="S17" s="10" t="n">
        <v>2457781.43201866</v>
      </c>
      <c r="T17" s="10" t="n">
        <v>1901963.10375731</v>
      </c>
      <c r="U17" s="10" t="n">
        <v>3910686.45097292</v>
      </c>
      <c r="V17" s="10"/>
      <c r="W17" s="10" t="n">
        <v>6725.06456798476</v>
      </c>
      <c r="X17" s="10"/>
      <c r="Y17" s="10" t="n">
        <v>-1877.30677258486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110</v>
      </c>
      <c r="N18" t="n">
        <v>1970</v>
      </c>
      <c r="O18" s="10"/>
      <c r="P18" s="10"/>
      <c r="Q18" s="10"/>
      <c r="R18" s="10"/>
      <c r="S18" s="10"/>
      <c r="T18" s="10"/>
      <c r="U18" s="10" t="n">
        <v>17476.6847917365</v>
      </c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111</v>
      </c>
      <c r="N19" t="n">
        <v>2251</v>
      </c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 t="n">
        <v>124587.149879475</v>
      </c>
      <c r="AI19" s="10"/>
      <c r="AJ19" s="10"/>
      <c r="AK19" s="10"/>
      <c r="AL19" s="10"/>
      <c r="AM19" s="10"/>
    </row>
    <row r="20">
      <c r="M20" t="s">
        <v>72</v>
      </c>
      <c r="N20" t="n">
        <v>2237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 t="n">
        <v>83598.9169109284</v>
      </c>
      <c r="AJ20" s="10" t="n">
        <v>794088.789125212</v>
      </c>
      <c r="AK20" s="10" t="n">
        <v>356810.3301</v>
      </c>
      <c r="AL20" s="10"/>
      <c r="AM20" s="10"/>
    </row>
    <row r="21">
      <c r="M21" t="s">
        <v>112</v>
      </c>
      <c r="N21" t="n">
        <v>2238</v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 t="n">
        <v>6140.66245727424</v>
      </c>
      <c r="AJ21" s="10"/>
      <c r="AK21" s="10"/>
      <c r="AL21" s="10"/>
      <c r="AM21" s="10"/>
    </row>
    <row r="22">
      <c r="M22" t="s">
        <v>113</v>
      </c>
      <c r="N22" t="n">
        <v>1973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 t="n">
        <v>11283.4640512505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114</v>
      </c>
      <c r="N23" t="n">
        <v>763</v>
      </c>
      <c r="O23" s="10"/>
      <c r="P23" s="10" t="n">
        <v>528019.45814266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115</v>
      </c>
      <c r="N24" t="n">
        <v>1777</v>
      </c>
      <c r="O24" s="10"/>
      <c r="P24" s="10"/>
      <c r="Q24" s="10"/>
      <c r="R24" s="10" t="n">
        <v>532444.352867856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116</v>
      </c>
      <c r="N25" t="n">
        <v>1778</v>
      </c>
      <c r="O25" s="10" t="n">
        <v>70313.3403058548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73</v>
      </c>
      <c r="N26" t="n">
        <v>1805</v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 t="n">
        <v>479574.195213963</v>
      </c>
      <c r="AJ26" s="10"/>
      <c r="AK26" s="10"/>
      <c r="AL26" s="10"/>
      <c r="AM26" s="10"/>
    </row>
    <row r="27">
      <c r="M27" t="s">
        <v>74</v>
      </c>
      <c r="N27" t="n">
        <v>2243</v>
      </c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 t="n">
        <v>19111.9168823449</v>
      </c>
      <c r="AJ27" s="10"/>
      <c r="AK27" s="10"/>
      <c r="AL27" s="10"/>
      <c r="AM27" s="10"/>
    </row>
    <row r="28">
      <c r="M28" t="s">
        <v>117</v>
      </c>
      <c r="N28" t="n">
        <v>1965</v>
      </c>
      <c r="O28" s="10"/>
      <c r="P28" s="10"/>
      <c r="Q28" s="10"/>
      <c r="R28" s="10"/>
      <c r="S28" s="10"/>
      <c r="T28" s="10"/>
      <c r="U28" s="10" t="n">
        <v>10775.424775193</v>
      </c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76</v>
      </c>
      <c r="N29" t="n">
        <v>2258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 t="n">
        <v>20077903.8745695</v>
      </c>
      <c r="AJ29" s="10"/>
      <c r="AK29" s="10"/>
      <c r="AL29" s="10"/>
      <c r="AM29" s="10"/>
    </row>
    <row r="30">
      <c r="M30" t="s">
        <v>118</v>
      </c>
      <c r="N30" t="n">
        <v>1979</v>
      </c>
      <c r="O30" s="10"/>
      <c r="P30" s="10"/>
      <c r="Q30" s="10"/>
      <c r="R30" s="10"/>
      <c r="S30" s="10"/>
      <c r="T30" s="10"/>
      <c r="U30" s="10" t="n">
        <v>740631.142508558</v>
      </c>
      <c r="V30" s="10" t="n">
        <v>277184.803306485</v>
      </c>
      <c r="W30" s="10"/>
      <c r="X30" s="10"/>
      <c r="Y30" s="10" t="n">
        <v>11946.4212670092</v>
      </c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154</v>
      </c>
      <c r="O31" s="10" t="n">
        <v>234280.85721653</v>
      </c>
      <c r="P31" s="10" t="n">
        <v>350993.396037082</v>
      </c>
      <c r="Q31" s="10" t="n">
        <v>723492.619802389</v>
      </c>
      <c r="R31" s="10" t="n">
        <v>39194.6458318712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583</v>
      </c>
      <c r="O32" s="10" t="n">
        <v>489945.901641755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82</v>
      </c>
      <c r="N33" t="n">
        <v>2233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 t="n">
        <v>1361261.04713009</v>
      </c>
      <c r="AM33" s="10"/>
    </row>
    <row r="34">
      <c r="M34" t="s">
        <v>77</v>
      </c>
      <c r="N34" t="n">
        <v>601</v>
      </c>
      <c r="O34" s="10" t="n">
        <v>768395.971228824</v>
      </c>
      <c r="P34" s="10" t="n">
        <v>367473.29971658</v>
      </c>
      <c r="Q34" s="10" t="n">
        <v>10552441.7097882</v>
      </c>
      <c r="R34" s="10" t="n">
        <v>14446901.725191</v>
      </c>
      <c r="S34" s="10" t="n">
        <v>711833.232742544</v>
      </c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121</v>
      </c>
      <c r="N35" t="n">
        <v>1961</v>
      </c>
      <c r="O35" s="10"/>
      <c r="P35" s="10"/>
      <c r="Q35" s="10"/>
      <c r="R35" s="10"/>
      <c r="S35" s="10"/>
      <c r="T35" s="10" t="n">
        <v>3733.29107005308</v>
      </c>
      <c r="U35" s="10"/>
      <c r="V35" s="10"/>
      <c r="W35" s="10" t="n">
        <v>43502.9697078658</v>
      </c>
      <c r="X35" s="10" t="n">
        <v>64600.7309775302</v>
      </c>
      <c r="Y35" s="10" t="n">
        <v>403818.22258565</v>
      </c>
      <c r="Z35" s="10" t="n">
        <v>103227.58987391</v>
      </c>
      <c r="AA35" s="10" t="n">
        <v>47716.1239497558</v>
      </c>
      <c r="AB35" s="10" t="n">
        <v>10945.9424433318</v>
      </c>
      <c r="AC35" s="10" t="n">
        <v>22051.2771673806</v>
      </c>
      <c r="AD35" s="10" t="n">
        <v>-5359.89841657856</v>
      </c>
      <c r="AE35" s="10" t="n">
        <v>-7034.75945414301</v>
      </c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78</v>
      </c>
      <c r="N36" t="n">
        <v>2202</v>
      </c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 t="n">
        <v>58133.6068581317</v>
      </c>
      <c r="AI36" s="10" t="n">
        <v>154466.397243959</v>
      </c>
      <c r="AJ36" s="10" t="n">
        <v>168306.030400514</v>
      </c>
      <c r="AK36" s="10" t="n">
        <v>46356.5</v>
      </c>
      <c r="AL36" s="10"/>
      <c r="AM36" s="10"/>
    </row>
    <row r="37">
      <c r="M37" t="s">
        <v>122</v>
      </c>
      <c r="N37" t="n">
        <v>1952</v>
      </c>
      <c r="O37" s="10"/>
      <c r="P37" s="10"/>
      <c r="Q37" s="10"/>
      <c r="R37" s="10"/>
      <c r="S37" s="10"/>
      <c r="T37" s="10"/>
      <c r="U37" s="10"/>
      <c r="V37" s="10"/>
      <c r="W37" s="10" t="n">
        <v>382878.121044313</v>
      </c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79</v>
      </c>
      <c r="N38" t="n">
        <v>482</v>
      </c>
      <c r="O38" s="10" t="n">
        <v>7028425.71649589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>
      <c r="M39" t="s">
        <v>80</v>
      </c>
      <c r="N39" t="n">
        <v>604</v>
      </c>
      <c r="O39" s="10" t="n">
        <v>498775.866363743</v>
      </c>
      <c r="P39" s="10" t="n">
        <v>2115576.67686672</v>
      </c>
      <c r="Q39" s="10" t="n">
        <v>46689806.1786352</v>
      </c>
      <c r="R39" s="10" t="n">
        <v>13736537.0559265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123</v>
      </c>
      <c r="N40" t="n">
        <v>2015</v>
      </c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 t="n">
        <v>4252.20942799756</v>
      </c>
      <c r="AE40" s="10" t="n">
        <v>77704.0204469398</v>
      </c>
      <c r="AF40" s="10" t="n">
        <v>118341.886596331</v>
      </c>
      <c r="AG40" s="10" t="n">
        <v>96446.9870230631</v>
      </c>
      <c r="AH40" s="10"/>
      <c r="AI40" s="10"/>
      <c r="AJ40" s="10"/>
      <c r="AK40" s="10"/>
      <c r="AL40" s="10"/>
      <c r="AM40" s="10"/>
    </row>
    <row r="41">
      <c r="M41"/>
      <c r="N41"/>
      <c r="O41" s="10" t="n">
        <v>13944884554.3753</v>
      </c>
      <c r="P41" s="10" t="n">
        <v>16123901957.5999</v>
      </c>
      <c r="Q41" s="10" t="n">
        <v>20737566447.6486</v>
      </c>
      <c r="R41" s="10" t="n">
        <v>23649014789.1835</v>
      </c>
      <c r="S41" s="10" t="n">
        <v>27241932696.6099</v>
      </c>
      <c r="T41" s="10" t="n">
        <v>45889167791.7459</v>
      </c>
      <c r="U41" s="10" t="n">
        <v>48398542881.1923</v>
      </c>
      <c r="V41" s="10" t="n">
        <v>46660098186.999</v>
      </c>
      <c r="W41" s="10" t="n">
        <v>52120555957.6808</v>
      </c>
      <c r="X41" s="10" t="n">
        <v>46998950067.1134</v>
      </c>
      <c r="Y41" s="10" t="n">
        <v>38097175829.8049</v>
      </c>
      <c r="Z41" s="10" t="n">
        <v>38480369383.5963</v>
      </c>
      <c r="AA41" s="10" t="n">
        <v>44524338622.5066</v>
      </c>
      <c r="AB41" s="10" t="n">
        <v>32728943764.5373</v>
      </c>
      <c r="AC41" s="10" t="n">
        <v>29441704540.3383</v>
      </c>
      <c r="AD41" s="10" t="n">
        <v>25271294787.5131</v>
      </c>
      <c r="AE41" s="10" t="n">
        <v>23085410357.691</v>
      </c>
      <c r="AF41" s="10" t="n">
        <v>25216898451.7483</v>
      </c>
      <c r="AG41" s="10" t="n">
        <v>28985497691.1817</v>
      </c>
      <c r="AH41" s="10" t="n">
        <v>25997386385.985</v>
      </c>
      <c r="AI41" s="10" t="n">
        <v>28172998094.9636</v>
      </c>
      <c r="AJ41" s="10" t="n">
        <v>57206019014.6902</v>
      </c>
      <c r="AK41" s="10" t="n">
        <v>58510333010.0319</v>
      </c>
      <c r="AL41" s="10" t="n">
        <v>18069578940.9147</v>
      </c>
      <c r="AM41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AM2/Sum(AM$1:AM$41)</f>
      </c>
      <c r="K2" s="7" t="str">
        <f>AN2/Sum(AN1:AN$41)</f>
      </c>
      <c r="O2" t="s">
        <v>71</v>
      </c>
      <c r="P2" t="n">
        <v>2190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 t="n">
        <v>13983.3803832674</v>
      </c>
      <c r="AL2" s="11" t="n">
        <v>0</v>
      </c>
      <c r="AM2" s="11" t="n">
        <v>111074.8516</v>
      </c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AM3/Sum(AM$1:AM$41)</f>
      </c>
      <c r="K3" s="7" t="str">
        <f>AN3/Sum(AN1:AN$41)</f>
      </c>
      <c r="O3" t="s">
        <v>81</v>
      </c>
      <c r="P3" t="n">
        <v>2040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 t="n">
        <v>708609.729566217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AM4/Sum(AM$1:AM$41)</f>
      </c>
      <c r="K4" s="7" t="str">
        <f>AN4/Sum(AN1:AN$41)</f>
      </c>
      <c r="O4" t="s">
        <v>96</v>
      </c>
      <c r="P4" t="n">
        <v>1757</v>
      </c>
      <c r="Q4" s="11"/>
      <c r="R4" s="11"/>
      <c r="S4" s="11"/>
      <c r="T4" s="11" t="n">
        <v>799329.398977802</v>
      </c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AM5/Sum(AM$1:AM$41)</f>
      </c>
      <c r="K5" s="7" t="str">
        <f>AN5/Sum(AN1:AN$41)</f>
      </c>
      <c r="O5" t="s">
        <v>97</v>
      </c>
      <c r="P5" t="n">
        <v>487</v>
      </c>
      <c r="Q5" s="11" t="n">
        <v>55298.3609533499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AM6/Sum(AM$1:AM$41)</f>
      </c>
      <c r="K6" s="7" t="str">
        <f>AN6/Sum(AN1:AN$41)</f>
      </c>
      <c r="O6" t="s">
        <v>98</v>
      </c>
      <c r="P6" t="n">
        <v>1856</v>
      </c>
      <c r="Q6" s="11"/>
      <c r="R6" s="11"/>
      <c r="S6" s="11"/>
      <c r="T6" s="11"/>
      <c r="U6" s="11"/>
      <c r="V6" s="11"/>
      <c r="W6" s="11"/>
      <c r="X6" s="11" t="n">
        <v>4327865.4329112</v>
      </c>
      <c r="Y6" s="11"/>
      <c r="Z6" s="11" t="n">
        <v>3901248.853076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AM7/Sum(AM$1:AM$41)</f>
      </c>
      <c r="K7" s="7" t="str">
        <f>AN7/Sum(AN1:AN$41)</f>
      </c>
      <c r="O7" t="s">
        <v>99</v>
      </c>
      <c r="P7" t="n">
        <v>2058</v>
      </c>
      <c r="Q7" s="11"/>
      <c r="R7" s="11"/>
      <c r="S7" s="11"/>
      <c r="T7" s="11"/>
      <c r="U7" s="11"/>
      <c r="V7" s="11"/>
      <c r="W7" s="11"/>
      <c r="X7" s="11"/>
      <c r="Y7" s="11" t="n">
        <v>77802.7985282455</v>
      </c>
      <c r="Z7" s="11"/>
      <c r="AA7" s="11"/>
      <c r="AB7" s="11"/>
      <c r="AC7" s="11" t="n">
        <v>1707799.69467415</v>
      </c>
      <c r="AD7" s="11" t="n">
        <v>-1677108.60673748</v>
      </c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AM8/Sum(AM$1:AM$41)</f>
      </c>
      <c r="K8" s="7" t="str">
        <f>AN8/Sum(AN1:AN$41)</f>
      </c>
      <c r="O8" t="s">
        <v>100</v>
      </c>
      <c r="P8" t="n">
        <v>1962</v>
      </c>
      <c r="Q8" s="11"/>
      <c r="R8" s="11"/>
      <c r="S8" s="11"/>
      <c r="T8" s="11"/>
      <c r="U8" s="11"/>
      <c r="V8" s="11"/>
      <c r="W8" s="11"/>
      <c r="X8" s="11" t="n">
        <v>9174.62783588944</v>
      </c>
      <c r="Y8" s="11"/>
      <c r="Z8" s="11"/>
      <c r="AA8" s="11"/>
      <c r="AB8" s="11"/>
      <c r="AC8" s="11" t="n">
        <v>23975.9503369154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AM9/Sum(AM$1:AM$41)</f>
      </c>
      <c r="K9" s="7" t="str">
        <f>AN9/Sum(AN1:AN$41)</f>
      </c>
      <c r="O9" t="s">
        <v>101</v>
      </c>
      <c r="P9" t="n">
        <v>717</v>
      </c>
      <c r="Q9" s="11"/>
      <c r="R9" s="11"/>
      <c r="S9" s="11"/>
      <c r="T9" s="11" t="n">
        <v>6205788.95455901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AM10/Sum(AM$1:AM$41)</f>
      </c>
      <c r="K10" s="7" t="str">
        <f>AN10/Sum(AN1:AN$41)</f>
      </c>
      <c r="O10" t="s">
        <v>102</v>
      </c>
      <c r="P10" t="n">
        <v>1344</v>
      </c>
      <c r="Q10" s="11"/>
      <c r="R10" s="11"/>
      <c r="S10" s="11"/>
      <c r="T10" s="11"/>
      <c r="U10" s="11" t="n">
        <v>93339.3278750279</v>
      </c>
      <c r="V10" s="11" t="n">
        <v>546649.960059199</v>
      </c>
      <c r="W10" s="11" t="n">
        <v>67602.6130440033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AM11/Sum(AM$1:AM$41)</f>
      </c>
      <c r="K11" s="7" t="str">
        <f>AN11/Sum(AN1:AN$41)</f>
      </c>
      <c r="O11" t="s">
        <v>103</v>
      </c>
      <c r="P11" t="n">
        <v>590</v>
      </c>
      <c r="Q11" s="11" t="n">
        <v>290042.932694163</v>
      </c>
      <c r="R11" s="11"/>
      <c r="S11" s="11" t="n">
        <v>9038.26119123441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AM12/Sum(AM$1:AM$41)</f>
      </c>
      <c r="K12" s="7" t="str">
        <f>AN12/Sum(AN1:AN$41)</f>
      </c>
      <c r="O12" t="s">
        <v>104</v>
      </c>
      <c r="P12" t="n">
        <v>1958</v>
      </c>
      <c r="Q12" s="11"/>
      <c r="R12" s="11"/>
      <c r="S12" s="11"/>
      <c r="T12" s="11"/>
      <c r="U12" s="11" t="n">
        <v>5246.33959227448</v>
      </c>
      <c r="V12" s="11"/>
      <c r="W12" s="11" t="n">
        <v>133742.777104634</v>
      </c>
      <c r="X12" s="11" t="n">
        <v>57131.1777564738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AM13/Sum(AM$1:AM$41)</f>
      </c>
      <c r="K13" s="7" t="str">
        <f>AN13/Sum(AN1:AN$41)</f>
      </c>
      <c r="O13" t="s">
        <v>105</v>
      </c>
      <c r="P13" t="n">
        <v>1994</v>
      </c>
      <c r="Q13" s="11"/>
      <c r="R13" s="11"/>
      <c r="S13" s="11"/>
      <c r="T13" s="11"/>
      <c r="U13" s="11"/>
      <c r="V13" s="11"/>
      <c r="W13" s="11"/>
      <c r="X13" s="11"/>
      <c r="Y13" s="11" t="n">
        <v>33099.4350544525</v>
      </c>
      <c r="Z13" s="11" t="n">
        <v>2782.5213324569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AM14/Sum(AM$1:AM$41)</f>
      </c>
      <c r="K14" s="7" t="str">
        <f>AN14/Sum(AN1:AN$41)</f>
      </c>
      <c r="O14" t="s">
        <v>106</v>
      </c>
      <c r="P14" t="n">
        <v>2101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 t="n">
        <v>38624.2795784285</v>
      </c>
      <c r="AI14" s="11"/>
      <c r="AJ14" s="11"/>
      <c r="AK14" s="11"/>
      <c r="AL14" s="11" t="n">
        <v>763840.915300943</v>
      </c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AM15/Sum(AM$1:AM$41)</f>
      </c>
      <c r="K15" s="7" t="str">
        <f>AN15/Sum(AN1:AN$41)</f>
      </c>
      <c r="O15" t="s">
        <v>107</v>
      </c>
      <c r="P15" t="n">
        <v>607</v>
      </c>
      <c r="Q15" s="11" t="n">
        <v>361033.263890872</v>
      </c>
      <c r="R15" s="11" t="n">
        <v>2384044.35633512</v>
      </c>
      <c r="S15" s="11" t="n">
        <v>1634710.85632622</v>
      </c>
      <c r="T15" s="11" t="n">
        <v>511892.34523462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AM16/Sum(AM$1:AM$41)</f>
      </c>
      <c r="K16" s="7" t="str">
        <f>AN16/Sum(AN1:AN$41)</f>
      </c>
      <c r="O16" t="s">
        <v>108</v>
      </c>
      <c r="P16" t="n">
        <v>1968</v>
      </c>
      <c r="Q16" s="11"/>
      <c r="R16" s="11"/>
      <c r="S16" s="11"/>
      <c r="T16" s="11"/>
      <c r="U16" s="11" t="n">
        <v>348555.081173606</v>
      </c>
      <c r="V16" s="11"/>
      <c r="W16" s="11"/>
      <c r="X16" s="11"/>
      <c r="Y16" s="11"/>
      <c r="Z16" s="11" t="n">
        <v>-12855.9315021982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AM17/Sum(AM$1:AM$41)</f>
      </c>
      <c r="K17" s="7" t="str">
        <f>AN17/Sum(AN1:AN$41)</f>
      </c>
      <c r="O17" t="s">
        <v>109</v>
      </c>
      <c r="P17" t="n">
        <v>1959</v>
      </c>
      <c r="Q17" s="11"/>
      <c r="R17" s="11"/>
      <c r="S17" s="11"/>
      <c r="T17" s="11"/>
      <c r="U17" s="11" t="n">
        <v>2457781.43201866</v>
      </c>
      <c r="V17" s="11" t="n">
        <v>1901963.10375731</v>
      </c>
      <c r="W17" s="11" t="n">
        <v>3910686.45097292</v>
      </c>
      <c r="X17" s="11"/>
      <c r="Y17" s="11" t="n">
        <v>6725.06456798476</v>
      </c>
      <c r="Z17" s="11"/>
      <c r="AA17" s="11" t="n">
        <v>-1877.30677258486</v>
      </c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AM18/Sum(AM$1:AM$41)</f>
      </c>
      <c r="K18" s="7" t="str">
        <f>AN18/Sum(AN1:AN$41)</f>
      </c>
      <c r="O18" t="s">
        <v>110</v>
      </c>
      <c r="P18" t="n">
        <v>1970</v>
      </c>
      <c r="Q18" s="11"/>
      <c r="R18" s="11"/>
      <c r="S18" s="11"/>
      <c r="T18" s="11"/>
      <c r="U18" s="11"/>
      <c r="V18" s="11"/>
      <c r="W18" s="11" t="n">
        <v>17476.6847917365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AM19/Sum(AM$1:AM$41)</f>
      </c>
      <c r="K19" s="7" t="str">
        <f>AN19/Sum(AN1:AN$41)</f>
      </c>
      <c r="O19" t="s">
        <v>111</v>
      </c>
      <c r="P19" t="n">
        <v>2251</v>
      </c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 t="n">
        <v>124587.149879475</v>
      </c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AM20/Sum(AM$1:AM$41)</f>
      </c>
      <c r="K20" s="7" t="str">
        <f>AN20/Sum(AN1:AN$41)</f>
      </c>
      <c r="O20" t="s">
        <v>72</v>
      </c>
      <c r="P20" t="n">
        <v>2237</v>
      </c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 t="n">
        <v>83598.9169109284</v>
      </c>
      <c r="AL20" s="11" t="n">
        <v>794088.789125212</v>
      </c>
      <c r="AM20" s="11" t="n">
        <v>356810.3301</v>
      </c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AM21/Sum(AM$1:AM$41)</f>
      </c>
      <c r="K21" s="7" t="str">
        <f>AN21/Sum(AN1:AN$41)</f>
      </c>
      <c r="O21" t="s">
        <v>112</v>
      </c>
      <c r="P21" t="n">
        <v>2238</v>
      </c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 t="n">
        <v>6140.66245727424</v>
      </c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AM22/Sum(AM$1:AM$41)</f>
      </c>
      <c r="K22" s="7" t="str">
        <f>AN22/Sum(AN1:AN$41)</f>
      </c>
      <c r="O22" t="s">
        <v>113</v>
      </c>
      <c r="P22" t="n">
        <v>1973</v>
      </c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 t="n">
        <v>11283.4640512505</v>
      </c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AM23/Sum(AM$1:AM$41)</f>
      </c>
      <c r="K23" s="7" t="str">
        <f>AN23/Sum(AN1:AN$41)</f>
      </c>
      <c r="O23" t="s">
        <v>114</v>
      </c>
      <c r="P23" t="n">
        <v>763</v>
      </c>
      <c r="Q23" s="11"/>
      <c r="R23" s="11" t="n">
        <v>528019.45814266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AM24/Sum(AM$1:AM$41)</f>
      </c>
      <c r="K24" s="7" t="str">
        <f>AN24/Sum(AN1:AN$41)</f>
      </c>
      <c r="O24" t="s">
        <v>115</v>
      </c>
      <c r="P24" t="n">
        <v>1777</v>
      </c>
      <c r="Q24" s="11"/>
      <c r="R24" s="11"/>
      <c r="S24" s="11"/>
      <c r="T24" s="11" t="n">
        <v>532444.352867856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AM25/Sum(AM$1:AM$41)</f>
      </c>
      <c r="K25" s="7" t="str">
        <f>AN25/Sum(AN1:AN$41)</f>
      </c>
      <c r="O25" t="s">
        <v>116</v>
      </c>
      <c r="P25" t="n">
        <v>1778</v>
      </c>
      <c r="Q25" s="11" t="n">
        <v>70313.3403058548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AM26/Sum(AM$1:AM$41)</f>
      </c>
      <c r="K26" s="7" t="str">
        <f>AN26/Sum(AN1:AN$41)</f>
      </c>
      <c r="O26" t="s">
        <v>73</v>
      </c>
      <c r="P26" t="n">
        <v>1805</v>
      </c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 t="n">
        <v>479574.195213963</v>
      </c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AM27/Sum(AM$1:AM$41)</f>
      </c>
      <c r="K27" s="7" t="str">
        <f>AN27/Sum(AN1:AN$41)</f>
      </c>
      <c r="O27" t="s">
        <v>74</v>
      </c>
      <c r="P27" t="n">
        <v>2243</v>
      </c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 t="n">
        <v>19111.9168823449</v>
      </c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AM28/Sum(AM$1:AM$41)</f>
      </c>
      <c r="K28" s="7" t="str">
        <f>AN28/Sum(AN1:AN$41)</f>
      </c>
      <c r="O28" t="s">
        <v>117</v>
      </c>
      <c r="P28" t="n">
        <v>1965</v>
      </c>
      <c r="Q28" s="11"/>
      <c r="R28" s="11"/>
      <c r="S28" s="11"/>
      <c r="T28" s="11"/>
      <c r="U28" s="11"/>
      <c r="V28" s="11"/>
      <c r="W28" s="11" t="n">
        <v>10775.424775193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AM29/Sum(AM$1:AM$41)</f>
      </c>
      <c r="K29" s="7" t="str">
        <f>AN29/Sum(AN1:AN$41)</f>
      </c>
      <c r="O29" t="s">
        <v>76</v>
      </c>
      <c r="P29" t="n">
        <v>2258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 t="n">
        <v>20077903.8745695</v>
      </c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AM30/Sum(AM$1:AM$41)</f>
      </c>
      <c r="K30" s="7" t="str">
        <f>AN30/Sum(AN1:AN$41)</f>
      </c>
      <c r="O30" t="s">
        <v>118</v>
      </c>
      <c r="P30" t="n">
        <v>1979</v>
      </c>
      <c r="Q30" s="11"/>
      <c r="R30" s="11"/>
      <c r="S30" s="11"/>
      <c r="T30" s="11"/>
      <c r="U30" s="11"/>
      <c r="V30" s="11"/>
      <c r="W30" s="11" t="n">
        <v>740631.142508558</v>
      </c>
      <c r="X30" s="11" t="n">
        <v>277184.803306485</v>
      </c>
      <c r="Y30" s="11"/>
      <c r="Z30" s="11"/>
      <c r="AA30" s="11" t="n">
        <v>11946.4212670092</v>
      </c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AM31/Sum(AM$1:AM$41)</f>
      </c>
      <c r="K31" s="7" t="str">
        <f>AN31/Sum(AN1:AN$41)</f>
      </c>
      <c r="O31" t="s">
        <v>119</v>
      </c>
      <c r="P31" t="n">
        <v>154</v>
      </c>
      <c r="Q31" s="11" t="n">
        <v>234280.85721653</v>
      </c>
      <c r="R31" s="11" t="n">
        <v>350993.396037082</v>
      </c>
      <c r="S31" s="11" t="n">
        <v>723492.619802389</v>
      </c>
      <c r="T31" s="11" t="n">
        <v>39194.6458318712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AM32/Sum(AM$1:AM$41)</f>
      </c>
      <c r="K32" s="7" t="str">
        <f>AN32/Sum(AN1:AN$41)</f>
      </c>
      <c r="O32" t="s">
        <v>120</v>
      </c>
      <c r="P32" t="n">
        <v>583</v>
      </c>
      <c r="Q32" s="11" t="n">
        <v>489945.901641755</v>
      </c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AM33/Sum(AM$1:AM$41)</f>
      </c>
      <c r="K33" s="7" t="str">
        <f>AN33/Sum(AN1:AN$41)</f>
      </c>
      <c r="O33" t="s">
        <v>82</v>
      </c>
      <c r="P33" t="n">
        <v>2233</v>
      </c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 t="n">
        <v>1361261.04713009</v>
      </c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AM34/Sum(AM$1:AM$41)</f>
      </c>
      <c r="K34" s="7" t="str">
        <f>AN34/Sum(AN1:AN$41)</f>
      </c>
      <c r="O34" t="s">
        <v>77</v>
      </c>
      <c r="P34" t="n">
        <v>601</v>
      </c>
      <c r="Q34" s="11" t="n">
        <v>768395.971228824</v>
      </c>
      <c r="R34" s="11" t="n">
        <v>367473.29971658</v>
      </c>
      <c r="S34" s="11" t="n">
        <v>10552441.7097882</v>
      </c>
      <c r="T34" s="11" t="n">
        <v>14446901.725191</v>
      </c>
      <c r="U34" s="11" t="n">
        <v>711833.232742544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AM35/Sum(AM$1:AM$41)</f>
      </c>
      <c r="K35" s="7" t="str">
        <f>AN35/Sum(AN1:AN$41)</f>
      </c>
      <c r="O35" t="s">
        <v>121</v>
      </c>
      <c r="P35" t="n">
        <v>1961</v>
      </c>
      <c r="Q35" s="11"/>
      <c r="R35" s="11"/>
      <c r="S35" s="11"/>
      <c r="T35" s="11"/>
      <c r="U35" s="11"/>
      <c r="V35" s="11" t="n">
        <v>3733.29107005308</v>
      </c>
      <c r="W35" s="11"/>
      <c r="X35" s="11"/>
      <c r="Y35" s="11" t="n">
        <v>43502.9697078658</v>
      </c>
      <c r="Z35" s="11" t="n">
        <v>64600.7309775302</v>
      </c>
      <c r="AA35" s="11" t="n">
        <v>403818.22258565</v>
      </c>
      <c r="AB35" s="11" t="n">
        <v>103227.58987391</v>
      </c>
      <c r="AC35" s="11" t="n">
        <v>47716.1239497558</v>
      </c>
      <c r="AD35" s="11" t="n">
        <v>10945.9424433318</v>
      </c>
      <c r="AE35" s="11" t="n">
        <v>22051.2771673806</v>
      </c>
      <c r="AF35" s="11" t="n">
        <v>-5359.89841657856</v>
      </c>
      <c r="AG35" s="11" t="n">
        <v>-7034.75945414301</v>
      </c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AM36/Sum(AM$1:AM$41)</f>
      </c>
      <c r="K36" s="7" t="str">
        <f>AN36/Sum(AN1:AN$41)</f>
      </c>
      <c r="O36" t="s">
        <v>78</v>
      </c>
      <c r="P36" t="n">
        <v>2202</v>
      </c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 t="n">
        <v>58133.6068581317</v>
      </c>
      <c r="AK36" s="11" t="n">
        <v>154466.397243959</v>
      </c>
      <c r="AL36" s="11" t="n">
        <v>168306.030400514</v>
      </c>
      <c r="AM36" s="11" t="n">
        <v>46356.5</v>
      </c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AM37/Sum(AM$1:AM$41)</f>
      </c>
      <c r="K37" s="7" t="str">
        <f>AN37/Sum(AN1:AN$41)</f>
      </c>
      <c r="O37" t="s">
        <v>122</v>
      </c>
      <c r="P37" t="n">
        <v>1952</v>
      </c>
      <c r="Q37" s="11"/>
      <c r="R37" s="11"/>
      <c r="S37" s="11"/>
      <c r="T37" s="11"/>
      <c r="U37" s="11"/>
      <c r="V37" s="11"/>
      <c r="W37" s="11"/>
      <c r="X37" s="11"/>
      <c r="Y37" s="11" t="n">
        <v>382878.121044313</v>
      </c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AM38/Sum(AM$1:AM$41)</f>
      </c>
      <c r="K38" s="7" t="str">
        <f>AN38/Sum(AN1:AN$41)</f>
      </c>
      <c r="O38" t="s">
        <v>79</v>
      </c>
      <c r="P38" t="n">
        <v>482</v>
      </c>
      <c r="Q38" s="11" t="n">
        <v>7028425.71649589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AM39/Sum(AM$1:AM$41)</f>
      </c>
      <c r="K39" s="7" t="str">
        <f>AN39/Sum(AN1:AN$41)</f>
      </c>
      <c r="O39" t="s">
        <v>80</v>
      </c>
      <c r="P39" t="n">
        <v>604</v>
      </c>
      <c r="Q39" s="11" t="n">
        <v>498775.866363743</v>
      </c>
      <c r="R39" s="11" t="n">
        <v>2115576.67686672</v>
      </c>
      <c r="S39" s="11" t="n">
        <v>46689806.1786352</v>
      </c>
      <c r="T39" s="11" t="n">
        <v>13736537.0559265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AM40/Sum(AM$1:AM$41)</f>
      </c>
      <c r="K40" s="7" t="str">
        <f>AN40/Sum(AN1:AN$41)</f>
      </c>
      <c r="O40" t="s">
        <v>123</v>
      </c>
      <c r="P40" t="n">
        <v>2015</v>
      </c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 t="n">
        <v>4252.20942799756</v>
      </c>
      <c r="AG40" s="11" t="n">
        <v>77704.0204469398</v>
      </c>
      <c r="AH40" s="11" t="n">
        <v>118341.886596331</v>
      </c>
      <c r="AI40" s="11" t="n">
        <v>96446.9870230631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AM41/Sum(AM$1:AM$41)</f>
      </c>
      <c r="K41" s="7" t="str">
        <f>AN41/Sum(AN1:AN$41)</f>
      </c>
      <c r="O41"/>
      <c r="P41"/>
      <c r="Q41" s="11" t="n">
        <v>13944884554.3753</v>
      </c>
      <c r="R41" s="11" t="n">
        <v>16123901957.5999</v>
      </c>
      <c r="S41" s="11" t="n">
        <v>20737566447.6486</v>
      </c>
      <c r="T41" s="11" t="n">
        <v>23649014789.1835</v>
      </c>
      <c r="U41" s="11" t="n">
        <v>27241932696.6099</v>
      </c>
      <c r="V41" s="11" t="n">
        <v>45889167791.7459</v>
      </c>
      <c r="W41" s="11" t="n">
        <v>48398542881.1923</v>
      </c>
      <c r="X41" s="11" t="n">
        <v>46660098186.999</v>
      </c>
      <c r="Y41" s="11" t="n">
        <v>52120555957.6808</v>
      </c>
      <c r="Z41" s="11" t="n">
        <v>46998950067.1134</v>
      </c>
      <c r="AA41" s="11" t="n">
        <v>38097175829.8049</v>
      </c>
      <c r="AB41" s="11" t="n">
        <v>38480369383.5963</v>
      </c>
      <c r="AC41" s="11" t="n">
        <v>44524338622.5066</v>
      </c>
      <c r="AD41" s="11" t="n">
        <v>32728943764.5373</v>
      </c>
      <c r="AE41" s="11" t="n">
        <v>29441704540.3383</v>
      </c>
      <c r="AF41" s="11" t="n">
        <v>25271294787.5131</v>
      </c>
      <c r="AG41" s="11" t="n">
        <v>23085410357.691</v>
      </c>
      <c r="AH41" s="11" t="n">
        <v>25216898451.7483</v>
      </c>
      <c r="AI41" s="11" t="n">
        <v>28985497691.1817</v>
      </c>
      <c r="AJ41" s="11" t="n">
        <v>25997386385.985</v>
      </c>
      <c r="AK41" s="11" t="n">
        <v>28172998094.9636</v>
      </c>
      <c r="AL41" s="11" t="n">
        <v>57206019014.6902</v>
      </c>
      <c r="AM41" s="11" t="n">
        <v>58510333010.0319</v>
      </c>
      <c r="AN41" s="11" t="n">
        <v>18069578940.9147</v>
      </c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Sum(J$1:J$41)</f>
      </c>
      <c r="K42" s="7" t="str">
        <f>Sum(K$1:K$41)</f>
      </c>
      <c r="O42" t="s">
        <v>124</v>
      </c>
      <c r="P42" t="s">
        <v>125</v>
      </c>
      <c r="Q42" s="11" t="str">
        <f>Sum(Q2:Q41)</f>
      </c>
      <c r="R42" s="11" t="str">
        <f>Sum(R2:R41)</f>
      </c>
      <c r="S42" s="11" t="str">
        <f>Sum(S2:S41)</f>
      </c>
      <c r="T42" s="11" t="str">
        <f>Sum(T2:T41)</f>
      </c>
      <c r="U42" s="11" t="str">
        <f>Sum(U2:U41)</f>
      </c>
      <c r="V42" s="11" t="str">
        <f>Sum(V2:V41)</f>
      </c>
      <c r="W42" s="11" t="str">
        <f>Sum(W2:W41)</f>
      </c>
      <c r="X42" s="11" t="str">
        <f>Sum(X2:X41)</f>
      </c>
      <c r="Y42" s="11" t="str">
        <f>Sum(Y2:Y41)</f>
      </c>
      <c r="Z42" s="11" t="str">
        <f>Sum(Z2:Z41)</f>
      </c>
      <c r="AA42" s="11" t="str">
        <f>Sum(AA2:AA41)</f>
      </c>
      <c r="AB42" s="11" t="str">
        <f>Sum(AB2:AB41)</f>
      </c>
      <c r="AC42" s="11" t="str">
        <f>Sum(AC2:AC41)</f>
      </c>
      <c r="AD42" s="11" t="str">
        <f>Sum(AD2:AD41)</f>
      </c>
      <c r="AE42" s="11" t="str">
        <f>Sum(AE2:AE41)</f>
      </c>
      <c r="AF42" s="11" t="str">
        <f>Sum(AF2:AF41)</f>
      </c>
      <c r="AG42" s="11" t="str">
        <f>Sum(AG2:AG41)</f>
      </c>
      <c r="AH42" s="11" t="str">
        <f>Sum(AH2:AH41)</f>
      </c>
      <c r="AI42" s="11" t="str">
        <f>Sum(AI2:AI41)</f>
      </c>
      <c r="AJ42" s="11" t="str">
        <f>Sum(AJ2:AJ41)</f>
      </c>
      <c r="AK42" s="11" t="str">
        <f>Sum(AK2:AK41)</f>
      </c>
      <c r="AL42" s="11" t="str">
        <f>Sum(AL2:AL41)</f>
      </c>
      <c r="AM42" s="11" t="str">
        <f>Sum(AM2:AM41)</f>
      </c>
      <c r="AN42" s="11"/>
      <c r="AO42" s="11"/>
    </row>
    <row r="43">
      <c r="P43" t="str">
        <f>Sum(A2:A41)</f>
      </c>
    </row>
    <row r="44">
      <c r="P44" t="str">
        <f>Sum(B2:B41)</f>
      </c>
    </row>
    <row r="45">
      <c r="P45" t="str">
        <f>Sum(C2:C41)</f>
      </c>
    </row>
    <row r="46">
      <c r="P46" t="str">
        <f>Sum(D2:D41)</f>
      </c>
    </row>
    <row r="47">
      <c r="P47" t="str">
        <f>Sum(E2:E41)</f>
      </c>
    </row>
    <row r="48">
      <c r="P48" t="str">
        <f>Sum(F2:F41)</f>
      </c>
    </row>
    <row r="49">
      <c r="P49" t="str">
        <f>Sum(G2:G41)</f>
      </c>
    </row>
    <row r="50">
      <c r="P50" t="str">
        <f>Sum(H2:H41)</f>
      </c>
    </row>
    <row r="51">
      <c r="P51" t="str">
        <f>Sum(I2:I41)</f>
      </c>
    </row>
    <row r="52">
      <c r="P52" t="str">
        <f>Sum(J2:J41)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126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127</v>
      </c>
      <c r="L2" s="12" t="n">
        <v>30111000</v>
      </c>
      <c r="M2" s="12" t="n">
        <v>13597000</v>
      </c>
      <c r="N2" s="12" t="n">
        <v>13953771</v>
      </c>
      <c r="O2" s="12" t="n">
        <v>18674971</v>
      </c>
      <c r="P2" s="12" t="n">
        <v>42598531</v>
      </c>
      <c r="Q2" s="12" t="n">
        <v>45034796</v>
      </c>
      <c r="R2" s="12" t="n">
        <v>38378094</v>
      </c>
      <c r="S2" s="12" t="n">
        <v>140240126</v>
      </c>
      <c r="T2" s="12" t="n">
        <v>104833252</v>
      </c>
      <c r="U2" s="12" t="n">
        <v>120269918</v>
      </c>
      <c r="V2" s="12" t="n">
        <v>141621032</v>
      </c>
      <c r="W2" s="12" t="n">
        <v>167387698</v>
      </c>
      <c r="X2" s="12" t="n">
        <v>194914548</v>
      </c>
      <c r="Y2" s="12" t="n">
        <v>237972736.0938</v>
      </c>
      <c r="Z2" s="12" t="n">
        <v>241431334.4687</v>
      </c>
      <c r="AA2" s="12" t="n">
        <v>331749108</v>
      </c>
      <c r="AB2" s="12" t="n">
        <v>404721717.5</v>
      </c>
      <c r="AC2" s="12" t="n">
        <v>469941277.8006</v>
      </c>
      <c r="AD2" s="12" t="n">
        <v>482143127.9571</v>
      </c>
      <c r="AE2" s="12" t="n">
        <v>528644654.4707</v>
      </c>
      <c r="AF2" s="12" t="n">
        <v>396200149.9131</v>
      </c>
      <c r="AG2" s="12" t="n">
        <v>501762224.2915</v>
      </c>
      <c r="AH2" s="12" t="n">
        <v>507418922.0973</v>
      </c>
      <c r="AI2" s="12" t="n">
        <v>394639030.7921</v>
      </c>
      <c r="AJ2" s="12" t="n">
        <v>396679796.2526</v>
      </c>
      <c r="AK2" s="12" t="n">
        <v>301457763.5519</v>
      </c>
      <c r="AL2" s="12" t="n">
        <v>399023693.5743</v>
      </c>
      <c r="AM2" s="12" t="n">
        <v>394228159.2218</v>
      </c>
      <c r="AN2" s="12" t="n">
        <v>429151483.6875</v>
      </c>
      <c r="AO2" s="12" t="n">
        <v>402214113.6291</v>
      </c>
      <c r="AP2" s="12" t="n">
        <v>339092196.6452</v>
      </c>
      <c r="AQ2" s="12" t="n">
        <v>649540054.9249</v>
      </c>
      <c r="AR2" s="12" t="n">
        <v>393387686.8236</v>
      </c>
      <c r="AS2" s="12" t="n">
        <v>218152609.2603</v>
      </c>
      <c r="AT2" s="12"/>
      <c r="AU2" s="12"/>
    </row>
    <row r="3">
      <c r="A3" t="str">
        <f>K3</f>
      </c>
      <c r="K3" t="s">
        <v>128</v>
      </c>
      <c r="L3" s="12" t="n">
        <v>2386958000</v>
      </c>
      <c r="M3" s="12" t="n">
        <v>3052712759</v>
      </c>
      <c r="N3" s="12" t="n">
        <v>1785408612</v>
      </c>
      <c r="O3" s="12" t="n">
        <v>2036876584</v>
      </c>
      <c r="P3" s="12" t="n">
        <v>1953315555</v>
      </c>
      <c r="Q3" s="12" t="n">
        <v>1586935646</v>
      </c>
      <c r="R3" s="12" t="n">
        <v>1743108770</v>
      </c>
      <c r="S3" s="12" t="n">
        <v>2647311646</v>
      </c>
      <c r="T3" s="12" t="n">
        <v>2270709689</v>
      </c>
      <c r="U3" s="12" t="n">
        <v>1940590999</v>
      </c>
      <c r="V3" s="12" t="n">
        <v>3133656618</v>
      </c>
      <c r="W3" s="12" t="n">
        <v>4066372130</v>
      </c>
      <c r="X3" s="12" t="n">
        <v>5170767563</v>
      </c>
      <c r="Y3" s="12" t="n">
        <v>6229146305.4502</v>
      </c>
      <c r="Z3" s="12" t="n">
        <v>7635286235.0547</v>
      </c>
      <c r="AA3" s="12" t="n">
        <v>11747449210.4333</v>
      </c>
      <c r="AB3" s="12" t="n">
        <v>14282600486.8851</v>
      </c>
      <c r="AC3" s="12" t="n">
        <v>15022581864.7645</v>
      </c>
      <c r="AD3" s="12" t="n">
        <v>16959785224.5165</v>
      </c>
      <c r="AE3" s="12" t="n">
        <v>19110907734.8788</v>
      </c>
      <c r="AF3" s="12" t="n">
        <v>15191590610.7486</v>
      </c>
      <c r="AG3" s="12" t="n">
        <v>13502160211.8373</v>
      </c>
      <c r="AH3" s="12" t="n">
        <v>19189431657.5008</v>
      </c>
      <c r="AI3" s="12" t="n">
        <v>12093074783.4167</v>
      </c>
      <c r="AJ3" s="12" t="n">
        <v>13408759456.7059</v>
      </c>
      <c r="AK3" s="12" t="n">
        <v>11643235519.9765</v>
      </c>
      <c r="AL3" s="12" t="n">
        <v>10383241927.8079</v>
      </c>
      <c r="AM3" s="12" t="n">
        <v>11689270480.4705</v>
      </c>
      <c r="AN3" s="12" t="n">
        <v>13020552578.0978</v>
      </c>
      <c r="AO3" s="12" t="n">
        <v>11275525890.0348</v>
      </c>
      <c r="AP3" s="12" t="n">
        <v>13519812320.2638</v>
      </c>
      <c r="AQ3" s="12" t="n">
        <v>40703244847.2274</v>
      </c>
      <c r="AR3" s="12" t="n">
        <v>43055563480.5771</v>
      </c>
      <c r="AS3" s="12" t="n">
        <v>7758793046.6635</v>
      </c>
      <c r="AT3" s="12"/>
      <c r="AU3" s="12"/>
    </row>
    <row r="4">
      <c r="A4" t="str">
        <f>K4</f>
      </c>
      <c r="K4" t="s">
        <v>129</v>
      </c>
      <c r="L4" s="12" t="n">
        <v>1514879000</v>
      </c>
      <c r="M4" s="12" t="n">
        <v>5061698635</v>
      </c>
      <c r="N4" s="12" t="n">
        <v>2779829427</v>
      </c>
      <c r="O4" s="12" t="n">
        <v>3157075187</v>
      </c>
      <c r="P4" s="12" t="n">
        <v>3089117240</v>
      </c>
      <c r="Q4" s="12" t="n">
        <v>2523714645</v>
      </c>
      <c r="R4" s="12" t="n">
        <v>2593563710</v>
      </c>
      <c r="S4" s="12" t="n">
        <v>2433131791</v>
      </c>
      <c r="T4" s="12" t="n">
        <v>2130508612</v>
      </c>
      <c r="U4" s="12" t="n">
        <v>2453757306</v>
      </c>
      <c r="V4" s="12" t="n">
        <v>2563949881</v>
      </c>
      <c r="W4" s="12" t="n">
        <v>2510241963</v>
      </c>
      <c r="X4" s="12" t="n">
        <v>3561908054.5504</v>
      </c>
      <c r="Y4" s="12" t="n">
        <v>4640374633.7626</v>
      </c>
      <c r="Z4" s="12" t="n">
        <v>4894933392.3031</v>
      </c>
      <c r="AA4" s="12" t="n">
        <v>7229434635.3946</v>
      </c>
      <c r="AB4" s="12" t="n">
        <v>8110837810.4568</v>
      </c>
      <c r="AC4" s="12" t="n">
        <v>7208887802.4903</v>
      </c>
      <c r="AD4" s="12" t="n">
        <v>7579145153.4862</v>
      </c>
      <c r="AE4" s="12" t="n">
        <v>7954493979.3237</v>
      </c>
      <c r="AF4" s="12" t="n">
        <v>7128076595.8921</v>
      </c>
      <c r="AG4" s="12" t="n">
        <v>9454234204.1367</v>
      </c>
      <c r="AH4" s="12" t="n">
        <v>9323950466.9613</v>
      </c>
      <c r="AI4" s="12" t="n">
        <v>8964332856.345</v>
      </c>
      <c r="AJ4" s="12" t="n">
        <v>5514468423.9351</v>
      </c>
      <c r="AK4" s="12" t="n">
        <v>4402268896.9698</v>
      </c>
      <c r="AL4" s="12" t="n">
        <v>4138831671.977</v>
      </c>
      <c r="AM4" s="12" t="n">
        <v>4640103344.2329</v>
      </c>
      <c r="AN4" s="12" t="n">
        <v>5684913156.6925</v>
      </c>
      <c r="AO4" s="12" t="n">
        <v>5609964127.5824</v>
      </c>
      <c r="AP4" s="12" t="n">
        <v>5134084558.3298</v>
      </c>
      <c r="AQ4" s="12" t="n">
        <v>5495795849.5662</v>
      </c>
      <c r="AR4" s="12" t="n">
        <v>6867012794.6409</v>
      </c>
      <c r="AS4" s="12" t="n">
        <v>4027034507.8012</v>
      </c>
      <c r="AT4" s="12"/>
      <c r="AU4" s="12"/>
    </row>
    <row r="5">
      <c r="A5" t="str">
        <f>K5</f>
      </c>
      <c r="K5" t="s">
        <v>130</v>
      </c>
      <c r="L5" s="12" t="n">
        <v>1006760000</v>
      </c>
      <c r="M5" s="12" t="n">
        <v>3161122535</v>
      </c>
      <c r="N5" s="12" t="n">
        <v>1950037131</v>
      </c>
      <c r="O5" s="12" t="n">
        <v>2368032827</v>
      </c>
      <c r="P5" s="12" t="n">
        <v>2157678428</v>
      </c>
      <c r="Q5" s="12" t="n">
        <v>1908689506</v>
      </c>
      <c r="R5" s="12" t="n">
        <v>2275561588</v>
      </c>
      <c r="S5" s="12" t="n">
        <v>1883768354</v>
      </c>
      <c r="T5" s="12" t="n">
        <v>1800449147</v>
      </c>
      <c r="U5" s="12" t="n">
        <v>1796077489</v>
      </c>
      <c r="V5" s="12" t="n">
        <v>1918370553.09</v>
      </c>
      <c r="W5" s="12" t="n">
        <v>2272684343</v>
      </c>
      <c r="X5" s="12" t="n">
        <v>2934764489.7609</v>
      </c>
      <c r="Y5" s="12" t="n">
        <v>4071406977.1196</v>
      </c>
      <c r="Z5" s="12" t="n">
        <v>4282497017.0214</v>
      </c>
      <c r="AA5" s="12" t="n">
        <v>6364720590.1493</v>
      </c>
      <c r="AB5" s="12" t="n">
        <v>5945017942.8345</v>
      </c>
      <c r="AC5" s="12" t="n">
        <v>5855269353.1367</v>
      </c>
      <c r="AD5" s="12" t="n">
        <v>6325647361.5496</v>
      </c>
      <c r="AE5" s="12" t="n">
        <v>6024291082.1388</v>
      </c>
      <c r="AF5" s="12" t="n">
        <v>5417815454.5495</v>
      </c>
      <c r="AG5" s="12" t="n">
        <v>5703934233.6115</v>
      </c>
      <c r="AH5" s="12" t="n">
        <v>5731674007.7387</v>
      </c>
      <c r="AI5" s="12" t="n">
        <v>4484391983.9015</v>
      </c>
      <c r="AJ5" s="12" t="n">
        <v>4747438138.7546</v>
      </c>
      <c r="AK5" s="12" t="n">
        <v>4658892052.807</v>
      </c>
      <c r="AL5" s="12" t="n">
        <v>4388412075.616</v>
      </c>
      <c r="AM5" s="12" t="n">
        <v>4701329502.2627</v>
      </c>
      <c r="AN5" s="12" t="n">
        <v>6249653182.7191</v>
      </c>
      <c r="AO5" s="12" t="n">
        <v>5906922462.5278</v>
      </c>
      <c r="AP5" s="12" t="n">
        <v>6152029694.868</v>
      </c>
      <c r="AQ5" s="12" t="n">
        <v>6413386957.494</v>
      </c>
      <c r="AR5" s="12" t="n">
        <v>8191850221.2045</v>
      </c>
      <c r="AS5" s="12" t="n">
        <v>3198465350.7443</v>
      </c>
      <c r="AT5" s="12"/>
      <c r="AU5" s="12"/>
    </row>
    <row r="6">
      <c r="A6" t="str">
        <f>K6</f>
      </c>
      <c r="K6" t="s">
        <v>131</v>
      </c>
      <c r="L6" s="12" t="n">
        <v>5954823000</v>
      </c>
      <c r="M6" s="12" t="n">
        <v>2377403186</v>
      </c>
      <c r="N6" s="12" t="n">
        <v>3141724361</v>
      </c>
      <c r="O6" s="12" t="n">
        <v>2969809014</v>
      </c>
      <c r="P6" s="12" t="n">
        <v>1382993891</v>
      </c>
      <c r="Q6" s="12" t="n">
        <v>2500318600</v>
      </c>
      <c r="R6" s="12" t="n">
        <v>2976233267</v>
      </c>
      <c r="S6" s="12" t="n">
        <v>2585373105</v>
      </c>
      <c r="T6" s="12" t="n">
        <v>2253745461</v>
      </c>
      <c r="U6" s="12" t="n">
        <v>1363018864</v>
      </c>
      <c r="V6" s="12" t="n">
        <v>879167116</v>
      </c>
      <c r="W6" s="12" t="n">
        <v>1208278563</v>
      </c>
      <c r="X6" s="12" t="n">
        <v>1529553521.9302</v>
      </c>
      <c r="Y6" s="12" t="n">
        <v>364274974</v>
      </c>
      <c r="Z6" s="12" t="n">
        <v>1262442327.0468</v>
      </c>
      <c r="AA6" s="12" t="n">
        <v>6115148196.2424</v>
      </c>
      <c r="AB6" s="12" t="n">
        <v>5876820323.6711</v>
      </c>
      <c r="AC6" s="12" t="n">
        <v>5735051408.7301</v>
      </c>
      <c r="AD6" s="12" t="n">
        <v>7753416636.0949</v>
      </c>
      <c r="AE6" s="12" t="n">
        <v>2000556393.9062</v>
      </c>
      <c r="AF6" s="12" t="n">
        <v>987853548.4521</v>
      </c>
      <c r="AG6" s="12" t="n">
        <v>844916290.003</v>
      </c>
      <c r="AH6" s="12" t="n">
        <v>605357172.154</v>
      </c>
      <c r="AI6" s="12" t="n">
        <v>527618199.99</v>
      </c>
      <c r="AJ6" s="12" t="n">
        <v>200511085.6199</v>
      </c>
      <c r="AK6" s="12" t="n">
        <v>63256558.623</v>
      </c>
      <c r="AL6" s="12" t="n">
        <v>96740294.9042</v>
      </c>
      <c r="AM6" s="12" t="n">
        <v>151640577.0625</v>
      </c>
      <c r="AN6" s="12" t="n">
        <v>-872307.916400002</v>
      </c>
      <c r="AO6" s="12" t="n">
        <v>18004787.5583</v>
      </c>
      <c r="AP6" s="12" t="n">
        <v>364433433.0654</v>
      </c>
      <c r="AQ6" s="12" t="n">
        <v>238835556.419</v>
      </c>
      <c r="AR6" s="12" t="n">
        <v>3033068.4675</v>
      </c>
      <c r="AS6" s="12" t="n">
        <v>549987.1266</v>
      </c>
      <c r="AT6" s="12"/>
      <c r="AU6" s="12"/>
    </row>
    <row r="7">
      <c r="A7" t="str">
        <f>K7</f>
      </c>
      <c r="K7" t="s">
        <v>124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126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127</v>
      </c>
      <c r="L11" s="12" t="n">
        <v>59846563.0003195</v>
      </c>
      <c r="M11" s="12" t="n">
        <v>26093724.6480596</v>
      </c>
      <c r="N11" s="12" t="n">
        <v>26125459.1197912</v>
      </c>
      <c r="O11" s="12" t="n">
        <v>34162392.5011195</v>
      </c>
      <c r="P11" s="12" t="n">
        <v>76264330.4857793</v>
      </c>
      <c r="Q11" s="12" t="n">
        <v>78953527.2051542</v>
      </c>
      <c r="R11" s="12" t="n">
        <v>66041997.5380048</v>
      </c>
      <c r="S11" s="12" t="n">
        <v>237116528.715069</v>
      </c>
      <c r="T11" s="12" t="n">
        <v>175064996.980152</v>
      </c>
      <c r="U11" s="12" t="n">
        <v>198370540.680975</v>
      </c>
      <c r="V11" s="12" t="n">
        <v>228821357.081721</v>
      </c>
      <c r="W11" s="12" t="n">
        <v>264050267.078869</v>
      </c>
      <c r="X11" s="12" t="n">
        <v>302695634.84457</v>
      </c>
      <c r="Y11" s="12" t="n">
        <v>362631978.104967</v>
      </c>
      <c r="Z11" s="12" t="n">
        <v>359124119.319196</v>
      </c>
      <c r="AA11" s="12" t="n">
        <v>478931161.018745</v>
      </c>
      <c r="AB11" s="12" t="n">
        <v>565855510.809417</v>
      </c>
      <c r="AC11" s="12" t="n">
        <v>639504053.477134</v>
      </c>
      <c r="AD11" s="12" t="n">
        <v>642704393.760483</v>
      </c>
      <c r="AE11" s="12" t="n">
        <v>697602655.123667</v>
      </c>
      <c r="AF11" s="12" t="n">
        <v>518320017.234147</v>
      </c>
      <c r="AG11" s="12" t="n">
        <v>643451292.017498</v>
      </c>
      <c r="AH11" s="12" t="n">
        <v>638992648.47521</v>
      </c>
      <c r="AI11" s="12" t="n">
        <v>488037838.805418</v>
      </c>
      <c r="AJ11" s="12" t="n">
        <v>481251317.460856</v>
      </c>
      <c r="AK11" s="12" t="n">
        <v>361582781.068372</v>
      </c>
      <c r="AL11" s="12" t="n">
        <v>474674605.699799</v>
      </c>
      <c r="AM11" s="12" t="n">
        <v>460743871.142103</v>
      </c>
      <c r="AN11" s="12" t="n">
        <v>490053013.55817</v>
      </c>
      <c r="AO11" s="12" t="n">
        <v>450469791.339063</v>
      </c>
      <c r="AP11" s="12" t="n">
        <v>374775147.857061</v>
      </c>
      <c r="AQ11" s="12" t="n">
        <v>694545123.137641</v>
      </c>
      <c r="AR11" s="12" t="n">
        <v>393387686.8236</v>
      </c>
      <c r="AS11" s="12" t="n">
        <v>208073605.182061</v>
      </c>
      <c r="AT11" s="12"/>
      <c r="AU11" s="12"/>
    </row>
    <row r="12">
      <c r="A12" t="str">
        <f>K12</f>
      </c>
      <c r="K12" t="s">
        <v>128</v>
      </c>
      <c r="L12" s="12" t="n">
        <v>4744154373.0237</v>
      </c>
      <c r="M12" s="12" t="n">
        <v>5858398629.32737</v>
      </c>
      <c r="N12" s="12" t="n">
        <v>3342796703.83936</v>
      </c>
      <c r="O12" s="12" t="n">
        <v>3726087571.37815</v>
      </c>
      <c r="P12" s="12" t="n">
        <v>3497029111.86147</v>
      </c>
      <c r="Q12" s="12" t="n">
        <v>2782163523.05204</v>
      </c>
      <c r="R12" s="12" t="n">
        <v>2999585781.8477</v>
      </c>
      <c r="S12" s="12" t="n">
        <v>4476046662.46874</v>
      </c>
      <c r="T12" s="12" t="n">
        <v>3791943655.88874</v>
      </c>
      <c r="U12" s="12" t="n">
        <v>3200767840.48579</v>
      </c>
      <c r="V12" s="12" t="n">
        <v>5063143163.36063</v>
      </c>
      <c r="W12" s="12" t="n">
        <v>6414609076.99781</v>
      </c>
      <c r="X12" s="12" t="n">
        <v>8030025394.08189</v>
      </c>
      <c r="Y12" s="12" t="n">
        <v>9492211938.76714</v>
      </c>
      <c r="Z12" s="12" t="n">
        <v>11357330443.2424</v>
      </c>
      <c r="AA12" s="12" t="n">
        <v>16959260337.6693</v>
      </c>
      <c r="AB12" s="12" t="n">
        <v>19969000537.2474</v>
      </c>
      <c r="AC12" s="12" t="n">
        <v>20442983942.9541</v>
      </c>
      <c r="AD12" s="12" t="n">
        <v>22607661188.1125</v>
      </c>
      <c r="AE12" s="12" t="n">
        <v>25218868411.7561</v>
      </c>
      <c r="AF12" s="12" t="n">
        <v>19874059888.4286</v>
      </c>
      <c r="AG12" s="12" t="n">
        <v>17314939253.551</v>
      </c>
      <c r="AH12" s="12" t="n">
        <v>24165251281.68</v>
      </c>
      <c r="AI12" s="12" t="n">
        <v>14955130185.5902</v>
      </c>
      <c r="AJ12" s="12" t="n">
        <v>16267486307.637</v>
      </c>
      <c r="AK12" s="12" t="n">
        <v>13965450517.3238</v>
      </c>
      <c r="AL12" s="12" t="n">
        <v>12351801026.6979</v>
      </c>
      <c r="AM12" s="12" t="n">
        <v>13661529766.4949</v>
      </c>
      <c r="AN12" s="12" t="n">
        <v>14868318697.7766</v>
      </c>
      <c r="AO12" s="12" t="n">
        <v>12628308213.9828</v>
      </c>
      <c r="AP12" s="12" t="n">
        <v>14942513308.9341</v>
      </c>
      <c r="AQ12" s="12" t="n">
        <v>43523474788.3065</v>
      </c>
      <c r="AR12" s="12" t="n">
        <v>43055563480.5771</v>
      </c>
      <c r="AS12" s="12" t="n">
        <v>7400324234.28167</v>
      </c>
      <c r="AT12" s="12"/>
      <c r="AU12" s="12"/>
    </row>
    <row r="13">
      <c r="A13" t="str">
        <f>K13</f>
      </c>
      <c r="K13" t="s">
        <v>129</v>
      </c>
      <c r="L13" s="12" t="n">
        <v>3010869832.0003</v>
      </c>
      <c r="M13" s="12" t="n">
        <v>9713802341.18916</v>
      </c>
      <c r="N13" s="12" t="n">
        <v>5204637517.34791</v>
      </c>
      <c r="O13" s="12" t="n">
        <v>5775282954.5941</v>
      </c>
      <c r="P13" s="12" t="n">
        <v>5530459679.48233</v>
      </c>
      <c r="Q13" s="12" t="n">
        <v>4424493737.73234</v>
      </c>
      <c r="R13" s="12" t="n">
        <v>4463070212.67077</v>
      </c>
      <c r="S13" s="12" t="n">
        <v>4113913618.33345</v>
      </c>
      <c r="T13" s="12" t="n">
        <v>3557816595.50127</v>
      </c>
      <c r="U13" s="12" t="n">
        <v>4047172988.76941</v>
      </c>
      <c r="V13" s="12" t="n">
        <v>4142650868.83379</v>
      </c>
      <c r="W13" s="12" t="n">
        <v>3959849312.00101</v>
      </c>
      <c r="X13" s="12" t="n">
        <v>5531521535.42751</v>
      </c>
      <c r="Y13" s="12" t="n">
        <v>7071180758.81669</v>
      </c>
      <c r="Z13" s="12" t="n">
        <v>7281112236.34425</v>
      </c>
      <c r="AA13" s="12" t="n">
        <v>10436807334.0492</v>
      </c>
      <c r="AB13" s="12" t="n">
        <v>11340044464.8201</v>
      </c>
      <c r="AC13" s="12" t="n">
        <v>9809976668.42648</v>
      </c>
      <c r="AD13" s="12" t="n">
        <v>10103120025.2376</v>
      </c>
      <c r="AE13" s="12" t="n">
        <v>10496797940.1918</v>
      </c>
      <c r="AF13" s="12" t="n">
        <v>9325147365.13721</v>
      </c>
      <c r="AG13" s="12" t="n">
        <v>12123948195.3381</v>
      </c>
      <c r="AH13" s="12" t="n">
        <v>11741650820.8041</v>
      </c>
      <c r="AI13" s="12" t="n">
        <v>11085912168.2968</v>
      </c>
      <c r="AJ13" s="12" t="n">
        <v>6690144593.15978</v>
      </c>
      <c r="AK13" s="12" t="n">
        <v>5280290718.08292</v>
      </c>
      <c r="AL13" s="12" t="n">
        <v>4923512873.02117</v>
      </c>
      <c r="AM13" s="12" t="n">
        <v>5422999669.89031</v>
      </c>
      <c r="AN13" s="12" t="n">
        <v>6491667698.11821</v>
      </c>
      <c r="AO13" s="12" t="n">
        <v>6283020123.70965</v>
      </c>
      <c r="AP13" s="12" t="n">
        <v>5674348506.08481</v>
      </c>
      <c r="AQ13" s="12" t="n">
        <v>5876586326.17757</v>
      </c>
      <c r="AR13" s="12" t="n">
        <v>6867012794.6409</v>
      </c>
      <c r="AS13" s="12" t="n">
        <v>3840978987.47089</v>
      </c>
      <c r="AT13" s="12"/>
      <c r="AU13" s="12"/>
    </row>
    <row r="14">
      <c r="A14" t="str">
        <f>K14</f>
      </c>
      <c r="K14" t="s">
        <v>130</v>
      </c>
      <c r="L14" s="12" t="n">
        <v>2000967279.93762</v>
      </c>
      <c r="M14" s="12" t="n">
        <v>6066445613.52255</v>
      </c>
      <c r="N14" s="12" t="n">
        <v>3651028481.69255</v>
      </c>
      <c r="O14" s="12" t="n">
        <v>4331876439.94251</v>
      </c>
      <c r="P14" s="12" t="n">
        <v>3862900829.02222</v>
      </c>
      <c r="Q14" s="12" t="n">
        <v>3346251836.87217</v>
      </c>
      <c r="R14" s="12" t="n">
        <v>3915844095.65192</v>
      </c>
      <c r="S14" s="12" t="n">
        <v>3185055702.27297</v>
      </c>
      <c r="T14" s="12" t="n">
        <v>3006637860.30859</v>
      </c>
      <c r="U14" s="12" t="n">
        <v>2962410455.77047</v>
      </c>
      <c r="V14" s="12" t="n">
        <v>3099568949.21982</v>
      </c>
      <c r="W14" s="12" t="n">
        <v>3585107597.06554</v>
      </c>
      <c r="X14" s="12" t="n">
        <v>4557589002.27127</v>
      </c>
      <c r="Y14" s="12" t="n">
        <v>6204166031.86548</v>
      </c>
      <c r="Z14" s="12" t="n">
        <v>6370125787.97752</v>
      </c>
      <c r="AA14" s="12" t="n">
        <v>9188458833.17376</v>
      </c>
      <c r="AB14" s="12" t="n">
        <v>8311936373.45089</v>
      </c>
      <c r="AC14" s="12" t="n">
        <v>7967949746.94724</v>
      </c>
      <c r="AD14" s="12" t="n">
        <v>8432187698.85501</v>
      </c>
      <c r="AE14" s="12" t="n">
        <v>7949690626.01347</v>
      </c>
      <c r="AF14" s="12" t="n">
        <v>7087736338.28622</v>
      </c>
      <c r="AG14" s="12" t="n">
        <v>7314627675.25509</v>
      </c>
      <c r="AH14" s="12" t="n">
        <v>7217897076.56817</v>
      </c>
      <c r="AI14" s="12" t="n">
        <v>5545708359.8317</v>
      </c>
      <c r="AJ14" s="12" t="n">
        <v>5759584633.30634</v>
      </c>
      <c r="AK14" s="12" t="n">
        <v>5588096738.00711</v>
      </c>
      <c r="AL14" s="12" t="n">
        <v>5220411231.67886</v>
      </c>
      <c r="AM14" s="12" t="n">
        <v>5494556143.99275</v>
      </c>
      <c r="AN14" s="12" t="n">
        <v>7136550827.15518</v>
      </c>
      <c r="AO14" s="12" t="n">
        <v>6615606063.99967</v>
      </c>
      <c r="AP14" s="12" t="n">
        <v>6799412847.96836</v>
      </c>
      <c r="AQ14" s="12" t="n">
        <v>6857755115.0976</v>
      </c>
      <c r="AR14" s="12" t="n">
        <v>8191850221.2045</v>
      </c>
      <c r="AS14" s="12" t="n">
        <v>3050691068.21993</v>
      </c>
      <c r="AT14" s="12"/>
      <c r="AU14" s="12"/>
    </row>
    <row r="15">
      <c r="A15" t="str">
        <f>K15</f>
      </c>
      <c r="K15" t="s">
        <v>131</v>
      </c>
      <c r="L15" s="12" t="n">
        <v>11835398685.7046</v>
      </c>
      <c r="M15" s="12" t="n">
        <v>4562425837.5306</v>
      </c>
      <c r="N15" s="12" t="n">
        <v>5882208569.92406</v>
      </c>
      <c r="O15" s="12" t="n">
        <v>5432714256.40396</v>
      </c>
      <c r="P15" s="12" t="n">
        <v>2475979821.06561</v>
      </c>
      <c r="Q15" s="12" t="n">
        <v>4383476559.029</v>
      </c>
      <c r="R15" s="12" t="n">
        <v>5121577691.99643</v>
      </c>
      <c r="S15" s="12" t="n">
        <v>4371321629.38088</v>
      </c>
      <c r="T15" s="12" t="n">
        <v>3763614452.44487</v>
      </c>
      <c r="U15" s="12" t="n">
        <v>2248133145.06499</v>
      </c>
      <c r="V15" s="12" t="n">
        <v>1420496728.0901</v>
      </c>
      <c r="W15" s="12" t="n">
        <v>1906031811.64378</v>
      </c>
      <c r="X15" s="12" t="n">
        <v>2375344370.64908</v>
      </c>
      <c r="Y15" s="12" t="n">
        <v>555096170.107853</v>
      </c>
      <c r="Z15" s="12" t="n">
        <v>1877856865.13999</v>
      </c>
      <c r="AA15" s="12" t="n">
        <v>8828162472.18985</v>
      </c>
      <c r="AB15" s="12" t="n">
        <v>8216586909.95764</v>
      </c>
      <c r="AC15" s="12" t="n">
        <v>7804355131.23585</v>
      </c>
      <c r="AD15" s="12" t="n">
        <v>10335426660.1042</v>
      </c>
      <c r="AE15" s="12" t="n">
        <v>2639946210.20223</v>
      </c>
      <c r="AF15" s="12" t="n">
        <v>1292337391.51994</v>
      </c>
      <c r="AG15" s="12" t="n">
        <v>1083506195.0244</v>
      </c>
      <c r="AH15" s="12" t="n">
        <v>762326286.74808</v>
      </c>
      <c r="AI15" s="12" t="n">
        <v>652489049.34894</v>
      </c>
      <c r="AJ15" s="12" t="n">
        <v>243259740.051484</v>
      </c>
      <c r="AK15" s="12" t="n">
        <v>75872925.3419311</v>
      </c>
      <c r="AL15" s="12" t="n">
        <v>115081289.85424</v>
      </c>
      <c r="AM15" s="12" t="n">
        <v>177225966.394476</v>
      </c>
      <c r="AN15" s="12" t="n">
        <v>-996098.439435317</v>
      </c>
      <c r="AO15" s="12" t="n">
        <v>20164913.7105386</v>
      </c>
      <c r="AP15" s="12" t="n">
        <v>402783063.462971</v>
      </c>
      <c r="AQ15" s="12" t="n">
        <v>255383897.705678</v>
      </c>
      <c r="AR15" s="12" t="n">
        <v>3033068.4675</v>
      </c>
      <c r="AS15" s="12" t="n">
        <v>524576.830061368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../output/AcqTrends/Platform//Other_Products/DoD_Other_Products_Contracts.xlsx</dc:creator>
  <cp:lastModifiedBy>../output/AcqTrends/Platform//Other_Products/DoD_Other_Products_Contracts.xlsx</cp:lastModifiedBy>
  <dcterms:created xsi:type="dcterms:W3CDTF">2023-11-12T22:34:44Z</dcterms:created>
</coreProperties>
</file>