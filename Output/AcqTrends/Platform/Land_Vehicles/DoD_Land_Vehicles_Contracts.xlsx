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<sst xmlns="http://schemas.openxmlformats.org/spreadsheetml/2006/main" count="218" uniqueCount="218">
  <si>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</si>
  <si>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</si>
  <si>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</si>
  <si>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</si>
  <si>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</si>
  <si>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</si>
  <si>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</si>
  <si>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</si>
  <si>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</si>
  <si>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</si>
  <si>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</si>
  <si>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</si>
  <si>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</si>
  <si>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</si>
  <si>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</si>
  <si>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</si>
  <si>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</si>
  <si>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</si>
  <si>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</si>
  <si>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</si>
  <si>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</si>
  <si>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</si>
  <si>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</si>
  <si>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</si>
  <si>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</si>
  <si>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</si>
  <si>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</si>
  <si>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</si>
  <si>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</si>
  <si>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</si>
  <si>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</si>
  <si>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</si>
  <si>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</si>
  <si>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</si>
  <si>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</si>
  <si>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</si>
  <si>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</si>
  <si>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</si>
  <si>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</si>
  <si>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</si>
  <si>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</si>
  <si>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</si>
  <si>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</si>
  <si>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</si>
  <si>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</si>
  <si>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</si>
  <si>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</si>
  <si>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</si>
  <si>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</si>
  <si>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</si>
  <si>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</si>
  <si>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</si>
  <si>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</si>
  <si>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</si>
  <si>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</si>
  <si>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</si>
  <si>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</si>
  <si>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</si>
  <si>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</si>
  <si>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</si>
  <si>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</si>
  <si>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</si>
  <si>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</si>
  <si>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</si>
  <si>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</si>
  <si>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</si>
  <si>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</si>
  <si>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</si>
  <si>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</si>
  <si>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</si>
  <si>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</si>
  <si>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</si>
  <si>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ABRAMS SERIES (M1/M1A1/M1</t>
  </si>
  <si>
    <t xml:space="preserve">ABRAMS UPGRADE</t>
  </si>
  <si>
    <t xml:space="preserve">AMPV</t>
  </si>
  <si>
    <t xml:space="preserve">BRADLEY FVS</t>
  </si>
  <si>
    <t xml:space="preserve">FCS</t>
  </si>
  <si>
    <t xml:space="preserve">FSCS</t>
  </si>
  <si>
    <t xml:space="preserve">LAV (NAVY)</t>
  </si>
  <si>
    <t xml:space="preserve">M1/M1A1 ABRAMS TANK</t>
  </si>
  <si>
    <t xml:space="preserve">Other Labeled Project</t>
  </si>
  <si>
    <t xml:space="preserve">STRYKER (IAV)</t>
  </si>
  <si>
    <t xml:space="preserve">TopPStext</t>
  </si>
  <si>
    <t xml:space="preserve">COMBAT ASSAULT &amp;
TACTICAL VEH</t>
  </si>
  <si>
    <t xml:space="preserve">COMBAT ASSAULT AND
TACTICAL VEHICLES
WHEELED</t>
  </si>
  <si>
    <t xml:space="preserve">GROUND EFFECT
VEHICLES</t>
  </si>
  <si>
    <t xml:space="preserve">MAINT-REP OF
VEHICLES-TRAILERS-CYC</t>
  </si>
  <si>
    <t xml:space="preserve">MISCELLANEOUS
VEHICULAR
COMPONENTS</t>
  </si>
  <si>
    <t xml:space="preserve">Other Labeled PSC</t>
  </si>
  <si>
    <t xml:space="preserve">R&amp;D- OTHER RESEARCH
AND DEVELOPMENT
(OPERATIONAL
SYSTEMS
DEVELOPMENT)</t>
  </si>
  <si>
    <t xml:space="preserve">TRUCKS AND TRUCK
TRACTORS, WHEELED</t>
  </si>
  <si>
    <t xml:space="preserve">VEH BRAKE STEERING
AXLE WHEEL COMP</t>
  </si>
  <si>
    <t xml:space="preserve">VEH POWER
TRANSMISSION
COMPONENTS</t>
  </si>
  <si>
    <t xml:space="preserve">VEHICULAR FURNITURE
AND ACCESSORIES</t>
  </si>
  <si>
    <t xml:space="preserve">Project.Name</t>
  </si>
  <si>
    <t xml:space="preserve">ProjectID</t>
  </si>
  <si>
    <t xml:space="preserve">155 MM HIP</t>
  </si>
  <si>
    <t xml:space="preserve">443</t>
  </si>
  <si>
    <t xml:space="preserve">466</t>
  </si>
  <si>
    <t xml:space="preserve">469</t>
  </si>
  <si>
    <t xml:space="preserve">579</t>
  </si>
  <si>
    <t xml:space="preserve">&lt;5KW 60 CYCLE GE</t>
  </si>
  <si>
    <t xml:space="preserve">ACWS</t>
  </si>
  <si>
    <t xml:space="preserve">AFAS (PRE-MS I) 155MM SP</t>
  </si>
  <si>
    <t xml:space="preserve">AIR CARGO MATERIALS HAND</t>
  </si>
  <si>
    <t xml:space="preserve">AIR TRAFFIC CNTL COMM CON</t>
  </si>
  <si>
    <t xml:space="preserve">AIRCRAFT TOW MB-2</t>
  </si>
  <si>
    <t xml:space="preserve">ARMORED SECURITY VEHICLE</t>
  </si>
  <si>
    <t xml:space="preserve">ATM</t>
  </si>
  <si>
    <t xml:space="preserve">BOAT BRIDGE ERECT DE 27 F</t>
  </si>
  <si>
    <t xml:space="preserve">BRADLEY UPGRADE</t>
  </si>
  <si>
    <t xml:space="preserve">BRADLEY, INFANTRY FT VEH</t>
  </si>
  <si>
    <t xml:space="preserve">BRADLEY,INFANTRY FT VEH F</t>
  </si>
  <si>
    <t xml:space="preserve">BSM</t>
  </si>
  <si>
    <t xml:space="preserve">CALIBRATIONS SET, EQUIPME</t>
  </si>
  <si>
    <t xml:space="preserve">CARGO 1 1/2 TON M105 TRAI</t>
  </si>
  <si>
    <t xml:space="preserve">CARGO 3/4 TON M101</t>
  </si>
  <si>
    <t xml:space="preserve">CARGO 5 TON M54A2C</t>
  </si>
  <si>
    <t xml:space="preserve">CARRIER M113 MODS</t>
  </si>
  <si>
    <t xml:space="preserve">CBDP</t>
  </si>
  <si>
    <t xml:space="preserve">CRANE 5 TON 3/8 CU YD</t>
  </si>
  <si>
    <t xml:space="preserve">CRANE HYDRAULIC 25 TON (C</t>
  </si>
  <si>
    <t xml:space="preserve">CRANE WHEEL MTD 20T 3/4 C</t>
  </si>
  <si>
    <t xml:space="preserve">CRAWLER T-11 W/RIPPER CCE</t>
  </si>
  <si>
    <t xml:space="preserve">CRUSADER</t>
  </si>
  <si>
    <t xml:space="preserve">DAD</t>
  </si>
  <si>
    <t xml:space="preserve">DAL</t>
  </si>
  <si>
    <t xml:space="preserve">DJM</t>
  </si>
  <si>
    <t xml:space="preserve">DJN</t>
  </si>
  <si>
    <t xml:space="preserve">DKE</t>
  </si>
  <si>
    <t xml:space="preserve">DPH</t>
  </si>
  <si>
    <t xml:space="preserve">DPPS</t>
  </si>
  <si>
    <t xml:space="preserve">EDK</t>
  </si>
  <si>
    <t xml:space="preserve">EFV (AAAV)</t>
  </si>
  <si>
    <t xml:space="preserve">FIRE SPT ADA CONVERSION</t>
  </si>
  <si>
    <t xml:space="preserve">FIV</t>
  </si>
  <si>
    <t xml:space="preserve">FMTV</t>
  </si>
  <si>
    <t xml:space="preserve">FORK LIFT 10000 LB DD PT</t>
  </si>
  <si>
    <t xml:space="preserve">FORK LIFT 15000 LB</t>
  </si>
  <si>
    <t xml:space="preserve">FORK LIFT 4000 LB GE PT</t>
  </si>
  <si>
    <t xml:space="preserve">FORK LIFT 50000 LB</t>
  </si>
  <si>
    <t xml:space="preserve">FORK LIFT 6000 LB GE PT</t>
  </si>
  <si>
    <t xml:space="preserve">FORK LIFT ATLAS</t>
  </si>
  <si>
    <t xml:space="preserve">Family Med Tact Veh (FMTV</t>
  </si>
  <si>
    <t xml:space="preserve">GBSD</t>
  </si>
  <si>
    <t xml:space="preserve">GCSS-A INC 1</t>
  </si>
  <si>
    <t xml:space="preserve">GCSS-A INC 2</t>
  </si>
  <si>
    <t xml:space="preserve">GENERATING PLNTS TRL MTD</t>
  </si>
  <si>
    <t xml:space="preserve">H. MOB. MP WHEELED VEH (H</t>
  </si>
  <si>
    <t xml:space="preserve">HIGH MOBILITY TRAILER</t>
  </si>
  <si>
    <t xml:space="preserve">HMMLTV</t>
  </si>
  <si>
    <t xml:space="preserve">HMMWV</t>
  </si>
  <si>
    <t xml:space="preserve">HVY EXPANDED MOB. TAC TRU</t>
  </si>
  <si>
    <t xml:space="preserve">IMDS</t>
  </si>
  <si>
    <t xml:space="preserve">INTGR FAMILY OF TEST EQUI</t>
  </si>
  <si>
    <t xml:space="preserve">LAB PETROLEUM MODULAR BAS</t>
  </si>
  <si>
    <t xml:space="preserve">LANDING VEH TRACKED AMPHI</t>
  </si>
  <si>
    <t xml:space="preserve">LAV (ARMY)</t>
  </si>
  <si>
    <t xml:space="preserve">LIGHT ARMORED VEHICLE (LA</t>
  </si>
  <si>
    <t xml:space="preserve">LMP</t>
  </si>
  <si>
    <t xml:space="preserve">LOADER A/C 40K</t>
  </si>
  <si>
    <t xml:space="preserve">LOADER SCOOP TYPE 4-6 CU</t>
  </si>
  <si>
    <t xml:space="preserve">LOW BED 52 1/2 TON M747</t>
  </si>
  <si>
    <t xml:space="preserve">LOW SPEED(FT)DIESEL MEDIU</t>
  </si>
  <si>
    <t xml:space="preserve">LVTC-7</t>
  </si>
  <si>
    <t xml:space="preserve">LVTP-7</t>
  </si>
  <si>
    <t xml:space="preserve">M-551 RANGE FINDER LASER</t>
  </si>
  <si>
    <t xml:space="preserve">M-60 COMBAT 105MM GUN</t>
  </si>
  <si>
    <t xml:space="preserve">M-857 SEMI-TRAILER</t>
  </si>
  <si>
    <t xml:space="preserve">M102 105MM LT TOWED HOW</t>
  </si>
  <si>
    <t xml:space="preserve">M109 155MM MED SP HOW</t>
  </si>
  <si>
    <t xml:space="preserve">M60A2 TANK</t>
  </si>
  <si>
    <t xml:space="preserve">M871 22.5 TON</t>
  </si>
  <si>
    <t xml:space="preserve">M872 34 TON</t>
  </si>
  <si>
    <t xml:space="preserve">M88A2 Heavy Equipment Recovery Combat Utility Lift Evacuation System (M88A2 HERCULES)</t>
  </si>
  <si>
    <t xml:space="preserve">MK-56 ROCKET MOTOR</t>
  </si>
  <si>
    <t xml:space="preserve">MNVR</t>
  </si>
  <si>
    <t xml:space="preserve">MSE</t>
  </si>
  <si>
    <t xml:space="preserve">MULTI SYS TEST EQUIP (MTE</t>
  </si>
  <si>
    <t xml:space="preserve">NON-SYSTEM TRAINING DEVIC</t>
  </si>
  <si>
    <t xml:space="preserve">PALLETIZED LOADING SYSTEM</t>
  </si>
  <si>
    <t xml:space="preserve">PLS (FHTV)</t>
  </si>
  <si>
    <t xml:space="preserve">RECOVERY VEHICLE M88 IMPR</t>
  </si>
  <si>
    <t xml:space="preserve">SEDAN 4 DR 4X2</t>
  </si>
  <si>
    <t xml:space="preserve">SHOP EQUIPMENT MAINT TRK</t>
  </si>
  <si>
    <t xml:space="preserve">SIMP TEST EQMT - INT COMB</t>
  </si>
  <si>
    <t xml:space="preserve">SPS</t>
  </si>
  <si>
    <t xml:space="preserve">STATUS OF FORCES AGREEMENT</t>
  </si>
  <si>
    <t xml:space="preserve">Stryker Armored Vehicles</t>
  </si>
  <si>
    <t xml:space="preserve">TANK (FUEL SVC) M131 SEMI</t>
  </si>
  <si>
    <t xml:space="preserve">TANK FUEL 5,000 GAL XM438</t>
  </si>
  <si>
    <t xml:space="preserve">TANK FUEL R-9 5000 GAL</t>
  </si>
  <si>
    <t xml:space="preserve">TANK WATER 4,000 GAL M149</t>
  </si>
  <si>
    <t xml:space="preserve">TANK WATER 400 GAL M149 T</t>
  </si>
  <si>
    <t xml:space="preserve">TOW FLIGHTLINE</t>
  </si>
  <si>
    <t xml:space="preserve">TRACTOR M915 50,000 LB</t>
  </si>
  <si>
    <t xml:space="preserve">TRACTOR M915A2/M916A LINE</t>
  </si>
  <si>
    <t xml:space="preserve">TRAILERS</t>
  </si>
  <si>
    <t xml:space="preserve">TRUCK CONCRETE</t>
  </si>
  <si>
    <t xml:space="preserve">TRUCKS 10T</t>
  </si>
  <si>
    <t xml:space="preserve">TRUCKS 2 1/2T</t>
  </si>
  <si>
    <t xml:space="preserve">TRUCKS 5T</t>
  </si>
  <si>
    <t xml:space="preserve">TRUCKS &lt;1T</t>
  </si>
  <si>
    <t xml:space="preserve">TRUCKS &gt;10T</t>
  </si>
  <si>
    <t xml:space="preserve">UNIVERSAL(FT)W/DOZER</t>
  </si>
  <si>
    <t xml:space="preserve">VEHICLES</t>
  </si>
  <si>
    <t xml:space="preserve">VH-92A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</si>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</sst>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216</v>
      </c>
      <c r="AW1" t="s">
        <v>217</v>
      </c>
    </row>
    <row r="2">
      <c r="A2" t="str">
        <f>M2</f>
      </c>
      <c r="M2" t="s">
        <v>35</v>
      </c>
      <c r="N2" s="1" t="n">
        <v>3602948000</v>
      </c>
      <c r="O2" s="1" t="n">
        <v>5777698183</v>
      </c>
      <c r="P2" s="1" t="n">
        <v>3442831184</v>
      </c>
      <c r="Q2" s="1" t="n">
        <v>3665247123</v>
      </c>
      <c r="R2" s="1" t="n">
        <v>2931017504</v>
      </c>
      <c r="S2" s="1" t="n">
        <v>2310002172</v>
      </c>
      <c r="T2" s="1" t="n">
        <v>2626867564</v>
      </c>
      <c r="U2" s="1" t="n">
        <v>3718677532</v>
      </c>
      <c r="V2" s="1" t="n">
        <v>3193060830</v>
      </c>
      <c r="W2" s="1" t="n">
        <v>4467990376</v>
      </c>
      <c r="X2" s="1" t="n">
        <v>2782364582.4375</v>
      </c>
      <c r="Y2" s="1" t="n">
        <v>2367420111.2609</v>
      </c>
      <c r="Z2" s="1" t="n">
        <v>4062575748.7451</v>
      </c>
      <c r="AA2" s="1" t="n">
        <v>8793972666.5569</v>
      </c>
      <c r="AB2" s="1" t="n">
        <v>7076340883.8406</v>
      </c>
      <c r="AC2" s="1" t="n">
        <v>11400322123.6242</v>
      </c>
      <c r="AD2" s="1" t="n">
        <v>10972455372.4823</v>
      </c>
      <c r="AE2" s="1" t="n">
        <v>23071480008.9941</v>
      </c>
      <c r="AF2" s="1" t="n">
        <v>34807161148.0298</v>
      </c>
      <c r="AG2" s="1" t="n">
        <v>23567102142.5534</v>
      </c>
      <c r="AH2" s="1" t="n">
        <v>22476126762.142</v>
      </c>
      <c r="AI2" s="1" t="n">
        <v>17374071467.41</v>
      </c>
      <c r="AJ2" s="1" t="n">
        <v>9848603507.6286</v>
      </c>
      <c r="AK2" s="1" t="n">
        <v>6212108763.0076</v>
      </c>
      <c r="AL2" s="1" t="n">
        <v>4944632169.5221</v>
      </c>
      <c r="AM2" s="1" t="n">
        <v>6612374145.483</v>
      </c>
      <c r="AN2" s="1" t="n">
        <v>6280467328.1898</v>
      </c>
      <c r="AO2" s="1" t="n">
        <v>7191776612.0129</v>
      </c>
      <c r="AP2" s="1" t="n">
        <v>9981281923.9662</v>
      </c>
      <c r="AQ2" s="1" t="n">
        <v>10621480231.6057</v>
      </c>
      <c r="AR2" s="1" t="n">
        <v>9559025186.2797</v>
      </c>
      <c r="AS2" s="1" t="n">
        <v>7313889351.1837</v>
      </c>
      <c r="AT2" s="1" t="n">
        <v>8703171599.1497</v>
      </c>
      <c r="AU2" s="1" t="n">
        <v>11273038492.4866</v>
      </c>
      <c r="AV2" s="1" t="n">
        <v>10131310503.3732</v>
      </c>
      <c r="AW2" s="1" t="n">
        <v>5274179168.6</v>
      </c>
      <c r="AX2" s="1"/>
      <c r="AY2" s="1"/>
    </row>
    <row r="3">
      <c r="A3" t="str">
        <f>M3</f>
      </c>
      <c r="M3" t="s">
        <v>36</v>
      </c>
      <c r="N3" s="1" t="n">
        <v>352050000</v>
      </c>
      <c r="O3" s="1" t="n">
        <v>484900000</v>
      </c>
      <c r="P3" s="1" t="n">
        <v>443708830</v>
      </c>
      <c r="Q3" s="1" t="n">
        <v>429785209</v>
      </c>
      <c r="R3" s="1" t="n">
        <v>349171791</v>
      </c>
      <c r="S3" s="1" t="n">
        <v>382445570</v>
      </c>
      <c r="T3" s="1" t="n">
        <v>531892374</v>
      </c>
      <c r="U3" s="1" t="n">
        <v>467218066</v>
      </c>
      <c r="V3" s="1" t="n">
        <v>346932977</v>
      </c>
      <c r="W3" s="1" t="n">
        <v>373599515</v>
      </c>
      <c r="X3" s="1" t="n">
        <v>209449385</v>
      </c>
      <c r="Y3" s="1" t="n">
        <v>412702576</v>
      </c>
      <c r="Z3" s="1" t="n">
        <v>390143838.8008</v>
      </c>
      <c r="AA3" s="1" t="n">
        <v>241577284</v>
      </c>
      <c r="AB3" s="1" t="n">
        <v>493484353</v>
      </c>
      <c r="AC3" s="1" t="n">
        <v>1036489709.5125</v>
      </c>
      <c r="AD3" s="1" t="n">
        <v>3459369344.2169</v>
      </c>
      <c r="AE3" s="1" t="n">
        <v>3481653834.3848</v>
      </c>
      <c r="AF3" s="1" t="n">
        <v>3339866551.2595</v>
      </c>
      <c r="AG3" s="1" t="n">
        <v>3310468756.0942</v>
      </c>
      <c r="AH3" s="1" t="n">
        <v>1802932763.3673</v>
      </c>
      <c r="AI3" s="1" t="n">
        <v>1223600957.4361</v>
      </c>
      <c r="AJ3" s="1" t="n">
        <v>161307877.3427</v>
      </c>
      <c r="AK3" s="1" t="n">
        <v>222817682.8022</v>
      </c>
      <c r="AL3" s="1" t="n">
        <v>210582720.2094</v>
      </c>
      <c r="AM3" s="1" t="n">
        <v>131502971.9972</v>
      </c>
      <c r="AN3" s="1" t="n">
        <v>109397196.0009</v>
      </c>
      <c r="AO3" s="1" t="n">
        <v>17479270.992</v>
      </c>
      <c r="AP3" s="1" t="n">
        <v>283621435.0905</v>
      </c>
      <c r="AQ3" s="1" t="n">
        <v>123414837.7078</v>
      </c>
      <c r="AR3" s="1" t="n">
        <v>379370984.1182</v>
      </c>
      <c r="AS3" s="1" t="n">
        <v>468449792.8695</v>
      </c>
      <c r="AT3" s="1" t="n">
        <v>481766303.0172</v>
      </c>
      <c r="AU3" s="1" t="n">
        <v>401635965.2288</v>
      </c>
      <c r="AV3" s="1" t="n">
        <v>406149124.6</v>
      </c>
      <c r="AW3" s="1" t="n">
        <v>181318186.61</v>
      </c>
      <c r="AX3" s="1"/>
      <c r="AY3" s="1"/>
    </row>
    <row r="4">
      <c r="A4" t="str">
        <f>M4</f>
      </c>
      <c r="M4" t="s">
        <v>37</v>
      </c>
      <c r="N4" s="1" t="n">
        <v>325923000</v>
      </c>
      <c r="O4" s="1" t="n">
        <v>250890706</v>
      </c>
      <c r="P4" s="1" t="n">
        <v>283287436</v>
      </c>
      <c r="Q4" s="1" t="n">
        <v>296823198</v>
      </c>
      <c r="R4" s="1" t="n">
        <v>339740116</v>
      </c>
      <c r="S4" s="1" t="n">
        <v>406966917</v>
      </c>
      <c r="T4" s="1" t="n">
        <v>523348130</v>
      </c>
      <c r="U4" s="1" t="n">
        <v>526944119</v>
      </c>
      <c r="V4" s="1" t="n">
        <v>406171800</v>
      </c>
      <c r="W4" s="1" t="n">
        <v>458026096</v>
      </c>
      <c r="X4" s="1" t="n">
        <v>403546157.9815</v>
      </c>
      <c r="Y4" s="1" t="n">
        <v>517666973</v>
      </c>
      <c r="Z4" s="1" t="n">
        <v>332038250.8003</v>
      </c>
      <c r="AA4" s="1" t="n">
        <v>605962582.9618</v>
      </c>
      <c r="AB4" s="1" t="n">
        <v>975665449.7647</v>
      </c>
      <c r="AC4" s="1" t="n">
        <v>2824960730.4741</v>
      </c>
      <c r="AD4" s="1" t="n">
        <v>1699922569.2209</v>
      </c>
      <c r="AE4" s="1" t="n">
        <v>1645463031.284</v>
      </c>
      <c r="AF4" s="1" t="n">
        <v>1610188360.7929</v>
      </c>
      <c r="AG4" s="1" t="n">
        <v>1957559296.4353</v>
      </c>
      <c r="AH4" s="1" t="n">
        <v>1053164808.3092</v>
      </c>
      <c r="AI4" s="1" t="n">
        <v>977884797.1465</v>
      </c>
      <c r="AJ4" s="1" t="n">
        <v>818761742.7562</v>
      </c>
      <c r="AK4" s="1" t="n">
        <v>1000187355.779</v>
      </c>
      <c r="AL4" s="1" t="n">
        <v>670257344.6958</v>
      </c>
      <c r="AM4" s="1" t="n">
        <v>749895126.6561</v>
      </c>
      <c r="AN4" s="1" t="n">
        <v>962534505.2545</v>
      </c>
      <c r="AO4" s="1" t="n">
        <v>1049923712.4632</v>
      </c>
      <c r="AP4" s="1" t="n">
        <v>2400828603.3252</v>
      </c>
      <c r="AQ4" s="1" t="n">
        <v>2174495875.4074</v>
      </c>
      <c r="AR4" s="1" t="n">
        <v>1815238461.1712</v>
      </c>
      <c r="AS4" s="1" t="n">
        <v>1900338322.1935</v>
      </c>
      <c r="AT4" s="1" t="n">
        <v>1635714808.9438</v>
      </c>
      <c r="AU4" s="1" t="n">
        <v>2859862104.9739</v>
      </c>
      <c r="AV4" s="1" t="n">
        <v>3175405886.2701</v>
      </c>
      <c r="AW4" s="1" t="n">
        <v>1587364611.53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208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216</v>
      </c>
      <c r="AW9" t="s">
        <v>217</v>
      </c>
    </row>
    <row r="10">
      <c r="A10" t="str">
        <f>M10</f>
      </c>
      <c r="M10" t="s">
        <v>35</v>
      </c>
      <c r="N10" s="1" t="n">
        <v>7451912269.15559</v>
      </c>
      <c r="O10" s="1" t="n">
        <v>11537438527.5309</v>
      </c>
      <c r="P10" s="1" t="n">
        <v>6707092286.87204</v>
      </c>
      <c r="Q10" s="1" t="n">
        <v>6976714739.20824</v>
      </c>
      <c r="R10" s="1" t="n">
        <v>5459931434.326</v>
      </c>
      <c r="S10" s="1" t="n">
        <v>4213717354.31706</v>
      </c>
      <c r="T10" s="1" t="n">
        <v>4703164028.25915</v>
      </c>
      <c r="U10" s="1" t="n">
        <v>6541849928.0145</v>
      </c>
      <c r="V10" s="1" t="n">
        <v>5547636433.69607</v>
      </c>
      <c r="W10" s="1" t="n">
        <v>7667757414.94505</v>
      </c>
      <c r="X10" s="1" t="n">
        <v>4677637301.10305</v>
      </c>
      <c r="Y10" s="1" t="n">
        <v>3885854145.73635</v>
      </c>
      <c r="Z10" s="1" t="n">
        <v>6564980431.60872</v>
      </c>
      <c r="AA10" s="1" t="n">
        <v>13943112647.4642</v>
      </c>
      <c r="AB10" s="1" t="n">
        <v>10952313068.6938</v>
      </c>
      <c r="AC10" s="1" t="n">
        <v>17123628920.6703</v>
      </c>
      <c r="AD10" s="1" t="n">
        <v>15962431495.4425</v>
      </c>
      <c r="AE10" s="1" t="n">
        <v>32664527550.1288</v>
      </c>
      <c r="AF10" s="1" t="n">
        <v>48277583906.6055</v>
      </c>
      <c r="AG10" s="1" t="n">
        <v>32356722043.56</v>
      </c>
      <c r="AH10" s="1" t="n">
        <v>30593898225.3463</v>
      </c>
      <c r="AI10" s="1" t="n">
        <v>23183787772.0148</v>
      </c>
      <c r="AJ10" s="1" t="n">
        <v>12907655471.7296</v>
      </c>
      <c r="AK10" s="1" t="n">
        <v>7996542406.84393</v>
      </c>
      <c r="AL10" s="1" t="n">
        <v>6250944997.36047</v>
      </c>
      <c r="AM10" s="1" t="n">
        <v>8273600983.24832</v>
      </c>
      <c r="AN10" s="1" t="n">
        <v>7795979734.39117</v>
      </c>
      <c r="AO10" s="1" t="n">
        <v>8779001711.97059</v>
      </c>
      <c r="AP10" s="1" t="n">
        <v>11919537116.443</v>
      </c>
      <c r="AQ10" s="1" t="n">
        <v>12453790148.9291</v>
      </c>
      <c r="AR10" s="1" t="n">
        <v>11063527110.2316</v>
      </c>
      <c r="AS10" s="1" t="n">
        <v>8183377388.61306</v>
      </c>
      <c r="AT10" s="1" t="n">
        <v>9101312063.06271</v>
      </c>
      <c r="AU10" s="1" t="n">
        <v>11273038492.4866</v>
      </c>
      <c r="AV10" s="1" t="n">
        <v>9867781645.17065</v>
      </c>
      <c r="AW10" s="1" t="n">
        <v>5026694652.8344</v>
      </c>
      <c r="AX10" s="1"/>
      <c r="AY10" s="1"/>
    </row>
    <row r="11">
      <c r="A11" t="str">
        <f>M11</f>
      </c>
      <c r="M11" t="s">
        <v>36</v>
      </c>
      <c r="N11" s="1" t="n">
        <v>728138655.999538</v>
      </c>
      <c r="O11" s="1" t="n">
        <v>968292867.644198</v>
      </c>
      <c r="P11" s="1" t="n">
        <v>864403716.667979</v>
      </c>
      <c r="Q11" s="1" t="n">
        <v>818086394.095505</v>
      </c>
      <c r="R11" s="1" t="n">
        <v>650441027.751982</v>
      </c>
      <c r="S11" s="1" t="n">
        <v>697625982.747638</v>
      </c>
      <c r="T11" s="1" t="n">
        <v>952304225.224414</v>
      </c>
      <c r="U11" s="1" t="n">
        <v>821924042.923218</v>
      </c>
      <c r="V11" s="1" t="n">
        <v>602762717.5696</v>
      </c>
      <c r="W11" s="1" t="n">
        <v>641154123.059177</v>
      </c>
      <c r="X11" s="1" t="n">
        <v>352120732.902227</v>
      </c>
      <c r="Y11" s="1" t="n">
        <v>677404913.59243</v>
      </c>
      <c r="Z11" s="1" t="n">
        <v>630458808.806487</v>
      </c>
      <c r="AA11" s="1" t="n">
        <v>383028172.999684</v>
      </c>
      <c r="AB11" s="1" t="n">
        <v>763783884.535592</v>
      </c>
      <c r="AC11" s="1" t="n">
        <v>1556838918.5255</v>
      </c>
      <c r="AD11" s="1" t="n">
        <v>5032597016.7973</v>
      </c>
      <c r="AE11" s="1" t="n">
        <v>4929314354.73317</v>
      </c>
      <c r="AF11" s="1" t="n">
        <v>4632399838.05523</v>
      </c>
      <c r="AG11" s="1" t="n">
        <v>4545145887.1313</v>
      </c>
      <c r="AH11" s="1" t="n">
        <v>2454103505.16927</v>
      </c>
      <c r="AI11" s="1" t="n">
        <v>1632760920.08971</v>
      </c>
      <c r="AJ11" s="1" t="n">
        <v>211411344.156846</v>
      </c>
      <c r="AK11" s="1" t="n">
        <v>286822255.935494</v>
      </c>
      <c r="AL11" s="1" t="n">
        <v>266216162.556483</v>
      </c>
      <c r="AM11" s="1" t="n">
        <v>164540465.266827</v>
      </c>
      <c r="AN11" s="1" t="n">
        <v>135795360.194645</v>
      </c>
      <c r="AO11" s="1" t="n">
        <v>21336946.1040332</v>
      </c>
      <c r="AP11" s="1" t="n">
        <v>338697598.999057</v>
      </c>
      <c r="AQ11" s="1" t="n">
        <v>144705112.334868</v>
      </c>
      <c r="AR11" s="1" t="n">
        <v>439080459.130003</v>
      </c>
      <c r="AS11" s="1" t="n">
        <v>524139928.647993</v>
      </c>
      <c r="AT11" s="1" t="n">
        <v>503805470.830421</v>
      </c>
      <c r="AU11" s="1" t="n">
        <v>401635965.2288</v>
      </c>
      <c r="AV11" s="1" t="n">
        <v>395584645.796378</v>
      </c>
      <c r="AW11" s="1" t="n">
        <v>172810048.721961</v>
      </c>
      <c r="AX11" s="1"/>
      <c r="AY11" s="1"/>
    </row>
    <row r="12">
      <c r="A12" t="str">
        <f>M12</f>
      </c>
      <c r="M12" t="s">
        <v>37</v>
      </c>
      <c r="N12" s="1" t="n">
        <v>674100653.8257</v>
      </c>
      <c r="O12" s="1" t="n">
        <v>501001611.008491</v>
      </c>
      <c r="P12" s="1" t="n">
        <v>551881540.34199</v>
      </c>
      <c r="Q12" s="1" t="n">
        <v>564996222.882384</v>
      </c>
      <c r="R12" s="1" t="n">
        <v>632871600.499989</v>
      </c>
      <c r="S12" s="1" t="n">
        <v>742355821.817734</v>
      </c>
      <c r="T12" s="1" t="n">
        <v>937006544.602754</v>
      </c>
      <c r="U12" s="1" t="n">
        <v>926993351.072801</v>
      </c>
      <c r="V12" s="1" t="n">
        <v>705684481.43843</v>
      </c>
      <c r="W12" s="1" t="n">
        <v>786043097.296576</v>
      </c>
      <c r="X12" s="1" t="n">
        <v>678431062.990822</v>
      </c>
      <c r="Y12" s="1" t="n">
        <v>849692179.083272</v>
      </c>
      <c r="Z12" s="1" t="n">
        <v>536562209.264132</v>
      </c>
      <c r="AA12" s="1" t="n">
        <v>960772210.097485</v>
      </c>
      <c r="AB12" s="1" t="n">
        <v>1510073303.63816</v>
      </c>
      <c r="AC12" s="1" t="n">
        <v>4243176529.5353</v>
      </c>
      <c r="AD12" s="1" t="n">
        <v>2473001405.57386</v>
      </c>
      <c r="AE12" s="1" t="n">
        <v>2329641292.93577</v>
      </c>
      <c r="AF12" s="1" t="n">
        <v>2233333633.93294</v>
      </c>
      <c r="AG12" s="1" t="n">
        <v>2687653393.08201</v>
      </c>
      <c r="AH12" s="1" t="n">
        <v>1433539564.04085</v>
      </c>
      <c r="AI12" s="1" t="n">
        <v>1304879725.23022</v>
      </c>
      <c r="AJ12" s="1" t="n">
        <v>1073075434.57749</v>
      </c>
      <c r="AK12" s="1" t="n">
        <v>1287492043.42707</v>
      </c>
      <c r="AL12" s="1" t="n">
        <v>847331338.738441</v>
      </c>
      <c r="AM12" s="1" t="n">
        <v>938291288.534134</v>
      </c>
      <c r="AN12" s="1" t="n">
        <v>1194799543.48861</v>
      </c>
      <c r="AO12" s="1" t="n">
        <v>1281641876.05003</v>
      </c>
      <c r="AP12" s="1" t="n">
        <v>2867043117.8625</v>
      </c>
      <c r="AQ12" s="1" t="n">
        <v>2549617823.64883</v>
      </c>
      <c r="AR12" s="1" t="n">
        <v>2100940162.34294</v>
      </c>
      <c r="AS12" s="1" t="n">
        <v>2126253886.2495</v>
      </c>
      <c r="AT12" s="1" t="n">
        <v>1710543191.38382</v>
      </c>
      <c r="AU12" s="1" t="n">
        <v>2859862104.9739</v>
      </c>
      <c r="AV12" s="1" t="n">
        <v>3092809356.70368</v>
      </c>
      <c r="AW12" s="1" t="n">
        <v>1512879435.79559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41</v>
      </c>
      <c r="N2" t="s">
        <v>41</v>
      </c>
      <c r="O2" s="13" t="n">
        <v>342933000</v>
      </c>
      <c r="P2" s="13" t="n">
        <v>159735000</v>
      </c>
      <c r="Q2" s="13" t="n">
        <v>192066344</v>
      </c>
      <c r="R2" s="13" t="n">
        <v>145208659</v>
      </c>
      <c r="S2" s="13" t="n">
        <v>1265040231</v>
      </c>
      <c r="T2" s="13" t="n">
        <v>179400474</v>
      </c>
      <c r="U2" s="13" t="n">
        <v>127505321</v>
      </c>
      <c r="V2" s="13" t="n">
        <v>118638031</v>
      </c>
      <c r="W2" s="13" t="n">
        <v>171231096</v>
      </c>
      <c r="X2" s="13" t="n">
        <v>248227020</v>
      </c>
      <c r="Y2" s="13" t="n">
        <v>238117034</v>
      </c>
      <c r="Z2" s="13" t="n">
        <v>177784077.4609</v>
      </c>
      <c r="AA2" s="13" t="n">
        <v>196249384.8101</v>
      </c>
      <c r="AB2" s="13" t="n">
        <v>219867374</v>
      </c>
      <c r="AC2" s="13" t="n">
        <v>225814987.9</v>
      </c>
      <c r="AD2" s="13" t="n">
        <v>289011539.31</v>
      </c>
      <c r="AE2" s="13" t="n">
        <v>240105396.1712</v>
      </c>
      <c r="AF2" s="13" t="n">
        <v>285461942.847</v>
      </c>
      <c r="AG2" s="13" t="n">
        <v>160960417.1094</v>
      </c>
      <c r="AH2" s="13" t="n">
        <v>134836446.6877</v>
      </c>
      <c r="AI2" s="13" t="n">
        <v>123907481.4749</v>
      </c>
      <c r="AJ2" s="13" t="n">
        <v>148021360.2119</v>
      </c>
      <c r="AK2" s="13" t="n">
        <v>144739721.9563</v>
      </c>
      <c r="AL2" s="13" t="n">
        <v>534486152.3765</v>
      </c>
      <c r="AM2" s="13" t="n">
        <v>154956406.1867</v>
      </c>
      <c r="AN2" s="13" t="n">
        <v>218981837.1948</v>
      </c>
      <c r="AO2" s="13" t="n">
        <v>251143638.2402</v>
      </c>
      <c r="AP2" s="13" t="n">
        <v>294312871.8701</v>
      </c>
      <c r="AQ2" s="13" t="n">
        <v>903900179.011</v>
      </c>
      <c r="AR2" s="13" t="n">
        <v>967445568.1</v>
      </c>
      <c r="AS2" s="13" t="n">
        <v>752363764.4293</v>
      </c>
      <c r="AT2" s="13" t="n">
        <v>819054116.4404</v>
      </c>
      <c r="AU2" s="13" t="n">
        <v>730465272.6062</v>
      </c>
      <c r="AV2" s="13" t="n">
        <v>1882861193.0243</v>
      </c>
      <c r="AW2" s="13" t="n">
        <v>2059537121.1401</v>
      </c>
      <c r="AX2" s="13" t="n">
        <v>964786487.07</v>
      </c>
      <c r="AY2" s="13"/>
    </row>
    <row r="3">
      <c r="A3" t="str">
        <f>M3</f>
      </c>
      <c r="B3" t="str">
        <f>N3</f>
      </c>
      <c r="M3" t="s">
        <v>42</v>
      </c>
      <c r="N3" t="s">
        <v>42</v>
      </c>
      <c r="O3" s="13" t="n">
        <v>3719560000</v>
      </c>
      <c r="P3" s="13" t="n">
        <v>6088233000</v>
      </c>
      <c r="Q3" s="13" t="n">
        <v>3682471399</v>
      </c>
      <c r="R3" s="13" t="n">
        <v>4039011387</v>
      </c>
      <c r="S3" s="13" t="n">
        <v>225537379</v>
      </c>
      <c r="T3" s="13" t="n">
        <v>2703509938</v>
      </c>
      <c r="U3" s="13" t="n">
        <v>3305568630</v>
      </c>
      <c r="V3" s="13" t="n">
        <v>4267497462</v>
      </c>
      <c r="W3" s="13" t="n">
        <v>3491169608</v>
      </c>
      <c r="X3" s="13" t="n">
        <v>4603761396</v>
      </c>
      <c r="Y3" s="13" t="n">
        <v>2711518902.419</v>
      </c>
      <c r="Z3" s="13" t="n">
        <v>2572935202.8</v>
      </c>
      <c r="AA3" s="13" t="n">
        <v>3624593660.5361</v>
      </c>
      <c r="AB3" s="13" t="n">
        <v>8541273889.54</v>
      </c>
      <c r="AC3" s="13" t="n">
        <v>6725253899.7808</v>
      </c>
      <c r="AD3" s="13" t="n">
        <v>13179021648.5024</v>
      </c>
      <c r="AE3" s="13" t="n">
        <v>14005214809.6139</v>
      </c>
      <c r="AF3" s="13" t="n">
        <v>22313185094.7931</v>
      </c>
      <c r="AG3" s="13" t="n">
        <v>28557900087.8699</v>
      </c>
      <c r="AH3" s="13" t="n">
        <v>24060172788.1136</v>
      </c>
      <c r="AI3" s="13" t="n">
        <v>20053234932.7509</v>
      </c>
      <c r="AJ3" s="13" t="n">
        <v>14652100404.3176</v>
      </c>
      <c r="AK3" s="13" t="n">
        <v>7378169509.5406</v>
      </c>
      <c r="AL3" s="13" t="n">
        <v>5493859650.935</v>
      </c>
      <c r="AM3" s="13" t="n">
        <v>4126945711.6815</v>
      </c>
      <c r="AN3" s="13" t="n">
        <v>5527115659.3221</v>
      </c>
      <c r="AO3" s="13" t="n">
        <v>5023810020.4263</v>
      </c>
      <c r="AP3" s="13" t="n">
        <v>5684508262.5197</v>
      </c>
      <c r="AQ3" s="13" t="n">
        <v>8710236958.3654</v>
      </c>
      <c r="AR3" s="13" t="n">
        <v>8951929943.5929</v>
      </c>
      <c r="AS3" s="13" t="n">
        <v>8068173897.2062</v>
      </c>
      <c r="AT3" s="13" t="n">
        <v>6815736343.5701</v>
      </c>
      <c r="AU3" s="13" t="n">
        <v>7729694532.2808</v>
      </c>
      <c r="AV3" s="13" t="n">
        <v>10147744413.125</v>
      </c>
      <c r="AW3" s="13" t="n">
        <v>8707463502</v>
      </c>
      <c r="AX3" s="13" t="n">
        <v>4711768808.29</v>
      </c>
      <c r="AY3" s="13"/>
    </row>
    <row r="4">
      <c r="A4" t="str">
        <f>M4</f>
      </c>
      <c r="B4" t="str">
        <f>N4</f>
      </c>
      <c r="M4" t="s">
        <v>43</v>
      </c>
      <c r="N4" t="s">
        <v>44</v>
      </c>
      <c r="O4" s="13" t="n">
        <v>98082000</v>
      </c>
      <c r="P4" s="13" t="n">
        <v>135301000</v>
      </c>
      <c r="Q4" s="13" t="n">
        <v>116160591</v>
      </c>
      <c r="R4" s="13" t="n">
        <v>110680696</v>
      </c>
      <c r="S4" s="13" t="n">
        <v>108345925</v>
      </c>
      <c r="T4" s="13" t="n">
        <v>94321022</v>
      </c>
      <c r="U4" s="13" t="n">
        <v>128152993</v>
      </c>
      <c r="V4" s="13" t="n">
        <v>151830273</v>
      </c>
      <c r="W4" s="13" t="n">
        <v>137934225</v>
      </c>
      <c r="X4" s="13" t="n">
        <v>200529119</v>
      </c>
      <c r="Y4" s="13" t="n">
        <v>162224229</v>
      </c>
      <c r="Z4" s="13" t="n">
        <v>161889008</v>
      </c>
      <c r="AA4" s="13" t="n">
        <v>209020593</v>
      </c>
      <c r="AB4" s="13" t="n">
        <v>363085026</v>
      </c>
      <c r="AC4" s="13" t="n">
        <v>586985388.22</v>
      </c>
      <c r="AD4" s="13" t="n">
        <v>589787570.46</v>
      </c>
      <c r="AE4" s="13" t="n">
        <v>540275674.16</v>
      </c>
      <c r="AF4" s="13" t="n">
        <v>744069460.0523</v>
      </c>
      <c r="AG4" s="13" t="n">
        <v>1344987616.6622</v>
      </c>
      <c r="AH4" s="13" t="n">
        <v>1271439667.2007</v>
      </c>
      <c r="AI4" s="13" t="n">
        <v>1436716896.3637</v>
      </c>
      <c r="AJ4" s="13" t="n">
        <v>1160369264.6548</v>
      </c>
      <c r="AK4" s="13" t="n">
        <v>1163283684.2758</v>
      </c>
      <c r="AL4" s="13" t="n">
        <v>848636204.1059</v>
      </c>
      <c r="AM4" s="13" t="n">
        <v>1005616070.5511</v>
      </c>
      <c r="AN4" s="13" t="n">
        <v>1293532635.7167</v>
      </c>
      <c r="AO4" s="13" t="n">
        <v>1441417630.7703</v>
      </c>
      <c r="AP4" s="13" t="n">
        <v>1765733993.4348</v>
      </c>
      <c r="AQ4" s="13" t="n">
        <v>2312736456.2264</v>
      </c>
      <c r="AR4" s="13" t="n">
        <v>2196527271.7984</v>
      </c>
      <c r="AS4" s="13" t="n">
        <v>1970928254.5111</v>
      </c>
      <c r="AT4" s="13" t="n">
        <v>998751066.4992</v>
      </c>
      <c r="AU4" s="13" t="n">
        <v>1268520376.419</v>
      </c>
      <c r="AV4" s="13" t="n">
        <v>1330422297.8676</v>
      </c>
      <c r="AW4" s="13" t="n">
        <v>1505278787.07</v>
      </c>
      <c r="AX4" s="13" t="n">
        <v>734248695.55</v>
      </c>
      <c r="AY4" s="13"/>
    </row>
    <row r="5">
      <c r="A5" t="str">
        <f>M5</f>
      </c>
      <c r="B5" t="str">
        <f>N5</f>
      </c>
      <c r="M5" t="s">
        <v>45</v>
      </c>
      <c r="N5" t="s">
        <v>45</v>
      </c>
      <c r="O5" s="13" t="n">
        <v>117842000</v>
      </c>
      <c r="P5" s="13" t="n">
        <v>123549889</v>
      </c>
      <c r="Q5" s="13" t="n">
        <v>174336236</v>
      </c>
      <c r="R5" s="13" t="n">
        <v>95995364</v>
      </c>
      <c r="S5" s="13" t="n">
        <v>1332201432</v>
      </c>
      <c r="T5" s="13" t="n">
        <v>112672739</v>
      </c>
      <c r="U5" s="13" t="n">
        <v>118071912</v>
      </c>
      <c r="V5" s="13" t="n">
        <v>173353826</v>
      </c>
      <c r="W5" s="13" t="n">
        <v>144364456</v>
      </c>
      <c r="X5" s="13" t="n">
        <v>245031927</v>
      </c>
      <c r="Y5" s="13" t="n">
        <v>273490486</v>
      </c>
      <c r="Z5" s="13" t="n">
        <v>380130781</v>
      </c>
      <c r="AA5" s="13" t="n">
        <v>738750533</v>
      </c>
      <c r="AB5" s="13" t="n">
        <v>493945779.7969</v>
      </c>
      <c r="AC5" s="13" t="n">
        <v>978108415.281</v>
      </c>
      <c r="AD5" s="13" t="n">
        <v>1175625887.445</v>
      </c>
      <c r="AE5" s="13" t="n">
        <v>1325546673.1697</v>
      </c>
      <c r="AF5" s="13" t="n">
        <v>4827858192.982</v>
      </c>
      <c r="AG5" s="13" t="n">
        <v>9660511935.6484</v>
      </c>
      <c r="AH5" s="13" t="n">
        <v>3265308920.7498</v>
      </c>
      <c r="AI5" s="13" t="n">
        <v>3824480191.978</v>
      </c>
      <c r="AJ5" s="13" t="n">
        <v>3707641097.2612</v>
      </c>
      <c r="AK5" s="13" t="n">
        <v>2112769130.1197</v>
      </c>
      <c r="AL5" s="13" t="n">
        <v>534947701.1397</v>
      </c>
      <c r="AM5" s="13" t="n">
        <v>505578197.8576</v>
      </c>
      <c r="AN5" s="13" t="n">
        <v>385991644.2034</v>
      </c>
      <c r="AO5" s="13" t="n">
        <v>583357333.2972</v>
      </c>
      <c r="AP5" s="13" t="n">
        <v>387787572.1053</v>
      </c>
      <c r="AQ5" s="13" t="n">
        <v>601002495.4925</v>
      </c>
      <c r="AR5" s="13" t="n">
        <v>655248797.8125</v>
      </c>
      <c r="AS5" s="13" t="n">
        <v>831036678.1228</v>
      </c>
      <c r="AT5" s="13" t="n">
        <v>1017711996.0144</v>
      </c>
      <c r="AU5" s="13" t="n">
        <v>1043965182.4338</v>
      </c>
      <c r="AV5" s="13" t="n">
        <v>1151328890.5943</v>
      </c>
      <c r="AW5" s="13" t="n">
        <v>1423272382.2832</v>
      </c>
      <c r="AX5" s="13" t="n">
        <v>634639053.94</v>
      </c>
      <c r="AY5" s="13"/>
    </row>
    <row r="6">
      <c r="A6" t="str">
        <f>M6</f>
      </c>
      <c r="B6" t="str">
        <f>N6</f>
      </c>
      <c r="M6" t="s">
        <v>44</v>
      </c>
      <c r="N6" t="s">
        <v>44</v>
      </c>
      <c r="O6" s="13" t="n">
        <v>2504000</v>
      </c>
      <c r="P6" s="13" t="n">
        <v>6670000</v>
      </c>
      <c r="Q6" s="13" t="n">
        <v>4792880</v>
      </c>
      <c r="R6" s="13" t="n">
        <v>959424</v>
      </c>
      <c r="S6" s="13" t="n">
        <v>688804444</v>
      </c>
      <c r="T6" s="13" t="n">
        <v>9510486</v>
      </c>
      <c r="U6" s="13" t="n">
        <v>2809212</v>
      </c>
      <c r="V6" s="13" t="n">
        <v>1520125</v>
      </c>
      <c r="W6" s="13" t="n">
        <v>1466222</v>
      </c>
      <c r="X6" s="13" t="n">
        <v>2066525</v>
      </c>
      <c r="Y6" s="13" t="n">
        <v>10009474</v>
      </c>
      <c r="Z6" s="13" t="n">
        <v>5050591</v>
      </c>
      <c r="AA6" s="13" t="n">
        <v>16143667</v>
      </c>
      <c r="AB6" s="13" t="n">
        <v>23340464.1818</v>
      </c>
      <c r="AC6" s="13" t="n">
        <v>29327995.4235</v>
      </c>
      <c r="AD6" s="13" t="n">
        <v>28325917.8934</v>
      </c>
      <c r="AE6" s="13" t="n">
        <v>20604732.8053</v>
      </c>
      <c r="AF6" s="13" t="n">
        <v>28022183.9885</v>
      </c>
      <c r="AG6" s="13" t="n">
        <v>32856002.7923</v>
      </c>
      <c r="AH6" s="13" t="n">
        <v>103372372.3311</v>
      </c>
      <c r="AI6" s="13" t="n">
        <v>-106115168.749</v>
      </c>
      <c r="AJ6" s="13" t="n">
        <v>-92574904.4529</v>
      </c>
      <c r="AK6" s="13" t="n">
        <v>29711081.8351</v>
      </c>
      <c r="AL6" s="13" t="n">
        <v>23184093.0317</v>
      </c>
      <c r="AM6" s="13" t="n">
        <v>32375848.1504</v>
      </c>
      <c r="AN6" s="13" t="n">
        <v>68150467.6993</v>
      </c>
      <c r="AO6" s="13" t="n">
        <v>52670406.7112</v>
      </c>
      <c r="AP6" s="13" t="n">
        <v>126836895.5382</v>
      </c>
      <c r="AQ6" s="13" t="n">
        <v>137855873.2866</v>
      </c>
      <c r="AR6" s="13" t="n">
        <v>148239363.4171</v>
      </c>
      <c r="AS6" s="13" t="n">
        <v>131132037.2997</v>
      </c>
      <c r="AT6" s="13" t="n">
        <v>31423943.7226</v>
      </c>
      <c r="AU6" s="13" t="n">
        <v>48007347.3709</v>
      </c>
      <c r="AV6" s="13" t="n">
        <v>22179768.0781</v>
      </c>
      <c r="AW6" s="13" t="n">
        <v>17313721.75</v>
      </c>
      <c r="AX6" s="13" t="n">
        <v>-2581078.11</v>
      </c>
      <c r="AY6" s="13"/>
    </row>
    <row r="7">
      <c r="A7" t="str">
        <f>M7</f>
      </c>
      <c r="B7" t="str">
        <f>N7</f>
      </c>
      <c r="M7" t="s">
        <v>208</v>
      </c>
      <c r="N7" t="s">
        <v>209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216</v>
      </c>
      <c r="AX10" t="s">
        <v>217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13" t="n">
        <v>709282129.577872</v>
      </c>
      <c r="P11" s="13" t="n">
        <v>318973522.815314</v>
      </c>
      <c r="Q11" s="13" t="n">
        <v>374170740.754541</v>
      </c>
      <c r="R11" s="13" t="n">
        <v>276401387.821501</v>
      </c>
      <c r="S11" s="13" t="n">
        <v>2356530765.68045</v>
      </c>
      <c r="T11" s="13" t="n">
        <v>327247696.919701</v>
      </c>
      <c r="U11" s="13" t="n">
        <v>228286514.081315</v>
      </c>
      <c r="V11" s="13" t="n">
        <v>208706505.976526</v>
      </c>
      <c r="W11" s="13" t="n">
        <v>297497579.07096</v>
      </c>
      <c r="X11" s="13" t="n">
        <v>425995674.345811</v>
      </c>
      <c r="Y11" s="13" t="n">
        <v>400316021.594356</v>
      </c>
      <c r="Z11" s="13" t="n">
        <v>291812590.068521</v>
      </c>
      <c r="AA11" s="13" t="n">
        <v>317132147.355412</v>
      </c>
      <c r="AB11" s="13" t="n">
        <v>348606446.645282</v>
      </c>
      <c r="AC11" s="13" t="n">
        <v>349502162.725349</v>
      </c>
      <c r="AD11" s="13" t="n">
        <v>434104080.504953</v>
      </c>
      <c r="AE11" s="13" t="n">
        <v>349298840.41094</v>
      </c>
      <c r="AF11" s="13" t="n">
        <v>404156104.983473</v>
      </c>
      <c r="AG11" s="13" t="n">
        <v>223252336.195798</v>
      </c>
      <c r="AH11" s="13" t="n">
        <v>185125239.430159</v>
      </c>
      <c r="AI11" s="13" t="n">
        <v>168659525.625526</v>
      </c>
      <c r="AJ11" s="13" t="n">
        <v>197518227.510159</v>
      </c>
      <c r="AK11" s="13" t="n">
        <v>189696992.333861</v>
      </c>
      <c r="AL11" s="13" t="n">
        <v>688017764.402478</v>
      </c>
      <c r="AM11" s="13" t="n">
        <v>195894040.012147</v>
      </c>
      <c r="AN11" s="13" t="n">
        <v>273996646.842203</v>
      </c>
      <c r="AO11" s="13" t="n">
        <v>311746023.318012</v>
      </c>
      <c r="AP11" s="13" t="n">
        <v>359267722.760846</v>
      </c>
      <c r="AQ11" s="13" t="n">
        <v>1079427654.21857</v>
      </c>
      <c r="AR11" s="13" t="n">
        <v>1134339453.90938</v>
      </c>
      <c r="AS11" s="13" t="n">
        <v>870778844.318438</v>
      </c>
      <c r="AT11" s="13" t="n">
        <v>916424711.216618</v>
      </c>
      <c r="AU11" s="13" t="n">
        <v>763881571.388151</v>
      </c>
      <c r="AV11" s="13" t="n">
        <v>1882861193.0243</v>
      </c>
      <c r="AW11" s="13" t="n">
        <v>2005965821.97016</v>
      </c>
      <c r="AX11" s="13" t="n">
        <v>919515041.232278</v>
      </c>
      <c r="AY11" s="13"/>
    </row>
    <row r="12">
      <c r="A12" t="str">
        <f>M12</f>
      </c>
      <c r="B12" t="str">
        <f>N12</f>
      </c>
      <c r="M12" t="s">
        <v>42</v>
      </c>
      <c r="N12" t="s">
        <v>42</v>
      </c>
      <c r="O12" s="13" t="n">
        <v>7693098762.4191</v>
      </c>
      <c r="P12" s="13" t="n">
        <v>12157542978.8741</v>
      </c>
      <c r="Q12" s="13" t="n">
        <v>7173943245.21135</v>
      </c>
      <c r="R12" s="13" t="n">
        <v>7688166535.53453</v>
      </c>
      <c r="S12" s="13" t="n">
        <v>420133494.09789</v>
      </c>
      <c r="T12" s="13" t="n">
        <v>4931522091.79794</v>
      </c>
      <c r="U12" s="13" t="n">
        <v>5918315672.48279</v>
      </c>
      <c r="V12" s="13" t="n">
        <v>7507326925.86337</v>
      </c>
      <c r="W12" s="13" t="n">
        <v>6065571796.06041</v>
      </c>
      <c r="X12" s="13" t="n">
        <v>7900761328.94892</v>
      </c>
      <c r="Y12" s="13" t="n">
        <v>4558533428.96195</v>
      </c>
      <c r="Z12" s="13" t="n">
        <v>4223184079.98416</v>
      </c>
      <c r="AA12" s="13" t="n">
        <v>5857216683.60343</v>
      </c>
      <c r="AB12" s="13" t="n">
        <v>13542451007.1088</v>
      </c>
      <c r="AC12" s="13" t="n">
        <v>10408922829.7431</v>
      </c>
      <c r="AD12" s="13" t="n">
        <v>19795289448.7769</v>
      </c>
      <c r="AE12" s="13" t="n">
        <v>20374407950.4825</v>
      </c>
      <c r="AF12" s="13" t="n">
        <v>31590936037.7341</v>
      </c>
      <c r="AG12" s="13" t="n">
        <v>39609849588.8578</v>
      </c>
      <c r="AH12" s="13" t="n">
        <v>33033689017.6804</v>
      </c>
      <c r="AI12" s="13" t="n">
        <v>27295923141.6557</v>
      </c>
      <c r="AJ12" s="13" t="n">
        <v>19551616719.4972</v>
      </c>
      <c r="AK12" s="13" t="n">
        <v>9669885681.49817</v>
      </c>
      <c r="AL12" s="13" t="n">
        <v>7071975612.78384</v>
      </c>
      <c r="AM12" s="13" t="n">
        <v>5217235532.66997</v>
      </c>
      <c r="AN12" s="13" t="n">
        <v>6915692994.28296</v>
      </c>
      <c r="AO12" s="13" t="n">
        <v>6236083887.08286</v>
      </c>
      <c r="AP12" s="13" t="n">
        <v>6939079237.39079</v>
      </c>
      <c r="AQ12" s="13" t="n">
        <v>10401669195.3126</v>
      </c>
      <c r="AR12" s="13" t="n">
        <v>10496225998.1128</v>
      </c>
      <c r="AS12" s="13" t="n">
        <v>9338029652.84834</v>
      </c>
      <c r="AT12" s="13" t="n">
        <v>7626003074.77894</v>
      </c>
      <c r="AU12" s="13" t="n">
        <v>8083301735.34787</v>
      </c>
      <c r="AV12" s="13" t="n">
        <v>10147744413.125</v>
      </c>
      <c r="AW12" s="13" t="n">
        <v>8480970797.64962</v>
      </c>
      <c r="AX12" s="13" t="n">
        <v>4490674722.43462</v>
      </c>
      <c r="AY12" s="13"/>
    </row>
    <row r="13">
      <c r="A13" t="str">
        <f>M13</f>
      </c>
      <c r="B13" t="str">
        <f>N13</f>
      </c>
      <c r="M13" t="s">
        <v>43</v>
      </c>
      <c r="N13" t="s">
        <v>44</v>
      </c>
      <c r="O13" s="13" t="n">
        <v>202861228.966757</v>
      </c>
      <c r="P13" s="13" t="n">
        <v>270181466.869721</v>
      </c>
      <c r="Q13" s="13" t="n">
        <v>226296255.115655</v>
      </c>
      <c r="R13" s="13" t="n">
        <v>210678193.64305</v>
      </c>
      <c r="S13" s="13" t="n">
        <v>201827973.009822</v>
      </c>
      <c r="T13" s="13" t="n">
        <v>172052707.17742</v>
      </c>
      <c r="U13" s="13" t="n">
        <v>229446111.045493</v>
      </c>
      <c r="V13" s="13" t="n">
        <v>267097873.356412</v>
      </c>
      <c r="W13" s="13" t="n">
        <v>239647464.550067</v>
      </c>
      <c r="X13" s="13" t="n">
        <v>344138753.606986</v>
      </c>
      <c r="Y13" s="13" t="n">
        <v>272727057.231411</v>
      </c>
      <c r="Z13" s="13" t="n">
        <v>265722619.273896</v>
      </c>
      <c r="AA13" s="13" t="n">
        <v>337769973.463785</v>
      </c>
      <c r="AB13" s="13" t="n">
        <v>575682414.544916</v>
      </c>
      <c r="AC13" s="13" t="n">
        <v>908498875.911278</v>
      </c>
      <c r="AD13" s="13" t="n">
        <v>885878783.868094</v>
      </c>
      <c r="AE13" s="13" t="n">
        <v>785978447.36387</v>
      </c>
      <c r="AF13" s="13" t="n">
        <v>1053451159.94349</v>
      </c>
      <c r="AG13" s="13" t="n">
        <v>1865499810.24322</v>
      </c>
      <c r="AH13" s="13" t="n">
        <v>1745637612.03744</v>
      </c>
      <c r="AI13" s="13" t="n">
        <v>1955620333.12707</v>
      </c>
      <c r="AJ13" s="13" t="n">
        <v>1548385179.56989</v>
      </c>
      <c r="AK13" s="13" t="n">
        <v>1524608539.76766</v>
      </c>
      <c r="AL13" s="13" t="n">
        <v>1092407691.65644</v>
      </c>
      <c r="AM13" s="13" t="n">
        <v>1271287839.00709</v>
      </c>
      <c r="AN13" s="13" t="n">
        <v>1618506855.67154</v>
      </c>
      <c r="AO13" s="13" t="n">
        <v>1789239884.72022</v>
      </c>
      <c r="AP13" s="13" t="n">
        <v>2155431486.19992</v>
      </c>
      <c r="AQ13" s="13" t="n">
        <v>2761844444.48468</v>
      </c>
      <c r="AR13" s="13" t="n">
        <v>2575449852.83483</v>
      </c>
      <c r="AS13" s="13" t="n">
        <v>2281134085.45077</v>
      </c>
      <c r="AT13" s="13" t="n">
        <v>1117484350.93839</v>
      </c>
      <c r="AU13" s="13" t="n">
        <v>1326550863.97137</v>
      </c>
      <c r="AV13" s="13" t="n">
        <v>1330422297.8676</v>
      </c>
      <c r="AW13" s="13" t="n">
        <v>1466124484.18875</v>
      </c>
      <c r="AX13" s="13" t="n">
        <v>699794958.378619</v>
      </c>
      <c r="AY13" s="13"/>
    </row>
    <row r="14">
      <c r="A14" t="str">
        <f>M14</f>
      </c>
      <c r="B14" t="str">
        <f>N14</f>
      </c>
      <c r="M14" t="s">
        <v>45</v>
      </c>
      <c r="N14" t="s">
        <v>45</v>
      </c>
      <c r="O14" s="13" t="n">
        <v>243730480.046293</v>
      </c>
      <c r="P14" s="13" t="n">
        <v>246715768.853232</v>
      </c>
      <c r="Q14" s="13" t="n">
        <v>339630136.160026</v>
      </c>
      <c r="R14" s="13" t="n">
        <v>182724997.37106</v>
      </c>
      <c r="S14" s="13" t="n">
        <v>2481639384.78851</v>
      </c>
      <c r="T14" s="13" t="n">
        <v>205528410.94157</v>
      </c>
      <c r="U14" s="13" t="n">
        <v>211396865.558229</v>
      </c>
      <c r="V14" s="13" t="n">
        <v>304961832.366576</v>
      </c>
      <c r="W14" s="13" t="n">
        <v>250819373.15811</v>
      </c>
      <c r="X14" s="13" t="n">
        <v>420512404.244383</v>
      </c>
      <c r="Y14" s="13" t="n">
        <v>459784927.857899</v>
      </c>
      <c r="Z14" s="13" t="n">
        <v>623941971.365664</v>
      </c>
      <c r="AA14" s="13" t="n">
        <v>1193795043.57146</v>
      </c>
      <c r="AB14" s="13" t="n">
        <v>783166142.378316</v>
      </c>
      <c r="AC14" s="13" t="n">
        <v>1513854371.22517</v>
      </c>
      <c r="AD14" s="13" t="n">
        <v>1765825669.47171</v>
      </c>
      <c r="AE14" s="13" t="n">
        <v>1928369471.20763</v>
      </c>
      <c r="AF14" s="13" t="n">
        <v>6835266176.73849</v>
      </c>
      <c r="AG14" s="13" t="n">
        <v>13399144318.9106</v>
      </c>
      <c r="AH14" s="13" t="n">
        <v>4483143175.43034</v>
      </c>
      <c r="AI14" s="13" t="n">
        <v>5205779403.029</v>
      </c>
      <c r="AJ14" s="13" t="n">
        <v>4947439320.42302</v>
      </c>
      <c r="AK14" s="13" t="n">
        <v>2769011464.59671</v>
      </c>
      <c r="AL14" s="13" t="n">
        <v>688611893.449241</v>
      </c>
      <c r="AM14" s="13" t="n">
        <v>639145925.990676</v>
      </c>
      <c r="AN14" s="13" t="n">
        <v>482964329.716345</v>
      </c>
      <c r="AO14" s="13" t="n">
        <v>724124768.212791</v>
      </c>
      <c r="AP14" s="13" t="n">
        <v>473372289.359875</v>
      </c>
      <c r="AQ14" s="13" t="n">
        <v>717710571.314182</v>
      </c>
      <c r="AR14" s="13" t="n">
        <v>768285666.908528</v>
      </c>
      <c r="AS14" s="13" t="n">
        <v>961834145.097251</v>
      </c>
      <c r="AT14" s="13" t="n">
        <v>1138699389.12278</v>
      </c>
      <c r="AU14" s="13" t="n">
        <v>1091723034.53496</v>
      </c>
      <c r="AV14" s="13" t="n">
        <v>1151328890.5943</v>
      </c>
      <c r="AW14" s="13" t="n">
        <v>1386251175.03766</v>
      </c>
      <c r="AX14" s="13" t="n">
        <v>604859379.42963</v>
      </c>
      <c r="AY14" s="13"/>
    </row>
    <row r="15">
      <c r="A15" t="str">
        <f>M15</f>
      </c>
      <c r="B15" t="str">
        <f>N15</f>
      </c>
      <c r="M15" t="s">
        <v>44</v>
      </c>
      <c r="N15" t="s">
        <v>44</v>
      </c>
      <c r="O15" s="13" t="n">
        <v>5178977.97080768</v>
      </c>
      <c r="P15" s="13" t="n">
        <v>13319268.7712658</v>
      </c>
      <c r="Q15" s="13" t="n">
        <v>9337166.64043766</v>
      </c>
      <c r="R15" s="13" t="n">
        <v>1826241.8159874</v>
      </c>
      <c r="S15" s="13" t="n">
        <v>1283112445.0013</v>
      </c>
      <c r="T15" s="13" t="n">
        <v>17348252.0457948</v>
      </c>
      <c r="U15" s="13" t="n">
        <v>5029634.91849411</v>
      </c>
      <c r="V15" s="13" t="n">
        <v>2674184.44762934</v>
      </c>
      <c r="W15" s="13" t="n">
        <v>2547419.86455884</v>
      </c>
      <c r="X15" s="13" t="n">
        <v>3546474.15469708</v>
      </c>
      <c r="Y15" s="13" t="n">
        <v>16827661.3504775</v>
      </c>
      <c r="Z15" s="13" t="n">
        <v>8289977.71980397</v>
      </c>
      <c r="AA15" s="13" t="n">
        <v>26087601.6852473</v>
      </c>
      <c r="AB15" s="13" t="n">
        <v>37007019.884036</v>
      </c>
      <c r="AC15" s="13" t="n">
        <v>45392017.2626079</v>
      </c>
      <c r="AD15" s="13" t="n">
        <v>42546386.109462</v>
      </c>
      <c r="AE15" s="13" t="n">
        <v>29975208.3486569</v>
      </c>
      <c r="AF15" s="13" t="n">
        <v>39673718.3982262</v>
      </c>
      <c r="AG15" s="13" t="n">
        <v>45571324.386238</v>
      </c>
      <c r="AH15" s="13" t="n">
        <v>141926279.194986</v>
      </c>
      <c r="AI15" s="13" t="n">
        <v>-144441108.880939</v>
      </c>
      <c r="AJ15" s="13" t="n">
        <v>-123531029.665468</v>
      </c>
      <c r="AK15" s="13" t="n">
        <v>38939572.2675586</v>
      </c>
      <c r="AL15" s="13" t="n">
        <v>29843743.9144974</v>
      </c>
      <c r="AM15" s="13" t="n">
        <v>40929160.9755079</v>
      </c>
      <c r="AN15" s="13" t="n">
        <v>85271910.5362383</v>
      </c>
      <c r="AO15" s="13" t="n">
        <v>65380074.7405539</v>
      </c>
      <c r="AP15" s="13" t="n">
        <v>154829798.413224</v>
      </c>
      <c r="AQ15" s="13" t="n">
        <v>164625967.974497</v>
      </c>
      <c r="AR15" s="13" t="n">
        <v>173812113.147275</v>
      </c>
      <c r="AS15" s="13" t="n">
        <v>151771003.989767</v>
      </c>
      <c r="AT15" s="13" t="n">
        <v>35159677.4538236</v>
      </c>
      <c r="AU15" s="13" t="n">
        <v>50203520.0345931</v>
      </c>
      <c r="AV15" s="13" t="n">
        <v>22179768.0781</v>
      </c>
      <c r="AW15" s="13" t="n">
        <v>16863368.8245325</v>
      </c>
      <c r="AX15" s="13" t="n">
        <v>-2459964.12320002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 t="n">
        <v>501000</v>
      </c>
      <c r="Q2" s="3" t="n">
        <v>-52000</v>
      </c>
      <c r="R2" s="3" t="n">
        <v>1523000</v>
      </c>
      <c r="S2" s="3" t="n">
        <v>-1264000</v>
      </c>
      <c r="T2" s="3"/>
      <c r="U2" s="3"/>
      <c r="V2" s="3"/>
      <c r="W2" s="3" t="n">
        <v>27611704</v>
      </c>
      <c r="X2" s="3" t="n">
        <v>572951</v>
      </c>
      <c r="Y2" s="3" t="n">
        <v>650473</v>
      </c>
      <c r="Z2" s="3" t="n">
        <v>30955836</v>
      </c>
      <c r="AA2" s="3" t="n">
        <v>1150507</v>
      </c>
      <c r="AB2" s="3" t="n">
        <v>8264374</v>
      </c>
      <c r="AC2" s="3" t="n">
        <v>2908169</v>
      </c>
      <c r="AD2" s="3" t="n">
        <v>20655709</v>
      </c>
      <c r="AE2" s="3" t="n">
        <v>30330308.9477</v>
      </c>
      <c r="AF2" s="3" t="n">
        <v>111052629</v>
      </c>
      <c r="AG2" s="3" t="n">
        <v>28066851.72</v>
      </c>
      <c r="AH2" s="3" t="n">
        <v>86722462</v>
      </c>
      <c r="AI2" s="3" t="n">
        <v>372286357.062</v>
      </c>
      <c r="AJ2" s="3" t="n">
        <v>363479757.816</v>
      </c>
      <c r="AK2" s="3" t="n">
        <v>400838494.7949</v>
      </c>
      <c r="AL2" s="3" t="n">
        <v>644408586.0927</v>
      </c>
      <c r="AM2" s="3" t="n">
        <v>626608695.63</v>
      </c>
      <c r="AN2" s="3" t="n">
        <v>591645419.0541</v>
      </c>
      <c r="AO2" s="3" t="n">
        <v>1122803503.3306</v>
      </c>
      <c r="AP2" s="3" t="n">
        <v>966273999.7906</v>
      </c>
      <c r="AQ2" s="3" t="n">
        <v>1100211618.3814</v>
      </c>
      <c r="AR2" s="3" t="n">
        <v>3245654685.2981</v>
      </c>
      <c r="AS2" s="3" t="n">
        <v>3226424353.4857</v>
      </c>
      <c r="AT2" s="3" t="n">
        <v>2113491732.8376</v>
      </c>
      <c r="AU2" s="3" t="n">
        <v>1894610249.1257</v>
      </c>
      <c r="AV2" s="3" t="n">
        <v>2219226654.0418</v>
      </c>
      <c r="AW2" s="3" t="n">
        <v>2786095857.4864</v>
      </c>
      <c r="AX2" s="3" t="n">
        <v>1204401660.54</v>
      </c>
      <c r="AY2" s="3" t="n">
        <v>184018998.25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 t="n">
        <v>13216.3203</v>
      </c>
      <c r="AC3" s="3" t="n">
        <v>114874</v>
      </c>
      <c r="AD3" s="3" t="n">
        <v>234500</v>
      </c>
      <c r="AE3" s="3" t="n">
        <v>13451884.2</v>
      </c>
      <c r="AF3" s="3" t="n">
        <v>54597604</v>
      </c>
      <c r="AG3" s="3" t="n">
        <v>436281795.5375</v>
      </c>
      <c r="AH3" s="3" t="n">
        <v>168328364.2318</v>
      </c>
      <c r="AI3" s="3" t="n">
        <v>813187518.8129</v>
      </c>
      <c r="AJ3" s="3" t="n">
        <v>-224809337.3082</v>
      </c>
      <c r="AK3" s="3" t="n">
        <v>-783130.3124</v>
      </c>
      <c r="AL3" s="3" t="n">
        <v>-673666.0691</v>
      </c>
      <c r="AM3" s="3" t="n">
        <v>-150418.03</v>
      </c>
      <c r="AN3" s="3" t="n">
        <v>-264049.56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 t="n">
        <v>4487000</v>
      </c>
      <c r="Q4" s="3" t="n">
        <v>9330000</v>
      </c>
      <c r="R4" s="3" t="n">
        <v>1370000</v>
      </c>
      <c r="S4" s="3" t="n">
        <v>-464000</v>
      </c>
      <c r="T4" s="3" t="n">
        <v>672000</v>
      </c>
      <c r="U4" s="3" t="n">
        <v>454000</v>
      </c>
      <c r="V4" s="3" t="n">
        <v>2170000</v>
      </c>
      <c r="W4" s="3" t="n">
        <v>839671120</v>
      </c>
      <c r="X4" s="3" t="n">
        <v>954232986</v>
      </c>
      <c r="Y4" s="3" t="n">
        <v>1589393841</v>
      </c>
      <c r="Z4" s="3" t="n">
        <v>2093456735.9815</v>
      </c>
      <c r="AA4" s="3" t="n">
        <v>2343488075</v>
      </c>
      <c r="AB4" s="3" t="n">
        <v>3835139136.8451</v>
      </c>
      <c r="AC4" s="3" t="n">
        <v>8700836379.8987</v>
      </c>
      <c r="AD4" s="3" t="n">
        <v>6759772952.5553</v>
      </c>
      <c r="AE4" s="3" t="n">
        <v>11117816197.0627</v>
      </c>
      <c r="AF4" s="3" t="n">
        <v>9604671642.4872</v>
      </c>
      <c r="AG4" s="3" t="n">
        <v>20152059897.2955</v>
      </c>
      <c r="AH4" s="3" t="n">
        <v>28767470695.0717</v>
      </c>
      <c r="AI4" s="3" t="n">
        <v>19557693215.974</v>
      </c>
      <c r="AJ4" s="3" t="n">
        <v>16231459925.0314</v>
      </c>
      <c r="AK4" s="3" t="n">
        <v>12424098105.3598</v>
      </c>
      <c r="AL4" s="3" t="n">
        <v>6511964508.8826</v>
      </c>
      <c r="AM4" s="3" t="n">
        <v>4609082761.5025</v>
      </c>
      <c r="AN4" s="3" t="n">
        <v>3566519205.6262</v>
      </c>
      <c r="AO4" s="3" t="n">
        <v>5289796607.8775</v>
      </c>
      <c r="AP4" s="3" t="n">
        <v>5006126353.7845</v>
      </c>
      <c r="AQ4" s="3" t="n">
        <v>6025900262.7799</v>
      </c>
      <c r="AR4" s="3" t="n">
        <v>7469578578.3184</v>
      </c>
      <c r="AS4" s="3" t="n">
        <v>7839593735.8062</v>
      </c>
      <c r="AT4" s="3" t="n">
        <v>7860895233.8133</v>
      </c>
      <c r="AU4" s="3" t="n">
        <v>5839764462.1143</v>
      </c>
      <c r="AV4" s="3" t="n">
        <v>5898286041.2961</v>
      </c>
      <c r="AW4" s="3" t="n">
        <v>8649275237.0758</v>
      </c>
      <c r="AX4" s="3" t="n">
        <v>9840970723.8533</v>
      </c>
      <c r="AY4" s="3" t="n">
        <v>4510682818.88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769000</v>
      </c>
      <c r="Q5" s="3" t="n">
        <v>235000</v>
      </c>
      <c r="R5" s="3" t="n">
        <v>37000</v>
      </c>
      <c r="S5" s="3" t="n">
        <v>-2961000</v>
      </c>
      <c r="T5" s="3" t="n">
        <v>0</v>
      </c>
      <c r="U5" s="3" t="n">
        <v>42000</v>
      </c>
      <c r="V5" s="3"/>
      <c r="W5" s="3" t="n">
        <v>143946846</v>
      </c>
      <c r="X5" s="3" t="n">
        <v>161369963</v>
      </c>
      <c r="Y5" s="3" t="n">
        <v>133860438</v>
      </c>
      <c r="Z5" s="3" t="n">
        <v>917940644.4375</v>
      </c>
      <c r="AA5" s="3" t="n">
        <v>793624064</v>
      </c>
      <c r="AB5" s="3" t="n">
        <v>721644048</v>
      </c>
      <c r="AC5" s="3" t="n">
        <v>562887706</v>
      </c>
      <c r="AD5" s="3" t="n">
        <v>989854347</v>
      </c>
      <c r="AE5" s="3" t="n">
        <v>1838843200</v>
      </c>
      <c r="AF5" s="3" t="n">
        <v>2056340371.7181</v>
      </c>
      <c r="AG5" s="3" t="n">
        <v>3101368335.8022</v>
      </c>
      <c r="AH5" s="3" t="n">
        <v>5269413741.9858</v>
      </c>
      <c r="AI5" s="3" t="n">
        <v>5878942682.2001</v>
      </c>
      <c r="AJ5" s="3" t="n">
        <v>3855801663.6127</v>
      </c>
      <c r="AK5" s="3" t="n">
        <v>3597766301.2183</v>
      </c>
      <c r="AL5" s="3" t="n">
        <v>1982832090.5801</v>
      </c>
      <c r="AM5" s="3" t="n">
        <v>1392815191.5219</v>
      </c>
      <c r="AN5" s="3" t="n">
        <v>1176116500.068</v>
      </c>
      <c r="AO5" s="3" t="n">
        <v>901659259.0289</v>
      </c>
      <c r="AP5" s="3" t="n">
        <v>649819046.54</v>
      </c>
      <c r="AQ5" s="3" t="n">
        <v>659468510.1</v>
      </c>
      <c r="AR5" s="3" t="n">
        <v>1245940009.5651</v>
      </c>
      <c r="AS5" s="3" t="n">
        <v>1029464712.9072</v>
      </c>
      <c r="AT5" s="3" t="n">
        <v>1278066021.4106</v>
      </c>
      <c r="AU5" s="3" t="n">
        <v>1676308618.0515</v>
      </c>
      <c r="AV5" s="3" t="n">
        <v>2249759789.3932</v>
      </c>
      <c r="AW5" s="3" t="n">
        <v>1647900576.738</v>
      </c>
      <c r="AX5" s="3" t="n">
        <v>1794660203.08</v>
      </c>
      <c r="AY5" s="3" t="n">
        <v>1689198742.91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/>
      <c r="Q6" s="3"/>
      <c r="R6" s="3" t="n">
        <v>85000</v>
      </c>
      <c r="S6" s="3" t="n">
        <v>180000</v>
      </c>
      <c r="T6" s="3" t="n">
        <v>214000</v>
      </c>
      <c r="U6" s="3" t="n">
        <v>464000</v>
      </c>
      <c r="V6" s="3" t="n">
        <v>933000</v>
      </c>
      <c r="W6" s="3" t="n">
        <v>37512265</v>
      </c>
      <c r="X6" s="3" t="n">
        <v>7166026</v>
      </c>
      <c r="Y6" s="3" t="n">
        <v>35100733</v>
      </c>
      <c r="Z6" s="3" t="n">
        <v>84160718</v>
      </c>
      <c r="AA6" s="3" t="n">
        <v>80387605</v>
      </c>
      <c r="AB6" s="3" t="n">
        <v>79689745</v>
      </c>
      <c r="AC6" s="3" t="n">
        <v>135933144</v>
      </c>
      <c r="AD6" s="3" t="n">
        <v>163198600</v>
      </c>
      <c r="AE6" s="3" t="n">
        <v>196189849.1371</v>
      </c>
      <c r="AF6" s="3" t="n">
        <v>108484498.0493</v>
      </c>
      <c r="AG6" s="3" t="n">
        <v>101211759.8302</v>
      </c>
      <c r="AH6" s="3" t="n">
        <v>190127628.0297</v>
      </c>
      <c r="AI6" s="3" t="n">
        <v>371482126.3623</v>
      </c>
      <c r="AJ6" s="3" t="n">
        <v>11302768.5422</v>
      </c>
      <c r="AK6" s="3" t="n">
        <v>52871985.298</v>
      </c>
      <c r="AL6" s="3" t="n">
        <v>83384355.8596</v>
      </c>
      <c r="AM6" s="3" t="n">
        <v>76992968.8485</v>
      </c>
      <c r="AN6" s="3" t="n">
        <v>56925452.7296</v>
      </c>
      <c r="AO6" s="3" t="n">
        <v>68708334.4916</v>
      </c>
      <c r="AP6" s="3" t="n">
        <v>69171381.5962</v>
      </c>
      <c r="AQ6" s="3" t="n">
        <v>103151680.0775</v>
      </c>
      <c r="AR6" s="3" t="n">
        <v>93067003.4077</v>
      </c>
      <c r="AS6" s="3" t="n">
        <v>59212139.554</v>
      </c>
      <c r="AT6" s="3" t="n">
        <v>63356169.8684</v>
      </c>
      <c r="AU6" s="3" t="n">
        <v>40301059.9892</v>
      </c>
      <c r="AV6" s="3" t="n">
        <v>54082670.4683</v>
      </c>
      <c r="AW6" s="3" t="n">
        <v>76340437.6317</v>
      </c>
      <c r="AX6" s="3" t="n">
        <v>139608279.55</v>
      </c>
      <c r="AY6" s="3" t="n">
        <v>317273571.95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-214185</v>
      </c>
      <c r="X7" s="3" t="n">
        <v>10888444</v>
      </c>
      <c r="Y7" s="3" t="n">
        <v>11488408</v>
      </c>
      <c r="Z7" s="3" t="n">
        <v>91304644</v>
      </c>
      <c r="AA7" s="3" t="n">
        <v>32940794</v>
      </c>
      <c r="AB7" s="3" t="n">
        <v>54237461</v>
      </c>
      <c r="AC7" s="3" t="n">
        <v>59654793</v>
      </c>
      <c r="AD7" s="3" t="n">
        <v>135335517</v>
      </c>
      <c r="AE7" s="3" t="n">
        <v>320771590.6533</v>
      </c>
      <c r="AF7" s="3" t="n">
        <v>332621519.5669</v>
      </c>
      <c r="AG7" s="3" t="n">
        <v>189403707.515</v>
      </c>
      <c r="AH7" s="3" t="n">
        <v>632226455.1272</v>
      </c>
      <c r="AI7" s="3" t="n">
        <v>461879987.8536</v>
      </c>
      <c r="AJ7" s="3" t="n">
        <v>255457700.6809</v>
      </c>
      <c r="AK7" s="3" t="n">
        <v>195276084.7593</v>
      </c>
      <c r="AL7" s="3" t="n">
        <v>68314482.9297</v>
      </c>
      <c r="AM7" s="3" t="n">
        <v>23928411.6059</v>
      </c>
      <c r="AN7" s="3" t="n">
        <v>-5718044.7806</v>
      </c>
      <c r="AO7" s="3" t="n">
        <v>25629457.85</v>
      </c>
      <c r="AP7" s="3" t="n">
        <v>52461607.3792</v>
      </c>
      <c r="AQ7" s="3" t="n">
        <v>14779330.9841</v>
      </c>
      <c r="AR7" s="3" t="n">
        <v>28288112.0792</v>
      </c>
      <c r="AS7" s="3" t="n">
        <v>84754627.0571</v>
      </c>
      <c r="AT7" s="3" t="n">
        <v>57117742.0204</v>
      </c>
      <c r="AU7" s="3" t="n">
        <v>133327131.4071</v>
      </c>
      <c r="AV7" s="3" t="n">
        <v>42207712.3317</v>
      </c>
      <c r="AW7" s="3" t="n">
        <v>4525630.9849</v>
      </c>
      <c r="AX7" s="3" t="n">
        <v>20303760.86</v>
      </c>
      <c r="AY7" s="3" t="n">
        <v>10362223.78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1463728</v>
      </c>
      <c r="X8" s="3" t="n">
        <v>3786444</v>
      </c>
      <c r="Y8" s="3" t="n">
        <v>7202034</v>
      </c>
      <c r="Z8" s="3" t="n">
        <v>110027344</v>
      </c>
      <c r="AA8" s="3" t="n">
        <v>15855492</v>
      </c>
      <c r="AB8" s="3" t="n">
        <v>32382282</v>
      </c>
      <c r="AC8" s="3" t="n">
        <v>45992146</v>
      </c>
      <c r="AD8" s="3" t="n">
        <v>367042943.05</v>
      </c>
      <c r="AE8" s="3" t="n">
        <v>1604658297</v>
      </c>
      <c r="AF8" s="3" t="n">
        <v>3511921412.08</v>
      </c>
      <c r="AG8" s="3" t="n">
        <v>4189750854.61</v>
      </c>
      <c r="AH8" s="3" t="n">
        <v>4600172083.6716</v>
      </c>
      <c r="AI8" s="3" t="n">
        <v>1380332768.4684</v>
      </c>
      <c r="AJ8" s="3" t="n">
        <v>4821736617.6657</v>
      </c>
      <c r="AK8" s="3" t="n">
        <v>2905514114.9841</v>
      </c>
      <c r="AL8" s="3" t="n">
        <v>1538442769.4519</v>
      </c>
      <c r="AM8" s="3" t="n">
        <v>705836190.51</v>
      </c>
      <c r="AN8" s="3" t="n">
        <v>440247751.29</v>
      </c>
      <c r="AO8" s="3" t="n">
        <v>86349818.62</v>
      </c>
      <c r="AP8" s="3" t="n">
        <v>610763550.0539</v>
      </c>
      <c r="AQ8" s="3" t="n">
        <v>352406663.3906</v>
      </c>
      <c r="AR8" s="3" t="n">
        <v>583203573.7134</v>
      </c>
      <c r="AS8" s="3" t="n">
        <v>679941375.9107</v>
      </c>
      <c r="AT8" s="3" t="n">
        <v>380707731.6188</v>
      </c>
      <c r="AU8" s="3" t="n">
        <v>98365945.5589</v>
      </c>
      <c r="AV8" s="3" t="n">
        <v>357089843.5796</v>
      </c>
      <c r="AW8" s="3" t="n">
        <v>1370398822.7725</v>
      </c>
      <c r="AX8" s="3" t="n">
        <v>712920886.36</v>
      </c>
      <c r="AY8" s="3" t="n">
        <v>331325610.97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4275164000</v>
      </c>
      <c r="Q9" s="3" t="n">
        <v>6503975889</v>
      </c>
      <c r="R9" s="3" t="n">
        <v>4166812450</v>
      </c>
      <c r="S9" s="3" t="n">
        <v>4396364530</v>
      </c>
      <c r="T9" s="3" t="n">
        <v>3619043411</v>
      </c>
      <c r="U9" s="3" t="n">
        <v>3098454659</v>
      </c>
      <c r="V9" s="3" t="n">
        <v>3679005068</v>
      </c>
      <c r="W9" s="3" t="n">
        <v>3662848239</v>
      </c>
      <c r="X9" s="3" t="n">
        <v>2808148793</v>
      </c>
      <c r="Y9" s="3" t="n">
        <v>3521920060</v>
      </c>
      <c r="Z9" s="3" t="n">
        <v>67514203</v>
      </c>
      <c r="AA9" s="3" t="n">
        <v>30343123.2609</v>
      </c>
      <c r="AB9" s="3" t="n">
        <v>53387575.1808</v>
      </c>
      <c r="AC9" s="3" t="n">
        <v>133185321.62</v>
      </c>
      <c r="AD9" s="3" t="n">
        <v>109396118</v>
      </c>
      <c r="AE9" s="3" t="n">
        <v>139711236.61</v>
      </c>
      <c r="AF9" s="3" t="n">
        <v>352057609.0186</v>
      </c>
      <c r="AG9" s="3" t="n">
        <v>453672.3525</v>
      </c>
      <c r="AH9" s="3" t="n">
        <v>42754629.9644</v>
      </c>
      <c r="AI9" s="3" t="n">
        <v>-674461.6504</v>
      </c>
      <c r="AJ9" s="3" t="n">
        <v>17795237.7778</v>
      </c>
      <c r="AK9" s="3" t="n">
        <v>-24734.1094</v>
      </c>
      <c r="AL9" s="3" t="n">
        <v>0</v>
      </c>
      <c r="AM9" s="3" t="n">
        <v>0</v>
      </c>
      <c r="AN9" s="3" t="n">
        <v>0</v>
      </c>
      <c r="AO9" s="3" t="n">
        <v>-1174737.0623</v>
      </c>
      <c r="AP9" s="3" t="n">
        <v>-2216909.6992</v>
      </c>
      <c r="AQ9" s="3" t="n">
        <v>3261529.7546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208</v>
      </c>
      <c r="O10" t="s">
        <v>209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 t="n">
        <v>1036209.25054898</v>
      </c>
      <c r="Q14" s="3" t="n">
        <v>-103838.37722726</v>
      </c>
      <c r="R14" s="3" t="n">
        <v>2967006.22452191</v>
      </c>
      <c r="S14" s="3" t="n">
        <v>-2405995.32157636</v>
      </c>
      <c r="T14" s="3"/>
      <c r="U14" s="3"/>
      <c r="V14" s="3"/>
      <c r="W14" s="3" t="n">
        <v>48574156.341975</v>
      </c>
      <c r="X14" s="3" t="n">
        <v>995447.318904538</v>
      </c>
      <c r="Y14" s="3" t="n">
        <v>1116311.52917496</v>
      </c>
      <c r="Z14" s="3" t="n">
        <v>52042127.7910229</v>
      </c>
      <c r="AA14" s="3" t="n">
        <v>1888427.98723526</v>
      </c>
      <c r="AB14" s="3" t="n">
        <v>13354939.5617436</v>
      </c>
      <c r="AC14" s="3" t="n">
        <v>4610990.90278835</v>
      </c>
      <c r="AD14" s="3" t="n">
        <v>31969600.5799333</v>
      </c>
      <c r="AE14" s="3" t="n">
        <v>45557042.1465068</v>
      </c>
      <c r="AF14" s="3" t="n">
        <v>161556362.967485</v>
      </c>
      <c r="AG14" s="3" t="n">
        <v>39736958.8295125</v>
      </c>
      <c r="AH14" s="3" t="n">
        <v>120284182.843489</v>
      </c>
      <c r="AI14" s="3" t="n">
        <v>511134805.764436</v>
      </c>
      <c r="AJ14" s="3" t="n">
        <v>494758853.928818</v>
      </c>
      <c r="AK14" s="3" t="n">
        <v>534874891.680422</v>
      </c>
      <c r="AL14" s="3" t="n">
        <v>844566847.052593</v>
      </c>
      <c r="AM14" s="3" t="n">
        <v>806602588.309564</v>
      </c>
      <c r="AN14" s="3" t="n">
        <v>747951080.212487</v>
      </c>
      <c r="AO14" s="3" t="n">
        <v>1404885441.25964</v>
      </c>
      <c r="AP14" s="3" t="n">
        <v>1199441399.27687</v>
      </c>
      <c r="AQ14" s="3" t="n">
        <v>1343028322.81617</v>
      </c>
      <c r="AR14" s="3" t="n">
        <v>3875925134.99459</v>
      </c>
      <c r="AS14" s="3" t="n">
        <v>3783014321.31279</v>
      </c>
      <c r="AT14" s="3" t="n">
        <v>2446135733.28177</v>
      </c>
      <c r="AU14" s="3" t="n">
        <v>2119844849.77484</v>
      </c>
      <c r="AV14" s="3" t="n">
        <v>2320748716.37304</v>
      </c>
      <c r="AW14" s="3" t="n">
        <v>2786095857.4864</v>
      </c>
      <c r="AX14" s="3" t="n">
        <v>1173073571.80817</v>
      </c>
      <c r="AY14" s="3" t="n">
        <v>175384128.023234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 t="n">
        <v>21357.111722575</v>
      </c>
      <c r="AC15" s="3" t="n">
        <v>182136.240695403</v>
      </c>
      <c r="AD15" s="3" t="n">
        <v>362944.27540562</v>
      </c>
      <c r="AE15" s="3" t="n">
        <v>20205137.2607532</v>
      </c>
      <c r="AF15" s="3" t="n">
        <v>79427118.5509623</v>
      </c>
      <c r="AG15" s="3" t="n">
        <v>617686369.682344</v>
      </c>
      <c r="AH15" s="3" t="n">
        <v>233471689.733662</v>
      </c>
      <c r="AI15" s="3" t="n">
        <v>1116475091.26764</v>
      </c>
      <c r="AJ15" s="3" t="n">
        <v>-306004413.416075</v>
      </c>
      <c r="AK15" s="3" t="n">
        <v>-1045001.28220204</v>
      </c>
      <c r="AL15" s="3" t="n">
        <v>-882911.929209235</v>
      </c>
      <c r="AM15" s="3" t="n">
        <v>-193625.739911639</v>
      </c>
      <c r="AN15" s="3" t="n">
        <v>-333808.30353995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 t="n">
        <v>9280381.05232191</v>
      </c>
      <c r="Q16" s="3" t="n">
        <v>18631001.1448141</v>
      </c>
      <c r="R16" s="3" t="n">
        <v>2668941.90912345</v>
      </c>
      <c r="S16" s="3" t="n">
        <v>-883213.472477398</v>
      </c>
      <c r="T16" s="3" t="n">
        <v>1251808.94309223</v>
      </c>
      <c r="U16" s="3" t="n">
        <v>828149.731653129</v>
      </c>
      <c r="V16" s="3" t="n">
        <v>3885184.80382834</v>
      </c>
      <c r="W16" s="3" t="n">
        <v>1477138689.40219</v>
      </c>
      <c r="X16" s="3" t="n">
        <v>1657888139.69078</v>
      </c>
      <c r="Y16" s="3" t="n">
        <v>2727643836.26679</v>
      </c>
      <c r="Z16" s="3" t="n">
        <v>3519463760.53055</v>
      </c>
      <c r="AA16" s="3" t="n">
        <v>3846572396.84945</v>
      </c>
      <c r="AB16" s="3" t="n">
        <v>6197450815.20314</v>
      </c>
      <c r="AC16" s="3" t="n">
        <v>13795442216.172</v>
      </c>
      <c r="AD16" s="3" t="n">
        <v>10462349237.4059</v>
      </c>
      <c r="AE16" s="3" t="n">
        <v>16699296467.4403</v>
      </c>
      <c r="AF16" s="3" t="n">
        <v>13972616695.6135</v>
      </c>
      <c r="AG16" s="3" t="n">
        <v>28531221900.3914</v>
      </c>
      <c r="AH16" s="3" t="n">
        <v>39900524330.4868</v>
      </c>
      <c r="AI16" s="3" t="n">
        <v>26851958266.8523</v>
      </c>
      <c r="AJ16" s="3" t="n">
        <v>22093825962.5598</v>
      </c>
      <c r="AK16" s="3" t="n">
        <v>16578592661.6942</v>
      </c>
      <c r="AL16" s="3" t="n">
        <v>8534630748.37771</v>
      </c>
      <c r="AM16" s="3" t="n">
        <v>5933045792.51504</v>
      </c>
      <c r="AN16" s="3" t="n">
        <v>4508751029.81702</v>
      </c>
      <c r="AO16" s="3" t="n">
        <v>6618752274.62981</v>
      </c>
      <c r="AP16" s="3" t="n">
        <v>6214133051.33049</v>
      </c>
      <c r="AQ16" s="3" t="n">
        <v>7355816452.18848</v>
      </c>
      <c r="AR16" s="3" t="n">
        <v>8920088600.51061</v>
      </c>
      <c r="AS16" s="3" t="n">
        <v>9192000842.60098</v>
      </c>
      <c r="AT16" s="3" t="n">
        <v>9098127249.9222</v>
      </c>
      <c r="AU16" s="3" t="n">
        <v>6534005938.48989</v>
      </c>
      <c r="AV16" s="3" t="n">
        <v>6168112542.36184</v>
      </c>
      <c r="AW16" s="3" t="n">
        <v>8649275237.0758</v>
      </c>
      <c r="AX16" s="3" t="n">
        <v>9584993989.39251</v>
      </c>
      <c r="AY16" s="3" t="n">
        <v>4299024451.29006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1590508.80972488</v>
      </c>
      <c r="Q17" s="3" t="n">
        <v>469269.589392424</v>
      </c>
      <c r="R17" s="3" t="n">
        <v>72080.9128741368</v>
      </c>
      <c r="S17" s="3" t="n">
        <v>-5636196.31897753</v>
      </c>
      <c r="T17" s="3" t="n">
        <v>0</v>
      </c>
      <c r="U17" s="3" t="n">
        <v>76612.9707696727</v>
      </c>
      <c r="V17" s="3"/>
      <c r="W17" s="3" t="n">
        <v>253229449.458758</v>
      </c>
      <c r="X17" s="3" t="n">
        <v>280364807.845827</v>
      </c>
      <c r="Y17" s="3" t="n">
        <v>229725061.977683</v>
      </c>
      <c r="Z17" s="3" t="n">
        <v>1543217386.29156</v>
      </c>
      <c r="AA17" s="3" t="n">
        <v>1302644741.66692</v>
      </c>
      <c r="AB17" s="3" t="n">
        <v>1166151561.64665</v>
      </c>
      <c r="AC17" s="3" t="n">
        <v>892475675.126654</v>
      </c>
      <c r="AD17" s="3" t="n">
        <v>1532033981.78686</v>
      </c>
      <c r="AE17" s="3" t="n">
        <v>2761998148.70564</v>
      </c>
      <c r="AF17" s="3" t="n">
        <v>2991508390.83677</v>
      </c>
      <c r="AG17" s="3" t="n">
        <v>4390907363.04805</v>
      </c>
      <c r="AH17" s="3" t="n">
        <v>7308684640.65301</v>
      </c>
      <c r="AI17" s="3" t="n">
        <v>8071561498.19953</v>
      </c>
      <c r="AJ17" s="3" t="n">
        <v>5248413346.39481</v>
      </c>
      <c r="AK17" s="3" t="n">
        <v>4800823487.87449</v>
      </c>
      <c r="AL17" s="3" t="n">
        <v>2598714981.63905</v>
      </c>
      <c r="AM17" s="3" t="n">
        <v>1792902566.3918</v>
      </c>
      <c r="AN17" s="3" t="n">
        <v>1486832447.86714</v>
      </c>
      <c r="AO17" s="3" t="n">
        <v>1128183125.74652</v>
      </c>
      <c r="AP17" s="3" t="n">
        <v>806624070.012858</v>
      </c>
      <c r="AQ17" s="3" t="n">
        <v>805013210.433713</v>
      </c>
      <c r="AR17" s="3" t="n">
        <v>1487887858.69413</v>
      </c>
      <c r="AS17" s="3" t="n">
        <v>1207057511.82626</v>
      </c>
      <c r="AT17" s="3" t="n">
        <v>1479221761.73753</v>
      </c>
      <c r="AU17" s="3" t="n">
        <v>1875591136.62004</v>
      </c>
      <c r="AV17" s="3" t="n">
        <v>2352678638.69284</v>
      </c>
      <c r="AW17" s="3" t="n">
        <v>1647900576.738</v>
      </c>
      <c r="AX17" s="3" t="n">
        <v>1747978704.76626</v>
      </c>
      <c r="AY17" s="3" t="n">
        <v>1609935123.00686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/>
      <c r="Q18" s="3"/>
      <c r="R18" s="3" t="n">
        <v>165591.286332477</v>
      </c>
      <c r="S18" s="3" t="n">
        <v>342625.916047266</v>
      </c>
      <c r="T18" s="3" t="n">
        <v>398641.538425205</v>
      </c>
      <c r="U18" s="3" t="n">
        <v>846390.915169717</v>
      </c>
      <c r="V18" s="3" t="n">
        <v>1670450.42487181</v>
      </c>
      <c r="W18" s="3" t="n">
        <v>65991096.5600528</v>
      </c>
      <c r="X18" s="3" t="n">
        <v>12450281.7324696</v>
      </c>
      <c r="Y18" s="3" t="n">
        <v>60238246.5227486</v>
      </c>
      <c r="Z18" s="3" t="n">
        <v>141488759.700763</v>
      </c>
      <c r="AA18" s="3" t="n">
        <v>131947222.493051</v>
      </c>
      <c r="AB18" s="3" t="n">
        <v>128775842.933265</v>
      </c>
      <c r="AC18" s="3" t="n">
        <v>215526157.651574</v>
      </c>
      <c r="AD18" s="3" t="n">
        <v>252588476.009431</v>
      </c>
      <c r="AE18" s="3" t="n">
        <v>294683092.126348</v>
      </c>
      <c r="AF18" s="3" t="n">
        <v>157820315.475811</v>
      </c>
      <c r="AG18" s="3" t="n">
        <v>143295285.611577</v>
      </c>
      <c r="AH18" s="3" t="n">
        <v>263707300.808911</v>
      </c>
      <c r="AI18" s="3" t="n">
        <v>510030628.040264</v>
      </c>
      <c r="AJ18" s="3" t="n">
        <v>15385024.0347976</v>
      </c>
      <c r="AK18" s="3" t="n">
        <v>70551850.1252401</v>
      </c>
      <c r="AL18" s="3" t="n">
        <v>109284177.836394</v>
      </c>
      <c r="AM18" s="3" t="n">
        <v>99109266.0985161</v>
      </c>
      <c r="AN18" s="3" t="n">
        <v>71964478.1983783</v>
      </c>
      <c r="AO18" s="3" t="n">
        <v>85969930.2096181</v>
      </c>
      <c r="AP18" s="3" t="n">
        <v>85862828.5037576</v>
      </c>
      <c r="AQ18" s="3" t="n">
        <v>125917255.894793</v>
      </c>
      <c r="AR18" s="3" t="n">
        <v>111139592.076907</v>
      </c>
      <c r="AS18" s="3" t="n">
        <v>69426816.6201859</v>
      </c>
      <c r="AT18" s="3" t="n">
        <v>73327843.5070517</v>
      </c>
      <c r="AU18" s="3" t="n">
        <v>45092120.9246052</v>
      </c>
      <c r="AV18" s="3" t="n">
        <v>56556768.4755146</v>
      </c>
      <c r="AW18" s="3" t="n">
        <v>76340437.6317</v>
      </c>
      <c r="AX18" s="3" t="n">
        <v>135976882.556177</v>
      </c>
      <c r="AY18" s="3" t="n">
        <v>302385891.078872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-376791.511168811</v>
      </c>
      <c r="X19" s="3" t="n">
        <v>18917625.3935192</v>
      </c>
      <c r="Y19" s="3" t="n">
        <v>19715871.8382866</v>
      </c>
      <c r="Z19" s="3" t="n">
        <v>153498938.001928</v>
      </c>
      <c r="AA19" s="3" t="n">
        <v>54068612.6302154</v>
      </c>
      <c r="AB19" s="3" t="n">
        <v>87645841.4923409</v>
      </c>
      <c r="AC19" s="3" t="n">
        <v>94584498.9856925</v>
      </c>
      <c r="AD19" s="3" t="n">
        <v>209463757.587249</v>
      </c>
      <c r="AE19" s="3" t="n">
        <v>481808639.008359</v>
      </c>
      <c r="AF19" s="3" t="n">
        <v>483888796.058549</v>
      </c>
      <c r="AG19" s="3" t="n">
        <v>268157162.861179</v>
      </c>
      <c r="AH19" s="3" t="n">
        <v>876899026.7713</v>
      </c>
      <c r="AI19" s="3" t="n">
        <v>634143404.397473</v>
      </c>
      <c r="AJ19" s="3" t="n">
        <v>347722139.949686</v>
      </c>
      <c r="AK19" s="3" t="n">
        <v>260574460.885678</v>
      </c>
      <c r="AL19" s="3" t="n">
        <v>89533486.5194753</v>
      </c>
      <c r="AM19" s="3" t="n">
        <v>30801868.6463493</v>
      </c>
      <c r="AN19" s="3" t="n">
        <v>-7228683.99317745</v>
      </c>
      <c r="AO19" s="3" t="n">
        <v>32068346.8603685</v>
      </c>
      <c r="AP19" s="3" t="n">
        <v>65120890.944864</v>
      </c>
      <c r="AQ19" s="3" t="n">
        <v>18041129.3357566</v>
      </c>
      <c r="AR19" s="3" t="n">
        <v>33781352.3804505</v>
      </c>
      <c r="AS19" s="3" t="n">
        <v>99375634.7047592</v>
      </c>
      <c r="AT19" s="3" t="n">
        <v>66107544.9644098</v>
      </c>
      <c r="AU19" s="3" t="n">
        <v>149177295.424756</v>
      </c>
      <c r="AV19" s="3" t="n">
        <v>44138571.4417389</v>
      </c>
      <c r="AW19" s="3" t="n">
        <v>4525630.9849</v>
      </c>
      <c r="AX19" s="3" t="n">
        <v>19775633.0413065</v>
      </c>
      <c r="AY19" s="3" t="n">
        <v>9875988.88875552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2574971.56691693</v>
      </c>
      <c r="X20" s="3" t="n">
        <v>6578582.68505016</v>
      </c>
      <c r="Y20" s="3" t="n">
        <v>12359796.00646</v>
      </c>
      <c r="Z20" s="3" t="n">
        <v>184975043.056658</v>
      </c>
      <c r="AA20" s="3" t="n">
        <v>26025008.8388725</v>
      </c>
      <c r="AB20" s="3" t="n">
        <v>52328636.0202644</v>
      </c>
      <c r="AC20" s="3" t="n">
        <v>72921954.2625321</v>
      </c>
      <c r="AD20" s="3" t="n">
        <v>568085863.573683</v>
      </c>
      <c r="AE20" s="3" t="n">
        <v>2410245335.55615</v>
      </c>
      <c r="AF20" s="3" t="n">
        <v>5109048344.66621</v>
      </c>
      <c r="AG20" s="3" t="n">
        <v>5931835849.50911</v>
      </c>
      <c r="AH20" s="3" t="n">
        <v>6380445472.40678</v>
      </c>
      <c r="AI20" s="3" t="n">
        <v>1895143639.07749</v>
      </c>
      <c r="AJ20" s="3" t="n">
        <v>6563217982.85815</v>
      </c>
      <c r="AK20" s="3" t="n">
        <v>3877089071.30601</v>
      </c>
      <c r="AL20" s="3" t="n">
        <v>2016294920.96795</v>
      </c>
      <c r="AM20" s="3" t="n">
        <v>908588249.985133</v>
      </c>
      <c r="AN20" s="3" t="n">
        <v>556555954.857083</v>
      </c>
      <c r="AO20" s="3" t="n">
        <v>108043484.612222</v>
      </c>
      <c r="AP20" s="3" t="n">
        <v>758144260.595557</v>
      </c>
      <c r="AQ20" s="3" t="n">
        <v>430182814.083544</v>
      </c>
      <c r="AR20" s="3" t="n">
        <v>696455294.647842</v>
      </c>
      <c r="AS20" s="3" t="n">
        <v>797237957.847786</v>
      </c>
      <c r="AT20" s="3" t="n">
        <v>440627598.291604</v>
      </c>
      <c r="AU20" s="3" t="n">
        <v>110059862.276419</v>
      </c>
      <c r="AV20" s="3" t="n">
        <v>373425487.931976</v>
      </c>
      <c r="AW20" s="3" t="n">
        <v>1370398822.7725</v>
      </c>
      <c r="AX20" s="3" t="n">
        <v>694376866.106288</v>
      </c>
      <c r="AY20" s="3" t="n">
        <v>315778555.064158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8842244479.86823</v>
      </c>
      <c r="Q21" s="3" t="n">
        <v>12987736573.8266</v>
      </c>
      <c r="R21" s="3" t="n">
        <v>8117503923.54916</v>
      </c>
      <c r="S21" s="3" t="n">
        <v>8368380135.38311</v>
      </c>
      <c r="T21" s="3" t="n">
        <v>6741593612.09646</v>
      </c>
      <c r="U21" s="3" t="n">
        <v>5651948005.26484</v>
      </c>
      <c r="V21" s="3" t="n">
        <v>6586919162.85762</v>
      </c>
      <c r="W21" s="3" t="n">
        <v>6443635750.19179</v>
      </c>
      <c r="X21" s="3" t="n">
        <v>4878888748.03755</v>
      </c>
      <c r="Y21" s="3" t="n">
        <v>6044155511.15966</v>
      </c>
      <c r="Z21" s="3" t="n">
        <v>113503081.623609</v>
      </c>
      <c r="AA21" s="3" t="n">
        <v>49804827.946299</v>
      </c>
      <c r="AB21" s="3" t="n">
        <v>86272455.7102116</v>
      </c>
      <c r="AC21" s="3" t="n">
        <v>211169401.219379</v>
      </c>
      <c r="AD21" s="3" t="n">
        <v>169316395.649031</v>
      </c>
      <c r="AE21" s="3" t="n">
        <v>209850506.48701</v>
      </c>
      <c r="AF21" s="3" t="n">
        <v>512163893.644283</v>
      </c>
      <c r="AG21" s="3" t="n">
        <v>642307.8645666</v>
      </c>
      <c r="AH21" s="3" t="n">
        <v>59300734.8896945</v>
      </c>
      <c r="AI21" s="3" t="n">
        <v>-926009.825859271</v>
      </c>
      <c r="AJ21" s="3" t="n">
        <v>24222398.2464301</v>
      </c>
      <c r="AK21" s="3" t="n">
        <v>-33004.9490204428</v>
      </c>
      <c r="AL21" s="3" t="n">
        <v>0</v>
      </c>
      <c r="AM21" s="3" t="n">
        <v>0</v>
      </c>
      <c r="AN21" s="3" t="n">
        <v>0</v>
      </c>
      <c r="AO21" s="3" t="n">
        <v>-1469866.26888663</v>
      </c>
      <c r="AP21" s="3" t="n">
        <v>-2751862.58996428</v>
      </c>
      <c r="AQ21" s="3" t="n">
        <v>3981349.37220504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5737000</v>
      </c>
      <c r="Q2" s="4" t="n">
        <v>9278000</v>
      </c>
      <c r="R2" s="4" t="n">
        <v>2638000</v>
      </c>
      <c r="S2" s="4" t="n">
        <v>-5573000</v>
      </c>
      <c r="T2" s="4" t="n">
        <v>672000</v>
      </c>
      <c r="U2" s="4" t="n">
        <v>219000</v>
      </c>
      <c r="V2" s="4" t="n">
        <v>1260000</v>
      </c>
      <c r="W2" s="4" t="n">
        <v>671993186</v>
      </c>
      <c r="X2" s="4" t="n">
        <v>601007258</v>
      </c>
      <c r="Y2" s="4" t="n">
        <v>1057202492</v>
      </c>
      <c r="Z2" s="4" t="n">
        <v>2567053933</v>
      </c>
      <c r="AA2" s="4" t="n">
        <v>2039148176.8</v>
      </c>
      <c r="AB2" s="4" t="n">
        <v>2458932139.99</v>
      </c>
      <c r="AC2" s="4" t="n">
        <v>6164126681.21</v>
      </c>
      <c r="AD2" s="4" t="n">
        <v>3756314887.29</v>
      </c>
      <c r="AE2" s="4" t="n">
        <v>6393170370.07</v>
      </c>
      <c r="AF2" s="4" t="n">
        <v>8563835455.88</v>
      </c>
      <c r="AG2" s="4" t="n">
        <v>12917488183.77</v>
      </c>
      <c r="AH2" s="4" t="n">
        <v>17694784391.04</v>
      </c>
      <c r="AI2" s="4" t="n">
        <v>9980547947.37</v>
      </c>
      <c r="AJ2" s="4" t="n">
        <v>8200598168.8238</v>
      </c>
      <c r="AK2" s="4" t="n">
        <v>6127439826.4516</v>
      </c>
      <c r="AL2" s="4" t="n">
        <v>3630730752.3167</v>
      </c>
      <c r="AM2" s="4" t="n">
        <v>2786384860.3542</v>
      </c>
      <c r="AN2" s="4" t="n">
        <v>2908209773.9275</v>
      </c>
      <c r="AO2" s="4" t="n">
        <v>3898799756.1311</v>
      </c>
      <c r="AP2" s="4" t="n">
        <v>4225888919.115</v>
      </c>
      <c r="AQ2" s="4" t="n">
        <v>3772309202.0111</v>
      </c>
      <c r="AR2" s="4" t="n">
        <v>5163455534.9</v>
      </c>
      <c r="AS2" s="4" t="n">
        <v>6260981165.43</v>
      </c>
      <c r="AT2" s="4" t="n">
        <v>5759093412.22</v>
      </c>
      <c r="AU2" s="4" t="n">
        <v>3390775312.78</v>
      </c>
      <c r="AV2" s="4" t="n">
        <v>3693970710.99</v>
      </c>
      <c r="AW2" s="4" t="n">
        <v>4649519417.58</v>
      </c>
      <c r="AX2" s="4" t="n">
        <v>4737836216.76</v>
      </c>
      <c r="AY2" s="4" t="n">
        <v>1594231607.68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54000</v>
      </c>
      <c r="Q3" s="4" t="n">
        <v>235000</v>
      </c>
      <c r="R3" s="4" t="n">
        <v>292000</v>
      </c>
      <c r="S3" s="4" t="n">
        <v>884000</v>
      </c>
      <c r="T3" s="4"/>
      <c r="U3" s="4" t="n">
        <v>243000</v>
      </c>
      <c r="V3" s="4" t="n">
        <v>1221000</v>
      </c>
      <c r="W3" s="4" t="n">
        <v>8514815</v>
      </c>
      <c r="X3" s="4" t="n">
        <v>42803630</v>
      </c>
      <c r="Y3" s="4" t="n">
        <v>68504175</v>
      </c>
      <c r="Z3" s="4" t="n">
        <v>102774117</v>
      </c>
      <c r="AA3" s="4" t="n">
        <v>120885561</v>
      </c>
      <c r="AB3" s="4" t="n">
        <v>183530727.78</v>
      </c>
      <c r="AC3" s="4" t="n">
        <v>326891545.5</v>
      </c>
      <c r="AD3" s="4" t="n">
        <v>418175853.94</v>
      </c>
      <c r="AE3" s="4" t="n">
        <v>509943877.34</v>
      </c>
      <c r="AF3" s="4" t="n">
        <v>504264516.51</v>
      </c>
      <c r="AG3" s="4" t="n">
        <v>494436785.25</v>
      </c>
      <c r="AH3" s="4" t="n">
        <v>638293953.77</v>
      </c>
      <c r="AI3" s="4" t="n">
        <v>651894974.89</v>
      </c>
      <c r="AJ3" s="4" t="n">
        <v>692100808.9208</v>
      </c>
      <c r="AK3" s="4" t="n">
        <v>732790835.2834</v>
      </c>
      <c r="AL3" s="4" t="n">
        <v>593749315.1256</v>
      </c>
      <c r="AM3" s="4" t="n">
        <v>477678382.6022</v>
      </c>
      <c r="AN3" s="4" t="n">
        <v>506735211.3537</v>
      </c>
      <c r="AO3" s="4" t="n">
        <v>589654540.5028</v>
      </c>
      <c r="AP3" s="4" t="n">
        <v>526295077.4845</v>
      </c>
      <c r="AQ3" s="4" t="n">
        <v>525474084.487</v>
      </c>
      <c r="AR3" s="4" t="n">
        <v>878119428.16</v>
      </c>
      <c r="AS3" s="4" t="n">
        <v>785223956.28</v>
      </c>
      <c r="AT3" s="4" t="n">
        <v>589746121.93</v>
      </c>
      <c r="AU3" s="4" t="n">
        <v>409678101.77</v>
      </c>
      <c r="AV3" s="4" t="n">
        <v>461544997.49</v>
      </c>
      <c r="AW3" s="4" t="n">
        <v>543765155.25</v>
      </c>
      <c r="AX3" s="4" t="n">
        <v>673213541.72</v>
      </c>
      <c r="AY3" s="4" t="n">
        <v>351852758.51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98000</v>
      </c>
      <c r="Q4" s="4"/>
      <c r="R4" s="4"/>
      <c r="S4" s="4"/>
      <c r="T4" s="4"/>
      <c r="U4" s="4"/>
      <c r="V4" s="4"/>
      <c r="W4" s="4" t="n">
        <v>495378</v>
      </c>
      <c r="X4" s="4" t="n">
        <v>204268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 t="n">
        <v>21226070.5736</v>
      </c>
      <c r="AK4" s="4" t="n">
        <v>759941264.7233</v>
      </c>
      <c r="AL4" s="4" t="n">
        <v>604487924.1251</v>
      </c>
      <c r="AM4" s="4" t="n">
        <v>114837584.7538</v>
      </c>
      <c r="AN4" s="4" t="n">
        <v>209831912.8197</v>
      </c>
      <c r="AO4" s="4" t="n">
        <v>118711632.3364</v>
      </c>
      <c r="AP4" s="4" t="n">
        <v>47900237.6385</v>
      </c>
      <c r="AQ4" s="4" t="n">
        <v>56920411.7879</v>
      </c>
      <c r="AR4" s="4" t="n">
        <v>73266797.563</v>
      </c>
      <c r="AS4" s="4" t="n">
        <v>79637531.1846</v>
      </c>
      <c r="AT4" s="4" t="n">
        <v>122401536.8601</v>
      </c>
      <c r="AU4" s="4" t="n">
        <v>164283184.9282</v>
      </c>
      <c r="AV4" s="4" t="n">
        <v>119939124.7293</v>
      </c>
      <c r="AW4" s="4" t="n">
        <v>283475400.6124</v>
      </c>
      <c r="AX4" s="4" t="n">
        <v>288369839.4532</v>
      </c>
      <c r="AY4" s="4" t="n">
        <v>121316276.71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 t="n">
        <v>136000</v>
      </c>
      <c r="U5" s="4" t="n">
        <v>498000</v>
      </c>
      <c r="V5" s="4" t="n">
        <v>1377000</v>
      </c>
      <c r="W5" s="4" t="n">
        <v>2469531</v>
      </c>
      <c r="X5" s="4" t="n">
        <v>2513449</v>
      </c>
      <c r="Y5" s="4" t="n">
        <v>4466020</v>
      </c>
      <c r="Z5" s="4" t="n">
        <v>22315428</v>
      </c>
      <c r="AA5" s="4" t="n">
        <v>26933843</v>
      </c>
      <c r="AB5" s="4" t="n">
        <v>45501003.3301</v>
      </c>
      <c r="AC5" s="4" t="n">
        <v>76852605</v>
      </c>
      <c r="AD5" s="4" t="n">
        <v>106973980.8999</v>
      </c>
      <c r="AE5" s="4" t="n">
        <v>150437934.3984</v>
      </c>
      <c r="AF5" s="4" t="n">
        <v>163671921.5192</v>
      </c>
      <c r="AG5" s="4" t="n">
        <v>181866187.7916</v>
      </c>
      <c r="AH5" s="4" t="n">
        <v>98071860.1189</v>
      </c>
      <c r="AI5" s="4" t="n">
        <v>247874885.6489</v>
      </c>
      <c r="AJ5" s="4" t="n">
        <v>171532518.4082</v>
      </c>
      <c r="AK5" s="4" t="n">
        <v>133614340.0305</v>
      </c>
      <c r="AL5" s="4" t="n">
        <v>106045471.9929</v>
      </c>
      <c r="AM5" s="4" t="n">
        <v>77460337.6685</v>
      </c>
      <c r="AN5" s="4" t="n">
        <v>77644704.6359</v>
      </c>
      <c r="AO5" s="4" t="n">
        <v>38691959.4711</v>
      </c>
      <c r="AP5" s="4" t="n">
        <v>36582612.5629</v>
      </c>
      <c r="AQ5" s="4" t="n">
        <v>37840199.504</v>
      </c>
      <c r="AR5" s="4" t="n">
        <v>48887107.339</v>
      </c>
      <c r="AS5" s="4" t="n">
        <v>71741070.4917</v>
      </c>
      <c r="AT5" s="4" t="n">
        <v>125776252.2645</v>
      </c>
      <c r="AU5" s="4" t="n">
        <v>168355554.7664</v>
      </c>
      <c r="AV5" s="4" t="n">
        <v>34949063.9193</v>
      </c>
      <c r="AW5" s="4" t="n">
        <v>28682218.1085</v>
      </c>
      <c r="AX5" s="4" t="n">
        <v>33160167.71</v>
      </c>
      <c r="AY5" s="4" t="n">
        <v>5799306.2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11269281</v>
      </c>
      <c r="X6" s="4" t="n">
        <v>15859303</v>
      </c>
      <c r="Y6" s="4" t="n">
        <v>12786607</v>
      </c>
      <c r="Z6" s="4" t="n">
        <v>123125334</v>
      </c>
      <c r="AA6" s="4" t="n">
        <v>218853345</v>
      </c>
      <c r="AB6" s="4" t="n">
        <v>276817698.3203</v>
      </c>
      <c r="AC6" s="4" t="n">
        <v>468345261</v>
      </c>
      <c r="AD6" s="4" t="n">
        <v>480349307.5091</v>
      </c>
      <c r="AE6" s="4" t="n">
        <v>1275203785.3917</v>
      </c>
      <c r="AF6" s="4" t="n">
        <v>1084465304.4663</v>
      </c>
      <c r="AG6" s="4" t="n">
        <v>1132844429.0062</v>
      </c>
      <c r="AH6" s="4" t="n">
        <v>1058552498.467</v>
      </c>
      <c r="AI6" s="4" t="n">
        <v>3683927087.3396</v>
      </c>
      <c r="AJ6" s="4" t="n">
        <v>4517216205.7898</v>
      </c>
      <c r="AK6" s="4" t="n">
        <v>3386506662.337</v>
      </c>
      <c r="AL6" s="4" t="n">
        <v>999938309.0311</v>
      </c>
      <c r="AM6" s="4" t="n">
        <v>589023461.7002</v>
      </c>
      <c r="AN6" s="4" t="n">
        <v>342322284.5268</v>
      </c>
      <c r="AO6" s="4" t="n">
        <v>398641233.4044</v>
      </c>
      <c r="AP6" s="4" t="n">
        <v>613551555.8887</v>
      </c>
      <c r="AQ6" s="4" t="n">
        <v>457036309.0818</v>
      </c>
      <c r="AR6" s="4" t="n">
        <v>452429262.101</v>
      </c>
      <c r="AS6" s="4" t="n">
        <v>597987575.2476</v>
      </c>
      <c r="AT6" s="4" t="n">
        <v>344225539.2126</v>
      </c>
      <c r="AU6" s="4" t="n">
        <v>236755352.938</v>
      </c>
      <c r="AV6" s="4" t="n">
        <v>122507629.8245</v>
      </c>
      <c r="AW6" s="4" t="n">
        <v>240471910.5197</v>
      </c>
      <c r="AX6" s="4" t="n">
        <v>307919058.1801</v>
      </c>
      <c r="AY6" s="4" t="n">
        <v>269275276.79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/>
      <c r="Q7" s="4"/>
      <c r="R7" s="4" t="n">
        <v>85000</v>
      </c>
      <c r="S7" s="4" t="n">
        <v>180000</v>
      </c>
      <c r="T7" s="4" t="n">
        <v>78000</v>
      </c>
      <c r="U7" s="4"/>
      <c r="V7" s="4" t="n">
        <v>0</v>
      </c>
      <c r="W7" s="4" t="n">
        <v>348569419</v>
      </c>
      <c r="X7" s="4" t="n">
        <v>456116890</v>
      </c>
      <c r="Y7" s="4" t="n">
        <v>634571529</v>
      </c>
      <c r="Z7" s="4" t="n">
        <v>556291028.419</v>
      </c>
      <c r="AA7" s="4" t="n">
        <v>890663639.4609</v>
      </c>
      <c r="AB7" s="4" t="n">
        <v>1813994521.9258</v>
      </c>
      <c r="AC7" s="4" t="n">
        <v>2599956323.8087</v>
      </c>
      <c r="AD7" s="4" t="n">
        <v>3781070117.9663</v>
      </c>
      <c r="AE7" s="4" t="n">
        <v>6932972391.4107</v>
      </c>
      <c r="AF7" s="4" t="n">
        <v>5813272591.5446</v>
      </c>
      <c r="AG7" s="4" t="n">
        <v>13471961288.8451</v>
      </c>
      <c r="AH7" s="4" t="n">
        <v>20267513356.6863</v>
      </c>
      <c r="AI7" s="4" t="n">
        <v>14270885299.8344</v>
      </c>
      <c r="AJ7" s="4" t="n">
        <v>11729510218.2631</v>
      </c>
      <c r="AK7" s="4" t="n">
        <v>8433915343.2038</v>
      </c>
      <c r="AL7" s="4" t="n">
        <v>4893721355.1361</v>
      </c>
      <c r="AM7" s="4" t="n">
        <v>3389729174.5099</v>
      </c>
      <c r="AN7" s="4" t="n">
        <v>1780728347.1637</v>
      </c>
      <c r="AO7" s="4" t="n">
        <v>2449273122.2905</v>
      </c>
      <c r="AP7" s="4" t="n">
        <v>1902180626.7556</v>
      </c>
      <c r="AQ7" s="4" t="n">
        <v>3409599388.5963</v>
      </c>
      <c r="AR7" s="4" t="n">
        <v>6049529744.1783</v>
      </c>
      <c r="AS7" s="4" t="n">
        <v>5123819646.087</v>
      </c>
      <c r="AT7" s="4" t="n">
        <v>4812391769.0819</v>
      </c>
      <c r="AU7" s="4" t="n">
        <v>5312829959.0641</v>
      </c>
      <c r="AV7" s="4" t="n">
        <v>6387741184.1576</v>
      </c>
      <c r="AW7" s="4" t="n">
        <v>8788622460.6187</v>
      </c>
      <c r="AX7" s="4" t="n">
        <v>7672366690.42</v>
      </c>
      <c r="AY7" s="4" t="n">
        <v>4700386740.85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16880561</v>
      </c>
      <c r="X8" s="4" t="n">
        <v>23410394</v>
      </c>
      <c r="Y8" s="4" t="n">
        <v>14691568</v>
      </c>
      <c r="Z8" s="4" t="n">
        <v>23800285</v>
      </c>
      <c r="AA8" s="4" t="n">
        <v>1305095</v>
      </c>
      <c r="AB8" s="4" t="n">
        <v>5981747</v>
      </c>
      <c r="AC8" s="4" t="n">
        <v>5340117</v>
      </c>
      <c r="AD8" s="4" t="n">
        <v>2606539</v>
      </c>
      <c r="AE8" s="4" t="n">
        <v>44205</v>
      </c>
      <c r="AF8" s="4" t="n">
        <v>2237496</v>
      </c>
      <c r="AG8" s="4" t="n">
        <v>0</v>
      </c>
      <c r="AH8" s="4"/>
      <c r="AI8" s="4" t="n">
        <v>0</v>
      </c>
      <c r="AJ8" s="4" t="n">
        <v>40343.0392</v>
      </c>
      <c r="AK8" s="4" t="n">
        <v>1348949.963</v>
      </c>
      <c r="AL8" s="4"/>
      <c r="AM8" s="4" t="n">
        <v>0</v>
      </c>
      <c r="AN8" s="4"/>
      <c r="AO8" s="4"/>
      <c r="AP8" s="4"/>
      <c r="AQ8" s="4"/>
      <c r="AR8" s="4" t="n">
        <v>44088.1406</v>
      </c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4275032000</v>
      </c>
      <c r="Q9" s="4" t="n">
        <v>6503975889</v>
      </c>
      <c r="R9" s="4" t="n">
        <v>4166812450</v>
      </c>
      <c r="S9" s="4" t="n">
        <v>4396364530</v>
      </c>
      <c r="T9" s="4" t="n">
        <v>3619043411</v>
      </c>
      <c r="U9" s="4" t="n">
        <v>3098454659</v>
      </c>
      <c r="V9" s="4" t="n">
        <v>3678250068</v>
      </c>
      <c r="W9" s="4" t="n">
        <v>3652647546</v>
      </c>
      <c r="X9" s="4" t="n">
        <v>2804250415</v>
      </c>
      <c r="Y9" s="4" t="n">
        <v>3507393596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 t="n">
        <v>0</v>
      </c>
      <c r="AR9" s="4" t="n">
        <v>0</v>
      </c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208</v>
      </c>
      <c r="O10" t="s">
        <v>209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11865733.4738513</v>
      </c>
      <c r="Q14" s="4" t="n">
        <v>18527162.7675869</v>
      </c>
      <c r="R14" s="4" t="n">
        <v>5139174.27464792</v>
      </c>
      <c r="S14" s="4" t="n">
        <v>-10608079.0562856</v>
      </c>
      <c r="T14" s="4" t="n">
        <v>1251808.94309223</v>
      </c>
      <c r="U14" s="4" t="n">
        <v>399481.919013293</v>
      </c>
      <c r="V14" s="4" t="n">
        <v>2255913.75706161</v>
      </c>
      <c r="W14" s="4" t="n">
        <v>1182161813.61012</v>
      </c>
      <c r="X14" s="4" t="n">
        <v>1044192371.80539</v>
      </c>
      <c r="Y14" s="4" t="n">
        <v>1814321778.90872</v>
      </c>
      <c r="Z14" s="4" t="n">
        <v>4315662766.38867</v>
      </c>
      <c r="AA14" s="4" t="n">
        <v>3347032644.90252</v>
      </c>
      <c r="AB14" s="4" t="n">
        <v>3973548403.78657</v>
      </c>
      <c r="AC14" s="4" t="n">
        <v>9773411397.58187</v>
      </c>
      <c r="AD14" s="4" t="n">
        <v>5813786716.25933</v>
      </c>
      <c r="AE14" s="4" t="n">
        <v>9602735418.927</v>
      </c>
      <c r="AF14" s="4" t="n">
        <v>12458436344.663</v>
      </c>
      <c r="AG14" s="4" t="n">
        <v>18288538424.6147</v>
      </c>
      <c r="AH14" s="4" t="n">
        <v>24542692077.4917</v>
      </c>
      <c r="AI14" s="4" t="n">
        <v>13702907290.9379</v>
      </c>
      <c r="AJ14" s="4" t="n">
        <v>11162433297.295</v>
      </c>
      <c r="AK14" s="4" t="n">
        <v>8176394622.79835</v>
      </c>
      <c r="AL14" s="4" t="n">
        <v>4758463636.51631</v>
      </c>
      <c r="AM14" s="4" t="n">
        <v>3586776334.35746</v>
      </c>
      <c r="AN14" s="4" t="n">
        <v>3676524100.14635</v>
      </c>
      <c r="AO14" s="4" t="n">
        <v>4878295266.73863</v>
      </c>
      <c r="AP14" s="4" t="n">
        <v>5245619896.04432</v>
      </c>
      <c r="AQ14" s="4" t="n">
        <v>4604857843.77954</v>
      </c>
      <c r="AR14" s="4" t="n">
        <v>6166141820.87818</v>
      </c>
      <c r="AS14" s="4" t="n">
        <v>7341062061.0716</v>
      </c>
      <c r="AT14" s="4" t="n">
        <v>6665521311.51462</v>
      </c>
      <c r="AU14" s="4" t="n">
        <v>3793876649.225</v>
      </c>
      <c r="AV14" s="4" t="n">
        <v>3862957292.00816</v>
      </c>
      <c r="AW14" s="4" t="n">
        <v>4649519417.58</v>
      </c>
      <c r="AX14" s="4" t="n">
        <v>4614598796.67128</v>
      </c>
      <c r="AY14" s="4" t="n">
        <v>1519424206.40819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111687.22461007</v>
      </c>
      <c r="Q15" s="4" t="n">
        <v>469269.589392424</v>
      </c>
      <c r="R15" s="4" t="n">
        <v>568854.771871567</v>
      </c>
      <c r="S15" s="4" t="n">
        <v>1682673.94325435</v>
      </c>
      <c r="T15" s="4"/>
      <c r="U15" s="4" t="n">
        <v>443260.759453106</v>
      </c>
      <c r="V15" s="4" t="n">
        <v>2186087.85505733</v>
      </c>
      <c r="W15" s="4" t="n">
        <v>14979153.5876596</v>
      </c>
      <c r="X15" s="4" t="n">
        <v>74367194.9658554</v>
      </c>
      <c r="Y15" s="4" t="n">
        <v>117563681.119922</v>
      </c>
      <c r="Z15" s="4" t="n">
        <v>172781110.822642</v>
      </c>
      <c r="AA15" s="4" t="n">
        <v>198420067.539819</v>
      </c>
      <c r="AB15" s="4" t="n">
        <v>296579242.084725</v>
      </c>
      <c r="AC15" s="4" t="n">
        <v>518296544.148199</v>
      </c>
      <c r="AD15" s="4" t="n">
        <v>647226150.534669</v>
      </c>
      <c r="AE15" s="4" t="n">
        <v>765951139.910599</v>
      </c>
      <c r="AF15" s="4" t="n">
        <v>733590388.579753</v>
      </c>
      <c r="AG15" s="4" t="n">
        <v>700022017.976293</v>
      </c>
      <c r="AH15" s="4" t="n">
        <v>885314656.34779</v>
      </c>
      <c r="AI15" s="4" t="n">
        <v>895026650.986623</v>
      </c>
      <c r="AJ15" s="4" t="n">
        <v>942068975.401385</v>
      </c>
      <c r="AK15" s="4" t="n">
        <v>977828785.748653</v>
      </c>
      <c r="AL15" s="4" t="n">
        <v>778172417.062003</v>
      </c>
      <c r="AM15" s="4" t="n">
        <v>614891913.364016</v>
      </c>
      <c r="AN15" s="4" t="n">
        <v>640608608.648833</v>
      </c>
      <c r="AO15" s="4" t="n">
        <v>737793457.953891</v>
      </c>
      <c r="AP15" s="4" t="n">
        <v>653293066.260021</v>
      </c>
      <c r="AQ15" s="4" t="n">
        <v>641446215.056503</v>
      </c>
      <c r="AR15" s="4" t="n">
        <v>1048640565.04514</v>
      </c>
      <c r="AS15" s="4" t="n">
        <v>920682819.925998</v>
      </c>
      <c r="AT15" s="4" t="n">
        <v>682566692.835117</v>
      </c>
      <c r="AU15" s="4" t="n">
        <v>458381355.481123</v>
      </c>
      <c r="AV15" s="4" t="n">
        <v>482659109.434587</v>
      </c>
      <c r="AW15" s="4" t="n">
        <v>543765155.25</v>
      </c>
      <c r="AX15" s="4" t="n">
        <v>655702362.300823</v>
      </c>
      <c r="AY15" s="4" t="n">
        <v>335342490.887872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202691.629847904</v>
      </c>
      <c r="Q16" s="4"/>
      <c r="R16" s="4"/>
      <c r="S16" s="4"/>
      <c r="T16" s="4"/>
      <c r="U16" s="4"/>
      <c r="V16" s="4"/>
      <c r="W16" s="4" t="n">
        <v>871462.638465735</v>
      </c>
      <c r="X16" s="4" t="n">
        <v>354896.02590447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 t="n">
        <v>28892355.4189302</v>
      </c>
      <c r="AK16" s="4" t="n">
        <v>1014058048.14316</v>
      </c>
      <c r="AL16" s="4" t="n">
        <v>792246520.573612</v>
      </c>
      <c r="AM16" s="4" t="n">
        <v>147824780.829932</v>
      </c>
      <c r="AN16" s="4" t="n">
        <v>265267000.811843</v>
      </c>
      <c r="AO16" s="4" t="n">
        <v>148535557.185975</v>
      </c>
      <c r="AP16" s="4" t="n">
        <v>59458836.8012257</v>
      </c>
      <c r="AQ16" s="4" t="n">
        <v>69482746.6828372</v>
      </c>
      <c r="AR16" s="4" t="n">
        <v>87494403.9861437</v>
      </c>
      <c r="AS16" s="4" t="n">
        <v>93375789.4121571</v>
      </c>
      <c r="AT16" s="4" t="n">
        <v>141666403.738473</v>
      </c>
      <c r="AU16" s="4" t="n">
        <v>183813459.066507</v>
      </c>
      <c r="AV16" s="4" t="n">
        <v>125425931.259199</v>
      </c>
      <c r="AW16" s="4" t="n">
        <v>283475400.6124</v>
      </c>
      <c r="AX16" s="4" t="n">
        <v>280868956.472084</v>
      </c>
      <c r="AY16" s="4" t="n">
        <v>115623656.297177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 t="n">
        <v>253342.286101999</v>
      </c>
      <c r="U17" s="4" t="n">
        <v>908410.939126119</v>
      </c>
      <c r="V17" s="4" t="n">
        <v>2465391.46307448</v>
      </c>
      <c r="W17" s="4" t="n">
        <v>4344367.33369856</v>
      </c>
      <c r="X17" s="4" t="n">
        <v>4366876.16960838</v>
      </c>
      <c r="Y17" s="4" t="n">
        <v>7664375.94723523</v>
      </c>
      <c r="Z17" s="4" t="n">
        <v>37516103.770784</v>
      </c>
      <c r="AA17" s="4" t="n">
        <v>44208877.4123064</v>
      </c>
      <c r="AB17" s="4" t="n">
        <v>73528031.218357</v>
      </c>
      <c r="AC17" s="4" t="n">
        <v>121852155.94781</v>
      </c>
      <c r="AD17" s="4" t="n">
        <v>165567564.967884</v>
      </c>
      <c r="AE17" s="4" t="n">
        <v>225962331.265374</v>
      </c>
      <c r="AF17" s="4" t="n">
        <v>238105487.449033</v>
      </c>
      <c r="AG17" s="4" t="n">
        <v>257485566.56269</v>
      </c>
      <c r="AH17" s="4" t="n">
        <v>136025814.792284</v>
      </c>
      <c r="AI17" s="4" t="n">
        <v>340322655.199885</v>
      </c>
      <c r="AJ17" s="4" t="n">
        <v>233485442.845833</v>
      </c>
      <c r="AK17" s="4" t="n">
        <v>178293643.397032</v>
      </c>
      <c r="AL17" s="4" t="n">
        <v>138984010.856062</v>
      </c>
      <c r="AM17" s="4" t="n">
        <v>99710887.0184559</v>
      </c>
      <c r="AN17" s="4" t="n">
        <v>98157509.269738</v>
      </c>
      <c r="AO17" s="4" t="n">
        <v>48412540.9241364</v>
      </c>
      <c r="AP17" s="4" t="n">
        <v>45410204.5705019</v>
      </c>
      <c r="AQ17" s="4" t="n">
        <v>46191531.5434062</v>
      </c>
      <c r="AR17" s="4" t="n">
        <v>58380446.0069988</v>
      </c>
      <c r="AS17" s="4" t="n">
        <v>84117111.5024608</v>
      </c>
      <c r="AT17" s="4" t="n">
        <v>145572268.053956</v>
      </c>
      <c r="AU17" s="4" t="n">
        <v>188369959.39784</v>
      </c>
      <c r="AV17" s="4" t="n">
        <v>36547864.5822118</v>
      </c>
      <c r="AW17" s="4" t="n">
        <v>28682218.1085</v>
      </c>
      <c r="AX17" s="4" t="n">
        <v>32297627.6534583</v>
      </c>
      <c r="AY17" s="4" t="n">
        <v>5527180.72970347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19824774.9271703</v>
      </c>
      <c r="X18" s="4" t="n">
        <v>27554015.3539215</v>
      </c>
      <c r="Y18" s="4" t="n">
        <v>21943780.6229147</v>
      </c>
      <c r="Z18" s="4" t="n">
        <v>206995035.325177</v>
      </c>
      <c r="AA18" s="4" t="n">
        <v>359223178.822948</v>
      </c>
      <c r="AB18" s="4" t="n">
        <v>447327726.297063</v>
      </c>
      <c r="AC18" s="4" t="n">
        <v>742575736.772876</v>
      </c>
      <c r="AD18" s="4" t="n">
        <v>743454291.494592</v>
      </c>
      <c r="AE18" s="4" t="n">
        <v>1915394686.43889</v>
      </c>
      <c r="AF18" s="4" t="n">
        <v>1577650812.33693</v>
      </c>
      <c r="AG18" s="4" t="n">
        <v>1603877516.60741</v>
      </c>
      <c r="AH18" s="4" t="n">
        <v>1468213878.37256</v>
      </c>
      <c r="AI18" s="4" t="n">
        <v>5057889768.23581</v>
      </c>
      <c r="AJ18" s="4" t="n">
        <v>6148713002.21513</v>
      </c>
      <c r="AK18" s="4" t="n">
        <v>4518920731.70108</v>
      </c>
      <c r="AL18" s="4" t="n">
        <v>1310526835.19647</v>
      </c>
      <c r="AM18" s="4" t="n">
        <v>758220963.251654</v>
      </c>
      <c r="AN18" s="4" t="n">
        <v>432759748.063246</v>
      </c>
      <c r="AO18" s="4" t="n">
        <v>498791875.367641</v>
      </c>
      <c r="AP18" s="4" t="n">
        <v>761605028.059454</v>
      </c>
      <c r="AQ18" s="4" t="n">
        <v>557904222.603327</v>
      </c>
      <c r="AR18" s="4" t="n">
        <v>540286049.753707</v>
      </c>
      <c r="AS18" s="4" t="n">
        <v>701146319.666474</v>
      </c>
      <c r="AT18" s="4" t="n">
        <v>398403447.098237</v>
      </c>
      <c r="AU18" s="4" t="n">
        <v>264901245.949581</v>
      </c>
      <c r="AV18" s="4" t="n">
        <v>128111936.716022</v>
      </c>
      <c r="AW18" s="4" t="n">
        <v>240471910.5197</v>
      </c>
      <c r="AX18" s="4" t="n">
        <v>299909674.024517</v>
      </c>
      <c r="AY18" s="4" t="n">
        <v>256639858.205669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/>
      <c r="Q19" s="4"/>
      <c r="R19" s="4" t="n">
        <v>165591.286332477</v>
      </c>
      <c r="S19" s="4" t="n">
        <v>342625.916047266</v>
      </c>
      <c r="T19" s="4" t="n">
        <v>145299.252323206</v>
      </c>
      <c r="U19" s="4"/>
      <c r="V19" s="4" t="n">
        <v>0</v>
      </c>
      <c r="W19" s="4" t="n">
        <v>613198861.41534</v>
      </c>
      <c r="X19" s="4" t="n">
        <v>792459277.071819</v>
      </c>
      <c r="Y19" s="4" t="n">
        <v>1089022163.73144</v>
      </c>
      <c r="Z19" s="4" t="n">
        <v>935221674.839638</v>
      </c>
      <c r="AA19" s="4" t="n">
        <v>1461924302.91235</v>
      </c>
      <c r="AB19" s="4" t="n">
        <v>2931351752.18994</v>
      </c>
      <c r="AC19" s="4" t="n">
        <v>4122310277.26689</v>
      </c>
      <c r="AD19" s="4" t="n">
        <v>5852101297.32675</v>
      </c>
      <c r="AE19" s="4" t="n">
        <v>10413534394.9411</v>
      </c>
      <c r="AF19" s="4" t="n">
        <v>8456991836.08264</v>
      </c>
      <c r="AG19" s="4" t="n">
        <v>19073559672.0366</v>
      </c>
      <c r="AH19" s="4" t="n">
        <v>28111070951.5894</v>
      </c>
      <c r="AI19" s="4" t="n">
        <v>19593374958.413</v>
      </c>
      <c r="AJ19" s="4" t="n">
        <v>15965893307.5221</v>
      </c>
      <c r="AK19" s="4" t="n">
        <v>11254132560.1629</v>
      </c>
      <c r="AL19" s="4" t="n">
        <v>6413748830.25951</v>
      </c>
      <c r="AM19" s="4" t="n">
        <v>4363431827.38498</v>
      </c>
      <c r="AN19" s="4" t="n">
        <v>2251175531.71538</v>
      </c>
      <c r="AO19" s="4" t="n">
        <v>3064604038.87901</v>
      </c>
      <c r="AP19" s="4" t="n">
        <v>2361187606.3389</v>
      </c>
      <c r="AQ19" s="4" t="n">
        <v>4162097974.45904</v>
      </c>
      <c r="AR19" s="4" t="n">
        <v>7224281898.06165</v>
      </c>
      <c r="AS19" s="4" t="n">
        <v>6007728983.33408</v>
      </c>
      <c r="AT19" s="4" t="n">
        <v>5569817608.46417</v>
      </c>
      <c r="AU19" s="4" t="n">
        <v>5944428534.3905</v>
      </c>
      <c r="AV19" s="4" t="n">
        <v>6679958591.27677</v>
      </c>
      <c r="AW19" s="4" t="n">
        <v>8788622460.6187</v>
      </c>
      <c r="AX19" s="4" t="n">
        <v>7472798230.54855</v>
      </c>
      <c r="AY19" s="4" t="n">
        <v>4479826744.82334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29696066.8980895</v>
      </c>
      <c r="X20" s="4" t="n">
        <v>40673310.530567</v>
      </c>
      <c r="Y20" s="4" t="n">
        <v>25212986.1501674</v>
      </c>
      <c r="Z20" s="4" t="n">
        <v>40012405.8491835</v>
      </c>
      <c r="AA20" s="4" t="n">
        <v>2142166.82210608</v>
      </c>
      <c r="AB20" s="4" t="n">
        <v>9666294.10269197</v>
      </c>
      <c r="AC20" s="4" t="n">
        <v>8466918.84372106</v>
      </c>
      <c r="AD20" s="4" t="n">
        <v>4034236.28431339</v>
      </c>
      <c r="AE20" s="4" t="n">
        <v>66397.248097898</v>
      </c>
      <c r="AF20" s="4" t="n">
        <v>3255048.7023076</v>
      </c>
      <c r="AG20" s="4" t="n">
        <v>0</v>
      </c>
      <c r="AH20" s="4"/>
      <c r="AI20" s="4" t="n">
        <v>0</v>
      </c>
      <c r="AJ20" s="4" t="n">
        <v>54913.8580880796</v>
      </c>
      <c r="AK20" s="4" t="n">
        <v>1800025.38356781</v>
      </c>
      <c r="AL20" s="4"/>
      <c r="AM20" s="4" t="n">
        <v>0</v>
      </c>
      <c r="AN20" s="4"/>
      <c r="AO20" s="4"/>
      <c r="AP20" s="4"/>
      <c r="AQ20" s="4"/>
      <c r="AR20" s="4" t="n">
        <v>52649.5726981567</v>
      </c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8841971466.65252</v>
      </c>
      <c r="Q21" s="4" t="n">
        <v>12987736573.8266</v>
      </c>
      <c r="R21" s="4" t="n">
        <v>8117503923.54916</v>
      </c>
      <c r="S21" s="4" t="n">
        <v>8368380135.38311</v>
      </c>
      <c r="T21" s="4" t="n">
        <v>6741593612.09646</v>
      </c>
      <c r="U21" s="4" t="n">
        <v>5651948005.26484</v>
      </c>
      <c r="V21" s="4" t="n">
        <v>6585567405.01113</v>
      </c>
      <c r="W21" s="4" t="n">
        <v>6425690821.59997</v>
      </c>
      <c r="X21" s="4" t="n">
        <v>4872115690.78104</v>
      </c>
      <c r="Y21" s="4" t="n">
        <v>6019225868.8204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 t="n">
        <v>0</v>
      </c>
      <c r="AR21" s="4" t="n">
        <v>0</v>
      </c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5737000</v>
      </c>
      <c r="P2" s="5" t="n">
        <v>9278000</v>
      </c>
      <c r="Q2" s="5" t="n">
        <v>2638000</v>
      </c>
      <c r="R2" s="5" t="n">
        <v>-5573000</v>
      </c>
      <c r="S2" s="5" t="n">
        <v>672000</v>
      </c>
      <c r="T2" s="5" t="n">
        <v>219000</v>
      </c>
      <c r="U2" s="5" t="n">
        <v>1260000</v>
      </c>
      <c r="V2" s="5" t="n">
        <v>671993186</v>
      </c>
      <c r="W2" s="5" t="n">
        <v>601007258</v>
      </c>
      <c r="X2" s="5" t="n">
        <v>1057202492</v>
      </c>
      <c r="Y2" s="5" t="n">
        <v>2567053933</v>
      </c>
      <c r="Z2" s="5" t="n">
        <v>2039148176.8</v>
      </c>
      <c r="AA2" s="5" t="n">
        <v>2458932139.99</v>
      </c>
      <c r="AB2" s="5" t="n">
        <v>6164126681.21</v>
      </c>
      <c r="AC2" s="5" t="n">
        <v>3756314887.29</v>
      </c>
      <c r="AD2" s="5" t="n">
        <v>6393170370.07</v>
      </c>
      <c r="AE2" s="5" t="n">
        <v>8563835455.88</v>
      </c>
      <c r="AF2" s="5" t="n">
        <v>12917488183.77</v>
      </c>
      <c r="AG2" s="5" t="n">
        <v>17694784391.04</v>
      </c>
      <c r="AH2" s="5" t="n">
        <v>9980547947.37</v>
      </c>
      <c r="AI2" s="5" t="n">
        <v>8200598168.8238</v>
      </c>
      <c r="AJ2" s="5" t="n">
        <v>6127439826.4516</v>
      </c>
      <c r="AK2" s="5" t="n">
        <v>3630730752.3167</v>
      </c>
      <c r="AL2" s="5" t="n">
        <v>2786384860.3542</v>
      </c>
      <c r="AM2" s="5" t="n">
        <v>2908209773.9275</v>
      </c>
      <c r="AN2" s="5" t="n">
        <v>3898799756.1311</v>
      </c>
      <c r="AO2" s="5" t="n">
        <v>4225888919.115</v>
      </c>
      <c r="AP2" s="5" t="n">
        <v>3772309202.0111</v>
      </c>
      <c r="AQ2" s="5" t="n">
        <v>5163455534.9</v>
      </c>
      <c r="AR2" s="5" t="n">
        <v>6260981165.43</v>
      </c>
      <c r="AS2" s="5" t="n">
        <v>5759093412.22</v>
      </c>
      <c r="AT2" s="5" t="n">
        <v>3390775312.78</v>
      </c>
      <c r="AU2" s="5" t="n">
        <v>3693970710.99</v>
      </c>
      <c r="AV2" s="5" t="n">
        <v>4649519417.58</v>
      </c>
      <c r="AW2" s="5" t="n">
        <v>4737836216.76</v>
      </c>
      <c r="AX2" s="5" t="n">
        <v>1594231607.68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54000</v>
      </c>
      <c r="P3" s="5" t="n">
        <v>235000</v>
      </c>
      <c r="Q3" s="5" t="n">
        <v>292000</v>
      </c>
      <c r="R3" s="5" t="n">
        <v>884000</v>
      </c>
      <c r="S3" s="5"/>
      <c r="T3" s="5" t="n">
        <v>243000</v>
      </c>
      <c r="U3" s="5" t="n">
        <v>1221000</v>
      </c>
      <c r="V3" s="5" t="n">
        <v>8514815</v>
      </c>
      <c r="W3" s="5" t="n">
        <v>42803630</v>
      </c>
      <c r="X3" s="5" t="n">
        <v>68504175</v>
      </c>
      <c r="Y3" s="5" t="n">
        <v>102774117</v>
      </c>
      <c r="Z3" s="5" t="n">
        <v>120885561</v>
      </c>
      <c r="AA3" s="5" t="n">
        <v>183530727.78</v>
      </c>
      <c r="AB3" s="5" t="n">
        <v>326891545.5</v>
      </c>
      <c r="AC3" s="5" t="n">
        <v>418175853.94</v>
      </c>
      <c r="AD3" s="5" t="n">
        <v>509943877.34</v>
      </c>
      <c r="AE3" s="5" t="n">
        <v>504264516.51</v>
      </c>
      <c r="AF3" s="5" t="n">
        <v>494436785.25</v>
      </c>
      <c r="AG3" s="5" t="n">
        <v>638293953.77</v>
      </c>
      <c r="AH3" s="5" t="n">
        <v>651894974.89</v>
      </c>
      <c r="AI3" s="5" t="n">
        <v>692100808.9208</v>
      </c>
      <c r="AJ3" s="5" t="n">
        <v>732790835.2834</v>
      </c>
      <c r="AK3" s="5" t="n">
        <v>593749315.1256</v>
      </c>
      <c r="AL3" s="5" t="n">
        <v>477678382.6022</v>
      </c>
      <c r="AM3" s="5" t="n">
        <v>506735211.3537</v>
      </c>
      <c r="AN3" s="5" t="n">
        <v>589654540.5028</v>
      </c>
      <c r="AO3" s="5" t="n">
        <v>526295077.4845</v>
      </c>
      <c r="AP3" s="5" t="n">
        <v>525474084.487</v>
      </c>
      <c r="AQ3" s="5" t="n">
        <v>878119428.16</v>
      </c>
      <c r="AR3" s="5" t="n">
        <v>785223956.28</v>
      </c>
      <c r="AS3" s="5" t="n">
        <v>589746121.93</v>
      </c>
      <c r="AT3" s="5" t="n">
        <v>409678101.77</v>
      </c>
      <c r="AU3" s="5" t="n">
        <v>461544997.49</v>
      </c>
      <c r="AV3" s="5" t="n">
        <v>543765155.25</v>
      </c>
      <c r="AW3" s="5" t="n">
        <v>673213541.72</v>
      </c>
      <c r="AX3" s="5" t="n">
        <v>351852758.51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98000</v>
      </c>
      <c r="P4" s="5"/>
      <c r="Q4" s="5"/>
      <c r="R4" s="5"/>
      <c r="S4" s="5"/>
      <c r="T4" s="5"/>
      <c r="U4" s="5"/>
      <c r="V4" s="5" t="n">
        <v>495378</v>
      </c>
      <c r="W4" s="5" t="n">
        <v>204268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21226070.5736</v>
      </c>
      <c r="AJ4" s="5" t="n">
        <v>759941264.7233</v>
      </c>
      <c r="AK4" s="5" t="n">
        <v>604487924.1251</v>
      </c>
      <c r="AL4" s="5" t="n">
        <v>114837584.7538</v>
      </c>
      <c r="AM4" s="5" t="n">
        <v>209831912.8197</v>
      </c>
      <c r="AN4" s="5" t="n">
        <v>118711632.3364</v>
      </c>
      <c r="AO4" s="5" t="n">
        <v>47900237.6385</v>
      </c>
      <c r="AP4" s="5" t="n">
        <v>56920411.7879</v>
      </c>
      <c r="AQ4" s="5" t="n">
        <v>73266797.563</v>
      </c>
      <c r="AR4" s="5" t="n">
        <v>79637531.1846</v>
      </c>
      <c r="AS4" s="5" t="n">
        <v>122401536.8601</v>
      </c>
      <c r="AT4" s="5" t="n">
        <v>164283184.9282</v>
      </c>
      <c r="AU4" s="5" t="n">
        <v>119939124.7293</v>
      </c>
      <c r="AV4" s="5" t="n">
        <v>283475400.6124</v>
      </c>
      <c r="AW4" s="5" t="n">
        <v>288369839.4532</v>
      </c>
      <c r="AX4" s="5" t="n">
        <v>121316276.71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136000</v>
      </c>
      <c r="T5" s="5" t="n">
        <v>498000</v>
      </c>
      <c r="U5" s="5" t="n">
        <v>1377000</v>
      </c>
      <c r="V5" s="5" t="n">
        <v>2469531</v>
      </c>
      <c r="W5" s="5" t="n">
        <v>2513449</v>
      </c>
      <c r="X5" s="5" t="n">
        <v>4466020</v>
      </c>
      <c r="Y5" s="5" t="n">
        <v>22315428</v>
      </c>
      <c r="Z5" s="5" t="n">
        <v>26933843</v>
      </c>
      <c r="AA5" s="5" t="n">
        <v>45501003.3301</v>
      </c>
      <c r="AB5" s="5" t="n">
        <v>76852605</v>
      </c>
      <c r="AC5" s="5" t="n">
        <v>106973980.8999</v>
      </c>
      <c r="AD5" s="5" t="n">
        <v>150437934.3984</v>
      </c>
      <c r="AE5" s="5" t="n">
        <v>163671921.5192</v>
      </c>
      <c r="AF5" s="5" t="n">
        <v>181866187.7916</v>
      </c>
      <c r="AG5" s="5" t="n">
        <v>98071860.1189</v>
      </c>
      <c r="AH5" s="5" t="n">
        <v>247874885.6489</v>
      </c>
      <c r="AI5" s="5" t="n">
        <v>171532518.4082</v>
      </c>
      <c r="AJ5" s="5" t="n">
        <v>133614340.0305</v>
      </c>
      <c r="AK5" s="5" t="n">
        <v>106045471.9929</v>
      </c>
      <c r="AL5" s="5" t="n">
        <v>77460337.6685</v>
      </c>
      <c r="AM5" s="5" t="n">
        <v>77644704.6359</v>
      </c>
      <c r="AN5" s="5" t="n">
        <v>38691959.4711</v>
      </c>
      <c r="AO5" s="5" t="n">
        <v>36582612.5629</v>
      </c>
      <c r="AP5" s="5" t="n">
        <v>37840199.504</v>
      </c>
      <c r="AQ5" s="5" t="n">
        <v>48887107.339</v>
      </c>
      <c r="AR5" s="5" t="n">
        <v>71741070.4917</v>
      </c>
      <c r="AS5" s="5" t="n">
        <v>125776252.2645</v>
      </c>
      <c r="AT5" s="5" t="n">
        <v>168355554.7664</v>
      </c>
      <c r="AU5" s="5" t="n">
        <v>34949063.9193</v>
      </c>
      <c r="AV5" s="5" t="n">
        <v>28682218.1085</v>
      </c>
      <c r="AW5" s="5" t="n">
        <v>33160167.71</v>
      </c>
      <c r="AX5" s="5" t="n">
        <v>5799306.2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11269281</v>
      </c>
      <c r="W6" s="5" t="n">
        <v>15859303</v>
      </c>
      <c r="X6" s="5" t="n">
        <v>12786607</v>
      </c>
      <c r="Y6" s="5" t="n">
        <v>123125334</v>
      </c>
      <c r="Z6" s="5" t="n">
        <v>218853345</v>
      </c>
      <c r="AA6" s="5" t="n">
        <v>276817698.3203</v>
      </c>
      <c r="AB6" s="5" t="n">
        <v>468345261</v>
      </c>
      <c r="AC6" s="5" t="n">
        <v>480349307.5091</v>
      </c>
      <c r="AD6" s="5" t="n">
        <v>1275203785.3917</v>
      </c>
      <c r="AE6" s="5" t="n">
        <v>1084465304.4663</v>
      </c>
      <c r="AF6" s="5" t="n">
        <v>1132844429.0062</v>
      </c>
      <c r="AG6" s="5" t="n">
        <v>1058552498.467</v>
      </c>
      <c r="AH6" s="5" t="n">
        <v>3683927087.3396</v>
      </c>
      <c r="AI6" s="5" t="n">
        <v>4517216205.7898</v>
      </c>
      <c r="AJ6" s="5" t="n">
        <v>3386506662.337</v>
      </c>
      <c r="AK6" s="5" t="n">
        <v>999938309.0311</v>
      </c>
      <c r="AL6" s="5" t="n">
        <v>589023461.7002</v>
      </c>
      <c r="AM6" s="5" t="n">
        <v>342322284.5268</v>
      </c>
      <c r="AN6" s="5" t="n">
        <v>398641233.4044</v>
      </c>
      <c r="AO6" s="5" t="n">
        <v>613551555.8887</v>
      </c>
      <c r="AP6" s="5" t="n">
        <v>457036309.0818</v>
      </c>
      <c r="AQ6" s="5" t="n">
        <v>452429262.101</v>
      </c>
      <c r="AR6" s="5" t="n">
        <v>597987575.2476</v>
      </c>
      <c r="AS6" s="5" t="n">
        <v>344225539.2126</v>
      </c>
      <c r="AT6" s="5" t="n">
        <v>236755352.938</v>
      </c>
      <c r="AU6" s="5" t="n">
        <v>122507629.8245</v>
      </c>
      <c r="AV6" s="5" t="n">
        <v>240471910.5197</v>
      </c>
      <c r="AW6" s="5" t="n">
        <v>307919058.1801</v>
      </c>
      <c r="AX6" s="5" t="n">
        <v>269275276.79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 t="n">
        <v>85000</v>
      </c>
      <c r="R7" s="5" t="n">
        <v>180000</v>
      </c>
      <c r="S7" s="5" t="n">
        <v>78000</v>
      </c>
      <c r="T7" s="5"/>
      <c r="U7" s="5" t="n">
        <v>0</v>
      </c>
      <c r="V7" s="5" t="n">
        <v>348569419</v>
      </c>
      <c r="W7" s="5" t="n">
        <v>456116890</v>
      </c>
      <c r="X7" s="5" t="n">
        <v>634571529</v>
      </c>
      <c r="Y7" s="5" t="n">
        <v>556291028.419</v>
      </c>
      <c r="Z7" s="5" t="n">
        <v>890663639.4609</v>
      </c>
      <c r="AA7" s="5" t="n">
        <v>1813994521.9258</v>
      </c>
      <c r="AB7" s="5" t="n">
        <v>2599956323.8087</v>
      </c>
      <c r="AC7" s="5" t="n">
        <v>3781070117.9663</v>
      </c>
      <c r="AD7" s="5" t="n">
        <v>6932972391.4107</v>
      </c>
      <c r="AE7" s="5" t="n">
        <v>5813272591.5446</v>
      </c>
      <c r="AF7" s="5" t="n">
        <v>13471961288.8451</v>
      </c>
      <c r="AG7" s="5" t="n">
        <v>20267513356.6863</v>
      </c>
      <c r="AH7" s="5" t="n">
        <v>14270885299.8344</v>
      </c>
      <c r="AI7" s="5" t="n">
        <v>11729510218.2631</v>
      </c>
      <c r="AJ7" s="5" t="n">
        <v>8433915343.2038</v>
      </c>
      <c r="AK7" s="5" t="n">
        <v>4893721355.1361</v>
      </c>
      <c r="AL7" s="5" t="n">
        <v>3389729174.5099</v>
      </c>
      <c r="AM7" s="5" t="n">
        <v>1780728347.1637</v>
      </c>
      <c r="AN7" s="5" t="n">
        <v>2449273122.2905</v>
      </c>
      <c r="AO7" s="5" t="n">
        <v>1902180626.7556</v>
      </c>
      <c r="AP7" s="5" t="n">
        <v>3409599388.5963</v>
      </c>
      <c r="AQ7" s="5" t="n">
        <v>6049529744.1783</v>
      </c>
      <c r="AR7" s="5" t="n">
        <v>5123819646.087</v>
      </c>
      <c r="AS7" s="5" t="n">
        <v>4812391769.0819</v>
      </c>
      <c r="AT7" s="5" t="n">
        <v>5312829959.0641</v>
      </c>
      <c r="AU7" s="5" t="n">
        <v>6387741184.1576</v>
      </c>
      <c r="AV7" s="5" t="n">
        <v>8788622460.6187</v>
      </c>
      <c r="AW7" s="5" t="n">
        <v>7672366690.42</v>
      </c>
      <c r="AX7" s="5" t="n">
        <v>4700386740.85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16880561</v>
      </c>
      <c r="W8" s="5" t="n">
        <v>23410394</v>
      </c>
      <c r="X8" s="5" t="n">
        <v>14691568</v>
      </c>
      <c r="Y8" s="5" t="n">
        <v>23800285</v>
      </c>
      <c r="Z8" s="5" t="n">
        <v>1305095</v>
      </c>
      <c r="AA8" s="5" t="n">
        <v>5981747</v>
      </c>
      <c r="AB8" s="5" t="n">
        <v>5340117</v>
      </c>
      <c r="AC8" s="5" t="n">
        <v>2606539</v>
      </c>
      <c r="AD8" s="5" t="n">
        <v>44205</v>
      </c>
      <c r="AE8" s="5" t="n">
        <v>2237496</v>
      </c>
      <c r="AF8" s="5" t="n">
        <v>0</v>
      </c>
      <c r="AG8" s="5"/>
      <c r="AH8" s="5" t="n">
        <v>0</v>
      </c>
      <c r="AI8" s="5" t="n">
        <v>40343.0392</v>
      </c>
      <c r="AJ8" s="5" t="n">
        <v>1348949.963</v>
      </c>
      <c r="AK8" s="5"/>
      <c r="AL8" s="5" t="n">
        <v>0</v>
      </c>
      <c r="AM8" s="5"/>
      <c r="AN8" s="5"/>
      <c r="AO8" s="5"/>
      <c r="AP8" s="5"/>
      <c r="AQ8" s="5" t="n">
        <v>44088.1406</v>
      </c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4275032000</v>
      </c>
      <c r="P9" s="5" t="n">
        <v>6503975889</v>
      </c>
      <c r="Q9" s="5" t="n">
        <v>4166812450</v>
      </c>
      <c r="R9" s="5" t="n">
        <v>4396364530</v>
      </c>
      <c r="S9" s="5" t="n">
        <v>3619043411</v>
      </c>
      <c r="T9" s="5" t="n">
        <v>3098454659</v>
      </c>
      <c r="U9" s="5" t="n">
        <v>3678250068</v>
      </c>
      <c r="V9" s="5" t="n">
        <v>3652647546</v>
      </c>
      <c r="W9" s="5" t="n">
        <v>2804250415</v>
      </c>
      <c r="X9" s="5" t="n">
        <v>3507393596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 t="n">
        <v>0</v>
      </c>
      <c r="AQ9" s="5" t="n">
        <v>0</v>
      </c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208</v>
      </c>
      <c r="N10" t="s">
        <v>209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216</v>
      </c>
      <c r="AX13" t="s">
        <v>217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11865733.4738513</v>
      </c>
      <c r="P14" s="5" t="n">
        <v>18527162.7675869</v>
      </c>
      <c r="Q14" s="5" t="n">
        <v>5139174.27464792</v>
      </c>
      <c r="R14" s="5" t="n">
        <v>-10608079.0562856</v>
      </c>
      <c r="S14" s="5" t="n">
        <v>1251808.94309223</v>
      </c>
      <c r="T14" s="5" t="n">
        <v>399481.919013293</v>
      </c>
      <c r="U14" s="5" t="n">
        <v>2255913.75706161</v>
      </c>
      <c r="V14" s="5" t="n">
        <v>1182161813.61012</v>
      </c>
      <c r="W14" s="5" t="n">
        <v>1044192371.80539</v>
      </c>
      <c r="X14" s="5" t="n">
        <v>1814321778.90872</v>
      </c>
      <c r="Y14" s="5" t="n">
        <v>4315662766.38867</v>
      </c>
      <c r="Z14" s="5" t="n">
        <v>3347032644.90252</v>
      </c>
      <c r="AA14" s="5" t="n">
        <v>3973548403.78657</v>
      </c>
      <c r="AB14" s="5" t="n">
        <v>9773411397.58187</v>
      </c>
      <c r="AC14" s="5" t="n">
        <v>5813786716.25933</v>
      </c>
      <c r="AD14" s="5" t="n">
        <v>9602735418.927</v>
      </c>
      <c r="AE14" s="5" t="n">
        <v>12458436344.663</v>
      </c>
      <c r="AF14" s="5" t="n">
        <v>18288538424.6147</v>
      </c>
      <c r="AG14" s="5" t="n">
        <v>24542692077.4917</v>
      </c>
      <c r="AH14" s="5" t="n">
        <v>13702907290.9379</v>
      </c>
      <c r="AI14" s="5" t="n">
        <v>11162433297.295</v>
      </c>
      <c r="AJ14" s="5" t="n">
        <v>8176394622.79835</v>
      </c>
      <c r="AK14" s="5" t="n">
        <v>4758463636.51631</v>
      </c>
      <c r="AL14" s="5" t="n">
        <v>3586776334.35746</v>
      </c>
      <c r="AM14" s="5" t="n">
        <v>3676524100.14635</v>
      </c>
      <c r="AN14" s="5" t="n">
        <v>4878295266.73863</v>
      </c>
      <c r="AO14" s="5" t="n">
        <v>5245619896.04432</v>
      </c>
      <c r="AP14" s="5" t="n">
        <v>4604857843.77954</v>
      </c>
      <c r="AQ14" s="5" t="n">
        <v>6166141820.87818</v>
      </c>
      <c r="AR14" s="5" t="n">
        <v>7341062061.0716</v>
      </c>
      <c r="AS14" s="5" t="n">
        <v>6665521311.51462</v>
      </c>
      <c r="AT14" s="5" t="n">
        <v>3793876649.225</v>
      </c>
      <c r="AU14" s="5" t="n">
        <v>3862957292.00816</v>
      </c>
      <c r="AV14" s="5" t="n">
        <v>4649519417.58</v>
      </c>
      <c r="AW14" s="5" t="n">
        <v>4614598796.67128</v>
      </c>
      <c r="AX14" s="5" t="n">
        <v>1519424206.40819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111687.22461007</v>
      </c>
      <c r="P15" s="5" t="n">
        <v>469269.589392424</v>
      </c>
      <c r="Q15" s="5" t="n">
        <v>568854.771871567</v>
      </c>
      <c r="R15" s="5" t="n">
        <v>1682673.94325435</v>
      </c>
      <c r="S15" s="5"/>
      <c r="T15" s="5" t="n">
        <v>443260.759453106</v>
      </c>
      <c r="U15" s="5" t="n">
        <v>2186087.85505733</v>
      </c>
      <c r="V15" s="5" t="n">
        <v>14979153.5876596</v>
      </c>
      <c r="W15" s="5" t="n">
        <v>74367194.9658554</v>
      </c>
      <c r="X15" s="5" t="n">
        <v>117563681.119922</v>
      </c>
      <c r="Y15" s="5" t="n">
        <v>172781110.822642</v>
      </c>
      <c r="Z15" s="5" t="n">
        <v>198420067.539819</v>
      </c>
      <c r="AA15" s="5" t="n">
        <v>296579242.084725</v>
      </c>
      <c r="AB15" s="5" t="n">
        <v>518296544.148199</v>
      </c>
      <c r="AC15" s="5" t="n">
        <v>647226150.534669</v>
      </c>
      <c r="AD15" s="5" t="n">
        <v>765951139.910599</v>
      </c>
      <c r="AE15" s="5" t="n">
        <v>733590388.579753</v>
      </c>
      <c r="AF15" s="5" t="n">
        <v>700022017.976293</v>
      </c>
      <c r="AG15" s="5" t="n">
        <v>885314656.34779</v>
      </c>
      <c r="AH15" s="5" t="n">
        <v>895026650.986623</v>
      </c>
      <c r="AI15" s="5" t="n">
        <v>942068975.401385</v>
      </c>
      <c r="AJ15" s="5" t="n">
        <v>977828785.748653</v>
      </c>
      <c r="AK15" s="5" t="n">
        <v>778172417.062003</v>
      </c>
      <c r="AL15" s="5" t="n">
        <v>614891913.364016</v>
      </c>
      <c r="AM15" s="5" t="n">
        <v>640608608.648833</v>
      </c>
      <c r="AN15" s="5" t="n">
        <v>737793457.953891</v>
      </c>
      <c r="AO15" s="5" t="n">
        <v>653293066.260021</v>
      </c>
      <c r="AP15" s="5" t="n">
        <v>641446215.056503</v>
      </c>
      <c r="AQ15" s="5" t="n">
        <v>1048640565.04514</v>
      </c>
      <c r="AR15" s="5" t="n">
        <v>920682819.925998</v>
      </c>
      <c r="AS15" s="5" t="n">
        <v>682566692.835117</v>
      </c>
      <c r="AT15" s="5" t="n">
        <v>458381355.481123</v>
      </c>
      <c r="AU15" s="5" t="n">
        <v>482659109.434587</v>
      </c>
      <c r="AV15" s="5" t="n">
        <v>543765155.25</v>
      </c>
      <c r="AW15" s="5" t="n">
        <v>655702362.300823</v>
      </c>
      <c r="AX15" s="5" t="n">
        <v>335342490.887872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202691.629847904</v>
      </c>
      <c r="P16" s="5"/>
      <c r="Q16" s="5"/>
      <c r="R16" s="5"/>
      <c r="S16" s="5"/>
      <c r="T16" s="5"/>
      <c r="U16" s="5"/>
      <c r="V16" s="5" t="n">
        <v>871462.638465735</v>
      </c>
      <c r="W16" s="5" t="n">
        <v>354896.02590447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 t="n">
        <v>28892355.4189302</v>
      </c>
      <c r="AJ16" s="5" t="n">
        <v>1014058048.14316</v>
      </c>
      <c r="AK16" s="5" t="n">
        <v>792246520.573612</v>
      </c>
      <c r="AL16" s="5" t="n">
        <v>147824780.829932</v>
      </c>
      <c r="AM16" s="5" t="n">
        <v>265267000.811843</v>
      </c>
      <c r="AN16" s="5" t="n">
        <v>148535557.185975</v>
      </c>
      <c r="AO16" s="5" t="n">
        <v>59458836.8012257</v>
      </c>
      <c r="AP16" s="5" t="n">
        <v>69482746.6828372</v>
      </c>
      <c r="AQ16" s="5" t="n">
        <v>87494403.9861437</v>
      </c>
      <c r="AR16" s="5" t="n">
        <v>93375789.4121571</v>
      </c>
      <c r="AS16" s="5" t="n">
        <v>141666403.738473</v>
      </c>
      <c r="AT16" s="5" t="n">
        <v>183813459.066507</v>
      </c>
      <c r="AU16" s="5" t="n">
        <v>125425931.259199</v>
      </c>
      <c r="AV16" s="5" t="n">
        <v>283475400.6124</v>
      </c>
      <c r="AW16" s="5" t="n">
        <v>280868956.472084</v>
      </c>
      <c r="AX16" s="5" t="n">
        <v>115623656.297177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253342.286101999</v>
      </c>
      <c r="T17" s="5" t="n">
        <v>908410.939126119</v>
      </c>
      <c r="U17" s="5" t="n">
        <v>2465391.46307448</v>
      </c>
      <c r="V17" s="5" t="n">
        <v>4344367.33369856</v>
      </c>
      <c r="W17" s="5" t="n">
        <v>4366876.16960838</v>
      </c>
      <c r="X17" s="5" t="n">
        <v>7664375.94723523</v>
      </c>
      <c r="Y17" s="5" t="n">
        <v>37516103.770784</v>
      </c>
      <c r="Z17" s="5" t="n">
        <v>44208877.4123064</v>
      </c>
      <c r="AA17" s="5" t="n">
        <v>73528031.218357</v>
      </c>
      <c r="AB17" s="5" t="n">
        <v>121852155.94781</v>
      </c>
      <c r="AC17" s="5" t="n">
        <v>165567564.967884</v>
      </c>
      <c r="AD17" s="5" t="n">
        <v>225962331.265374</v>
      </c>
      <c r="AE17" s="5" t="n">
        <v>238105487.449033</v>
      </c>
      <c r="AF17" s="5" t="n">
        <v>257485566.56269</v>
      </c>
      <c r="AG17" s="5" t="n">
        <v>136025814.792284</v>
      </c>
      <c r="AH17" s="5" t="n">
        <v>340322655.199885</v>
      </c>
      <c r="AI17" s="5" t="n">
        <v>233485442.845833</v>
      </c>
      <c r="AJ17" s="5" t="n">
        <v>178293643.397032</v>
      </c>
      <c r="AK17" s="5" t="n">
        <v>138984010.856062</v>
      </c>
      <c r="AL17" s="5" t="n">
        <v>99710887.0184559</v>
      </c>
      <c r="AM17" s="5" t="n">
        <v>98157509.269738</v>
      </c>
      <c r="AN17" s="5" t="n">
        <v>48412540.9241364</v>
      </c>
      <c r="AO17" s="5" t="n">
        <v>45410204.5705019</v>
      </c>
      <c r="AP17" s="5" t="n">
        <v>46191531.5434062</v>
      </c>
      <c r="AQ17" s="5" t="n">
        <v>58380446.0069988</v>
      </c>
      <c r="AR17" s="5" t="n">
        <v>84117111.5024608</v>
      </c>
      <c r="AS17" s="5" t="n">
        <v>145572268.053956</v>
      </c>
      <c r="AT17" s="5" t="n">
        <v>188369959.39784</v>
      </c>
      <c r="AU17" s="5" t="n">
        <v>36547864.5822118</v>
      </c>
      <c r="AV17" s="5" t="n">
        <v>28682218.1085</v>
      </c>
      <c r="AW17" s="5" t="n">
        <v>32297627.6534583</v>
      </c>
      <c r="AX17" s="5" t="n">
        <v>5527180.72970347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19824774.9271703</v>
      </c>
      <c r="W18" s="5" t="n">
        <v>27554015.3539215</v>
      </c>
      <c r="X18" s="5" t="n">
        <v>21943780.6229147</v>
      </c>
      <c r="Y18" s="5" t="n">
        <v>206995035.325177</v>
      </c>
      <c r="Z18" s="5" t="n">
        <v>359223178.822948</v>
      </c>
      <c r="AA18" s="5" t="n">
        <v>447327726.297063</v>
      </c>
      <c r="AB18" s="5" t="n">
        <v>742575736.772876</v>
      </c>
      <c r="AC18" s="5" t="n">
        <v>743454291.494592</v>
      </c>
      <c r="AD18" s="5" t="n">
        <v>1915394686.43889</v>
      </c>
      <c r="AE18" s="5" t="n">
        <v>1577650812.33693</v>
      </c>
      <c r="AF18" s="5" t="n">
        <v>1603877516.60741</v>
      </c>
      <c r="AG18" s="5" t="n">
        <v>1468213878.37256</v>
      </c>
      <c r="AH18" s="5" t="n">
        <v>5057889768.23581</v>
      </c>
      <c r="AI18" s="5" t="n">
        <v>6148713002.21513</v>
      </c>
      <c r="AJ18" s="5" t="n">
        <v>4518920731.70108</v>
      </c>
      <c r="AK18" s="5" t="n">
        <v>1310526835.19647</v>
      </c>
      <c r="AL18" s="5" t="n">
        <v>758220963.251654</v>
      </c>
      <c r="AM18" s="5" t="n">
        <v>432759748.063246</v>
      </c>
      <c r="AN18" s="5" t="n">
        <v>498791875.367641</v>
      </c>
      <c r="AO18" s="5" t="n">
        <v>761605028.059454</v>
      </c>
      <c r="AP18" s="5" t="n">
        <v>557904222.603327</v>
      </c>
      <c r="AQ18" s="5" t="n">
        <v>540286049.753707</v>
      </c>
      <c r="AR18" s="5" t="n">
        <v>701146319.666474</v>
      </c>
      <c r="AS18" s="5" t="n">
        <v>398403447.098237</v>
      </c>
      <c r="AT18" s="5" t="n">
        <v>264901245.949581</v>
      </c>
      <c r="AU18" s="5" t="n">
        <v>128111936.716022</v>
      </c>
      <c r="AV18" s="5" t="n">
        <v>240471910.5197</v>
      </c>
      <c r="AW18" s="5" t="n">
        <v>299909674.024517</v>
      </c>
      <c r="AX18" s="5" t="n">
        <v>256639858.205669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 t="n">
        <v>165591.286332477</v>
      </c>
      <c r="R19" s="5" t="n">
        <v>342625.916047266</v>
      </c>
      <c r="S19" s="5" t="n">
        <v>145299.252323206</v>
      </c>
      <c r="T19" s="5"/>
      <c r="U19" s="5" t="n">
        <v>0</v>
      </c>
      <c r="V19" s="5" t="n">
        <v>613198861.41534</v>
      </c>
      <c r="W19" s="5" t="n">
        <v>792459277.071819</v>
      </c>
      <c r="X19" s="5" t="n">
        <v>1089022163.73144</v>
      </c>
      <c r="Y19" s="5" t="n">
        <v>935221674.839638</v>
      </c>
      <c r="Z19" s="5" t="n">
        <v>1461924302.91235</v>
      </c>
      <c r="AA19" s="5" t="n">
        <v>2931351752.18994</v>
      </c>
      <c r="AB19" s="5" t="n">
        <v>4122310277.26689</v>
      </c>
      <c r="AC19" s="5" t="n">
        <v>5852101297.32675</v>
      </c>
      <c r="AD19" s="5" t="n">
        <v>10413534394.9411</v>
      </c>
      <c r="AE19" s="5" t="n">
        <v>8456991836.08264</v>
      </c>
      <c r="AF19" s="5" t="n">
        <v>19073559672.0366</v>
      </c>
      <c r="AG19" s="5" t="n">
        <v>28111070951.5894</v>
      </c>
      <c r="AH19" s="5" t="n">
        <v>19593374958.413</v>
      </c>
      <c r="AI19" s="5" t="n">
        <v>15965893307.5221</v>
      </c>
      <c r="AJ19" s="5" t="n">
        <v>11254132560.1629</v>
      </c>
      <c r="AK19" s="5" t="n">
        <v>6413748830.25951</v>
      </c>
      <c r="AL19" s="5" t="n">
        <v>4363431827.38498</v>
      </c>
      <c r="AM19" s="5" t="n">
        <v>2251175531.71538</v>
      </c>
      <c r="AN19" s="5" t="n">
        <v>3064604038.87901</v>
      </c>
      <c r="AO19" s="5" t="n">
        <v>2361187606.3389</v>
      </c>
      <c r="AP19" s="5" t="n">
        <v>4162097974.45904</v>
      </c>
      <c r="AQ19" s="5" t="n">
        <v>7224281898.06165</v>
      </c>
      <c r="AR19" s="5" t="n">
        <v>6007728983.33408</v>
      </c>
      <c r="AS19" s="5" t="n">
        <v>5569817608.46417</v>
      </c>
      <c r="AT19" s="5" t="n">
        <v>5944428534.3905</v>
      </c>
      <c r="AU19" s="5" t="n">
        <v>6679958591.27677</v>
      </c>
      <c r="AV19" s="5" t="n">
        <v>8788622460.6187</v>
      </c>
      <c r="AW19" s="5" t="n">
        <v>7472798230.54855</v>
      </c>
      <c r="AX19" s="5" t="n">
        <v>4479826744.82334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29696066.8980895</v>
      </c>
      <c r="W20" s="5" t="n">
        <v>40673310.530567</v>
      </c>
      <c r="X20" s="5" t="n">
        <v>25212986.1501674</v>
      </c>
      <c r="Y20" s="5" t="n">
        <v>40012405.8491835</v>
      </c>
      <c r="Z20" s="5" t="n">
        <v>2142166.82210608</v>
      </c>
      <c r="AA20" s="5" t="n">
        <v>9666294.10269197</v>
      </c>
      <c r="AB20" s="5" t="n">
        <v>8466918.84372106</v>
      </c>
      <c r="AC20" s="5" t="n">
        <v>4034236.28431339</v>
      </c>
      <c r="AD20" s="5" t="n">
        <v>66397.248097898</v>
      </c>
      <c r="AE20" s="5" t="n">
        <v>3255048.7023076</v>
      </c>
      <c r="AF20" s="5" t="n">
        <v>0</v>
      </c>
      <c r="AG20" s="5"/>
      <c r="AH20" s="5" t="n">
        <v>0</v>
      </c>
      <c r="AI20" s="5" t="n">
        <v>54913.8580880796</v>
      </c>
      <c r="AJ20" s="5" t="n">
        <v>1800025.38356781</v>
      </c>
      <c r="AK20" s="5"/>
      <c r="AL20" s="5" t="n">
        <v>0</v>
      </c>
      <c r="AM20" s="5"/>
      <c r="AN20" s="5"/>
      <c r="AO20" s="5"/>
      <c r="AP20" s="5"/>
      <c r="AQ20" s="5" t="n">
        <v>52649.5726981567</v>
      </c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8841971466.65252</v>
      </c>
      <c r="P21" s="5" t="n">
        <v>12987736573.8266</v>
      </c>
      <c r="Q21" s="5" t="n">
        <v>8117503923.54916</v>
      </c>
      <c r="R21" s="5" t="n">
        <v>8368380135.38311</v>
      </c>
      <c r="S21" s="5" t="n">
        <v>6741593612.09646</v>
      </c>
      <c r="T21" s="5" t="n">
        <v>5651948005.26484</v>
      </c>
      <c r="U21" s="5" t="n">
        <v>6585567405.01113</v>
      </c>
      <c r="V21" s="5" t="n">
        <v>6425690821.59997</v>
      </c>
      <c r="W21" s="5" t="n">
        <v>4872115690.78104</v>
      </c>
      <c r="X21" s="5" t="n">
        <v>6019225868.8204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 t="n">
        <v>0</v>
      </c>
      <c r="AQ21" s="5" t="n">
        <v>0</v>
      </c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311359732</v>
      </c>
      <c r="O2" s="6" t="n">
        <v>274728030</v>
      </c>
      <c r="P2" s="6" t="n">
        <v>317803475</v>
      </c>
      <c r="Q2" s="6" t="n">
        <v>388720391</v>
      </c>
      <c r="R2" s="6" t="n">
        <v>324211</v>
      </c>
      <c r="S2" s="6"/>
      <c r="T2" s="6"/>
      <c r="U2" s="6"/>
      <c r="V2" s="6" t="n">
        <v>-2379423.03</v>
      </c>
      <c r="W2" s="6" t="n">
        <v>9692809.5209</v>
      </c>
      <c r="X2" s="6" t="n">
        <v>36824.7812</v>
      </c>
      <c r="Y2" s="6" t="n">
        <v>-36505.8399</v>
      </c>
      <c r="Z2" s="6" t="n">
        <v>0</v>
      </c>
      <c r="AA2" s="6" t="n">
        <v>0</v>
      </c>
      <c r="AB2" s="6" t="n">
        <v>-2107885.01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73</v>
      </c>
      <c r="N3" s="6" t="n">
        <v>5293200</v>
      </c>
      <c r="O3" s="6" t="n">
        <v>1434337</v>
      </c>
      <c r="P3" s="6"/>
      <c r="Q3" s="6"/>
      <c r="R3" s="6" t="n">
        <v>56539123.5</v>
      </c>
      <c r="S3" s="6" t="n">
        <v>390053065.25</v>
      </c>
      <c r="T3" s="6" t="n">
        <v>827631579</v>
      </c>
      <c r="U3" s="6" t="n">
        <v>2355691519.6947</v>
      </c>
      <c r="V3" s="6" t="n">
        <v>1321401155.0751</v>
      </c>
      <c r="W3" s="6" t="n">
        <v>341031657.3695</v>
      </c>
      <c r="X3" s="6" t="n">
        <v>242933288.4097</v>
      </c>
      <c r="Y3" s="6" t="n">
        <v>90161457.5873</v>
      </c>
      <c r="Z3" s="6" t="n">
        <v>41003188.78</v>
      </c>
      <c r="AA3" s="6" t="n">
        <v>99394318.3619</v>
      </c>
      <c r="AB3" s="6" t="n">
        <v>68651158.7731</v>
      </c>
      <c r="AC3" s="6" t="n">
        <v>-1189863.7238</v>
      </c>
      <c r="AD3" s="6" t="n">
        <v>-6655205.1843</v>
      </c>
      <c r="AE3" s="6" t="n">
        <v>11842399.1704</v>
      </c>
      <c r="AF3" s="6" t="n">
        <v>-1651602.9572</v>
      </c>
      <c r="AG3" s="6" t="n">
        <v>-1862078.6745</v>
      </c>
      <c r="AH3" s="6" t="n">
        <v>-1714391.1875</v>
      </c>
      <c r="AI3" s="6" t="n">
        <v>-67304.6836</v>
      </c>
      <c r="AJ3" s="6" t="n">
        <v>-1572797.3726</v>
      </c>
      <c r="AK3" s="6"/>
      <c r="AL3" s="6"/>
      <c r="AM3" s="6"/>
    </row>
    <row r="4">
      <c r="A4" t="str">
        <f>M4</f>
      </c>
      <c r="M4" t="s">
        <v>74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 t="n">
        <v>68105672</v>
      </c>
      <c r="AD4" s="6" t="n">
        <v>167020700</v>
      </c>
      <c r="AE4" s="6" t="n">
        <v>155365855.4123</v>
      </c>
      <c r="AF4" s="6" t="n">
        <v>406779121.9966</v>
      </c>
      <c r="AG4" s="6" t="n">
        <v>623565673.2881</v>
      </c>
      <c r="AH4" s="6" t="n">
        <v>515168274.935</v>
      </c>
      <c r="AI4" s="6" t="n">
        <v>79269777.6018</v>
      </c>
      <c r="AJ4" s="6" t="n">
        <v>57752439.6981</v>
      </c>
      <c r="AK4" s="6" t="n">
        <v>290727431.4682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/>
      <c r="S5" s="6"/>
      <c r="T5" s="6" t="n">
        <v>8359001</v>
      </c>
      <c r="U5" s="6" t="n">
        <v>993588096.0916</v>
      </c>
      <c r="V5" s="6" t="n">
        <v>3043315849.5424</v>
      </c>
      <c r="W5" s="6" t="n">
        <v>1066668283.5327</v>
      </c>
      <c r="X5" s="6" t="n">
        <v>490001364.0748</v>
      </c>
      <c r="Y5" s="6" t="n">
        <v>784626017.7634</v>
      </c>
      <c r="Z5" s="6" t="n">
        <v>710249414.5283</v>
      </c>
      <c r="AA5" s="6" t="n">
        <v>309376274.97</v>
      </c>
      <c r="AB5" s="6" t="n">
        <v>141716902.8025</v>
      </c>
      <c r="AC5" s="6" t="n">
        <v>74292766.1025</v>
      </c>
      <c r="AD5" s="6" t="n">
        <v>-11060546.4414</v>
      </c>
      <c r="AE5" s="6" t="n">
        <v>-14015557.8404</v>
      </c>
      <c r="AF5" s="6" t="n">
        <v>-3484765.7032</v>
      </c>
      <c r="AG5" s="6" t="n">
        <v>-21765091.7695</v>
      </c>
      <c r="AH5" s="6" t="n">
        <v>-4246756.5821</v>
      </c>
      <c r="AI5" s="6" t="n">
        <v>-445368.5625</v>
      </c>
      <c r="AJ5" s="6" t="n">
        <v>3791824.7343</v>
      </c>
      <c r="AK5" s="6" t="n">
        <v>-399658.3047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63033987</v>
      </c>
      <c r="S6" s="6" t="n">
        <v>373103024</v>
      </c>
      <c r="T6" s="6" t="n">
        <v>2951193673</v>
      </c>
      <c r="U6" s="6" t="n">
        <v>3007710267.5</v>
      </c>
      <c r="V6" s="6" t="n">
        <v>2997885625</v>
      </c>
      <c r="W6" s="6" t="n">
        <v>2943580168.0137</v>
      </c>
      <c r="X6" s="6" t="n">
        <v>1467149762.543</v>
      </c>
      <c r="Y6" s="6" t="n">
        <v>889961736.9204</v>
      </c>
      <c r="Z6" s="6" t="n">
        <v>-163269945.3828</v>
      </c>
      <c r="AA6" s="6" t="n">
        <v>-35789150.8562</v>
      </c>
      <c r="AB6" s="6" t="n">
        <v>14028448.87</v>
      </c>
      <c r="AC6" s="6" t="n">
        <v>-78505295.46</v>
      </c>
      <c r="AD6" s="6" t="n">
        <v>-231074878.67</v>
      </c>
      <c r="AE6" s="6" t="n">
        <v>-94558503.5469</v>
      </c>
      <c r="AF6" s="6" t="n">
        <v>-2042560.2891</v>
      </c>
      <c r="AG6" s="6" t="n">
        <v>-247085</v>
      </c>
      <c r="AH6" s="6" t="n">
        <v>-191869.375</v>
      </c>
      <c r="AI6" s="6" t="n">
        <v>-7939.8101</v>
      </c>
      <c r="AJ6" s="6" t="n">
        <v>-18885.6309</v>
      </c>
      <c r="AK6" s="6"/>
      <c r="AL6" s="6"/>
      <c r="AM6" s="6"/>
    </row>
    <row r="7">
      <c r="A7" t="str">
        <f>M7</f>
      </c>
      <c r="M7" t="s">
        <v>77</v>
      </c>
      <c r="N7" s="6"/>
      <c r="O7" s="6"/>
      <c r="P7" s="6"/>
      <c r="Q7" s="6"/>
      <c r="R7" s="6"/>
      <c r="S7" s="6" t="n">
        <v>3518400</v>
      </c>
      <c r="T7" s="6" t="n">
        <v>-31072</v>
      </c>
      <c r="U7" s="6"/>
      <c r="V7" s="6"/>
      <c r="W7" s="6"/>
      <c r="X7" s="6"/>
      <c r="Y7" s="6"/>
      <c r="Z7" s="6"/>
      <c r="AA7" s="6"/>
      <c r="AB7" s="6"/>
      <c r="AC7" s="6" t="n">
        <v>147366051.24</v>
      </c>
      <c r="AD7" s="6" t="n">
        <v>291373321.9032</v>
      </c>
      <c r="AE7" s="6" t="n">
        <v>571291938.4201</v>
      </c>
      <c r="AF7" s="6" t="n">
        <v>727178440.9883</v>
      </c>
      <c r="AG7" s="6" t="n">
        <v>2001238113.2594</v>
      </c>
      <c r="AH7" s="6" t="n">
        <v>1625999060.4572</v>
      </c>
      <c r="AI7" s="6" t="n">
        <v>1242859622.191</v>
      </c>
      <c r="AJ7" s="6" t="n">
        <v>1143790701.3454</v>
      </c>
      <c r="AK7" s="6" t="n">
        <v>1173342064.2563</v>
      </c>
      <c r="AL7" s="6"/>
      <c r="AM7" s="6"/>
    </row>
    <row r="8">
      <c r="A8" t="str">
        <f>M8</f>
      </c>
      <c r="M8" t="s">
        <v>79</v>
      </c>
      <c r="N8" s="6"/>
      <c r="O8" s="6"/>
      <c r="P8" s="6"/>
      <c r="Q8" s="6"/>
      <c r="R8" s="6" t="n">
        <v>121756004</v>
      </c>
      <c r="S8" s="6" t="n">
        <v>161076806</v>
      </c>
      <c r="T8" s="6" t="n">
        <v>2160354.3516</v>
      </c>
      <c r="U8" s="6" t="n">
        <v>285911990.4004</v>
      </c>
      <c r="V8" s="6" t="n">
        <v>880304059.8243</v>
      </c>
      <c r="W8" s="6" t="n">
        <v>848234902.4345</v>
      </c>
      <c r="X8" s="6" t="n">
        <v>582250313.3446</v>
      </c>
      <c r="Y8" s="6" t="n">
        <v>336813145.9616</v>
      </c>
      <c r="Z8" s="6" t="n">
        <v>249564115.453</v>
      </c>
      <c r="AA8" s="6" t="n">
        <v>217304319.25</v>
      </c>
      <c r="AB8" s="6" t="n">
        <v>126242203.58</v>
      </c>
      <c r="AC8" s="6" t="n">
        <v>83459162.743</v>
      </c>
      <c r="AD8" s="6" t="n">
        <v>137264521.633</v>
      </c>
      <c r="AE8" s="6" t="n">
        <v>14494163.8894</v>
      </c>
      <c r="AF8" s="6" t="n">
        <v>-6087520.5828</v>
      </c>
      <c r="AG8" s="6" t="n">
        <v>54979836.3437</v>
      </c>
      <c r="AH8" s="6" t="n">
        <v>16171247.2667</v>
      </c>
      <c r="AI8" s="6" t="n">
        <v>37195420.1033</v>
      </c>
      <c r="AJ8" s="6" t="n">
        <v>-8210768.2549</v>
      </c>
      <c r="AK8" s="6" t="n">
        <v>996846</v>
      </c>
      <c r="AL8" s="6"/>
      <c r="AM8" s="6"/>
    </row>
    <row r="9">
      <c r="A9" t="str">
        <f>M9</f>
      </c>
      <c r="M9" t="s">
        <v>80</v>
      </c>
      <c r="N9" s="6" t="n">
        <v>1162127267</v>
      </c>
      <c r="O9" s="6" t="n">
        <v>558822224.7969</v>
      </c>
      <c r="P9" s="6" t="n">
        <v>994584658.6948</v>
      </c>
      <c r="Q9" s="6" t="n">
        <v>1551087047.0118</v>
      </c>
      <c r="R9" s="6" t="n">
        <v>405345345.0035</v>
      </c>
      <c r="S9" s="6" t="n">
        <v>663172079.7932</v>
      </c>
      <c r="T9" s="6" t="n">
        <v>344017602.5562</v>
      </c>
      <c r="U9" s="6" t="n">
        <v>323568124.7781</v>
      </c>
      <c r="V9" s="6" t="n">
        <v>4168272083.4593</v>
      </c>
      <c r="W9" s="6" t="n">
        <v>375925218.8451</v>
      </c>
      <c r="X9" s="6" t="n">
        <v>2653504920.4098</v>
      </c>
      <c r="Y9" s="6" t="n">
        <v>756946736.1287</v>
      </c>
      <c r="Z9" s="6" t="n">
        <v>456904954.3242</v>
      </c>
      <c r="AA9" s="6" t="n">
        <v>267481444.745</v>
      </c>
      <c r="AB9" s="6" t="n">
        <v>323593181.4331</v>
      </c>
      <c r="AC9" s="6" t="n">
        <v>283720986.8176</v>
      </c>
      <c r="AD9" s="6" t="n">
        <v>205965716.2234</v>
      </c>
      <c r="AE9" s="6" t="n">
        <v>224172851.5556</v>
      </c>
      <c r="AF9" s="6" t="n">
        <v>837269618.6511</v>
      </c>
      <c r="AG9" s="6" t="n">
        <v>162606649.1918</v>
      </c>
      <c r="AH9" s="6" t="n">
        <v>740245472.9626</v>
      </c>
      <c r="AI9" s="6" t="n">
        <v>198123814.8131</v>
      </c>
      <c r="AJ9" s="6" t="n">
        <v>703173093.0984</v>
      </c>
      <c r="AK9" s="6" t="n">
        <v>305846290.6953</v>
      </c>
      <c r="AL9" s="6"/>
      <c r="AM9" s="6"/>
    </row>
    <row r="10">
      <c r="A10" t="str">
        <f>M10</f>
      </c>
      <c r="M10" t="s">
        <v>81</v>
      </c>
      <c r="N10" s="6" t="n">
        <v>3580230</v>
      </c>
      <c r="O10" s="6"/>
      <c r="P10" s="6"/>
      <c r="Q10" s="6" t="n">
        <v>52797</v>
      </c>
      <c r="R10" s="6" t="n">
        <v>264836201</v>
      </c>
      <c r="S10" s="6" t="n">
        <v>585796786</v>
      </c>
      <c r="T10" s="6" t="n">
        <v>273498659.1201</v>
      </c>
      <c r="U10" s="6" t="n">
        <v>1110584544.6453</v>
      </c>
      <c r="V10" s="6" t="n">
        <v>2062125904.3936</v>
      </c>
      <c r="W10" s="6" t="n">
        <v>2448306441.3768</v>
      </c>
      <c r="X10" s="6" t="n">
        <v>1498889483.7978</v>
      </c>
      <c r="Y10" s="6" t="n">
        <v>1229458425.8086</v>
      </c>
      <c r="Z10" s="6" t="n">
        <v>992927194.5404</v>
      </c>
      <c r="AA10" s="6" t="n">
        <v>767605509.91</v>
      </c>
      <c r="AB10" s="6" t="n">
        <v>759774784.9891</v>
      </c>
      <c r="AC10" s="6" t="n">
        <v>321930030.9838</v>
      </c>
      <c r="AD10" s="6" t="n">
        <v>72944081.6912</v>
      </c>
      <c r="AE10" s="6" t="n">
        <v>-2566421.0767</v>
      </c>
      <c r="AF10" s="6" t="n">
        <v>-6290786.0165</v>
      </c>
      <c r="AG10" s="6" t="n">
        <v>-13265630.5802</v>
      </c>
      <c r="AH10" s="6" t="n">
        <v>-3995359.8598</v>
      </c>
      <c r="AI10" s="6" t="n">
        <v>-1552942.2251</v>
      </c>
      <c r="AJ10" s="6" t="n">
        <v>5089245.1191</v>
      </c>
      <c r="AK10" s="6" t="n">
        <v>96802168.0078</v>
      </c>
      <c r="AL10" s="6"/>
      <c r="AM10" s="6"/>
    </row>
    <row r="11">
      <c r="A11" t="str">
        <f>M11</f>
      </c>
      <c r="M11"/>
      <c r="N11" s="6" t="n">
        <v>1913906545.419</v>
      </c>
      <c r="O11" s="6" t="n">
        <v>2462805074.4609</v>
      </c>
      <c r="P11" s="6" t="n">
        <v>3472369705.6524</v>
      </c>
      <c r="Q11" s="6" t="n">
        <v>7701652395.4222</v>
      </c>
      <c r="R11" s="6" t="n">
        <v>7633655815.9323</v>
      </c>
      <c r="S11" s="6" t="n">
        <v>13085052421.7508</v>
      </c>
      <c r="T11" s="6" t="n">
        <v>11724935124.2517</v>
      </c>
      <c r="U11" s="6" t="n">
        <v>20121542331.1008</v>
      </c>
      <c r="V11" s="6" t="n">
        <v>25286206350.6929</v>
      </c>
      <c r="W11" s="6" t="n">
        <v>20801714216.7067</v>
      </c>
      <c r="X11" s="6" t="n">
        <v>18401328953.3542</v>
      </c>
      <c r="Y11" s="6" t="n">
        <v>15490257086.2224</v>
      </c>
      <c r="Z11" s="6" t="n">
        <v>8549149706.2376</v>
      </c>
      <c r="AA11" s="6" t="n">
        <v>5809527373.198</v>
      </c>
      <c r="AB11" s="6" t="n">
        <v>4393687738.615</v>
      </c>
      <c r="AC11" s="6" t="n">
        <v>6598953352.0246</v>
      </c>
      <c r="AD11" s="6" t="n">
        <v>6726820020.3871</v>
      </c>
      <c r="AE11" s="6" t="n">
        <v>7387277727.7754</v>
      </c>
      <c r="AF11" s="6" t="n">
        <v>10737439457.3479</v>
      </c>
      <c r="AG11" s="6" t="n">
        <v>10103489232.0042</v>
      </c>
      <c r="AH11" s="6" t="n">
        <v>8858317096.8258</v>
      </c>
      <c r="AI11" s="6" t="n">
        <v>8132430921.0345</v>
      </c>
      <c r="AJ11" s="6" t="n">
        <v>8852572756.3717</v>
      </c>
      <c r="AK11" s="6" t="n">
        <v>5394713605.932</v>
      </c>
      <c r="AL11" s="6"/>
      <c r="AM11" s="6"/>
    </row>
    <row r="12">
      <c r="A12" t="str">
        <f>M12</f>
      </c>
      <c r="M12" t="s">
        <v>208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72</v>
      </c>
      <c r="N16" s="6" t="n">
        <v>503073275.280476</v>
      </c>
      <c r="O16" s="6" t="n">
        <v>433377186.98749</v>
      </c>
      <c r="P16" s="6" t="n">
        <v>493537940.641226</v>
      </c>
      <c r="Q16" s="6" t="n">
        <v>592347033.66399</v>
      </c>
      <c r="R16" s="6" t="n">
        <v>482257.160632521</v>
      </c>
      <c r="S16" s="6"/>
      <c r="T16" s="6"/>
      <c r="U16" s="6"/>
      <c r="V16" s="6" t="n">
        <v>-3171808.42642219</v>
      </c>
      <c r="W16" s="6" t="n">
        <v>12790689.5495953</v>
      </c>
      <c r="X16" s="6" t="n">
        <v>48175.19940468</v>
      </c>
      <c r="Y16" s="6" t="n">
        <v>-46814.4645265135</v>
      </c>
      <c r="Z16" s="6" t="n">
        <v>0</v>
      </c>
      <c r="AA16" s="6" t="n">
        <v>0</v>
      </c>
      <c r="AB16" s="6" t="n">
        <v>-2557282.84551331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73</v>
      </c>
      <c r="N17" s="6" t="n">
        <v>8552382.29943818</v>
      </c>
      <c r="O17" s="6" t="n">
        <v>2262633.82827036</v>
      </c>
      <c r="P17" s="6"/>
      <c r="Q17" s="6"/>
      <c r="R17" s="6" t="n">
        <v>84100777.4682581</v>
      </c>
      <c r="S17" s="6" t="n">
        <v>563101943.28873</v>
      </c>
      <c r="T17" s="6" t="n">
        <v>1157140498.38961</v>
      </c>
      <c r="U17" s="6" t="n">
        <v>3205664934.64249</v>
      </c>
      <c r="V17" s="6" t="n">
        <v>1761448580.39439</v>
      </c>
      <c r="W17" s="6" t="n">
        <v>450027419.458894</v>
      </c>
      <c r="X17" s="6" t="n">
        <v>317812061.05773</v>
      </c>
      <c r="Y17" s="6" t="n">
        <v>115621510.679978</v>
      </c>
      <c r="Z17" s="6" t="n">
        <v>51635315.620802</v>
      </c>
      <c r="AA17" s="6" t="n">
        <v>122917868.071782</v>
      </c>
      <c r="AB17" s="6" t="n">
        <v>83287480.0201076</v>
      </c>
      <c r="AC17" s="6" t="n">
        <v>-1427179.1486634</v>
      </c>
      <c r="AD17" s="6" t="n">
        <v>-7916965.70299184</v>
      </c>
      <c r="AE17" s="6" t="n">
        <v>13840494.9259607</v>
      </c>
      <c r="AF17" s="6" t="n">
        <v>-1885984.40677142</v>
      </c>
      <c r="AG17" s="6" t="n">
        <v>-2085481.74600467</v>
      </c>
      <c r="AH17" s="6" t="n">
        <v>-1894797.98455058</v>
      </c>
      <c r="AI17" s="6" t="n">
        <v>-71968.0632537847</v>
      </c>
      <c r="AJ17" s="6" t="n">
        <v>-1572797.3726</v>
      </c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74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 t="n">
        <v>81689182.5844474</v>
      </c>
      <c r="AD18" s="6" t="n">
        <v>198686158.724161</v>
      </c>
      <c r="AE18" s="6" t="n">
        <v>181579788.230432</v>
      </c>
      <c r="AF18" s="6" t="n">
        <v>464505756.508437</v>
      </c>
      <c r="AG18" s="6" t="n">
        <v>698378026.066289</v>
      </c>
      <c r="AH18" s="6" t="n">
        <v>569379856.924422</v>
      </c>
      <c r="AI18" s="6" t="n">
        <v>84762189.8420125</v>
      </c>
      <c r="AJ18" s="6" t="n">
        <v>57752439.6981</v>
      </c>
      <c r="AK18" s="6" t="n">
        <v>277295352.991762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/>
      <c r="O19" s="6"/>
      <c r="P19" s="6"/>
      <c r="Q19" s="6"/>
      <c r="R19" s="6"/>
      <c r="S19" s="6"/>
      <c r="T19" s="6" t="n">
        <v>11687010.0520648</v>
      </c>
      <c r="U19" s="6" t="n">
        <v>1352091516.43583</v>
      </c>
      <c r="V19" s="6" t="n">
        <v>4056788025.55878</v>
      </c>
      <c r="W19" s="6" t="n">
        <v>1407581861.34247</v>
      </c>
      <c r="X19" s="6" t="n">
        <v>641033365.403097</v>
      </c>
      <c r="Y19" s="6" t="n">
        <v>1006190981.38225</v>
      </c>
      <c r="Z19" s="6" t="n">
        <v>894417087.544833</v>
      </c>
      <c r="AA19" s="6" t="n">
        <v>382596035.447825</v>
      </c>
      <c r="AB19" s="6" t="n">
        <v>171930728.069512</v>
      </c>
      <c r="AC19" s="6" t="n">
        <v>89110277.5529587</v>
      </c>
      <c r="AD19" s="6" t="n">
        <v>-13157515.7200991</v>
      </c>
      <c r="AE19" s="6" t="n">
        <v>-16380317.3988107</v>
      </c>
      <c r="AF19" s="6" t="n">
        <v>-3979294.02392756</v>
      </c>
      <c r="AG19" s="6" t="n">
        <v>-24376360.7880837</v>
      </c>
      <c r="AH19" s="6" t="n">
        <v>-4693646.275897</v>
      </c>
      <c r="AI19" s="6" t="n">
        <v>-476227.079050516</v>
      </c>
      <c r="AJ19" s="6" t="n">
        <v>3791824.7343</v>
      </c>
      <c r="AK19" s="6" t="n">
        <v>-381193.443350727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76</v>
      </c>
      <c r="N20" s="6"/>
      <c r="O20" s="6"/>
      <c r="P20" s="6"/>
      <c r="Q20" s="6"/>
      <c r="R20" s="6" t="n">
        <v>93761752.6671434</v>
      </c>
      <c r="S20" s="6" t="n">
        <v>538631936.469064</v>
      </c>
      <c r="T20" s="6" t="n">
        <v>4126166526.59104</v>
      </c>
      <c r="U20" s="6" t="n">
        <v>4092943094.40759</v>
      </c>
      <c r="V20" s="6" t="n">
        <v>3996228819.73407</v>
      </c>
      <c r="W20" s="6" t="n">
        <v>3884366035.69125</v>
      </c>
      <c r="X20" s="6" t="n">
        <v>1919365983.00923</v>
      </c>
      <c r="Y20" s="6" t="n">
        <v>1141271705.4899</v>
      </c>
      <c r="Z20" s="6" t="n">
        <v>-205605842.18133</v>
      </c>
      <c r="AA20" s="6" t="n">
        <v>-44259331.8797766</v>
      </c>
      <c r="AB20" s="6" t="n">
        <v>17019292.5487959</v>
      </c>
      <c r="AC20" s="6" t="n">
        <v>-94162985.6420465</v>
      </c>
      <c r="AD20" s="6" t="n">
        <v>-274884370.743231</v>
      </c>
      <c r="AE20" s="6" t="n">
        <v>-110512782.901161</v>
      </c>
      <c r="AF20" s="6" t="n">
        <v>-2332423.07925139</v>
      </c>
      <c r="AG20" s="6" t="n">
        <v>-276729.047095675</v>
      </c>
      <c r="AH20" s="6" t="n">
        <v>-212059.947401579</v>
      </c>
      <c r="AI20" s="6" t="n">
        <v>-8489.94044598463</v>
      </c>
      <c r="AJ20" s="6" t="n">
        <v>-18885.6309</v>
      </c>
      <c r="AK20" s="6"/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/>
      <c r="O21" s="6"/>
      <c r="P21" s="6"/>
      <c r="Q21" s="6"/>
      <c r="R21" s="6"/>
      <c r="S21" s="6" t="n">
        <v>5079354.71804902</v>
      </c>
      <c r="T21" s="6" t="n">
        <v>-43442.8439879068</v>
      </c>
      <c r="U21" s="6"/>
      <c r="V21" s="6"/>
      <c r="W21" s="6"/>
      <c r="X21" s="6"/>
      <c r="Y21" s="6"/>
      <c r="Z21" s="6"/>
      <c r="AA21" s="6"/>
      <c r="AB21" s="6"/>
      <c r="AC21" s="6" t="n">
        <v>176757851.629353</v>
      </c>
      <c r="AD21" s="6" t="n">
        <v>346614797.349342</v>
      </c>
      <c r="AE21" s="6" t="n">
        <v>667682541.448951</v>
      </c>
      <c r="AF21" s="6" t="n">
        <v>830373422.780334</v>
      </c>
      <c r="AG21" s="6" t="n">
        <v>2241336852.07042</v>
      </c>
      <c r="AH21" s="6" t="n">
        <v>1797104281.15779</v>
      </c>
      <c r="AI21" s="6" t="n">
        <v>1328974376.24113</v>
      </c>
      <c r="AJ21" s="6" t="n">
        <v>1143790701.3454</v>
      </c>
      <c r="AK21" s="6" t="n">
        <v>1119131759.41095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79</v>
      </c>
      <c r="N22" s="6"/>
      <c r="O22" s="6"/>
      <c r="P22" s="6"/>
      <c r="Q22" s="6"/>
      <c r="R22" s="6" t="n">
        <v>181109539.093374</v>
      </c>
      <c r="S22" s="6" t="n">
        <v>232539289.030345</v>
      </c>
      <c r="T22" s="6" t="n">
        <v>3020466.56330955</v>
      </c>
      <c r="U22" s="6" t="n">
        <v>389073881.005942</v>
      </c>
      <c r="V22" s="6" t="n">
        <v>1173459195.59515</v>
      </c>
      <c r="W22" s="6" t="n">
        <v>1119335862.19525</v>
      </c>
      <c r="X22" s="6" t="n">
        <v>761715997.617754</v>
      </c>
      <c r="Y22" s="6" t="n">
        <v>431923416.003442</v>
      </c>
      <c r="Z22" s="6" t="n">
        <v>314276090.529999</v>
      </c>
      <c r="AA22" s="6" t="n">
        <v>268733505.950967</v>
      </c>
      <c r="AB22" s="6" t="n">
        <v>153156846.821987</v>
      </c>
      <c r="AC22" s="6" t="n">
        <v>100104889.702256</v>
      </c>
      <c r="AD22" s="6" t="n">
        <v>163288505.750307</v>
      </c>
      <c r="AE22" s="6" t="n">
        <v>16939675.7262411</v>
      </c>
      <c r="AF22" s="6" t="n">
        <v>-6951409.74712519</v>
      </c>
      <c r="AG22" s="6" t="n">
        <v>61576047.5984713</v>
      </c>
      <c r="AH22" s="6" t="n">
        <v>17872960.9391511</v>
      </c>
      <c r="AI22" s="6" t="n">
        <v>39772601.3044564</v>
      </c>
      <c r="AJ22" s="6" t="n">
        <v>-8210768.2549</v>
      </c>
      <c r="AK22" s="6" t="n">
        <v>950790.09934658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80</v>
      </c>
      <c r="N23" s="6" t="n">
        <v>1877683946.94802</v>
      </c>
      <c r="O23" s="6" t="n">
        <v>881529284.829695</v>
      </c>
      <c r="P23" s="6" t="n">
        <v>1544556000.3571</v>
      </c>
      <c r="Q23" s="6" t="n">
        <v>2363605904.20398</v>
      </c>
      <c r="R23" s="6" t="n">
        <v>602942821.671681</v>
      </c>
      <c r="S23" s="6" t="n">
        <v>957391493.967704</v>
      </c>
      <c r="T23" s="6" t="n">
        <v>480982976.214686</v>
      </c>
      <c r="U23" s="6" t="n">
        <v>440316986.709538</v>
      </c>
      <c r="V23" s="6" t="n">
        <v>5556372427.78834</v>
      </c>
      <c r="W23" s="6" t="n">
        <v>496073172.359718</v>
      </c>
      <c r="X23" s="6" t="n">
        <v>3471388681.65337</v>
      </c>
      <c r="Y23" s="6" t="n">
        <v>970695544.165721</v>
      </c>
      <c r="Z23" s="6" t="n">
        <v>575380408.870682</v>
      </c>
      <c r="AA23" s="6" t="n">
        <v>330785999.428097</v>
      </c>
      <c r="AB23" s="6" t="n">
        <v>392582749.001068</v>
      </c>
      <c r="AC23" s="6" t="n">
        <v>340308447.366653</v>
      </c>
      <c r="AD23" s="6" t="n">
        <v>245014761.555292</v>
      </c>
      <c r="AE23" s="6" t="n">
        <v>261996169.006741</v>
      </c>
      <c r="AF23" s="6" t="n">
        <v>956087804.369444</v>
      </c>
      <c r="AG23" s="6" t="n">
        <v>182115397.868214</v>
      </c>
      <c r="AH23" s="6" t="n">
        <v>818142113.928842</v>
      </c>
      <c r="AI23" s="6" t="n">
        <v>211851337.438726</v>
      </c>
      <c r="AJ23" s="6" t="n">
        <v>703173093.0984</v>
      </c>
      <c r="AK23" s="6" t="n">
        <v>291715696.421481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81</v>
      </c>
      <c r="N24" s="6" t="n">
        <v>5784685.19608508</v>
      </c>
      <c r="O24" s="6"/>
      <c r="P24" s="6"/>
      <c r="Q24" s="6" t="n">
        <v>80454.0926085807</v>
      </c>
      <c r="R24" s="6" t="n">
        <v>393938374.475152</v>
      </c>
      <c r="S24" s="6" t="n">
        <v>845688286.944932</v>
      </c>
      <c r="T24" s="6" t="n">
        <v>382387988.512365</v>
      </c>
      <c r="U24" s="6" t="n">
        <v>1511302266.00584</v>
      </c>
      <c r="V24" s="6" t="n">
        <v>2748846353.68899</v>
      </c>
      <c r="W24" s="6" t="n">
        <v>3230799856.98691</v>
      </c>
      <c r="X24" s="6" t="n">
        <v>1960888766.05564</v>
      </c>
      <c r="Y24" s="6" t="n">
        <v>1576636451.03094</v>
      </c>
      <c r="Z24" s="6" t="n">
        <v>1250393215.84615</v>
      </c>
      <c r="AA24" s="6" t="n">
        <v>949273905.725156</v>
      </c>
      <c r="AB24" s="6" t="n">
        <v>921757598.203229</v>
      </c>
      <c r="AC24" s="6" t="n">
        <v>386138192.432085</v>
      </c>
      <c r="AD24" s="6" t="n">
        <v>86773551.9782035</v>
      </c>
      <c r="AE24" s="6" t="n">
        <v>-2999437.64593987</v>
      </c>
      <c r="AF24" s="6" t="n">
        <v>-7183520.88299028</v>
      </c>
      <c r="AG24" s="6" t="n">
        <v>-14857175.909432</v>
      </c>
      <c r="AH24" s="6" t="n">
        <v>-4415794.86939782</v>
      </c>
      <c r="AI24" s="6" t="n">
        <v>-1660541.85693356</v>
      </c>
      <c r="AJ24" s="6" t="n">
        <v>5089245.1191</v>
      </c>
      <c r="AK24" s="6" t="n">
        <v>92329750.9716652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3092356317.88338</v>
      </c>
      <c r="O25" s="6" t="n">
        <v>3885018704.74731</v>
      </c>
      <c r="P25" s="6" t="n">
        <v>5392471538.18147</v>
      </c>
      <c r="Q25" s="6" t="n">
        <v>11736073168.1799</v>
      </c>
      <c r="R25" s="6" t="n">
        <v>11354905228.5007</v>
      </c>
      <c r="S25" s="6" t="n">
        <v>18890297508.6229</v>
      </c>
      <c r="T25" s="6" t="n">
        <v>16393039629.6085</v>
      </c>
      <c r="U25" s="6" t="n">
        <v>27381735741.9082</v>
      </c>
      <c r="V25" s="6" t="n">
        <v>33706911870.7227</v>
      </c>
      <c r="W25" s="6" t="n">
        <v>27450066781.1115</v>
      </c>
      <c r="X25" s="6" t="n">
        <v>24073128549.6124</v>
      </c>
      <c r="Y25" s="6" t="n">
        <v>19864440671.848</v>
      </c>
      <c r="Z25" s="6" t="n">
        <v>10765944223.0109</v>
      </c>
      <c r="AA25" s="6" t="n">
        <v>7184462160.28266</v>
      </c>
      <c r="AB25" s="6" t="n">
        <v>5330415193.04808</v>
      </c>
      <c r="AC25" s="6" t="n">
        <v>7915098543.33114</v>
      </c>
      <c r="AD25" s="6" t="n">
        <v>8002157997.65835</v>
      </c>
      <c r="AE25" s="6" t="n">
        <v>8633688025.26896</v>
      </c>
      <c r="AF25" s="6" t="n">
        <v>12261205574.2148</v>
      </c>
      <c r="AG25" s="6" t="n">
        <v>11315656343.0153</v>
      </c>
      <c r="AH25" s="6" t="n">
        <v>9790485102.79134</v>
      </c>
      <c r="AI25" s="6" t="n">
        <v>8695907500.44095</v>
      </c>
      <c r="AJ25" s="6" t="n">
        <v>8852572756.3717</v>
      </c>
      <c r="AK25" s="6" t="n">
        <v>5145469094.85561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208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3092356317.88338</v>
      </c>
      <c r="O27" s="8" t="n">
        <v>3885018704.74731</v>
      </c>
      <c r="P27" s="8" t="n">
        <v>5392471538.18147</v>
      </c>
      <c r="Q27" s="8" t="n">
        <v>11736073168.1799</v>
      </c>
      <c r="R27" s="8" t="n">
        <v>11354905228.5007</v>
      </c>
      <c r="S27" s="8" t="n">
        <v>18890297508.6229</v>
      </c>
      <c r="T27" s="8" t="n">
        <v>16393039629.6085</v>
      </c>
      <c r="U27" s="8" t="n">
        <v>27381735741.9082</v>
      </c>
      <c r="V27" s="8" t="n">
        <v>33706911870.7227</v>
      </c>
      <c r="W27" s="8" t="n">
        <v>27450066781.1115</v>
      </c>
      <c r="X27" s="8" t="n">
        <v>24073128549.6124</v>
      </c>
      <c r="Y27" s="8" t="n">
        <v>19864440671.848</v>
      </c>
      <c r="Z27" s="8" t="n">
        <v>10765944223.0109</v>
      </c>
      <c r="AA27" s="8" t="n">
        <v>7184462160.28266</v>
      </c>
      <c r="AB27" s="8" t="n">
        <v>5330415193.04808</v>
      </c>
      <c r="AC27" s="8" t="n">
        <v>7915098543.33114</v>
      </c>
      <c r="AD27" s="8" t="n">
        <v>8002157997.65835</v>
      </c>
      <c r="AE27" s="8" t="n">
        <v>8633688025.26896</v>
      </c>
      <c r="AF27" s="8" t="n">
        <v>12261205574.2148</v>
      </c>
      <c r="AG27" s="8" t="n">
        <v>11315656343.0153</v>
      </c>
      <c r="AH27" s="8" t="n">
        <v>9790485102.79134</v>
      </c>
      <c r="AI27" s="8" t="n">
        <v>8695907500.44095</v>
      </c>
      <c r="AJ27" s="8" t="n">
        <v>8852572756.3717</v>
      </c>
      <c r="AK27" s="8" t="n">
        <v>5145469094.85561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9" t="n">
        <v>730161277</v>
      </c>
      <c r="O2" s="9" t="n">
        <v>516882630</v>
      </c>
      <c r="P2" s="9" t="n">
        <v>565847800.125</v>
      </c>
      <c r="Q2" s="9" t="n">
        <v>556653777</v>
      </c>
      <c r="R2" s="9" t="n">
        <v>870463999</v>
      </c>
      <c r="S2" s="9" t="n">
        <v>2289410024.9375</v>
      </c>
      <c r="T2" s="9" t="n">
        <v>2171300586.8829</v>
      </c>
      <c r="U2" s="9" t="n">
        <v>9205620990.6241</v>
      </c>
      <c r="V2" s="9" t="n">
        <v>15067642372.2059</v>
      </c>
      <c r="W2" s="9" t="n">
        <v>6193371896.2171</v>
      </c>
      <c r="X2" s="9" t="n">
        <v>5602355487.4711</v>
      </c>
      <c r="Y2" s="9" t="n">
        <v>4611366596.524</v>
      </c>
      <c r="Z2" s="9" t="n">
        <v>2981586242.9583</v>
      </c>
      <c r="AA2" s="9" t="n">
        <v>843544560.0588</v>
      </c>
      <c r="AB2" s="9" t="n">
        <v>1096513420.3609</v>
      </c>
      <c r="AC2" s="9" t="n">
        <v>800013342.2485</v>
      </c>
      <c r="AD2" s="9" t="n">
        <v>1397026939.1587</v>
      </c>
      <c r="AE2" s="9" t="n">
        <v>1258967476.1549</v>
      </c>
      <c r="AF2" s="9" t="n">
        <v>3492670508.8744</v>
      </c>
      <c r="AG2" s="9" t="n">
        <v>2814739017.7834</v>
      </c>
      <c r="AH2" s="9" t="n">
        <v>2717051714.9591</v>
      </c>
      <c r="AI2" s="9" t="n">
        <v>1013120180.4408</v>
      </c>
      <c r="AJ2" s="9" t="n">
        <v>2776051869.8384</v>
      </c>
      <c r="AK2" s="9" t="n">
        <v>1688028143.0956</v>
      </c>
      <c r="AL2" s="9"/>
      <c r="AM2" s="9"/>
    </row>
    <row r="3">
      <c r="A3" t="str">
        <f>M3</f>
      </c>
      <c r="M3" t="s">
        <v>84</v>
      </c>
      <c r="N3" s="9"/>
      <c r="O3" s="9"/>
      <c r="P3" s="9"/>
      <c r="Q3" s="9"/>
      <c r="R3" s="9"/>
      <c r="S3" s="9"/>
      <c r="T3" s="9"/>
      <c r="U3" s="9" t="n">
        <v>0</v>
      </c>
      <c r="V3" s="9" t="n">
        <v>15642095.6811</v>
      </c>
      <c r="W3" s="9" t="n">
        <v>2517658299.9587</v>
      </c>
      <c r="X3" s="9" t="n">
        <v>5586510528.1393</v>
      </c>
      <c r="Y3" s="9" t="n">
        <v>2806640797.4891</v>
      </c>
      <c r="Z3" s="9" t="n">
        <v>2203132538.5287</v>
      </c>
      <c r="AA3" s="9" t="n">
        <v>1542396948.968</v>
      </c>
      <c r="AB3" s="9" t="n">
        <v>1122782367.9311</v>
      </c>
      <c r="AC3" s="9" t="n">
        <v>798430042.1025</v>
      </c>
      <c r="AD3" s="9" t="n">
        <v>702139834.0726</v>
      </c>
      <c r="AE3" s="9" t="n">
        <v>1382375915.0364</v>
      </c>
      <c r="AF3" s="9" t="n">
        <v>1816326587.5204</v>
      </c>
      <c r="AG3" s="9" t="n">
        <v>2937958766.3253</v>
      </c>
      <c r="AH3" s="9" t="n">
        <v>2655470810.5356</v>
      </c>
      <c r="AI3" s="9" t="n">
        <v>3329548288.4012</v>
      </c>
      <c r="AJ3" s="9" t="n">
        <v>2636677131.8249</v>
      </c>
      <c r="AK3" s="9" t="n">
        <v>1318731512.1399</v>
      </c>
      <c r="AL3" s="9"/>
      <c r="AM3" s="9"/>
    </row>
    <row r="4">
      <c r="A4" t="str">
        <f>M4</f>
      </c>
      <c r="M4" t="s">
        <v>85</v>
      </c>
      <c r="N4" s="9" t="n">
        <v>3209689</v>
      </c>
      <c r="O4" s="9" t="n">
        <v>1367737</v>
      </c>
      <c r="P4" s="9" t="n">
        <v>3294860.3301</v>
      </c>
      <c r="Q4" s="9" t="n">
        <v>3378276</v>
      </c>
      <c r="R4" s="9" t="n">
        <v>49954764</v>
      </c>
      <c r="S4" s="9" t="n">
        <v>188152778</v>
      </c>
      <c r="T4" s="9" t="n">
        <v>85228593</v>
      </c>
      <c r="U4" s="9" t="n">
        <v>281640377.8693</v>
      </c>
      <c r="V4" s="9" t="n">
        <v>836295353.8466</v>
      </c>
      <c r="W4" s="9" t="n">
        <v>516435260.1954</v>
      </c>
      <c r="X4" s="9" t="n">
        <v>1220923212.2841</v>
      </c>
      <c r="Y4" s="9" t="n">
        <v>2671520961.1199</v>
      </c>
      <c r="Z4" s="9" t="n">
        <v>653597491.5224</v>
      </c>
      <c r="AA4" s="9" t="n">
        <v>455052379.3164</v>
      </c>
      <c r="AB4" s="9" t="n">
        <v>340795942.3392</v>
      </c>
      <c r="AC4" s="9" t="n">
        <v>17644778.6328</v>
      </c>
      <c r="AD4" s="9" t="n">
        <v>414052703.7058</v>
      </c>
      <c r="AE4" s="9" t="n">
        <v>290867815.1033</v>
      </c>
      <c r="AF4" s="9" t="n">
        <v>71204987.0671</v>
      </c>
      <c r="AG4" s="9" t="n">
        <v>67234555.8748</v>
      </c>
      <c r="AH4" s="9" t="n">
        <v>7182773.5118</v>
      </c>
      <c r="AI4" s="9" t="n">
        <v>9851334.9656</v>
      </c>
      <c r="AJ4" s="9" t="n">
        <v>6663294.6572</v>
      </c>
      <c r="AK4" s="9" t="n">
        <v>11496687.4568</v>
      </c>
      <c r="AL4" s="9"/>
      <c r="AM4" s="9"/>
    </row>
    <row r="5">
      <c r="A5" t="str">
        <f>M5</f>
      </c>
      <c r="M5" t="s">
        <v>86</v>
      </c>
      <c r="N5" s="9" t="n">
        <v>117008991.9815</v>
      </c>
      <c r="O5" s="9" t="n">
        <v>164423044</v>
      </c>
      <c r="P5" s="9" t="n">
        <v>111282805.3203</v>
      </c>
      <c r="Q5" s="9" t="n">
        <v>158030491</v>
      </c>
      <c r="R5" s="9" t="n">
        <v>303118272.3198</v>
      </c>
      <c r="S5" s="9" t="n">
        <v>720843197.5625</v>
      </c>
      <c r="T5" s="9" t="n">
        <v>901965713.1274</v>
      </c>
      <c r="U5" s="9" t="n">
        <v>957904385.8519</v>
      </c>
      <c r="V5" s="9" t="n">
        <v>781316047.4994</v>
      </c>
      <c r="W5" s="9" t="n">
        <v>718441608.9555</v>
      </c>
      <c r="X5" s="9" t="n">
        <v>161566429.4165</v>
      </c>
      <c r="Y5" s="9" t="n">
        <v>20798526.3962</v>
      </c>
      <c r="Z5" s="9" t="n">
        <v>165086487.0874</v>
      </c>
      <c r="AA5" s="9" t="n">
        <v>99902586.8965</v>
      </c>
      <c r="AB5" s="9" t="n">
        <v>66191335.9198</v>
      </c>
      <c r="AC5" s="9" t="n">
        <v>88824131.3768</v>
      </c>
      <c r="AD5" s="9" t="n">
        <v>100397637.3086</v>
      </c>
      <c r="AE5" s="9" t="n">
        <v>184652375.8434</v>
      </c>
      <c r="AF5" s="9" t="n">
        <v>243249965.4403</v>
      </c>
      <c r="AG5" s="9" t="n">
        <v>370017260.2822</v>
      </c>
      <c r="AH5" s="9" t="n">
        <v>162917897.6668</v>
      </c>
      <c r="AI5" s="9" t="n">
        <v>134979694.014</v>
      </c>
      <c r="AJ5" s="9" t="n">
        <v>44742707.8169</v>
      </c>
      <c r="AK5" s="9" t="n">
        <v>83965444.0014</v>
      </c>
      <c r="AL5" s="9"/>
      <c r="AM5" s="9"/>
    </row>
    <row r="6">
      <c r="A6" t="str">
        <f>M6</f>
      </c>
      <c r="M6" t="s">
        <v>87</v>
      </c>
      <c r="N6" s="9" t="n">
        <v>71736862</v>
      </c>
      <c r="O6" s="9" t="n">
        <v>24833883</v>
      </c>
      <c r="P6" s="9" t="n">
        <v>61586144</v>
      </c>
      <c r="Q6" s="9" t="n">
        <v>99146583.7969</v>
      </c>
      <c r="R6" s="9" t="n">
        <v>111011227</v>
      </c>
      <c r="S6" s="9" t="n">
        <v>144890029.4063</v>
      </c>
      <c r="T6" s="9" t="n">
        <v>239428154.0719</v>
      </c>
      <c r="U6" s="9" t="n">
        <v>483383718.7884</v>
      </c>
      <c r="V6" s="9" t="n">
        <v>1159866098.2912</v>
      </c>
      <c r="W6" s="9" t="n">
        <v>469400405.2188</v>
      </c>
      <c r="X6" s="9" t="n">
        <v>429376675.0078</v>
      </c>
      <c r="Y6" s="9" t="n">
        <v>550624819.5756</v>
      </c>
      <c r="Z6" s="9" t="n">
        <v>326684554.2814</v>
      </c>
      <c r="AA6" s="9" t="n">
        <v>136920507.9738</v>
      </c>
      <c r="AB6" s="9" t="n">
        <v>228456337.1139</v>
      </c>
      <c r="AC6" s="9" t="n">
        <v>171476860.5452</v>
      </c>
      <c r="AD6" s="9" t="n">
        <v>212620571.1849</v>
      </c>
      <c r="AE6" s="9" t="n">
        <v>146820374.2813</v>
      </c>
      <c r="AF6" s="9" t="n">
        <v>145464228.9459</v>
      </c>
      <c r="AG6" s="9" t="n">
        <v>166136587.8651</v>
      </c>
      <c r="AH6" s="9" t="n">
        <v>149373123.6989</v>
      </c>
      <c r="AI6" s="9" t="n">
        <v>179677033.0119</v>
      </c>
      <c r="AJ6" s="9" t="n">
        <v>158814872.9406</v>
      </c>
      <c r="AK6" s="9" t="n">
        <v>139718084.1242</v>
      </c>
      <c r="AL6" s="9"/>
      <c r="AM6" s="9"/>
    </row>
    <row r="7">
      <c r="A7" t="str">
        <f>M7</f>
      </c>
      <c r="M7" t="s">
        <v>88</v>
      </c>
      <c r="N7" s="9" t="n">
        <v>1266093650</v>
      </c>
      <c r="O7" s="9" t="n">
        <v>1847545887</v>
      </c>
      <c r="P7" s="9" t="n">
        <v>2119940739.7022</v>
      </c>
      <c r="Q7" s="9" t="n">
        <v>2776530193.6371</v>
      </c>
      <c r="R7" s="9" t="n">
        <v>3471868730.3333</v>
      </c>
      <c r="S7" s="9" t="n">
        <v>6145815335.6377</v>
      </c>
      <c r="T7" s="9" t="n">
        <v>4601635890.9508</v>
      </c>
      <c r="U7" s="9" t="n">
        <v>5946867807.1456</v>
      </c>
      <c r="V7" s="9" t="n">
        <v>6348658224.3774</v>
      </c>
      <c r="W7" s="9" t="n">
        <v>7290026788.8769</v>
      </c>
      <c r="X7" s="9" t="n">
        <v>5530121098.2285</v>
      </c>
      <c r="Y7" s="9" t="n">
        <v>4881546747.6719</v>
      </c>
      <c r="Z7" s="9" t="n">
        <v>3539524163.0377</v>
      </c>
      <c r="AA7" s="9" t="n">
        <v>3059899974.315</v>
      </c>
      <c r="AB7" s="9" t="n">
        <v>2164837915.242</v>
      </c>
      <c r="AC7" s="9" t="n">
        <v>3235025825.1128</v>
      </c>
      <c r="AD7" s="9" t="n">
        <v>2909245751.5896</v>
      </c>
      <c r="AE7" s="9" t="n">
        <v>2801170428.4913</v>
      </c>
      <c r="AF7" s="9" t="n">
        <v>5199305873.3542</v>
      </c>
      <c r="AG7" s="9" t="n">
        <v>4598691960.7892</v>
      </c>
      <c r="AH7" s="9" t="n">
        <v>4336446619.5307</v>
      </c>
      <c r="AI7" s="9" t="n">
        <v>3999773549.3636</v>
      </c>
      <c r="AJ7" s="9" t="n">
        <v>3885517427.2394</v>
      </c>
      <c r="AK7" s="9" t="n">
        <v>2843055224.1139</v>
      </c>
      <c r="AL7" s="9"/>
      <c r="AM7" s="9"/>
    </row>
    <row r="8">
      <c r="A8" t="str">
        <f>M8</f>
      </c>
      <c r="M8" t="s">
        <v>89</v>
      </c>
      <c r="N8" s="9"/>
      <c r="O8" s="9"/>
      <c r="P8" s="9"/>
      <c r="Q8" s="9" t="n">
        <v>496505</v>
      </c>
      <c r="R8" s="9" t="n">
        <v>874664</v>
      </c>
      <c r="S8" s="9" t="n">
        <v>254355916</v>
      </c>
      <c r="T8" s="9" t="n">
        <v>2744395667</v>
      </c>
      <c r="U8" s="9" t="n">
        <v>2730673784</v>
      </c>
      <c r="V8" s="9" t="n">
        <v>2696944186</v>
      </c>
      <c r="W8" s="9" t="n">
        <v>2693577069.91</v>
      </c>
      <c r="X8" s="9" t="n">
        <v>1359472153</v>
      </c>
      <c r="Y8" s="9" t="n">
        <v>895656146</v>
      </c>
      <c r="Z8" s="9" t="n">
        <v>-180762568</v>
      </c>
      <c r="AA8" s="9" t="n">
        <v>-50000000</v>
      </c>
      <c r="AB8" s="9"/>
      <c r="AC8" s="9" t="n">
        <v>-70000000</v>
      </c>
      <c r="AD8" s="9" t="n">
        <v>-234381440</v>
      </c>
      <c r="AE8" s="9" t="n">
        <v>-94933042</v>
      </c>
      <c r="AF8" s="9"/>
      <c r="AG8" s="9"/>
      <c r="AH8" s="9"/>
      <c r="AI8" s="9"/>
      <c r="AJ8" s="9"/>
      <c r="AK8" s="9"/>
      <c r="AL8" s="9"/>
      <c r="AM8" s="9"/>
    </row>
    <row r="9">
      <c r="A9" t="str">
        <f>M9</f>
      </c>
      <c r="M9" t="s">
        <v>90</v>
      </c>
      <c r="N9" s="9" t="n">
        <v>1060929765.4375</v>
      </c>
      <c r="O9" s="9" t="n">
        <v>602228061.7969</v>
      </c>
      <c r="P9" s="9" t="n">
        <v>1665735499.8696</v>
      </c>
      <c r="Q9" s="9" t="n">
        <v>5243046410</v>
      </c>
      <c r="R9" s="9" t="n">
        <v>2854091412.7827</v>
      </c>
      <c r="S9" s="9" t="n">
        <v>4628328239</v>
      </c>
      <c r="T9" s="9" t="n">
        <v>4827885533.66</v>
      </c>
      <c r="U9" s="9" t="n">
        <v>7902676336.4653</v>
      </c>
      <c r="V9" s="9" t="n">
        <v>11793241716.1511</v>
      </c>
      <c r="W9" s="9" t="n">
        <v>7762559511.4134</v>
      </c>
      <c r="X9" s="9" t="n">
        <v>4884756890.3114</v>
      </c>
      <c r="Y9" s="9" t="n">
        <v>2658005912.6301</v>
      </c>
      <c r="Z9" s="9" t="n">
        <v>641075406.7011</v>
      </c>
      <c r="AA9" s="9" t="n">
        <v>1098146052.9545</v>
      </c>
      <c r="AB9" s="9" t="n">
        <v>374622344.3622</v>
      </c>
      <c r="AC9" s="9" t="n">
        <v>2006205335.654</v>
      </c>
      <c r="AD9" s="9" t="n">
        <v>1339078011.634</v>
      </c>
      <c r="AE9" s="9" t="n">
        <v>1476893786.52</v>
      </c>
      <c r="AF9" s="9" t="n">
        <v>970004514.7339</v>
      </c>
      <c r="AG9" s="9" t="n">
        <v>1218487167.5124</v>
      </c>
      <c r="AH9" s="9" t="n">
        <v>851122156.0617</v>
      </c>
      <c r="AI9" s="9" t="n">
        <v>669351227.1496</v>
      </c>
      <c r="AJ9" s="9" t="n">
        <v>803593516.396</v>
      </c>
      <c r="AK9" s="9" t="n">
        <v>819900975.2149</v>
      </c>
      <c r="AL9" s="9"/>
      <c r="AM9" s="9"/>
    </row>
    <row r="10">
      <c r="A10" t="str">
        <f>M10</f>
      </c>
      <c r="M10" t="s">
        <v>91</v>
      </c>
      <c r="N10" s="9" t="n">
        <v>63863599</v>
      </c>
      <c r="O10" s="9" t="n">
        <v>66396540</v>
      </c>
      <c r="P10" s="9" t="n">
        <v>129131306</v>
      </c>
      <c r="Q10" s="9" t="n">
        <v>368684043</v>
      </c>
      <c r="R10" s="9" t="n">
        <v>488326700</v>
      </c>
      <c r="S10" s="9" t="n">
        <v>454522318.75</v>
      </c>
      <c r="T10" s="9" t="n">
        <v>235450391</v>
      </c>
      <c r="U10" s="9" t="n">
        <v>375540268.3349</v>
      </c>
      <c r="V10" s="9" t="n">
        <v>600951215.0256</v>
      </c>
      <c r="W10" s="9" t="n">
        <v>329566825.2949</v>
      </c>
      <c r="X10" s="9" t="n">
        <v>247430017.8576</v>
      </c>
      <c r="Y10" s="9" t="n">
        <v>220438635.8865</v>
      </c>
      <c r="Z10" s="9" t="n">
        <v>191333446.6206</v>
      </c>
      <c r="AA10" s="9" t="n">
        <v>77412171.0367</v>
      </c>
      <c r="AB10" s="9" t="n">
        <v>161339809.612</v>
      </c>
      <c r="AC10" s="9" t="n">
        <v>193388921.4075</v>
      </c>
      <c r="AD10" s="9" t="n">
        <v>230332948.0022</v>
      </c>
      <c r="AE10" s="9" t="n">
        <v>442542322.0108</v>
      </c>
      <c r="AF10" s="9" t="n">
        <v>337987102.4548</v>
      </c>
      <c r="AG10" s="9" t="n">
        <v>340593338.9986</v>
      </c>
      <c r="AH10" s="9" t="n">
        <v>333080057.6467</v>
      </c>
      <c r="AI10" s="9" t="n">
        <v>114414414.5824</v>
      </c>
      <c r="AJ10" s="9" t="n">
        <v>182378295.9798</v>
      </c>
      <c r="AK10" s="9" t="n">
        <v>150673724.9518</v>
      </c>
      <c r="AL10" s="9"/>
      <c r="AM10" s="9"/>
    </row>
    <row r="11">
      <c r="A11" t="str">
        <f>M11</f>
      </c>
      <c r="M11" t="s">
        <v>92</v>
      </c>
      <c r="N11" s="9" t="n">
        <v>45465081</v>
      </c>
      <c r="O11" s="9" t="n">
        <v>40755684.4609</v>
      </c>
      <c r="P11" s="9" t="n">
        <v>68758925</v>
      </c>
      <c r="Q11" s="9" t="n">
        <v>97652673</v>
      </c>
      <c r="R11" s="9" t="n">
        <v>247746952</v>
      </c>
      <c r="S11" s="9" t="n">
        <v>270431743.5</v>
      </c>
      <c r="T11" s="9" t="n">
        <v>178565899.2266</v>
      </c>
      <c r="U11" s="9" t="n">
        <v>156584288.146</v>
      </c>
      <c r="V11" s="9" t="n">
        <v>259235966.3933</v>
      </c>
      <c r="W11" s="9" t="n">
        <v>203167540.2388</v>
      </c>
      <c r="X11" s="9" t="n">
        <v>167713216.7973</v>
      </c>
      <c r="Y11" s="9" t="n">
        <v>117716336.3273</v>
      </c>
      <c r="Z11" s="9" t="n">
        <v>178357755.8715</v>
      </c>
      <c r="AA11" s="9" t="n">
        <v>70826937.8437</v>
      </c>
      <c r="AB11" s="9" t="n">
        <v>144408728.3948</v>
      </c>
      <c r="AC11" s="9" t="n">
        <v>117288757.0552</v>
      </c>
      <c r="AD11" s="9" t="n">
        <v>162362157.1162</v>
      </c>
      <c r="AE11" s="9" t="n">
        <v>223056854.6161</v>
      </c>
      <c r="AF11" s="9" t="n">
        <v>247893354.0724</v>
      </c>
      <c r="AG11" s="9" t="n">
        <v>252307381.8203</v>
      </c>
      <c r="AH11" s="9" t="n">
        <v>424041813.877</v>
      </c>
      <c r="AI11" s="9" t="n">
        <v>175520290.1215</v>
      </c>
      <c r="AJ11" s="9" t="n">
        <v>190857487.3453</v>
      </c>
      <c r="AK11" s="9" t="n">
        <v>149563889.5695</v>
      </c>
      <c r="AL11" s="9"/>
      <c r="AM11" s="9"/>
    </row>
    <row r="12">
      <c r="A12" t="str">
        <f>M12</f>
      </c>
      <c r="M12" t="s">
        <v>93</v>
      </c>
      <c r="N12" s="9" t="n">
        <v>37798059</v>
      </c>
      <c r="O12" s="9" t="n">
        <v>33356199</v>
      </c>
      <c r="P12" s="9" t="n">
        <v>59179759</v>
      </c>
      <c r="Q12" s="9" t="n">
        <v>337893678</v>
      </c>
      <c r="R12" s="9" t="n">
        <v>148033966</v>
      </c>
      <c r="S12" s="9" t="n">
        <v>165023000</v>
      </c>
      <c r="T12" s="9" t="n">
        <v>145908492.36</v>
      </c>
      <c r="U12" s="9" t="n">
        <v>157704916.9854</v>
      </c>
      <c r="V12" s="9" t="n">
        <v>197338329.486</v>
      </c>
      <c r="W12" s="9" t="n">
        <v>140948491.5204</v>
      </c>
      <c r="X12" s="9" t="n">
        <v>145869202.2015</v>
      </c>
      <c r="Y12" s="9" t="n">
        <v>143872620.9319</v>
      </c>
      <c r="Z12" s="9" t="n">
        <v>136913109.8716</v>
      </c>
      <c r="AA12" s="9" t="n">
        <v>100797970.2153</v>
      </c>
      <c r="AB12" s="9" t="n">
        <v>125638332.7769</v>
      </c>
      <c r="AC12" s="9" t="n">
        <v>139834868.5924</v>
      </c>
      <c r="AD12" s="9" t="n">
        <v>119722617.7696</v>
      </c>
      <c r="AE12" s="9" t="n">
        <v>140890147.7017</v>
      </c>
      <c r="AF12" s="9" t="n">
        <v>165002280.9717</v>
      </c>
      <c r="AG12" s="9" t="n">
        <v>142573580.8117</v>
      </c>
      <c r="AH12" s="9" t="n">
        <v>109065807.9546</v>
      </c>
      <c r="AI12" s="9" t="n">
        <v>61569988.4118</v>
      </c>
      <c r="AJ12" s="9" t="n">
        <v>71071005.0701</v>
      </c>
      <c r="AK12" s="9" t="n">
        <v>56895063.3869</v>
      </c>
      <c r="AL12" s="9"/>
      <c r="AM12" s="9"/>
    </row>
    <row r="13">
      <c r="A13" t="str">
        <f>M13</f>
      </c>
      <c r="M13"/>
      <c r="N13" s="9"/>
      <c r="O13" s="9" t="n">
        <v>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A14" t="str">
        <f>M14</f>
      </c>
      <c r="M14" t="s">
        <v>208</v>
      </c>
      <c r="N14" s="9" t="str">
        <f>Sum(N2:N13)</f>
      </c>
      <c r="O14" s="9" t="str">
        <f>Sum(O2:O13)</f>
      </c>
      <c r="P14" s="9" t="str">
        <f>Sum(P2:P13)</f>
      </c>
      <c r="Q14" s="9" t="str">
        <f>Sum(Q2:Q13)</f>
      </c>
      <c r="R14" s="9" t="str">
        <f>Sum(R2:R13)</f>
      </c>
      <c r="S14" s="9" t="str">
        <f>Sum(S2:S13)</f>
      </c>
      <c r="T14" s="9" t="str">
        <f>Sum(T2:T13)</f>
      </c>
      <c r="U14" s="9" t="str">
        <f>Sum(U2:U13)</f>
      </c>
      <c r="V14" s="9" t="str">
        <f>Sum(V2:V13)</f>
      </c>
      <c r="W14" s="9" t="str">
        <f>Sum(W2:W13)</f>
      </c>
      <c r="X14" s="9" t="str">
        <f>Sum(X2:X13)</f>
      </c>
      <c r="Y14" s="9" t="str">
        <f>Sum(Y2:Y13)</f>
      </c>
      <c r="Z14" s="9" t="str">
        <f>Sum(Z2:Z13)</f>
      </c>
      <c r="AA14" s="9" t="str">
        <f>Sum(AA2:AA13)</f>
      </c>
      <c r="AB14" s="9" t="str">
        <f>Sum(AB2:AB13)</f>
      </c>
      <c r="AC14" s="9" t="str">
        <f>Sum(AC2:AC13)</f>
      </c>
      <c r="AD14" s="9" t="str">
        <f>Sum(AD2:AD13)</f>
      </c>
      <c r="AE14" s="9" t="str">
        <f>Sum(AE2:AE13)</f>
      </c>
      <c r="AF14" s="9" t="str">
        <f>Sum(AF2:AF13)</f>
      </c>
      <c r="AG14" s="9" t="str">
        <f>Sum(AG2:AG13)</f>
      </c>
      <c r="AH14" s="9" t="str">
        <f>Sum(AH2:AH13)</f>
      </c>
      <c r="AI14" s="9" t="str">
        <f>Sum(AI2:AI13)</f>
      </c>
      <c r="AJ14" s="9" t="str">
        <f>Sum(AJ2:AJ13)</f>
      </c>
      <c r="AK14" s="9" t="str">
        <f>Sum(AK2:AK13)</f>
      </c>
      <c r="AL14" s="9"/>
      <c r="AM14" s="9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82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AJ18/Sum(AJ$17:AJ$29)</f>
      </c>
      <c r="J18" s="7" t="str">
        <f>AK18/Sum(AK17:AK$29)</f>
      </c>
      <c r="M18" t="s">
        <v>83</v>
      </c>
      <c r="N18" s="9" t="n">
        <v>1179743516.42673</v>
      </c>
      <c r="O18" s="9" t="n">
        <v>815370532.78508</v>
      </c>
      <c r="P18" s="9" t="n">
        <v>878742304.469957</v>
      </c>
      <c r="Q18" s="9" t="n">
        <v>848250365.090332</v>
      </c>
      <c r="R18" s="9" t="n">
        <v>1294797204.87759</v>
      </c>
      <c r="S18" s="9" t="n">
        <v>3305117556.76302</v>
      </c>
      <c r="T18" s="9" t="n">
        <v>3035770875.60519</v>
      </c>
      <c r="U18" s="9" t="n">
        <v>12527165023.3207</v>
      </c>
      <c r="V18" s="9" t="n">
        <v>20085404923.7637</v>
      </c>
      <c r="W18" s="9" t="n">
        <v>8172810681.86572</v>
      </c>
      <c r="X18" s="9" t="n">
        <v>7329156724.08186</v>
      </c>
      <c r="Y18" s="9" t="n">
        <v>5913537629.67996</v>
      </c>
      <c r="Z18" s="9" t="n">
        <v>3754711555.04099</v>
      </c>
      <c r="AA18" s="9" t="n">
        <v>1043185371.70755</v>
      </c>
      <c r="AB18" s="9" t="n">
        <v>1330288391.66329</v>
      </c>
      <c r="AC18" s="9" t="n">
        <v>959574056.987966</v>
      </c>
      <c r="AD18" s="9" t="n">
        <v>1661889311.77761</v>
      </c>
      <c r="AE18" s="9" t="n">
        <v>1471385376.80983</v>
      </c>
      <c r="AF18" s="9" t="n">
        <v>3988320612.41572</v>
      </c>
      <c r="AG18" s="9" t="n">
        <v>3152437607.35867</v>
      </c>
      <c r="AH18" s="9" t="n">
        <v>3002969305.34952</v>
      </c>
      <c r="AI18" s="9" t="n">
        <v>1083316841.11281</v>
      </c>
      <c r="AJ18" s="9" t="n">
        <v>2776051869.8384</v>
      </c>
      <c r="AK18" s="9" t="n">
        <v>1610038507.32579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AJ19/Sum(AJ$17:AJ$29)</f>
      </c>
      <c r="J19" s="7" t="str">
        <f>AK19/Sum(AK17:AK$29)</f>
      </c>
      <c r="M19" t="s">
        <v>84</v>
      </c>
      <c r="N19" s="9"/>
      <c r="O19" s="9"/>
      <c r="P19" s="9"/>
      <c r="Q19" s="9"/>
      <c r="R19" s="9"/>
      <c r="S19" s="9"/>
      <c r="T19" s="9"/>
      <c r="U19" s="9" t="n">
        <v>0</v>
      </c>
      <c r="V19" s="9" t="n">
        <v>20851160.2445972</v>
      </c>
      <c r="W19" s="9" t="n">
        <v>3322316985.31753</v>
      </c>
      <c r="X19" s="9" t="n">
        <v>7308427909.12373</v>
      </c>
      <c r="Y19" s="9" t="n">
        <v>3599188141.20255</v>
      </c>
      <c r="Z19" s="9" t="n">
        <v>2774404805.23984</v>
      </c>
      <c r="AA19" s="9" t="n">
        <v>1907434426.95857</v>
      </c>
      <c r="AB19" s="9" t="n">
        <v>1362157838.37042</v>
      </c>
      <c r="AC19" s="9" t="n">
        <v>957674971.479896</v>
      </c>
      <c r="AD19" s="9" t="n">
        <v>835258542.917762</v>
      </c>
      <c r="AE19" s="9" t="n">
        <v>1615615768.60656</v>
      </c>
      <c r="AF19" s="9" t="n">
        <v>2074084214.20803</v>
      </c>
      <c r="AG19" s="9" t="n">
        <v>3290440657.31059</v>
      </c>
      <c r="AH19" s="9" t="n">
        <v>2934908191.62051</v>
      </c>
      <c r="AI19" s="9" t="n">
        <v>3560244681.48882</v>
      </c>
      <c r="AJ19" s="9" t="n">
        <v>2636677131.8249</v>
      </c>
      <c r="AK19" s="9" t="n">
        <v>1257803979.18932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AJ20/Sum(AJ$17:AJ$29)</f>
      </c>
      <c r="J20" s="7" t="str">
        <f>AK20/Sum(AK17:AK$29)</f>
      </c>
      <c r="M20" t="s">
        <v>85</v>
      </c>
      <c r="N20" s="9" t="n">
        <v>5185990.96771356</v>
      </c>
      <c r="O20" s="9" t="n">
        <v>2157573.85075963</v>
      </c>
      <c r="P20" s="9" t="n">
        <v>5116805.54159461</v>
      </c>
      <c r="Q20" s="9" t="n">
        <v>5147946.47728745</v>
      </c>
      <c r="R20" s="9" t="n">
        <v>74306678.8193728</v>
      </c>
      <c r="S20" s="9" t="n">
        <v>271627643.431199</v>
      </c>
      <c r="T20" s="9" t="n">
        <v>119161060.408336</v>
      </c>
      <c r="U20" s="9" t="n">
        <v>383260998.295773</v>
      </c>
      <c r="V20" s="9" t="n">
        <v>1114794896.43688</v>
      </c>
      <c r="W20" s="9" t="n">
        <v>681491065.245909</v>
      </c>
      <c r="X20" s="9" t="n">
        <v>1597245585.52405</v>
      </c>
      <c r="Y20" s="9" t="n">
        <v>3425912774.74443</v>
      </c>
      <c r="Z20" s="9" t="n">
        <v>823075320.917116</v>
      </c>
      <c r="AA20" s="9" t="n">
        <v>562749151.54511</v>
      </c>
      <c r="AB20" s="9" t="n">
        <v>413453112.019891</v>
      </c>
      <c r="AC20" s="9" t="n">
        <v>21163986.8026991</v>
      </c>
      <c r="AD20" s="9" t="n">
        <v>492552966.241062</v>
      </c>
      <c r="AE20" s="9" t="n">
        <v>339944166.814173</v>
      </c>
      <c r="AF20" s="9" t="n">
        <v>81309793.4388412</v>
      </c>
      <c r="AG20" s="9" t="n">
        <v>75301028.3065922</v>
      </c>
      <c r="AH20" s="9" t="n">
        <v>7938622.68592766</v>
      </c>
      <c r="AI20" s="9" t="n">
        <v>10533910.27216</v>
      </c>
      <c r="AJ20" s="9" t="n">
        <v>6663294.6572</v>
      </c>
      <c r="AK20" s="9" t="n">
        <v>10965521.8651702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AJ21/Sum(AJ$17:AJ$29)</f>
      </c>
      <c r="J21" s="7" t="str">
        <f>AK21/Sum(AK17:AK$29)</f>
      </c>
      <c r="M21" t="s">
        <v>86</v>
      </c>
      <c r="N21" s="9" t="n">
        <v>189054944.43771</v>
      </c>
      <c r="O21" s="9" t="n">
        <v>259373593.16645</v>
      </c>
      <c r="P21" s="9" t="n">
        <v>172818395.288344</v>
      </c>
      <c r="Q21" s="9" t="n">
        <v>240812920.391187</v>
      </c>
      <c r="R21" s="9" t="n">
        <v>450882164.222627</v>
      </c>
      <c r="S21" s="9" t="n">
        <v>1040648674.54315</v>
      </c>
      <c r="T21" s="9" t="n">
        <v>1261069636.90251</v>
      </c>
      <c r="U21" s="9" t="n">
        <v>1303532518.91982</v>
      </c>
      <c r="V21" s="9" t="n">
        <v>1041506613.96157</v>
      </c>
      <c r="W21" s="9" t="n">
        <v>948059854.044082</v>
      </c>
      <c r="X21" s="9" t="n">
        <v>211365680.951881</v>
      </c>
      <c r="Y21" s="9" t="n">
        <v>26671674.4182801</v>
      </c>
      <c r="Z21" s="9" t="n">
        <v>207893413.149497</v>
      </c>
      <c r="AA21" s="9" t="n">
        <v>123546427.990605</v>
      </c>
      <c r="AB21" s="9" t="n">
        <v>80303226.7255003</v>
      </c>
      <c r="AC21" s="9" t="n">
        <v>106539888.277504</v>
      </c>
      <c r="AD21" s="9" t="n">
        <v>119432027.897304</v>
      </c>
      <c r="AE21" s="9" t="n">
        <v>215807644.562013</v>
      </c>
      <c r="AF21" s="9" t="n">
        <v>277769932.396978</v>
      </c>
      <c r="AG21" s="9" t="n">
        <v>414410117.355751</v>
      </c>
      <c r="AH21" s="9" t="n">
        <v>180061882.257121</v>
      </c>
      <c r="AI21" s="9" t="n">
        <v>144332112.375847</v>
      </c>
      <c r="AJ21" s="9" t="n">
        <v>44742707.8169</v>
      </c>
      <c r="AK21" s="9" t="n">
        <v>80086104.4171024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AJ22/Sum(AJ$17:AJ$29)</f>
      </c>
      <c r="J22" s="7" t="str">
        <f>AK22/Sum(AK17:AK$29)</f>
      </c>
      <c r="M22" t="s">
        <v>87</v>
      </c>
      <c r="N22" s="9" t="n">
        <v>115907403.609544</v>
      </c>
      <c r="O22" s="9" t="n">
        <v>39174882.724986</v>
      </c>
      <c r="P22" s="9" t="n">
        <v>95641177.8750814</v>
      </c>
      <c r="Q22" s="9" t="n">
        <v>151083365.240832</v>
      </c>
      <c r="R22" s="9" t="n">
        <v>165126905.414536</v>
      </c>
      <c r="S22" s="9" t="n">
        <v>209171172.82377</v>
      </c>
      <c r="T22" s="9" t="n">
        <v>334752830.318553</v>
      </c>
      <c r="U22" s="9" t="n">
        <v>657796754.940938</v>
      </c>
      <c r="V22" s="9" t="n">
        <v>1546119802.02674</v>
      </c>
      <c r="W22" s="9" t="n">
        <v>619423588.657339</v>
      </c>
      <c r="X22" s="9" t="n">
        <v>561722466.88649</v>
      </c>
      <c r="Y22" s="9" t="n">
        <v>706111848.242665</v>
      </c>
      <c r="Z22" s="9" t="n">
        <v>411393859.128073</v>
      </c>
      <c r="AA22" s="9" t="n">
        <v>169325341.858738</v>
      </c>
      <c r="AB22" s="9" t="n">
        <v>277162876.095495</v>
      </c>
      <c r="AC22" s="9" t="n">
        <v>205677503.190698</v>
      </c>
      <c r="AD22" s="9" t="n">
        <v>252931310.636734</v>
      </c>
      <c r="AE22" s="9" t="n">
        <v>171592480.208496</v>
      </c>
      <c r="AF22" s="9" t="n">
        <v>166107275.56464</v>
      </c>
      <c r="AG22" s="9" t="n">
        <v>186068841.279867</v>
      </c>
      <c r="AH22" s="9" t="n">
        <v>165091780.565806</v>
      </c>
      <c r="AI22" s="9" t="n">
        <v>192126422.492428</v>
      </c>
      <c r="AJ22" s="9" t="n">
        <v>158814872.9406</v>
      </c>
      <c r="AK22" s="9" t="n">
        <v>133262882.21547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AJ23/Sum(AJ$17:AJ$29)</f>
      </c>
      <c r="J23" s="7" t="str">
        <f>AK23/Sum(AK17:AK$29)</f>
      </c>
      <c r="M23" t="s">
        <v>88</v>
      </c>
      <c r="N23" s="9" t="n">
        <v>2045665556.12693</v>
      </c>
      <c r="O23" s="9" t="n">
        <v>2914461401.47537</v>
      </c>
      <c r="P23" s="9" t="n">
        <v>3292195552.46858</v>
      </c>
      <c r="Q23" s="9" t="n">
        <v>4230983149.2206</v>
      </c>
      <c r="R23" s="9" t="n">
        <v>5164332968.28106</v>
      </c>
      <c r="S23" s="9" t="n">
        <v>8872435232.30143</v>
      </c>
      <c r="T23" s="9" t="n">
        <v>6433707199.39908</v>
      </c>
      <c r="U23" s="9" t="n">
        <v>8092598475.19917</v>
      </c>
      <c r="V23" s="9" t="n">
        <v>8462861541.92379</v>
      </c>
      <c r="W23" s="9" t="n">
        <v>9619963052.37406</v>
      </c>
      <c r="X23" s="9" t="n">
        <v>7234657694.02008</v>
      </c>
      <c r="Y23" s="9" t="n">
        <v>6260012033.12688</v>
      </c>
      <c r="Z23" s="9" t="n">
        <v>4457322777.66292</v>
      </c>
      <c r="AA23" s="9" t="n">
        <v>3784083311.34423</v>
      </c>
      <c r="AB23" s="9" t="n">
        <v>2626378022.37854</v>
      </c>
      <c r="AC23" s="9" t="n">
        <v>3880243855.35821</v>
      </c>
      <c r="AD23" s="9" t="n">
        <v>3460809726.98547</v>
      </c>
      <c r="AE23" s="9" t="n">
        <v>3273794823.53451</v>
      </c>
      <c r="AF23" s="9" t="n">
        <v>5937147157.81637</v>
      </c>
      <c r="AG23" s="9" t="n">
        <v>5150420479.57479</v>
      </c>
      <c r="AH23" s="9" t="n">
        <v>4792774469.85708</v>
      </c>
      <c r="AI23" s="9" t="n">
        <v>4276908238.84082</v>
      </c>
      <c r="AJ23" s="9" t="n">
        <v>3885517427.2394</v>
      </c>
      <c r="AK23" s="9" t="n">
        <v>2711701465.40496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AJ24/Sum(AJ$17:AJ$29)</f>
      </c>
      <c r="J24" s="7" t="str">
        <f>AK24/Sum(AK17:AK$29)</f>
      </c>
      <c r="M24" t="s">
        <v>89</v>
      </c>
      <c r="N24" s="9"/>
      <c r="O24" s="9"/>
      <c r="P24" s="9"/>
      <c r="Q24" s="9" t="n">
        <v>756593.352853824</v>
      </c>
      <c r="R24" s="9" t="n">
        <v>1301044.61954555</v>
      </c>
      <c r="S24" s="9" t="n">
        <v>367202115.165496</v>
      </c>
      <c r="T24" s="9" t="n">
        <v>3837035041.27731</v>
      </c>
      <c r="U24" s="9" t="n">
        <v>3715947153.57757</v>
      </c>
      <c r="V24" s="9" t="n">
        <v>3595069135.20339</v>
      </c>
      <c r="W24" s="9" t="n">
        <v>3554460448.73152</v>
      </c>
      <c r="X24" s="9" t="n">
        <v>1778499149.80308</v>
      </c>
      <c r="Y24" s="9" t="n">
        <v>1148574118.27062</v>
      </c>
      <c r="Z24" s="9" t="n">
        <v>-227634301.838967</v>
      </c>
      <c r="AA24" s="9" t="n">
        <v>-61833447.8758794</v>
      </c>
      <c r="AB24" s="9"/>
      <c r="AC24" s="9" t="n">
        <v>-83961329.6952905</v>
      </c>
      <c r="AD24" s="9" t="n">
        <v>-278817823.119155</v>
      </c>
      <c r="AE24" s="9" t="n">
        <v>-110950514.942204</v>
      </c>
      <c r="AF24" s="9"/>
      <c r="AG24" s="9"/>
      <c r="AH24" s="9"/>
      <c r="AI24" s="9"/>
      <c r="AJ24" s="9"/>
      <c r="AK24" s="9"/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AJ25/Sum(AJ$17:AJ$29)</f>
      </c>
      <c r="J25" s="7" t="str">
        <f>AK25/Sum(AK17:AK$29)</f>
      </c>
      <c r="M25" t="s">
        <v>90</v>
      </c>
      <c r="N25" s="9" t="n">
        <v>1714176102.71193</v>
      </c>
      <c r="O25" s="9" t="n">
        <v>950001000.431112</v>
      </c>
      <c r="P25" s="9" t="n">
        <v>2586830330.46956</v>
      </c>
      <c r="Q25" s="9" t="n">
        <v>7989555115.27599</v>
      </c>
      <c r="R25" s="9" t="n">
        <v>4245401978.69364</v>
      </c>
      <c r="S25" s="9" t="n">
        <v>6681707843.74834</v>
      </c>
      <c r="T25" s="9" t="n">
        <v>6750034694.58882</v>
      </c>
      <c r="U25" s="9" t="n">
        <v>10754095860.9551</v>
      </c>
      <c r="V25" s="9" t="n">
        <v>15720577206.5347</v>
      </c>
      <c r="W25" s="9" t="n">
        <v>10243520065.7412</v>
      </c>
      <c r="X25" s="9" t="n">
        <v>6390374350.25239</v>
      </c>
      <c r="Y25" s="9" t="n">
        <v>3408581307.78372</v>
      </c>
      <c r="Z25" s="9" t="n">
        <v>807306259.504661</v>
      </c>
      <c r="AA25" s="9" t="n">
        <v>1358043134.5093</v>
      </c>
      <c r="AB25" s="9" t="n">
        <v>454491250.821805</v>
      </c>
      <c r="AC25" s="9" t="n">
        <v>2406338108.90424</v>
      </c>
      <c r="AD25" s="9" t="n">
        <v>1592953845.62241</v>
      </c>
      <c r="AE25" s="9" t="n">
        <v>1726081063.8443</v>
      </c>
      <c r="AF25" s="9" t="n">
        <v>1107659308.37728</v>
      </c>
      <c r="AG25" s="9" t="n">
        <v>1364675284.87773</v>
      </c>
      <c r="AH25" s="9" t="n">
        <v>940686441.73549</v>
      </c>
      <c r="AI25" s="9" t="n">
        <v>715728963.838421</v>
      </c>
      <c r="AJ25" s="9" t="n">
        <v>803593516.396</v>
      </c>
      <c r="AK25" s="9" t="n">
        <v>782020221.45741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AJ26/Sum(AJ$17:AJ$29)</f>
      </c>
      <c r="J26" s="7" t="str">
        <f>AK26/Sum(AK17:AK$29)</f>
      </c>
      <c r="M26" t="s">
        <v>91</v>
      </c>
      <c r="N26" s="9" t="n">
        <v>103186335.990708</v>
      </c>
      <c r="O26" s="9" t="n">
        <v>104739024.011865</v>
      </c>
      <c r="P26" s="9" t="n">
        <v>200536507.1466</v>
      </c>
      <c r="Q26" s="9" t="n">
        <v>561814878.474685</v>
      </c>
      <c r="R26" s="9" t="n">
        <v>726375871.895305</v>
      </c>
      <c r="S26" s="9" t="n">
        <v>656173284.504716</v>
      </c>
      <c r="T26" s="9" t="n">
        <v>329191381.407848</v>
      </c>
      <c r="U26" s="9" t="n">
        <v>511041560.273326</v>
      </c>
      <c r="V26" s="9" t="n">
        <v>801077447.622608</v>
      </c>
      <c r="W26" s="9" t="n">
        <v>434898358.324632</v>
      </c>
      <c r="X26" s="9" t="n">
        <v>323694807.153217</v>
      </c>
      <c r="Y26" s="9" t="n">
        <v>282686735.279896</v>
      </c>
      <c r="Z26" s="9" t="n">
        <v>240946209.283349</v>
      </c>
      <c r="AA26" s="9" t="n">
        <v>95733228.855129</v>
      </c>
      <c r="AB26" s="9" t="n">
        <v>195737208.368473</v>
      </c>
      <c r="AC26" s="9" t="n">
        <v>231959871.281596</v>
      </c>
      <c r="AD26" s="9" t="n">
        <v>274001777.421416</v>
      </c>
      <c r="AE26" s="9" t="n">
        <v>517209787.829373</v>
      </c>
      <c r="AF26" s="9" t="n">
        <v>385951358.430764</v>
      </c>
      <c r="AG26" s="9" t="n">
        <v>381456058.231851</v>
      </c>
      <c r="AH26" s="9" t="n">
        <v>368130346.518688</v>
      </c>
      <c r="AI26" s="9" t="n">
        <v>122341914.193486</v>
      </c>
      <c r="AJ26" s="9" t="n">
        <v>182378295.9798</v>
      </c>
      <c r="AK26" s="9" t="n">
        <v>143712354.68251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AJ27/Sum(AJ$17:AJ$29)</f>
      </c>
      <c r="J27" s="7" t="str">
        <f>AK27/Sum(AK17:AK$29)</f>
      </c>
      <c r="M27" t="s">
        <v>92</v>
      </c>
      <c r="N27" s="9" t="n">
        <v>73459297.5868894</v>
      </c>
      <c r="O27" s="9" t="n">
        <v>64291160.5540016</v>
      </c>
      <c r="P27" s="9" t="n">
        <v>106780261.748883</v>
      </c>
      <c r="Q27" s="9" t="n">
        <v>148806886.698438</v>
      </c>
      <c r="R27" s="9" t="n">
        <v>368518469.844889</v>
      </c>
      <c r="S27" s="9" t="n">
        <v>390410059.19081</v>
      </c>
      <c r="T27" s="9" t="n">
        <v>249659194.826901</v>
      </c>
      <c r="U27" s="9" t="n">
        <v>213082552.460282</v>
      </c>
      <c r="V27" s="9" t="n">
        <v>345565631.781739</v>
      </c>
      <c r="W27" s="9" t="n">
        <v>268101104.0345</v>
      </c>
      <c r="X27" s="9" t="n">
        <v>219407078.568338</v>
      </c>
      <c r="Y27" s="9" t="n">
        <v>150957415.752692</v>
      </c>
      <c r="Z27" s="9" t="n">
        <v>224605921.926125</v>
      </c>
      <c r="AA27" s="9" t="n">
        <v>87589475.3873315</v>
      </c>
      <c r="AB27" s="9" t="n">
        <v>175196446.729517</v>
      </c>
      <c r="AC27" s="9" t="n">
        <v>140681714.295178</v>
      </c>
      <c r="AD27" s="9" t="n">
        <v>193144402.577564</v>
      </c>
      <c r="AE27" s="9" t="n">
        <v>260691876.712901</v>
      </c>
      <c r="AF27" s="9" t="n">
        <v>283072271.265132</v>
      </c>
      <c r="AG27" s="9" t="n">
        <v>282577984.686793</v>
      </c>
      <c r="AH27" s="9" t="n">
        <v>468664083.29535</v>
      </c>
      <c r="AI27" s="9" t="n">
        <v>187681668.884433</v>
      </c>
      <c r="AJ27" s="9" t="n">
        <v>190857487.3453</v>
      </c>
      <c r="AK27" s="9" t="n">
        <v>142653795.493432</v>
      </c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AJ28/Sum(AJ$17:AJ$29)</f>
      </c>
      <c r="J28" s="7" t="str">
        <f>AK28/Sum(AK17:AK$29)</f>
      </c>
      <c r="M28" t="s">
        <v>93</v>
      </c>
      <c r="N28" s="9" t="n">
        <v>61071459.7492481</v>
      </c>
      <c r="O28" s="9" t="n">
        <v>52618641.393144</v>
      </c>
      <c r="P28" s="9" t="n">
        <v>91904144.1711864</v>
      </c>
      <c r="Q28" s="9" t="n">
        <v>514895339.91829</v>
      </c>
      <c r="R28" s="9" t="n">
        <v>220197464.368362</v>
      </c>
      <c r="S28" s="9" t="n">
        <v>238236230.569748</v>
      </c>
      <c r="T28" s="9" t="n">
        <v>203999738.353057</v>
      </c>
      <c r="U28" s="9" t="n">
        <v>214607523.17278</v>
      </c>
      <c r="V28" s="9" t="n">
        <v>263055105.556314</v>
      </c>
      <c r="W28" s="9" t="n">
        <v>185996474.359047</v>
      </c>
      <c r="X28" s="9" t="n">
        <v>190830133.243503</v>
      </c>
      <c r="Y28" s="9" t="n">
        <v>184499787.634059</v>
      </c>
      <c r="Z28" s="9" t="n">
        <v>172414679.228409</v>
      </c>
      <c r="AA28" s="9" t="n">
        <v>124653720.746044</v>
      </c>
      <c r="AB28" s="9" t="n">
        <v>152424231.694337</v>
      </c>
      <c r="AC28" s="9" t="n">
        <v>167724592.925487</v>
      </c>
      <c r="AD28" s="9" t="n">
        <v>142420831.891154</v>
      </c>
      <c r="AE28" s="9" t="n">
        <v>164661682.681429</v>
      </c>
      <c r="AF28" s="9" t="n">
        <v>188418001.819223</v>
      </c>
      <c r="AG28" s="9" t="n">
        <v>159678860.145456</v>
      </c>
      <c r="AH28" s="9" t="n">
        <v>120542892.778815</v>
      </c>
      <c r="AI28" s="9" t="n">
        <v>65836024.8283704</v>
      </c>
      <c r="AJ28" s="9" t="n">
        <v>71071005.0701</v>
      </c>
      <c r="AK28" s="9" t="n">
        <v>54266419.256295</v>
      </c>
      <c r="AL28" s="9"/>
      <c r="AM28" s="9"/>
    </row>
    <row r="29">
      <c r="A29" t="str">
        <f>M29</f>
      </c>
      <c r="B29" s="9" t="str">
        <f>AC29</f>
      </c>
      <c r="C29" s="9" t="str">
        <f>AI29</f>
      </c>
      <c r="D29" s="9" t="str">
        <f>AJ29</f>
      </c>
      <c r="E29" s="9" t="str">
        <f>AK29</f>
      </c>
      <c r="F29" s="7" t="str">
        <f>AJ29/AI29-1</f>
      </c>
      <c r="G29" s="7" t="str">
        <f>AJ29/AC29-1</f>
      </c>
      <c r="H29" s="7" t="str">
        <f>AK29/AJ29</f>
      </c>
      <c r="I29" s="7" t="str">
        <f>AJ29/Sum(AJ$17:AJ$29)</f>
      </c>
      <c r="J29" s="7" t="str">
        <f>AK29/Sum(AK17:AK$29)</f>
      </c>
      <c r="M29"/>
      <c r="N29" s="9"/>
      <c r="O29" s="9" t="n">
        <v>0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A30" t="str">
        <f>M30</f>
      </c>
      <c r="B30" s="9" t="str">
        <f>AC30</f>
      </c>
      <c r="C30" s="9" t="str">
        <f>AI30</f>
      </c>
      <c r="D30" s="9" t="str">
        <f>AJ30</f>
      </c>
      <c r="E30" s="9" t="str">
        <f>AK30</f>
      </c>
      <c r="F30" s="7" t="str">
        <f>AJ30/AI30-1</f>
      </c>
      <c r="G30" s="7" t="str">
        <f>AJ30/AC30-1</f>
      </c>
      <c r="H30" s="7" t="str">
        <f>AK30/AJ30</f>
      </c>
      <c r="I30" s="7" t="str">
        <f>Sum(I$17:I$29)</f>
      </c>
      <c r="J30" s="7" t="str">
        <f>Sum(J$17:J$29)</f>
      </c>
      <c r="M30" t="s">
        <v>208</v>
      </c>
      <c r="N30" s="9" t="str">
        <f>Sum(N18:N29)</f>
      </c>
      <c r="O30" s="9" t="str">
        <f>Sum(O18:O29)</f>
      </c>
      <c r="P30" s="9" t="str">
        <f>Sum(P18:P29)</f>
      </c>
      <c r="Q30" s="9" t="str">
        <f>Sum(Q18:Q29)</f>
      </c>
      <c r="R30" s="9" t="str">
        <f>Sum(R18:R29)</f>
      </c>
      <c r="S30" s="9" t="str">
        <f>Sum(S18:S29)</f>
      </c>
      <c r="T30" s="9" t="str">
        <f>Sum(T18:T29)</f>
      </c>
      <c r="U30" s="9" t="str">
        <f>Sum(U18:U29)</f>
      </c>
      <c r="V30" s="9" t="str">
        <f>Sum(V18:V29)</f>
      </c>
      <c r="W30" s="9" t="str">
        <f>Sum(W18:W29)</f>
      </c>
      <c r="X30" s="9" t="str">
        <f>Sum(X18:X29)</f>
      </c>
      <c r="Y30" s="9" t="str">
        <f>Sum(Y18:Y29)</f>
      </c>
      <c r="Z30" s="9" t="str">
        <f>Sum(Z18:Z29)</f>
      </c>
      <c r="AA30" s="9" t="str">
        <f>Sum(AA18:AA29)</f>
      </c>
      <c r="AB30" s="9" t="str">
        <f>Sum(AB18:AB29)</f>
      </c>
      <c r="AC30" s="9" t="str">
        <f>Sum(AC18:AC29)</f>
      </c>
      <c r="AD30" s="9" t="str">
        <f>Sum(AD18:AD29)</f>
      </c>
      <c r="AE30" s="9" t="str">
        <f>Sum(AE18:AE29)</f>
      </c>
      <c r="AF30" s="9" t="str">
        <f>Sum(AF18:AF29)</f>
      </c>
      <c r="AG30" s="9" t="str">
        <f>Sum(AG18:AG29)</f>
      </c>
      <c r="AH30" s="9" t="str">
        <f>Sum(AH18:AH29)</f>
      </c>
      <c r="AI30" s="9" t="str">
        <f>Sum(AI18:AI29)</f>
      </c>
      <c r="AJ30" s="9" t="str">
        <f>Sum(AJ18:AJ29)</f>
      </c>
      <c r="AK30" s="9" t="str">
        <f>Sum(AK18:AK29)</f>
      </c>
      <c r="AL30" s="9"/>
      <c r="AM3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96</v>
      </c>
      <c r="N2" t="n">
        <v>688</v>
      </c>
      <c r="O2" s="10"/>
      <c r="P2" s="10"/>
      <c r="Q2" s="10"/>
      <c r="R2" s="10"/>
      <c r="S2" s="10"/>
      <c r="T2" s="10"/>
      <c r="U2" s="10"/>
      <c r="V2" s="10" t="n">
        <v>53596.7427409425</v>
      </c>
      <c r="W2" s="10" t="n">
        <v>696409.041600171</v>
      </c>
      <c r="X2" s="10" t="n">
        <v>241621.775155283</v>
      </c>
      <c r="Y2" s="10" t="n">
        <v>194524.559415822</v>
      </c>
      <c r="Z2" s="10"/>
      <c r="AA2" s="10" t="n">
        <v>10238.7386480464</v>
      </c>
      <c r="AB2" s="10" t="n">
        <v>299720.683846918</v>
      </c>
      <c r="AC2" s="10" t="n">
        <v>-303.299614706367</v>
      </c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97</v>
      </c>
      <c r="N3" t="n">
        <v>2043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58816554.2804793</v>
      </c>
      <c r="AH3" s="10" t="n">
        <v>47560126.8991145</v>
      </c>
      <c r="AI3" s="10" t="n">
        <v>69604401.665643</v>
      </c>
      <c r="AJ3" s="10" t="n">
        <v>73268231.987581</v>
      </c>
      <c r="AK3" s="10" t="n">
        <v>50698141.6306</v>
      </c>
      <c r="AL3" s="10" t="n">
        <v>18633911.4287507</v>
      </c>
      <c r="AM3" s="10"/>
    </row>
    <row r="4">
      <c r="M4" t="s">
        <v>98</v>
      </c>
      <c r="N4" t="n">
        <v>2044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693096.784340214</v>
      </c>
      <c r="AF4" s="10" t="n">
        <v>98972489.2702439</v>
      </c>
      <c r="AG4" s="10" t="n">
        <v>808844846.565229</v>
      </c>
      <c r="AH4" s="10" t="n">
        <v>93472032.2254467</v>
      </c>
      <c r="AI4" s="10" t="n">
        <v>708695420.824229</v>
      </c>
      <c r="AJ4" s="10" t="n">
        <v>105854215.705693</v>
      </c>
      <c r="AK4" s="10" t="n">
        <v>384386352.9914</v>
      </c>
      <c r="AL4" s="10" t="n">
        <v>166992536.498018</v>
      </c>
      <c r="AM4" s="10"/>
    </row>
    <row r="5">
      <c r="M5" t="s">
        <v>99</v>
      </c>
      <c r="N5" t="n">
        <v>2045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17272.0449658883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100</v>
      </c>
      <c r="N6" t="n">
        <v>2248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 t="n">
        <v>46420.3035044038</v>
      </c>
      <c r="AI6" s="10"/>
      <c r="AJ6" s="10"/>
      <c r="AK6" s="10"/>
      <c r="AL6" s="10"/>
      <c r="AM6" s="10"/>
    </row>
    <row r="7">
      <c r="M7" t="s">
        <v>101</v>
      </c>
      <c r="N7" t="n">
        <v>563</v>
      </c>
      <c r="O7" s="10"/>
      <c r="P7" s="10" t="n">
        <v>243830.641498999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72</v>
      </c>
      <c r="N8" t="n">
        <v>250</v>
      </c>
      <c r="O8" s="10" t="n">
        <v>503073275.280476</v>
      </c>
      <c r="P8" s="10" t="n">
        <v>433377186.98749</v>
      </c>
      <c r="Q8" s="10" t="n">
        <v>493537940.641226</v>
      </c>
      <c r="R8" s="10" t="n">
        <v>592347033.66399</v>
      </c>
      <c r="S8" s="10" t="n">
        <v>482257.160632521</v>
      </c>
      <c r="T8" s="10"/>
      <c r="U8" s="10"/>
      <c r="V8" s="10"/>
      <c r="W8" s="10" t="n">
        <v>-3171808.42642219</v>
      </c>
      <c r="X8" s="10" t="n">
        <v>12790689.5495953</v>
      </c>
      <c r="Y8" s="10" t="n">
        <v>48175.19940468</v>
      </c>
      <c r="Z8" s="10" t="n">
        <v>-46814.4645265135</v>
      </c>
      <c r="AA8" s="10" t="n">
        <v>0</v>
      </c>
      <c r="AB8" s="10" t="n">
        <v>0</v>
      </c>
      <c r="AC8" s="10" t="n">
        <v>-2557282.84551331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73</v>
      </c>
      <c r="N9" t="n">
        <v>1839</v>
      </c>
      <c r="O9" s="10" t="n">
        <v>8552382.29943818</v>
      </c>
      <c r="P9" s="10" t="n">
        <v>2262633.82827036</v>
      </c>
      <c r="Q9" s="10"/>
      <c r="R9" s="10"/>
      <c r="S9" s="10" t="n">
        <v>84100777.4682581</v>
      </c>
      <c r="T9" s="10" t="n">
        <v>563101943.28873</v>
      </c>
      <c r="U9" s="10" t="n">
        <v>1157140498.38961</v>
      </c>
      <c r="V9" s="10" t="n">
        <v>3205664934.64249</v>
      </c>
      <c r="W9" s="10" t="n">
        <v>1761448580.39439</v>
      </c>
      <c r="X9" s="10" t="n">
        <v>450027419.458894</v>
      </c>
      <c r="Y9" s="10" t="n">
        <v>317812061.05773</v>
      </c>
      <c r="Z9" s="10" t="n">
        <v>115621510.679978</v>
      </c>
      <c r="AA9" s="10" t="n">
        <v>51635315.620802</v>
      </c>
      <c r="AB9" s="10" t="n">
        <v>122917868.071782</v>
      </c>
      <c r="AC9" s="10" t="n">
        <v>83287480.0201076</v>
      </c>
      <c r="AD9" s="10" t="n">
        <v>-1427179.1486634</v>
      </c>
      <c r="AE9" s="10" t="n">
        <v>-7916965.70299184</v>
      </c>
      <c r="AF9" s="10" t="n">
        <v>13840494.9259607</v>
      </c>
      <c r="AG9" s="10" t="n">
        <v>-1885984.40677142</v>
      </c>
      <c r="AH9" s="10" t="n">
        <v>-2085481.74600467</v>
      </c>
      <c r="AI9" s="10" t="n">
        <v>-1894797.98455058</v>
      </c>
      <c r="AJ9" s="10" t="n">
        <v>-71968.0632537847</v>
      </c>
      <c r="AK9" s="10" t="n">
        <v>-1572797.3726</v>
      </c>
      <c r="AL9" s="10"/>
      <c r="AM9" s="10"/>
    </row>
    <row r="10">
      <c r="M10" t="s">
        <v>102</v>
      </c>
      <c r="N10" t="n">
        <v>2190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5829902.6956115</v>
      </c>
      <c r="AI10" s="10" t="n">
        <v>-5093580.03753483</v>
      </c>
      <c r="AJ10" s="10" t="n">
        <v>0</v>
      </c>
      <c r="AK10" s="10" t="n">
        <v>-270086</v>
      </c>
      <c r="AL10" s="10"/>
      <c r="AM10" s="10"/>
    </row>
    <row r="11">
      <c r="M11" t="s">
        <v>103</v>
      </c>
      <c r="N11" t="n">
        <v>325</v>
      </c>
      <c r="O11" s="10"/>
      <c r="P11" s="10" t="n">
        <v>347627.059820747</v>
      </c>
      <c r="Q11" s="10" t="n">
        <v>699030.30188412</v>
      </c>
      <c r="R11" s="10" t="n">
        <v>209756.346905527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1757</v>
      </c>
      <c r="O12" s="10"/>
      <c r="P12" s="10"/>
      <c r="Q12" s="10" t="n">
        <v>267619.497347602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487</v>
      </c>
      <c r="O13" s="10" t="n">
        <v>484898.360966276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1563</v>
      </c>
      <c r="O14" s="10" t="n">
        <v>3230506.81880898</v>
      </c>
      <c r="P14" s="10" t="n">
        <v>7325300.622027</v>
      </c>
      <c r="Q14" s="10" t="n">
        <v>3274044.89195937</v>
      </c>
      <c r="R14" s="10" t="n">
        <v>2444120.8787076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74</v>
      </c>
      <c r="N15" t="n">
        <v>2146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81689182.5844474</v>
      </c>
      <c r="AE15" s="10" t="n">
        <v>198686158.724161</v>
      </c>
      <c r="AF15" s="10" t="n">
        <v>181579788.230432</v>
      </c>
      <c r="AG15" s="10" t="n">
        <v>464505756.508437</v>
      </c>
      <c r="AH15" s="10" t="n">
        <v>698378026.066289</v>
      </c>
      <c r="AI15" s="10" t="n">
        <v>569379856.924422</v>
      </c>
      <c r="AJ15" s="10" t="n">
        <v>84762189.8420125</v>
      </c>
      <c r="AK15" s="10" t="n">
        <v>57752439.6981</v>
      </c>
      <c r="AL15" s="10" t="n">
        <v>277295352.991762</v>
      </c>
      <c r="AM15" s="10"/>
    </row>
    <row r="16">
      <c r="M16" t="s">
        <v>107</v>
      </c>
      <c r="N16" t="n">
        <v>186</v>
      </c>
      <c r="O16" s="10" t="n">
        <v>462030.933571893</v>
      </c>
      <c r="P16" s="10" t="n">
        <v>252899.557575713</v>
      </c>
      <c r="Q16" s="10" t="n">
        <v>1563456.12467031</v>
      </c>
      <c r="R16" s="10" t="n">
        <v>6199999.89272178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108</v>
      </c>
      <c r="N17" t="n">
        <v>1851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 t="n">
        <v>244678.655692531</v>
      </c>
      <c r="AA17" s="10" t="n">
        <v>-1890.4611596393</v>
      </c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109</v>
      </c>
      <c r="N18" t="n">
        <v>576</v>
      </c>
      <c r="O18" s="10"/>
      <c r="P18" s="10"/>
      <c r="Q18" s="10" t="n">
        <v>2980419.42864812</v>
      </c>
      <c r="R18" s="10" t="n">
        <v>313455.06948648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75</v>
      </c>
      <c r="N19" t="n">
        <v>27</v>
      </c>
      <c r="O19" s="10"/>
      <c r="P19" s="10"/>
      <c r="Q19" s="10"/>
      <c r="R19" s="10"/>
      <c r="S19" s="10"/>
      <c r="T19" s="10"/>
      <c r="U19" s="10" t="n">
        <v>11687010.0520648</v>
      </c>
      <c r="V19" s="10" t="n">
        <v>1352091516.43583</v>
      </c>
      <c r="W19" s="10" t="n">
        <v>4056788025.55878</v>
      </c>
      <c r="X19" s="10" t="n">
        <v>1407581861.34247</v>
      </c>
      <c r="Y19" s="10" t="n">
        <v>641033365.403097</v>
      </c>
      <c r="Z19" s="10" t="n">
        <v>1006190981.38225</v>
      </c>
      <c r="AA19" s="10" t="n">
        <v>894417087.544833</v>
      </c>
      <c r="AB19" s="10" t="n">
        <v>382596035.447825</v>
      </c>
      <c r="AC19" s="10" t="n">
        <v>171930728.069512</v>
      </c>
      <c r="AD19" s="10" t="n">
        <v>89110277.5529587</v>
      </c>
      <c r="AE19" s="10" t="n">
        <v>-13157515.7200991</v>
      </c>
      <c r="AF19" s="10" t="n">
        <v>-16380317.3988107</v>
      </c>
      <c r="AG19" s="10" t="n">
        <v>-3979294.02392756</v>
      </c>
      <c r="AH19" s="10" t="n">
        <v>-24376360.7880837</v>
      </c>
      <c r="AI19" s="10" t="n">
        <v>-4693646.275897</v>
      </c>
      <c r="AJ19" s="10" t="n">
        <v>-476227.079050516</v>
      </c>
      <c r="AK19" s="10" t="n">
        <v>3791824.7343</v>
      </c>
      <c r="AL19" s="10" t="n">
        <v>-381193.443350727</v>
      </c>
      <c r="AM19" s="10"/>
    </row>
    <row r="20">
      <c r="M20" t="s">
        <v>110</v>
      </c>
      <c r="N20" t="n">
        <v>1849</v>
      </c>
      <c r="O20" s="10"/>
      <c r="P20" s="10"/>
      <c r="Q20" s="10"/>
      <c r="R20" s="10"/>
      <c r="S20" s="10" t="n">
        <v>78759875.0963608</v>
      </c>
      <c r="T20" s="10" t="n">
        <v>326800470.965785</v>
      </c>
      <c r="U20" s="10" t="n">
        <v>152283407.513122</v>
      </c>
      <c r="V20" s="10" t="n">
        <v>44354475.8028621</v>
      </c>
      <c r="W20" s="10" t="n">
        <v>21656407.7018393</v>
      </c>
      <c r="X20" s="10" t="n">
        <v>12712358.4033571</v>
      </c>
      <c r="Y20" s="10" t="n">
        <v>70929622.7272603</v>
      </c>
      <c r="Z20" s="10" t="n">
        <v>3127360.98959518</v>
      </c>
      <c r="AA20" s="10" t="n">
        <v>73646293.1756483</v>
      </c>
      <c r="AB20" s="10" t="n">
        <v>69513189.3087807</v>
      </c>
      <c r="AC20" s="10" t="n">
        <v>142292911.88303</v>
      </c>
      <c r="AD20" s="10" t="n">
        <v>70854457.5640872</v>
      </c>
      <c r="AE20" s="10" t="n">
        <v>60023611.0578836</v>
      </c>
      <c r="AF20" s="10" t="n">
        <v>44616847.8653472</v>
      </c>
      <c r="AG20" s="10" t="n">
        <v>26534055.0684468</v>
      </c>
      <c r="AH20" s="10" t="n">
        <v>-31713.875437008</v>
      </c>
      <c r="AI20" s="10" t="n">
        <v>-3852432.3478984</v>
      </c>
      <c r="AJ20" s="10" t="n">
        <v>0</v>
      </c>
      <c r="AK20" s="10" t="n">
        <v>0</v>
      </c>
      <c r="AL20" s="10" t="n">
        <v>0</v>
      </c>
      <c r="AM20" s="10"/>
    </row>
    <row r="21">
      <c r="M21" t="s">
        <v>111</v>
      </c>
      <c r="N21" t="n">
        <v>1928</v>
      </c>
      <c r="O21" s="10"/>
      <c r="P21" s="10"/>
      <c r="Q21" s="10" t="n">
        <v>4083845.14130884</v>
      </c>
      <c r="R21" s="10" t="n">
        <v>1795070.89255563</v>
      </c>
      <c r="S21" s="10" t="n">
        <v>-61313.8979284247</v>
      </c>
      <c r="T21" s="10"/>
      <c r="U21" s="10"/>
      <c r="V21" s="10"/>
      <c r="W21" s="10" t="n">
        <v>0</v>
      </c>
      <c r="X21" s="10" t="n">
        <v>-789114.757269569</v>
      </c>
      <c r="Y21" s="10" t="n">
        <v>-851.86555960722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112</v>
      </c>
      <c r="N22" t="n">
        <v>206</v>
      </c>
      <c r="O22" s="10" t="n">
        <v>124067680.540504</v>
      </c>
      <c r="P22" s="10" t="n">
        <v>69314877.1326402</v>
      </c>
      <c r="Q22" s="10" t="n">
        <v>123138933.695793</v>
      </c>
      <c r="R22" s="10" t="n">
        <v>165532923.325734</v>
      </c>
      <c r="S22" s="10" t="n">
        <v>-371.869832171426</v>
      </c>
      <c r="T22" s="10"/>
      <c r="U22" s="10" t="n">
        <v>-187895.704877516</v>
      </c>
      <c r="V22" s="10"/>
      <c r="W22" s="10" t="n">
        <v>0</v>
      </c>
      <c r="X22" s="10" t="n">
        <v>-79800.4276191144</v>
      </c>
      <c r="Y22" s="10" t="n">
        <v>1353831.51228231</v>
      </c>
      <c r="Z22" s="10"/>
      <c r="AA22" s="10"/>
      <c r="AB22" s="10"/>
      <c r="AC22" s="10"/>
      <c r="AD22" s="10" t="n">
        <v>47479.5088296757</v>
      </c>
      <c r="AE22" s="10" t="n">
        <v>0</v>
      </c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113</v>
      </c>
      <c r="N23" t="n">
        <v>1972</v>
      </c>
      <c r="O23" s="10"/>
      <c r="P23" s="10"/>
      <c r="Q23" s="10"/>
      <c r="R23" s="10"/>
      <c r="S23" s="10"/>
      <c r="T23" s="10"/>
      <c r="U23" s="10" t="n">
        <v>16488.2034999158</v>
      </c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114</v>
      </c>
      <c r="N24" t="n">
        <v>587</v>
      </c>
      <c r="O24" s="10" t="n">
        <v>702357.852634659</v>
      </c>
      <c r="P24" s="10" t="n">
        <v>1006067.59545071</v>
      </c>
      <c r="Q24" s="10" t="n">
        <v>1333803.53618925</v>
      </c>
      <c r="R24" s="10" t="n">
        <v>2844451.49554919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115</v>
      </c>
      <c r="N25" t="n">
        <v>260</v>
      </c>
      <c r="O25" s="10"/>
      <c r="P25" s="10" t="n">
        <v>228729.452839687</v>
      </c>
      <c r="Q25" s="10" t="n">
        <v>667921.290168861</v>
      </c>
      <c r="R25" s="10" t="n">
        <v>380801.104731592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116</v>
      </c>
      <c r="N26" t="n">
        <v>256</v>
      </c>
      <c r="O26" s="10"/>
      <c r="P26" s="10"/>
      <c r="Q26" s="10" t="n">
        <v>440654.057218688</v>
      </c>
      <c r="R26" s="10" t="n">
        <v>1239133.52406669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117</v>
      </c>
      <c r="N27" t="n">
        <v>891</v>
      </c>
      <c r="O27" s="10"/>
      <c r="P27" s="10"/>
      <c r="Q27" s="10" t="n">
        <v>64137.4892092751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118</v>
      </c>
      <c r="N28" t="n">
        <v>1929</v>
      </c>
      <c r="O28" s="10" t="n">
        <v>53778340.2888088</v>
      </c>
      <c r="P28" s="10" t="n">
        <v>119274021.421206</v>
      </c>
      <c r="Q28" s="10" t="n">
        <v>117512046.165786</v>
      </c>
      <c r="R28" s="10" t="n">
        <v>149618135.560878</v>
      </c>
      <c r="S28" s="10" t="n">
        <v>3053092.97154861</v>
      </c>
      <c r="T28" s="10" t="n">
        <v>2664.26476016356</v>
      </c>
      <c r="U28" s="10"/>
      <c r="V28" s="10"/>
      <c r="W28" s="10" t="n">
        <v>0</v>
      </c>
      <c r="X28" s="10" t="n">
        <v>-15637.9908405963</v>
      </c>
      <c r="Y28" s="10"/>
      <c r="Z28" s="10"/>
      <c r="AA28" s="10" t="n">
        <v>-1517.16686071052</v>
      </c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119</v>
      </c>
      <c r="N29" t="n">
        <v>1344</v>
      </c>
      <c r="O29" s="10"/>
      <c r="P29" s="10"/>
      <c r="Q29" s="10"/>
      <c r="R29" s="10"/>
      <c r="S29" s="10"/>
      <c r="T29" s="10" t="n">
        <v>88280.9289345769</v>
      </c>
      <c r="U29" s="10" t="n">
        <v>45923.1350935501</v>
      </c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120</v>
      </c>
      <c r="N30" t="n">
        <v>219</v>
      </c>
      <c r="O30" s="10" t="n">
        <v>62708.0989615913</v>
      </c>
      <c r="P30" s="10" t="n">
        <v>65042.5374282637</v>
      </c>
      <c r="Q30" s="10" t="n">
        <v>18340.5265753399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121</v>
      </c>
      <c r="N31" t="n">
        <v>221</v>
      </c>
      <c r="O31" s="10"/>
      <c r="P31" s="10"/>
      <c r="Q31" s="10" t="n">
        <v>39543.1691945707</v>
      </c>
      <c r="R31" s="10" t="n">
        <v>374445.175033496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122</v>
      </c>
      <c r="N32" t="n">
        <v>220</v>
      </c>
      <c r="O32" s="10"/>
      <c r="P32" s="10"/>
      <c r="Q32" s="10"/>
      <c r="R32" s="10" t="n">
        <v>216659.334566131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123</v>
      </c>
      <c r="N33" t="n">
        <v>253</v>
      </c>
      <c r="O33" s="10" t="n">
        <v>41104.1724661277</v>
      </c>
      <c r="P33" s="10" t="n">
        <v>156659.254753611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124</v>
      </c>
      <c r="N34" t="n">
        <v>1833</v>
      </c>
      <c r="O34" s="10"/>
      <c r="P34" s="10"/>
      <c r="Q34" s="10"/>
      <c r="R34" s="10"/>
      <c r="S34" s="10"/>
      <c r="T34" s="10"/>
      <c r="U34" s="10"/>
      <c r="V34" s="10" t="n">
        <v>175555.995918943</v>
      </c>
      <c r="W34" s="10"/>
      <c r="X34" s="10"/>
      <c r="Y34" s="10"/>
      <c r="Z34" s="10" t="n">
        <v>11591.9724221097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125</v>
      </c>
      <c r="N35" t="n">
        <v>2073</v>
      </c>
      <c r="O35" s="10"/>
      <c r="P35" s="10" t="n">
        <v>2303453.88383138</v>
      </c>
      <c r="Q35" s="10" t="n">
        <v>5916259.41988119</v>
      </c>
      <c r="R35" s="10" t="n">
        <v>1377234.42091382</v>
      </c>
      <c r="S35" s="10" t="n">
        <v>4110018.43358758</v>
      </c>
      <c r="T35" s="10" t="n">
        <v>2086128.69096366</v>
      </c>
      <c r="U35" s="10" t="n">
        <v>3308881.70364121</v>
      </c>
      <c r="V35" s="10" t="n">
        <v>105331.367117962</v>
      </c>
      <c r="W35" s="10" t="n">
        <v>-189577.191538148</v>
      </c>
      <c r="X35" s="10" t="n">
        <v>-189425.378664866</v>
      </c>
      <c r="Y35" s="10" t="n">
        <v>-25032.1529339864</v>
      </c>
      <c r="Z35" s="10" t="n">
        <v>-598241.1165833</v>
      </c>
      <c r="AA35" s="10"/>
      <c r="AB35" s="10" t="n">
        <v>-352505.499160778</v>
      </c>
      <c r="AC35" s="10"/>
      <c r="AD35" s="10" t="n">
        <v>-78667.0524553829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126</v>
      </c>
      <c r="N36" t="n">
        <v>1926</v>
      </c>
      <c r="O36" s="10"/>
      <c r="P36" s="10"/>
      <c r="Q36" s="10" t="n">
        <v>70038759.4028646</v>
      </c>
      <c r="R36" s="10" t="n">
        <v>66299560.6018254</v>
      </c>
      <c r="S36" s="10" t="n">
        <v>58090983.9043581</v>
      </c>
      <c r="T36" s="10" t="n">
        <v>43386185.2000842</v>
      </c>
      <c r="U36" s="10" t="n">
        <v>60096094.5027263</v>
      </c>
      <c r="V36" s="10" t="n">
        <v>27047135.9213738</v>
      </c>
      <c r="W36" s="10" t="n">
        <v>13960717.2329217</v>
      </c>
      <c r="X36" s="10" t="n">
        <v>-6379723.53325408</v>
      </c>
      <c r="Y36" s="10"/>
      <c r="Z36" s="10"/>
      <c r="AA36" s="10" t="n">
        <v>-486318.8745108</v>
      </c>
      <c r="AB36" s="10" t="n">
        <v>-7982883.72005318</v>
      </c>
      <c r="AC36" s="10" t="n">
        <v>0</v>
      </c>
      <c r="AD36" s="10"/>
      <c r="AE36" s="10"/>
      <c r="AF36" s="10"/>
      <c r="AG36" s="10" t="n">
        <v>76819.8121973754</v>
      </c>
      <c r="AH36" s="10"/>
      <c r="AI36" s="10"/>
      <c r="AJ36" s="10"/>
      <c r="AK36" s="10"/>
      <c r="AL36" s="10"/>
      <c r="AM36" s="10"/>
    </row>
    <row r="37">
      <c r="M37" t="s">
        <v>127</v>
      </c>
      <c r="N37" t="n">
        <v>1930</v>
      </c>
      <c r="O37" s="10" t="n">
        <v>691720026.555493</v>
      </c>
      <c r="P37" s="10" t="n">
        <v>8756454.1372941</v>
      </c>
      <c r="Q37" s="10" t="n">
        <v>9455198.35413823</v>
      </c>
      <c r="R37" s="10" t="n">
        <v>16309085.5057264</v>
      </c>
      <c r="S37" s="10" t="n">
        <v>100425716.58387</v>
      </c>
      <c r="T37" s="10" t="n">
        <v>43255567.6532376</v>
      </c>
      <c r="U37" s="10" t="n">
        <v>38045838.1984055</v>
      </c>
      <c r="V37" s="10" t="n">
        <v>5063305.48660054</v>
      </c>
      <c r="W37" s="10" t="n">
        <v>6882711.01218766</v>
      </c>
      <c r="X37" s="10" t="n">
        <v>-28163.2812049509</v>
      </c>
      <c r="Y37" s="10" t="n">
        <v>-2748.12855179819</v>
      </c>
      <c r="Z37" s="10" t="n">
        <v>-294593.721870651</v>
      </c>
      <c r="AA37" s="10" t="n">
        <v>-369326.815344292</v>
      </c>
      <c r="AB37" s="10" t="n">
        <v>-1036112.09513204</v>
      </c>
      <c r="AC37" s="10" t="n">
        <v>-21733094.1189052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128</v>
      </c>
      <c r="N38" t="n">
        <v>1931</v>
      </c>
      <c r="O38" s="10" t="n">
        <v>70799791.3833989</v>
      </c>
      <c r="P38" s="10" t="n">
        <v>165333162.667133</v>
      </c>
      <c r="Q38" s="10" t="n">
        <v>149359909.52713</v>
      </c>
      <c r="R38" s="10" t="n">
        <v>178108809.103396</v>
      </c>
      <c r="S38" s="10" t="n">
        <v>61779654.4808641</v>
      </c>
      <c r="T38" s="10" t="n">
        <v>1684040.53855752</v>
      </c>
      <c r="U38" s="10" t="n">
        <v>3633429.33276289</v>
      </c>
      <c r="V38" s="10" t="n">
        <v>9257561.46371953</v>
      </c>
      <c r="W38" s="10" t="n">
        <v>900812.068009329</v>
      </c>
      <c r="X38" s="10" t="n">
        <v>-312084.516229797</v>
      </c>
      <c r="Y38" s="10" t="n">
        <v>-608462.495080917</v>
      </c>
      <c r="Z38" s="10" t="n">
        <v>-4084556.78515258</v>
      </c>
      <c r="AA38" s="10" t="n">
        <v>-557649.12886235</v>
      </c>
      <c r="AB38" s="10" t="n">
        <v>-276824.03016565</v>
      </c>
      <c r="AC38" s="10" t="n">
        <v>-44393.0911016806</v>
      </c>
      <c r="AD38" s="10" t="n">
        <v>-25274.5787365025</v>
      </c>
      <c r="AE38" s="10" t="n">
        <v>-2510.77261797493</v>
      </c>
      <c r="AF38" s="10"/>
      <c r="AG38" s="10"/>
      <c r="AH38" s="10"/>
      <c r="AI38" s="10"/>
      <c r="AJ38" s="10"/>
      <c r="AK38" s="10" t="n">
        <v>-122448.2031</v>
      </c>
      <c r="AL38" s="10"/>
      <c r="AM38" s="10"/>
    </row>
    <row r="39">
      <c r="M39" t="s">
        <v>129</v>
      </c>
      <c r="N39" t="n">
        <v>1932</v>
      </c>
      <c r="O39" s="10" t="n">
        <v>1431378.48255061</v>
      </c>
      <c r="P39" s="10" t="n">
        <v>76767.9250084026</v>
      </c>
      <c r="Q39" s="10" t="n">
        <v>494265.543961608</v>
      </c>
      <c r="R39" s="10" t="n">
        <v>1142639.50913681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 t="n">
        <v>-35324.8329774517</v>
      </c>
      <c r="AD39" s="10"/>
      <c r="AE39" s="10"/>
      <c r="AF39" s="10" t="n">
        <v>0</v>
      </c>
      <c r="AG39" s="10"/>
      <c r="AH39" s="10"/>
      <c r="AI39" s="10"/>
      <c r="AJ39" s="10"/>
      <c r="AK39" s="10"/>
      <c r="AL39" s="10"/>
      <c r="AM39" s="10"/>
    </row>
    <row r="40">
      <c r="M40" t="s">
        <v>130</v>
      </c>
      <c r="N40" t="n">
        <v>2075</v>
      </c>
      <c r="O40" s="10"/>
      <c r="P40" s="10"/>
      <c r="Q40" s="10"/>
      <c r="R40" s="10" t="n">
        <v>50323.2371972985</v>
      </c>
      <c r="S40" s="10" t="n">
        <v>1902.48606138902</v>
      </c>
      <c r="T40" s="10"/>
      <c r="U40" s="10"/>
      <c r="V40" s="10"/>
      <c r="W40" s="10"/>
      <c r="X40" s="10"/>
      <c r="Y40" s="10"/>
      <c r="Z40" s="10"/>
      <c r="AA40" s="10"/>
      <c r="AB40" s="10" t="n">
        <v>-20419.8778265304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>
      <c r="M41" t="s">
        <v>131</v>
      </c>
      <c r="N41" t="n">
        <v>1950</v>
      </c>
      <c r="O41" s="10"/>
      <c r="P41" s="10"/>
      <c r="Q41" s="10"/>
      <c r="R41" s="10"/>
      <c r="S41" s="10"/>
      <c r="T41" s="10"/>
      <c r="U41" s="10"/>
      <c r="V41" s="10"/>
      <c r="W41" s="10" t="n">
        <v>3648.7441003238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132</v>
      </c>
      <c r="N42" t="n">
        <v>2079</v>
      </c>
      <c r="O42" s="10"/>
      <c r="P42" s="10"/>
      <c r="Q42" s="10"/>
      <c r="R42" s="10" t="n">
        <v>1980989.83637621</v>
      </c>
      <c r="S42" s="10" t="n">
        <v>1337243.91648845</v>
      </c>
      <c r="T42" s="10"/>
      <c r="U42" s="10"/>
      <c r="V42" s="10" t="n">
        <v>0</v>
      </c>
      <c r="W42" s="10" t="n">
        <v>-258.365116861607</v>
      </c>
      <c r="X42" s="10" t="n">
        <v>-187225.889875742</v>
      </c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n">
        <v>0</v>
      </c>
      <c r="AL42" s="10"/>
      <c r="AM42" s="10"/>
    </row>
    <row r="43">
      <c r="M43" t="s">
        <v>133</v>
      </c>
      <c r="N43" t="n">
        <v>1812</v>
      </c>
      <c r="O43" s="10"/>
      <c r="P43" s="10"/>
      <c r="Q43" s="10"/>
      <c r="R43" s="10" t="n">
        <v>687121.563130446</v>
      </c>
      <c r="S43" s="10" t="n">
        <v>159796020.052709</v>
      </c>
      <c r="T43" s="10" t="n">
        <v>67703726.8832643</v>
      </c>
      <c r="U43" s="10" t="n">
        <v>57903933.1944636</v>
      </c>
      <c r="V43" s="10" t="n">
        <v>15178423.9607661</v>
      </c>
      <c r="W43" s="10" t="n">
        <v>100528573.789323</v>
      </c>
      <c r="X43" s="10" t="n">
        <v>217731729.164731</v>
      </c>
      <c r="Y43" s="10" t="n">
        <v>330109763.225867</v>
      </c>
      <c r="Z43" s="10" t="n">
        <v>188808157.697563</v>
      </c>
      <c r="AA43" s="10" t="n">
        <v>72411823.3400163</v>
      </c>
      <c r="AB43" s="10" t="n">
        <v>55703500.1413061</v>
      </c>
      <c r="AC43" s="10" t="n">
        <v>80035086.1240487</v>
      </c>
      <c r="AD43" s="10" t="n">
        <v>60055898.528938</v>
      </c>
      <c r="AE43" s="10" t="n">
        <v>16955180.0769023</v>
      </c>
      <c r="AF43" s="10" t="n">
        <v>74862157.4230373</v>
      </c>
      <c r="AG43" s="10" t="n">
        <v>18913738.8432121</v>
      </c>
      <c r="AH43" s="10" t="n">
        <v>1668467.76022043</v>
      </c>
      <c r="AI43" s="10" t="n">
        <v>-12555.4329901237</v>
      </c>
      <c r="AJ43" s="10" t="n">
        <v>0</v>
      </c>
      <c r="AK43" s="10" t="n">
        <v>0</v>
      </c>
      <c r="AL43" s="10" t="n">
        <v>0</v>
      </c>
      <c r="AM43" s="10"/>
    </row>
    <row r="44">
      <c r="M44" t="s">
        <v>76</v>
      </c>
      <c r="N44" t="n">
        <v>1310</v>
      </c>
      <c r="O44" s="10"/>
      <c r="P44" s="10"/>
      <c r="Q44" s="10"/>
      <c r="R44" s="10"/>
      <c r="S44" s="10" t="n">
        <v>93761752.6671434</v>
      </c>
      <c r="T44" s="10" t="n">
        <v>538631936.469064</v>
      </c>
      <c r="U44" s="10" t="n">
        <v>4126166526.59104</v>
      </c>
      <c r="V44" s="10" t="n">
        <v>4092943094.40759</v>
      </c>
      <c r="W44" s="10" t="n">
        <v>3996228819.73407</v>
      </c>
      <c r="X44" s="10" t="n">
        <v>3884366035.69125</v>
      </c>
      <c r="Y44" s="10" t="n">
        <v>1919365983.00923</v>
      </c>
      <c r="Z44" s="10" t="n">
        <v>1141271705.4899</v>
      </c>
      <c r="AA44" s="10" t="n">
        <v>-205605842.18133</v>
      </c>
      <c r="AB44" s="10" t="n">
        <v>-44259331.8797766</v>
      </c>
      <c r="AC44" s="10" t="n">
        <v>17019292.5487959</v>
      </c>
      <c r="AD44" s="10" t="n">
        <v>-94162985.6420465</v>
      </c>
      <c r="AE44" s="10" t="n">
        <v>-274884370.743231</v>
      </c>
      <c r="AF44" s="10" t="n">
        <v>-110512782.901161</v>
      </c>
      <c r="AG44" s="10" t="n">
        <v>-2332423.07925139</v>
      </c>
      <c r="AH44" s="10" t="n">
        <v>-276729.047095675</v>
      </c>
      <c r="AI44" s="10" t="n">
        <v>-212059.947401579</v>
      </c>
      <c r="AJ44" s="10" t="n">
        <v>-8489.94044598463</v>
      </c>
      <c r="AK44" s="10" t="n">
        <v>-18885.6309</v>
      </c>
      <c r="AL44" s="10"/>
      <c r="AM44" s="10"/>
    </row>
    <row r="45">
      <c r="M45" t="s">
        <v>134</v>
      </c>
      <c r="N45" t="n">
        <v>470</v>
      </c>
      <c r="O45" s="10"/>
      <c r="P45" s="10"/>
      <c r="Q45" s="10"/>
      <c r="R45" s="10" t="n">
        <v>31447.4517333045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135</v>
      </c>
      <c r="N46" t="n">
        <v>678</v>
      </c>
      <c r="O46" s="10"/>
      <c r="P46" s="10"/>
      <c r="Q46" s="10"/>
      <c r="R46" s="10"/>
      <c r="S46" s="10" t="n">
        <v>52915.5896386652</v>
      </c>
      <c r="T46" s="10"/>
      <c r="U46" s="10" t="n">
        <v>-389042.18854232</v>
      </c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136</v>
      </c>
      <c r="N47" t="n">
        <v>1857</v>
      </c>
      <c r="O47" s="10"/>
      <c r="P47" s="10" t="n">
        <v>1154782.67532829</v>
      </c>
      <c r="Q47" s="10" t="n">
        <v>90888.2106904159</v>
      </c>
      <c r="R47" s="10" t="n">
        <v>1570680.88808908</v>
      </c>
      <c r="S47" s="10" t="n">
        <v>107533727.716909</v>
      </c>
      <c r="T47" s="10" t="n">
        <v>440541086.76923</v>
      </c>
      <c r="U47" s="10" t="n">
        <v>95565097.483235</v>
      </c>
      <c r="V47" s="10" t="n">
        <v>159371323.597621</v>
      </c>
      <c r="W47" s="10" t="n">
        <v>5258619087.24835</v>
      </c>
      <c r="X47" s="10" t="n">
        <v>128726307.733071</v>
      </c>
      <c r="Y47" s="10" t="n">
        <v>265435796.882194</v>
      </c>
      <c r="Z47" s="10" t="n">
        <v>88035445.8866665</v>
      </c>
      <c r="AA47" s="10" t="n">
        <v>10512856.4382536</v>
      </c>
      <c r="AB47" s="10" t="n">
        <v>37208312.0220748</v>
      </c>
      <c r="AC47" s="10" t="n">
        <v>-15331997.4602903</v>
      </c>
      <c r="AD47" s="10" t="n">
        <v>-27722760.3946213</v>
      </c>
      <c r="AE47" s="10" t="n">
        <v>-398750.576451534</v>
      </c>
      <c r="AF47" s="10" t="n">
        <v>-241982.712769032</v>
      </c>
      <c r="AG47" s="10" t="n">
        <v>-143601.202829736</v>
      </c>
      <c r="AH47" s="10"/>
      <c r="AI47" s="10" t="n">
        <v>1254865.95277583</v>
      </c>
      <c r="AJ47" s="10"/>
      <c r="AK47" s="10" t="n">
        <v>0</v>
      </c>
      <c r="AL47" s="10"/>
      <c r="AM47" s="10"/>
    </row>
    <row r="48">
      <c r="M48" t="s">
        <v>137</v>
      </c>
      <c r="N48" t="n">
        <v>268</v>
      </c>
      <c r="O48" s="10"/>
      <c r="P48" s="10"/>
      <c r="Q48" s="10" t="n">
        <v>119090.738438316</v>
      </c>
      <c r="R48" s="10" t="n">
        <v>249909.487050538</v>
      </c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138</v>
      </c>
      <c r="N49" t="n">
        <v>270</v>
      </c>
      <c r="O49" s="10"/>
      <c r="P49" s="10" t="n">
        <v>782329.280281355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139</v>
      </c>
      <c r="N50" t="n">
        <v>267</v>
      </c>
      <c r="O50" s="10" t="n">
        <v>174418.058872582</v>
      </c>
      <c r="P50" s="10"/>
      <c r="Q50" s="10" t="n">
        <v>323071.248611418</v>
      </c>
      <c r="R50" s="10" t="n">
        <v>2291525.23161154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140</v>
      </c>
      <c r="N51" t="n">
        <v>272</v>
      </c>
      <c r="O51" s="10" t="n">
        <v>659012.662589501</v>
      </c>
      <c r="P51" s="10"/>
      <c r="Q51" s="10" t="n">
        <v>9286568.00539057</v>
      </c>
      <c r="R51" s="10" t="n">
        <v>91103788.8240941</v>
      </c>
      <c r="S51" s="10"/>
      <c r="T51" s="10"/>
      <c r="U51" s="10"/>
      <c r="V51" s="10"/>
      <c r="W51" s="10"/>
      <c r="X51" s="10"/>
      <c r="Y51" s="10" t="n">
        <v>-151015.409526617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141</v>
      </c>
      <c r="N52" t="n">
        <v>278</v>
      </c>
      <c r="O52" s="10" t="n">
        <v>121131.281831195</v>
      </c>
      <c r="P52" s="10"/>
      <c r="Q52" s="10" t="n">
        <v>167844.548032408</v>
      </c>
      <c r="R52" s="10" t="n">
        <v>725840.771401587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  <row r="53">
      <c r="M53" t="s">
        <v>142</v>
      </c>
      <c r="N53" t="n">
        <v>286</v>
      </c>
      <c r="O53" s="10" t="n">
        <v>40837.5770079158</v>
      </c>
      <c r="P53" s="10"/>
      <c r="Q53" s="10" t="n">
        <v>65215.2475025254</v>
      </c>
      <c r="R53" s="10" t="n">
        <v>43533143.0997937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77</v>
      </c>
      <c r="N54" t="n">
        <v>684</v>
      </c>
      <c r="O54" s="10"/>
      <c r="P54" s="10"/>
      <c r="Q54" s="10"/>
      <c r="R54" s="10"/>
      <c r="S54" s="10"/>
      <c r="T54" s="10" t="n">
        <v>5079354.71804902</v>
      </c>
      <c r="U54" s="10" t="n">
        <v>-43442.8439879068</v>
      </c>
      <c r="V54" s="10"/>
      <c r="W54" s="10"/>
      <c r="X54" s="10"/>
      <c r="Y54" s="10"/>
      <c r="Z54" s="10"/>
      <c r="AA54" s="10"/>
      <c r="AB54" s="10"/>
      <c r="AC54" s="10"/>
      <c r="AD54" s="10" t="n">
        <v>176757851.629353</v>
      </c>
      <c r="AE54" s="10" t="n">
        <v>346614797.349342</v>
      </c>
      <c r="AF54" s="10" t="n">
        <v>667682541.448951</v>
      </c>
      <c r="AG54" s="10" t="n">
        <v>830373422.780334</v>
      </c>
      <c r="AH54" s="10" t="n">
        <v>2241336852.07042</v>
      </c>
      <c r="AI54" s="10" t="n">
        <v>1797104281.15779</v>
      </c>
      <c r="AJ54" s="10" t="n">
        <v>1328974376.24113</v>
      </c>
      <c r="AK54" s="10" t="n">
        <v>1143790701.3454</v>
      </c>
      <c r="AL54" s="10" t="n">
        <v>1119131759.41095</v>
      </c>
      <c r="AM54" s="10"/>
    </row>
    <row r="55">
      <c r="M55" t="s">
        <v>143</v>
      </c>
      <c r="N55" t="n">
        <v>190</v>
      </c>
      <c r="O55" s="10"/>
      <c r="P55" s="10"/>
      <c r="Q55" s="10"/>
      <c r="R55" s="10" t="n">
        <v>2275828.17291576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144</v>
      </c>
      <c r="N56" t="n">
        <v>2187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 t="n">
        <v>162772.632554854</v>
      </c>
      <c r="AH56" s="10"/>
      <c r="AI56" s="10" t="n">
        <v>-157544.022553941</v>
      </c>
      <c r="AJ56" s="10"/>
      <c r="AK56" s="10"/>
      <c r="AL56" s="10"/>
      <c r="AM56" s="10"/>
    </row>
    <row r="57">
      <c r="M57" t="s">
        <v>145</v>
      </c>
      <c r="N57" t="n">
        <v>2178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 t="n">
        <v>99803.064915354</v>
      </c>
      <c r="AH57" s="10"/>
      <c r="AI57" s="10"/>
      <c r="AJ57" s="10"/>
      <c r="AK57" s="10"/>
      <c r="AL57" s="10"/>
      <c r="AM57" s="10"/>
    </row>
    <row r="58">
      <c r="M58" t="s">
        <v>146</v>
      </c>
      <c r="N58" t="n">
        <v>2188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 t="n">
        <v>3272426.91578525</v>
      </c>
      <c r="AG58" s="10"/>
      <c r="AH58" s="10"/>
      <c r="AI58" s="10" t="n">
        <v>3718904.99114658</v>
      </c>
      <c r="AJ58" s="10" t="n">
        <v>3236767.76073008</v>
      </c>
      <c r="AK58" s="10"/>
      <c r="AL58" s="10"/>
      <c r="AM58" s="10"/>
    </row>
    <row r="59">
      <c r="M59" t="s">
        <v>147</v>
      </c>
      <c r="N59" t="n">
        <v>567</v>
      </c>
      <c r="O59" s="10" t="n">
        <v>341150.089898412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148</v>
      </c>
      <c r="N60" t="n">
        <v>189</v>
      </c>
      <c r="O60" s="10" t="n">
        <v>9919811.80234897</v>
      </c>
      <c r="P60" s="10" t="n">
        <v>55922511.0922198</v>
      </c>
      <c r="Q60" s="10" t="n">
        <v>75479929.3009816</v>
      </c>
      <c r="R60" s="10" t="n">
        <v>278136266.841598</v>
      </c>
      <c r="S60" s="10"/>
      <c r="T60" s="10"/>
      <c r="U60" s="10"/>
      <c r="V60" s="10"/>
      <c r="W60" s="10" t="n">
        <v>-3687.00151966864</v>
      </c>
      <c r="X60" s="10" t="n">
        <v>-803249.365998929</v>
      </c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149</v>
      </c>
      <c r="N61" t="n">
        <v>261</v>
      </c>
      <c r="O61" s="10" t="n">
        <v>134903.764775427</v>
      </c>
      <c r="P61" s="10"/>
      <c r="Q61" s="10"/>
      <c r="R61" s="10" t="n">
        <v>13096823.6272572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150</v>
      </c>
      <c r="N62" t="n">
        <v>656</v>
      </c>
      <c r="O62" s="10"/>
      <c r="P62" s="10"/>
      <c r="Q62" s="10"/>
      <c r="R62" s="10"/>
      <c r="S62" s="10" t="n">
        <v>26765582.5545449</v>
      </c>
      <c r="T62" s="10" t="n">
        <v>27881774.5460817</v>
      </c>
      <c r="U62" s="10" t="n">
        <v>59008788.8500149</v>
      </c>
      <c r="V62" s="10" t="n">
        <v>126370511.789209</v>
      </c>
      <c r="W62" s="10" t="n">
        <v>32884354.1307508</v>
      </c>
      <c r="X62" s="10" t="n">
        <v>23651462.7078297</v>
      </c>
      <c r="Y62" s="10" t="n">
        <v>-1079883.36239385</v>
      </c>
      <c r="Z62" s="10" t="n">
        <v>96978914.1356439</v>
      </c>
      <c r="AA62" s="10" t="n">
        <v>70964792.4096337</v>
      </c>
      <c r="AB62" s="10" t="n">
        <v>15584376.6436374</v>
      </c>
      <c r="AC62" s="10" t="n">
        <v>8255457.7522138</v>
      </c>
      <c r="AD62" s="10" t="n">
        <v>-204124.949360523</v>
      </c>
      <c r="AE62" s="10" t="n">
        <v>-28956.4650782334</v>
      </c>
      <c r="AF62" s="10"/>
      <c r="AG62" s="10" t="n">
        <v>668.680534932872</v>
      </c>
      <c r="AH62" s="10"/>
      <c r="AI62" s="10"/>
      <c r="AJ62" s="10"/>
      <c r="AK62" s="10" t="n">
        <v>67500</v>
      </c>
      <c r="AL62" s="10" t="n">
        <v>65756.7305815132</v>
      </c>
      <c r="AM62" s="10"/>
    </row>
    <row r="63">
      <c r="M63" t="s">
        <v>151</v>
      </c>
      <c r="N63" t="n">
        <v>1927</v>
      </c>
      <c r="O63" s="10"/>
      <c r="P63" s="10"/>
      <c r="Q63" s="10" t="n">
        <v>695728.696507391</v>
      </c>
      <c r="R63" s="10" t="n">
        <v>1916016.41741974</v>
      </c>
      <c r="S63" s="10"/>
      <c r="T63" s="10" t="n">
        <v>-343494.538848418</v>
      </c>
      <c r="U63" s="10"/>
      <c r="V63" s="10"/>
      <c r="W63" s="10" t="n">
        <v>-50758.5224320514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152</v>
      </c>
      <c r="N64" t="n">
        <v>258</v>
      </c>
      <c r="O64" s="10" t="n">
        <v>649166.403666208</v>
      </c>
      <c r="P64" s="10" t="n">
        <v>8650689.02750188</v>
      </c>
      <c r="Q64" s="10" t="n">
        <v>35600603.5676281</v>
      </c>
      <c r="R64" s="10" t="n">
        <v>55941973.5283924</v>
      </c>
      <c r="S64" s="10"/>
      <c r="T64" s="10"/>
      <c r="U64" s="10"/>
      <c r="V64" s="10"/>
      <c r="W64" s="10"/>
      <c r="X64" s="10"/>
      <c r="Y64" s="10" t="n">
        <v>-246938.058820344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153</v>
      </c>
      <c r="N65" t="n">
        <v>1974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 t="n">
        <v>2345524.32615247</v>
      </c>
      <c r="AB65" s="10" t="n">
        <v>118886.576629854</v>
      </c>
      <c r="AC65" s="10" t="n">
        <v>0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154</v>
      </c>
      <c r="N66" t="n">
        <v>492</v>
      </c>
      <c r="O66" s="10"/>
      <c r="P66" s="10"/>
      <c r="Q66" s="10"/>
      <c r="R66" s="10" t="n">
        <v>6094637.13867827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155</v>
      </c>
      <c r="N67" t="n">
        <v>595</v>
      </c>
      <c r="O67" s="10"/>
      <c r="P67" s="10"/>
      <c r="Q67" s="10"/>
      <c r="R67" s="10" t="n">
        <v>8411.58761292054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156</v>
      </c>
      <c r="N68" t="n">
        <v>197</v>
      </c>
      <c r="O68" s="10"/>
      <c r="P68" s="10" t="n">
        <v>75245.6595684949</v>
      </c>
      <c r="Q68" s="10" t="n">
        <v>282645.994819489</v>
      </c>
      <c r="R68" s="10" t="n">
        <v>48340.7235225866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157</v>
      </c>
      <c r="N69" t="n">
        <v>71</v>
      </c>
      <c r="O69" s="10"/>
      <c r="P69" s="10"/>
      <c r="Q69" s="10"/>
      <c r="R69" s="10"/>
      <c r="S69" s="10"/>
      <c r="T69" s="10"/>
      <c r="U69" s="10" t="n">
        <v>92080.2337821171</v>
      </c>
      <c r="V69" s="10" t="n">
        <v>1028163.04425724</v>
      </c>
      <c r="W69" s="10" t="n">
        <v>61835467.2104507</v>
      </c>
      <c r="X69" s="10" t="n">
        <v>60653848.0910988</v>
      </c>
      <c r="Y69" s="10" t="n">
        <v>49123103.9886781</v>
      </c>
      <c r="Z69" s="10" t="n">
        <v>54244402.1675292</v>
      </c>
      <c r="AA69" s="10" t="n">
        <v>-12484160.449171</v>
      </c>
      <c r="AB69" s="10" t="n">
        <v>13701594.0053185</v>
      </c>
      <c r="AC69" s="10" t="n">
        <v>33849424.8013797</v>
      </c>
      <c r="AD69" s="10" t="n">
        <v>6764660.19175443</v>
      </c>
      <c r="AE69" s="10" t="n">
        <v>9992556.21179263</v>
      </c>
      <c r="AF69" s="10" t="n">
        <v>6317132.9104443</v>
      </c>
      <c r="AG69" s="10" t="n">
        <v>7783918.95893381</v>
      </c>
      <c r="AH69" s="10" t="n">
        <v>-134983.878714447</v>
      </c>
      <c r="AI69" s="10"/>
      <c r="AJ69" s="10" t="n">
        <v>-76215.7957139566</v>
      </c>
      <c r="AK69" s="10" t="n">
        <v>0</v>
      </c>
      <c r="AL69" s="10"/>
      <c r="AM69" s="10"/>
    </row>
    <row r="70">
      <c r="M70" t="s">
        <v>78</v>
      </c>
      <c r="N70" t="n">
        <v>1863</v>
      </c>
      <c r="O70" s="10"/>
      <c r="P70" s="10"/>
      <c r="Q70" s="10"/>
      <c r="R70" s="10"/>
      <c r="S70" s="10"/>
      <c r="T70" s="10" t="n">
        <v>4290625.51859235</v>
      </c>
      <c r="U70" s="10" t="n">
        <v>11163328.8820217</v>
      </c>
      <c r="V70" s="10" t="n">
        <v>33813956.1304678</v>
      </c>
      <c r="W70" s="10" t="n">
        <v>52921491.4304062</v>
      </c>
      <c r="X70" s="10" t="n">
        <v>60888775.8001067</v>
      </c>
      <c r="Y70" s="10" t="n">
        <v>2757087959.81295</v>
      </c>
      <c r="Z70" s="10" t="n">
        <v>543872539.73063</v>
      </c>
      <c r="AA70" s="10" t="n">
        <v>329294771.488656</v>
      </c>
      <c r="AB70" s="10" t="n">
        <v>139964976.372654</v>
      </c>
      <c r="AC70" s="10" t="n">
        <v>110767397.827004</v>
      </c>
      <c r="AD70" s="10" t="n">
        <v>145892856.132391</v>
      </c>
      <c r="AE70" s="10" t="n">
        <v>157456717.587155</v>
      </c>
      <c r="AF70" s="10" t="n">
        <v>34197097.3346525</v>
      </c>
      <c r="AG70" s="10" t="n">
        <v>34579547.8201527</v>
      </c>
      <c r="AH70" s="10" t="n">
        <v>32993194.0882854</v>
      </c>
      <c r="AI70" s="10" t="n">
        <v>32294225.691167</v>
      </c>
      <c r="AJ70" s="10" t="n">
        <v>11291873.1913321</v>
      </c>
      <c r="AK70" s="10" t="n">
        <v>-2054352.7805</v>
      </c>
      <c r="AL70" s="10" t="n">
        <v>-2307153.15334867</v>
      </c>
      <c r="AM70" s="10"/>
    </row>
    <row r="71">
      <c r="M71" t="s">
        <v>158</v>
      </c>
      <c r="N71" t="n">
        <v>249</v>
      </c>
      <c r="O71" s="10" t="n">
        <v>2878198.49718686</v>
      </c>
      <c r="P71" s="10" t="n">
        <v>12843411.8831555</v>
      </c>
      <c r="Q71" s="10" t="n">
        <v>23366049.8251666</v>
      </c>
      <c r="R71" s="10" t="n">
        <v>49257586.572395</v>
      </c>
      <c r="S71" s="10" t="n">
        <v>2208.90680309827</v>
      </c>
      <c r="T71" s="10"/>
      <c r="U71" s="10"/>
      <c r="V71" s="10"/>
      <c r="W71" s="10"/>
      <c r="X71" s="10" t="n">
        <v>-773.698190772543</v>
      </c>
      <c r="Y71" s="10" t="n">
        <v>0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159</v>
      </c>
      <c r="N72" t="n">
        <v>2002</v>
      </c>
      <c r="O72" s="10"/>
      <c r="P72" s="10"/>
      <c r="Q72" s="10"/>
      <c r="R72" s="10"/>
      <c r="S72" s="10"/>
      <c r="T72" s="10"/>
      <c r="U72" s="10"/>
      <c r="V72" s="10"/>
      <c r="W72" s="10" t="n">
        <v>5330146.54318264</v>
      </c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160</v>
      </c>
      <c r="N73" t="n">
        <v>1568</v>
      </c>
      <c r="O73" s="10"/>
      <c r="P73" s="10" t="n">
        <v>153597.371625257</v>
      </c>
      <c r="Q73" s="10" t="n">
        <v>42619.5945244394</v>
      </c>
      <c r="R73" s="10" t="n">
        <v>284851.100087543</v>
      </c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161</v>
      </c>
      <c r="N74" t="n">
        <v>222</v>
      </c>
      <c r="O74" s="10"/>
      <c r="P74" s="10" t="n">
        <v>1209806.65544168</v>
      </c>
      <c r="Q74" s="10" t="n">
        <v>156163.138980782</v>
      </c>
      <c r="R74" s="10" t="n">
        <v>2440977.20022111</v>
      </c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162</v>
      </c>
      <c r="N75" t="n">
        <v>228</v>
      </c>
      <c r="O75" s="10"/>
      <c r="P75" s="10" t="n">
        <v>64043.9943987699</v>
      </c>
      <c r="Q75" s="10"/>
      <c r="R75" s="10" t="n">
        <v>55408.2857234427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163</v>
      </c>
      <c r="N76" t="n">
        <v>252</v>
      </c>
      <c r="O76" s="10" t="n">
        <v>149710.314951512</v>
      </c>
      <c r="P76" s="10"/>
      <c r="Q76" s="10" t="n">
        <v>154712.668885831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164</v>
      </c>
      <c r="N77" t="n">
        <v>883</v>
      </c>
      <c r="O77" s="10" t="n">
        <v>63620128.4870545</v>
      </c>
      <c r="P77" s="10" t="n">
        <v>43047215.2411147</v>
      </c>
      <c r="Q77" s="10" t="n">
        <v>36501685.5961115</v>
      </c>
      <c r="R77" s="10" t="n">
        <v>34312700.574459</v>
      </c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 t="n">
        <v>0</v>
      </c>
      <c r="AG77" s="10"/>
      <c r="AH77" s="10"/>
      <c r="AI77" s="10" t="n">
        <v>0</v>
      </c>
      <c r="AJ77" s="10" t="n">
        <v>0</v>
      </c>
      <c r="AK77" s="10"/>
      <c r="AL77" s="10"/>
      <c r="AM77" s="10"/>
    </row>
    <row r="78">
      <c r="M78" t="s">
        <v>165</v>
      </c>
      <c r="N78" t="n">
        <v>882</v>
      </c>
      <c r="O78" s="10" t="n">
        <v>140254587.675628</v>
      </c>
      <c r="P78" s="10" t="n">
        <v>144148976.070315</v>
      </c>
      <c r="Q78" s="10" t="n">
        <v>28749068.9173892</v>
      </c>
      <c r="R78" s="10" t="n">
        <v>4506672.63816243</v>
      </c>
      <c r="S78" s="10"/>
      <c r="T78" s="10"/>
      <c r="U78" s="10"/>
      <c r="V78" s="10"/>
      <c r="W78" s="10"/>
      <c r="X78" s="10" t="n">
        <v>-2672.80915809411</v>
      </c>
      <c r="Y78" s="10"/>
      <c r="Z78" s="10"/>
      <c r="AA78" s="10"/>
      <c r="AB78" s="10"/>
      <c r="AC78" s="10"/>
      <c r="AD78" s="10"/>
      <c r="AE78" s="10"/>
      <c r="AF78" s="10" t="n">
        <v>0</v>
      </c>
      <c r="AG78" s="10"/>
      <c r="AH78" s="10"/>
      <c r="AI78" s="10"/>
      <c r="AJ78" s="10"/>
      <c r="AK78" s="10"/>
      <c r="AL78" s="10"/>
      <c r="AM78" s="10"/>
    </row>
    <row r="79">
      <c r="M79" t="s">
        <v>166</v>
      </c>
      <c r="N79" t="n">
        <v>422</v>
      </c>
      <c r="O79" s="10"/>
      <c r="P79" s="10"/>
      <c r="Q79" s="10" t="n">
        <v>45828.0219507435</v>
      </c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167</v>
      </c>
      <c r="N80" t="n">
        <v>239</v>
      </c>
      <c r="O80" s="10"/>
      <c r="P80" s="10"/>
      <c r="Q80" s="10" t="n">
        <v>23226054.6135504</v>
      </c>
      <c r="R80" s="10" t="n">
        <v>2732965.95907295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168</v>
      </c>
      <c r="N81" t="n">
        <v>233</v>
      </c>
      <c r="O81" s="10" t="n">
        <v>11366660.9001261</v>
      </c>
      <c r="P81" s="10"/>
      <c r="Q81" s="10"/>
      <c r="R81" s="10" t="n">
        <v>319398.038995608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79</v>
      </c>
      <c r="N82" t="n">
        <v>53</v>
      </c>
      <c r="O82" s="10"/>
      <c r="P82" s="10"/>
      <c r="Q82" s="10"/>
      <c r="R82" s="10"/>
      <c r="S82" s="10" t="n">
        <v>181109539.093374</v>
      </c>
      <c r="T82" s="10" t="n">
        <v>232539289.030345</v>
      </c>
      <c r="U82" s="10" t="n">
        <v>3020466.56330955</v>
      </c>
      <c r="V82" s="10" t="n">
        <v>389073881.005942</v>
      </c>
      <c r="W82" s="10" t="n">
        <v>1173459195.59515</v>
      </c>
      <c r="X82" s="10" t="n">
        <v>1119335862.19525</v>
      </c>
      <c r="Y82" s="10" t="n">
        <v>761715997.617754</v>
      </c>
      <c r="Z82" s="10" t="n">
        <v>431923416.003442</v>
      </c>
      <c r="AA82" s="10" t="n">
        <v>314276090.529999</v>
      </c>
      <c r="AB82" s="10" t="n">
        <v>268733505.950967</v>
      </c>
      <c r="AC82" s="10" t="n">
        <v>153156846.821987</v>
      </c>
      <c r="AD82" s="10" t="n">
        <v>100104889.702256</v>
      </c>
      <c r="AE82" s="10" t="n">
        <v>163288505.750307</v>
      </c>
      <c r="AF82" s="10" t="n">
        <v>16939675.7262411</v>
      </c>
      <c r="AG82" s="10" t="n">
        <v>-6951409.74712519</v>
      </c>
      <c r="AH82" s="10" t="n">
        <v>61576047.5984713</v>
      </c>
      <c r="AI82" s="10" t="n">
        <v>17872960.9391511</v>
      </c>
      <c r="AJ82" s="10" t="n">
        <v>39772601.3044564</v>
      </c>
      <c r="AK82" s="10" t="n">
        <v>-8210768.2549</v>
      </c>
      <c r="AL82" s="10" t="n">
        <v>950790.09934658</v>
      </c>
      <c r="AM82" s="10"/>
    </row>
    <row r="83">
      <c r="M83" t="s">
        <v>169</v>
      </c>
      <c r="N83" t="n">
        <v>327</v>
      </c>
      <c r="O83" s="10" t="n">
        <v>61462.3710932193</v>
      </c>
      <c r="P83" s="10" t="n">
        <v>110423.399786051</v>
      </c>
      <c r="Q83" s="10" t="n">
        <v>75008.2500922031</v>
      </c>
      <c r="R83" s="10" t="n">
        <v>117640.319514034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170</v>
      </c>
      <c r="N84" t="n">
        <v>329</v>
      </c>
      <c r="O84" s="10" t="n">
        <v>12525772.7119901</v>
      </c>
      <c r="P84" s="10" t="n">
        <v>9695526.27861747</v>
      </c>
      <c r="Q84" s="10" t="n">
        <v>32266132.7748181</v>
      </c>
      <c r="R84" s="10" t="n">
        <v>47415124.3075999</v>
      </c>
      <c r="S84" s="10"/>
      <c r="T84" s="10"/>
      <c r="U84" s="10"/>
      <c r="V84" s="10"/>
      <c r="W84" s="10"/>
      <c r="X84" s="10"/>
      <c r="Y84" s="10" t="n">
        <v>-70697.264584936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171</v>
      </c>
      <c r="N85" t="n">
        <v>1800</v>
      </c>
      <c r="O85" s="10"/>
      <c r="P85" s="10"/>
      <c r="Q85" s="10"/>
      <c r="R85" s="10"/>
      <c r="S85" s="10"/>
      <c r="T85" s="10"/>
      <c r="U85" s="10"/>
      <c r="V85" s="10" t="n">
        <v>18497645.406883</v>
      </c>
      <c r="W85" s="10" t="n">
        <v>161390.165543643</v>
      </c>
      <c r="X85" s="10" t="n">
        <v>255686.712514978</v>
      </c>
      <c r="Y85" s="10" t="n">
        <v>160628.529345727</v>
      </c>
      <c r="Z85" s="10" t="n">
        <v>425865.252045477</v>
      </c>
      <c r="AA85" s="10" t="n">
        <v>254945.284951356</v>
      </c>
      <c r="AB85" s="10" t="n">
        <v>1145574.3144372</v>
      </c>
      <c r="AC85" s="10" t="n">
        <v>269733.507006737</v>
      </c>
      <c r="AD85" s="10" t="n">
        <v>0</v>
      </c>
      <c r="AE85" s="10"/>
      <c r="AF85" s="10" t="n">
        <v>0</v>
      </c>
      <c r="AG85" s="10"/>
      <c r="AH85" s="10"/>
      <c r="AI85" s="10"/>
      <c r="AJ85" s="10"/>
      <c r="AK85" s="10"/>
      <c r="AL85" s="10"/>
      <c r="AM85" s="10"/>
    </row>
    <row r="86">
      <c r="M86" t="s">
        <v>172</v>
      </c>
      <c r="N86" t="n">
        <v>235</v>
      </c>
      <c r="O86" s="10"/>
      <c r="P86" s="10" t="n">
        <v>150204.218297546</v>
      </c>
      <c r="Q86" s="10" t="n">
        <v>254065.211492431</v>
      </c>
      <c r="R86" s="10" t="n">
        <v>230009.682224971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173</v>
      </c>
      <c r="N87" t="n">
        <v>236</v>
      </c>
      <c r="O87" s="10" t="n">
        <v>47276.2612562459</v>
      </c>
      <c r="P87" s="10"/>
      <c r="Q87" s="10" t="n">
        <v>1051326.81464637</v>
      </c>
      <c r="R87" s="10" t="n">
        <v>34822909.0783327</v>
      </c>
      <c r="S87" s="10"/>
      <c r="T87" s="10"/>
      <c r="U87" s="10"/>
      <c r="V87" s="10"/>
      <c r="W87" s="10"/>
      <c r="X87" s="10" t="n">
        <v>0</v>
      </c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174</v>
      </c>
      <c r="N88" t="n">
        <v>2244</v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1922391.89676961</v>
      </c>
      <c r="AI88" s="10" t="n">
        <v>10978287.8864666</v>
      </c>
      <c r="AJ88" s="10" t="n">
        <v>-521857.757684067</v>
      </c>
      <c r="AK88" s="10" t="n">
        <v>0</v>
      </c>
      <c r="AL88" s="10" t="n">
        <v>122287375.352298</v>
      </c>
      <c r="AM88" s="10"/>
    </row>
    <row r="89">
      <c r="M89" t="s">
        <v>175</v>
      </c>
      <c r="N89" t="n">
        <v>1156</v>
      </c>
      <c r="O89" s="10" t="n">
        <v>162314.625069761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176</v>
      </c>
      <c r="N90" t="n">
        <v>2186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 t="n">
        <v>19148.5644318578</v>
      </c>
      <c r="AH90" s="10"/>
      <c r="AI90" s="10"/>
      <c r="AJ90" s="10"/>
      <c r="AK90" s="10"/>
      <c r="AL90" s="10"/>
      <c r="AM90" s="10"/>
    </row>
    <row r="91">
      <c r="M91" t="s">
        <v>177</v>
      </c>
      <c r="N91" t="n">
        <v>662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 t="n">
        <v>28631983.3965174</v>
      </c>
      <c r="AB91" s="10" t="n">
        <v>7238910.40268972</v>
      </c>
      <c r="AC91" s="10" t="n">
        <v>-4139711.30365514</v>
      </c>
      <c r="AD91" s="10" t="n">
        <v>-714.870749977045</v>
      </c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178</v>
      </c>
      <c r="N92" t="n">
        <v>411</v>
      </c>
      <c r="O92" s="10"/>
      <c r="P92" s="10"/>
      <c r="Q92" s="10" t="n">
        <v>1391757.11542198</v>
      </c>
      <c r="R92" s="10" t="n">
        <v>-176974.012790172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179</v>
      </c>
      <c r="N93" t="n">
        <v>609</v>
      </c>
      <c r="O93" s="10"/>
      <c r="P93" s="10"/>
      <c r="Q93" s="10"/>
      <c r="R93" s="10" t="n">
        <v>58657.1090550997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180</v>
      </c>
      <c r="N94" t="n">
        <v>187</v>
      </c>
      <c r="O94" s="10" t="n">
        <v>305185.5547206</v>
      </c>
      <c r="P94" s="10" t="n">
        <v>969160.940287934</v>
      </c>
      <c r="Q94" s="10" t="n">
        <v>3300850.63533083</v>
      </c>
      <c r="R94" s="10" t="n">
        <v>13843115.8329619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181</v>
      </c>
      <c r="N95" t="n">
        <v>1858</v>
      </c>
      <c r="O95" s="10"/>
      <c r="P95" s="10"/>
      <c r="Q95" s="10"/>
      <c r="R95" s="10"/>
      <c r="S95" s="10"/>
      <c r="T95" s="10"/>
      <c r="U95" s="10"/>
      <c r="V95" s="10"/>
      <c r="W95" s="10" t="n">
        <v>295461.487867335</v>
      </c>
      <c r="X95" s="10" t="n">
        <v>122656.717407536</v>
      </c>
      <c r="Y95" s="10" t="n">
        <v>310888.542678634</v>
      </c>
      <c r="Z95" s="10"/>
      <c r="AA95" s="10" t="n">
        <v>1213159.23794599</v>
      </c>
      <c r="AB95" s="10" t="n">
        <v>-24295.8209398029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182</v>
      </c>
      <c r="N96" t="n">
        <v>185</v>
      </c>
      <c r="O96" s="10" t="n">
        <v>30462463.7876522</v>
      </c>
      <c r="P96" s="10" t="n">
        <v>44264363.475165</v>
      </c>
      <c r="Q96" s="10" t="n">
        <v>34401086.5406257</v>
      </c>
      <c r="R96" s="10" t="n">
        <v>69730450.6139904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</row>
    <row r="97">
      <c r="M97" t="s">
        <v>183</v>
      </c>
      <c r="N97" t="n">
        <v>1558</v>
      </c>
      <c r="O97" s="10" t="n">
        <v>1727874.64106355</v>
      </c>
      <c r="P97" s="10" t="n">
        <v>3255800.81567178</v>
      </c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184</v>
      </c>
      <c r="N98" t="n">
        <v>600</v>
      </c>
      <c r="O98" s="10"/>
      <c r="P98" s="10" t="n">
        <v>533561.13533478</v>
      </c>
      <c r="Q98" s="10" t="n">
        <v>1079477.42643563</v>
      </c>
      <c r="R98" s="10" t="n">
        <v>2610854.69788204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185</v>
      </c>
      <c r="N99" t="n">
        <v>599</v>
      </c>
      <c r="O99" s="10" t="n">
        <v>122722.775930217</v>
      </c>
      <c r="P99" s="10" t="n">
        <v>259185.803977819</v>
      </c>
      <c r="Q99" s="10" t="n">
        <v>153906.679614654</v>
      </c>
      <c r="R99" s="10" t="n">
        <v>158596.522461944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186</v>
      </c>
      <c r="N100" t="n">
        <v>1961</v>
      </c>
      <c r="O100" s="10"/>
      <c r="P100" s="10"/>
      <c r="Q100" s="10"/>
      <c r="R100" s="10"/>
      <c r="S100" s="10"/>
      <c r="T100" s="10" t="n">
        <v>14436.5470613035</v>
      </c>
      <c r="U100" s="10" t="n">
        <v>396622.875337584</v>
      </c>
      <c r="V100" s="10"/>
      <c r="W100" s="10" t="n">
        <v>25691.7597701201</v>
      </c>
      <c r="X100" s="10" t="n">
        <v>97495.6301016553</v>
      </c>
      <c r="Y100" s="10" t="n">
        <v>294644.401839741</v>
      </c>
      <c r="Z100" s="10" t="n">
        <v>12023.0446616477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187</v>
      </c>
      <c r="N101" t="n">
        <v>2202</v>
      </c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 t="n">
        <v>399531.281186138</v>
      </c>
      <c r="AH101" s="10" t="n">
        <v>16081.7224325507</v>
      </c>
      <c r="AI101" s="10" t="n">
        <v>637736.723946897</v>
      </c>
      <c r="AJ101" s="10" t="n">
        <v>468317.449108882</v>
      </c>
      <c r="AK101" s="10" t="n">
        <v>455143.46</v>
      </c>
      <c r="AL101" s="10" t="n">
        <v>287226.843983152</v>
      </c>
      <c r="AM101" s="10"/>
    </row>
    <row r="102">
      <c r="M102" t="s">
        <v>81</v>
      </c>
      <c r="N102" t="n">
        <v>703</v>
      </c>
      <c r="O102" s="10" t="n">
        <v>5784685.19608508</v>
      </c>
      <c r="P102" s="10"/>
      <c r="Q102" s="10"/>
      <c r="R102" s="10" t="n">
        <v>80454.0926085807</v>
      </c>
      <c r="S102" s="10" t="n">
        <v>393938374.475152</v>
      </c>
      <c r="T102" s="10" t="n">
        <v>845688286.944932</v>
      </c>
      <c r="U102" s="10" t="n">
        <v>382387988.512365</v>
      </c>
      <c r="V102" s="10" t="n">
        <v>1511302266.00584</v>
      </c>
      <c r="W102" s="10" t="n">
        <v>2748846353.68899</v>
      </c>
      <c r="X102" s="10" t="n">
        <v>3230799856.98691</v>
      </c>
      <c r="Y102" s="10" t="n">
        <v>1960888766.05564</v>
      </c>
      <c r="Z102" s="10" t="n">
        <v>1576636451.03094</v>
      </c>
      <c r="AA102" s="10" t="n">
        <v>1250393215.84615</v>
      </c>
      <c r="AB102" s="10" t="n">
        <v>949273905.725156</v>
      </c>
      <c r="AC102" s="10" t="n">
        <v>921757598.203229</v>
      </c>
      <c r="AD102" s="10" t="n">
        <v>386138192.432085</v>
      </c>
      <c r="AE102" s="10" t="n">
        <v>86773551.9782035</v>
      </c>
      <c r="AF102" s="10" t="n">
        <v>-2999437.64593987</v>
      </c>
      <c r="AG102" s="10" t="n">
        <v>-7183520.88299028</v>
      </c>
      <c r="AH102" s="10" t="n">
        <v>-14857175.909432</v>
      </c>
      <c r="AI102" s="10" t="n">
        <v>-4415794.86939782</v>
      </c>
      <c r="AJ102" s="10" t="n">
        <v>-1660541.85693356</v>
      </c>
      <c r="AK102" s="10" t="n">
        <v>5089245.1191</v>
      </c>
      <c r="AL102" s="10" t="n">
        <v>92329750.9716652</v>
      </c>
      <c r="AM102" s="10"/>
    </row>
    <row r="103">
      <c r="M103" t="s">
        <v>188</v>
      </c>
      <c r="N103" t="n">
        <v>188</v>
      </c>
      <c r="O103" s="10"/>
      <c r="P103" s="10"/>
      <c r="Q103" s="10"/>
      <c r="R103" s="10" t="n">
        <v>13407540.3592545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189</v>
      </c>
      <c r="N104" t="n">
        <v>230</v>
      </c>
      <c r="O104" s="10" t="n">
        <v>346006.974428018</v>
      </c>
      <c r="P104" s="10" t="n">
        <v>206272.488277483</v>
      </c>
      <c r="Q104" s="10" t="n">
        <v>618255.889626444</v>
      </c>
      <c r="R104" s="10" t="n">
        <v>1136314.05620542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190</v>
      </c>
      <c r="N105" t="n">
        <v>289</v>
      </c>
      <c r="O105" s="10" t="n">
        <v>364697.739643748</v>
      </c>
      <c r="P105" s="10"/>
      <c r="Q105" s="10"/>
      <c r="R105" s="10" t="n">
        <v>352210.849877677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191</v>
      </c>
      <c r="N106" t="n">
        <v>1572</v>
      </c>
      <c r="O106" s="10" t="n">
        <v>6680841.7895393</v>
      </c>
      <c r="P106" s="10" t="n">
        <v>6852481.82143739</v>
      </c>
      <c r="Q106" s="10" t="n">
        <v>10646663.2532581</v>
      </c>
      <c r="R106" s="10" t="n">
        <v>1028654.87779006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192</v>
      </c>
      <c r="N107" t="n">
        <v>292</v>
      </c>
      <c r="O107" s="10"/>
      <c r="P107" s="10"/>
      <c r="Q107" s="10"/>
      <c r="R107" s="10" t="n">
        <v>1526.88601234536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193</v>
      </c>
      <c r="N108" t="n">
        <v>263</v>
      </c>
      <c r="O108" s="10"/>
      <c r="P108" s="10" t="n">
        <v>41520.775796695</v>
      </c>
      <c r="Q108" s="10" t="n">
        <v>41576.0014796783</v>
      </c>
      <c r="R108" s="10" t="n">
        <v>989292.60974126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194</v>
      </c>
      <c r="N109" t="n">
        <v>1565</v>
      </c>
      <c r="O109" s="10" t="n">
        <v>786359.657922158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195</v>
      </c>
      <c r="N110" t="n">
        <v>290</v>
      </c>
      <c r="O110" s="10" t="n">
        <v>3036498.03308295</v>
      </c>
      <c r="P110" s="10" t="n">
        <v>19749829.2254798</v>
      </c>
      <c r="Q110" s="10" t="n">
        <v>10736795.8376701</v>
      </c>
      <c r="R110" s="10" t="n">
        <v>11152305.3376071</v>
      </c>
      <c r="S110" s="10"/>
      <c r="T110" s="10"/>
      <c r="U110" s="10"/>
      <c r="V110" s="10"/>
      <c r="W110" s="10" t="n">
        <v>-31937.7248730123</v>
      </c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196</v>
      </c>
      <c r="N111" t="n">
        <v>295</v>
      </c>
      <c r="O111" s="10" t="n">
        <v>355804.761449818</v>
      </c>
      <c r="P111" s="10" t="n">
        <v>60043.5123722352</v>
      </c>
      <c r="Q111" s="10" t="n">
        <v>456387.154147965</v>
      </c>
      <c r="R111" s="10" t="n">
        <v>1058456.58412083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197</v>
      </c>
      <c r="N112" t="n">
        <v>237</v>
      </c>
      <c r="O112" s="10" t="n">
        <v>12064916.4141644</v>
      </c>
      <c r="P112" s="10" t="n">
        <v>2327215.7423738</v>
      </c>
      <c r="Q112" s="10" t="n">
        <v>6273020.70943464</v>
      </c>
      <c r="R112" s="10" t="n">
        <v>13819636.5318858</v>
      </c>
      <c r="S112" s="10"/>
      <c r="T112" s="10"/>
      <c r="U112" s="10"/>
      <c r="V112" s="10"/>
      <c r="W112" s="10"/>
      <c r="X112" s="10" t="n">
        <v>-170920.969901486</v>
      </c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198</v>
      </c>
      <c r="N113" t="n">
        <v>223</v>
      </c>
      <c r="O113" s="10"/>
      <c r="P113" s="10"/>
      <c r="Q113" s="10"/>
      <c r="R113" s="10" t="n">
        <v>3428.63625526652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199</v>
      </c>
      <c r="N114" t="n">
        <v>1925</v>
      </c>
      <c r="O114" s="10" t="n">
        <v>158105.648290112</v>
      </c>
      <c r="P114" s="10" t="n">
        <v>597442.64958815</v>
      </c>
      <c r="Q114" s="10" t="n">
        <v>5625239.83325017</v>
      </c>
      <c r="R114" s="10" t="n">
        <v>12919701.8021485</v>
      </c>
      <c r="S114" s="10" t="n">
        <v>-29304.8302544371</v>
      </c>
      <c r="T114" s="10"/>
      <c r="U114" s="10"/>
      <c r="V114" s="10"/>
      <c r="W114" s="10" t="n">
        <v>-53722.9724837111</v>
      </c>
      <c r="X114" s="10" t="n">
        <v>21398.3609250477</v>
      </c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200</v>
      </c>
      <c r="N115" t="n">
        <v>181</v>
      </c>
      <c r="O115" s="10" t="n">
        <v>29959456.3242881</v>
      </c>
      <c r="P115" s="10" t="n">
        <v>25077669.9264369</v>
      </c>
      <c r="Q115" s="10" t="n">
        <v>5236310.40927829</v>
      </c>
      <c r="R115" s="10" t="n">
        <v>8339817.87498696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201</v>
      </c>
      <c r="N116" t="n">
        <v>182</v>
      </c>
      <c r="O116" s="10" t="n">
        <v>571757706.026545</v>
      </c>
      <c r="P116" s="10" t="n">
        <v>110986107.966498</v>
      </c>
      <c r="Q116" s="10" t="n">
        <v>676483078.145767</v>
      </c>
      <c r="R116" s="10" t="n">
        <v>821595282.825553</v>
      </c>
      <c r="S116" s="10" t="n">
        <v>1270871.10136316</v>
      </c>
      <c r="T116" s="10"/>
      <c r="U116" s="10"/>
      <c r="V116" s="10"/>
      <c r="W116" s="10"/>
      <c r="X116" s="10"/>
      <c r="Y116" s="10"/>
      <c r="Z116" s="10" t="n">
        <v>-70246.5253255277</v>
      </c>
      <c r="AA116" s="10"/>
      <c r="AB116" s="10"/>
      <c r="AC116" s="10"/>
      <c r="AD116" s="10"/>
      <c r="AE116" s="10"/>
      <c r="AF116" s="10"/>
      <c r="AG116" s="10"/>
      <c r="AH116" s="10" t="n">
        <v>0</v>
      </c>
      <c r="AI116" s="10"/>
      <c r="AJ116" s="10"/>
      <c r="AK116" s="10"/>
      <c r="AL116" s="10"/>
      <c r="AM116" s="10"/>
    </row>
    <row r="117">
      <c r="M117" t="s">
        <v>202</v>
      </c>
      <c r="N117" t="n">
        <v>180</v>
      </c>
      <c r="O117" s="10" t="n">
        <v>3960986.45295987</v>
      </c>
      <c r="P117" s="10" t="n">
        <v>2009754.77789747</v>
      </c>
      <c r="Q117" s="10" t="n">
        <v>9766358.35475364</v>
      </c>
      <c r="R117" s="10" t="n">
        <v>15654630.4649978</v>
      </c>
      <c r="S117" s="10"/>
      <c r="T117" s="10"/>
      <c r="U117" s="10"/>
      <c r="V117" s="10"/>
      <c r="W117" s="10"/>
      <c r="X117" s="10" t="n">
        <v>-51337.1887549094</v>
      </c>
      <c r="Y117" s="10" t="n">
        <v>-1340210.44964759</v>
      </c>
      <c r="Z117" s="10"/>
      <c r="AA117" s="10" t="n">
        <v>-5116.06983209385</v>
      </c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203</v>
      </c>
      <c r="N118" t="n">
        <v>184</v>
      </c>
      <c r="O118" s="10" t="n">
        <v>15576038.3808272</v>
      </c>
      <c r="P118" s="10" t="n">
        <v>8378653.09474324</v>
      </c>
      <c r="Q118" s="10" t="n">
        <v>8398892.73100748</v>
      </c>
      <c r="R118" s="10" t="n">
        <v>62208458.4876997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204</v>
      </c>
      <c r="N119" t="n">
        <v>254</v>
      </c>
      <c r="O119" s="10" t="n">
        <v>10130915.0120016</v>
      </c>
      <c r="P119" s="10" t="n">
        <v>3266563.94219664</v>
      </c>
      <c r="Q119" s="10" t="n">
        <v>10597855.0898596</v>
      </c>
      <c r="R119" s="10" t="n">
        <v>39952368.3489318</v>
      </c>
      <c r="S119" s="10" t="n">
        <v>53998.4745899484</v>
      </c>
      <c r="T119" s="10"/>
      <c r="U119" s="10"/>
      <c r="V119" s="10"/>
      <c r="W119" s="10"/>
      <c r="X119" s="10" t="n">
        <v>-20038.9296172743</v>
      </c>
      <c r="Y119" s="10" t="n">
        <v>-86243.3420481315</v>
      </c>
      <c r="Z119" s="10" t="n">
        <v>-17797.2177961952</v>
      </c>
      <c r="AA119" s="10"/>
      <c r="AB119" s="10"/>
      <c r="AC119" s="10"/>
      <c r="AD119" s="10"/>
      <c r="AE119" s="10"/>
      <c r="AF119" s="10" t="n">
        <v>0</v>
      </c>
      <c r="AG119" s="10"/>
      <c r="AH119" s="10"/>
      <c r="AI119" s="10" t="n">
        <v>0</v>
      </c>
      <c r="AJ119" s="10"/>
      <c r="AK119" s="10"/>
      <c r="AL119" s="10"/>
      <c r="AM119" s="10"/>
    </row>
    <row r="120">
      <c r="M120" t="s">
        <v>205</v>
      </c>
      <c r="N120" t="n">
        <v>1924</v>
      </c>
      <c r="O120" s="10"/>
      <c r="P120" s="10"/>
      <c r="Q120" s="10"/>
      <c r="R120" s="10" t="n">
        <v>3064743.91671241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206</v>
      </c>
      <c r="N121" t="n">
        <v>429</v>
      </c>
      <c r="O121" s="10"/>
      <c r="P121" s="10"/>
      <c r="Q121" s="10"/>
      <c r="R121" s="10" t="n">
        <v>51239.0640370386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207</v>
      </c>
      <c r="N122" t="n">
        <v>2015</v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 t="n">
        <v>58397561.2129291</v>
      </c>
      <c r="AD122" s="10" t="n">
        <v>84707365.2416101</v>
      </c>
      <c r="AE122" s="10" t="n">
        <v>323817.651366147</v>
      </c>
      <c r="AF122" s="10" t="n">
        <v>0</v>
      </c>
      <c r="AG122" s="10"/>
      <c r="AH122" s="10" t="n">
        <v>-1226521.96901993</v>
      </c>
      <c r="AI122" s="10" t="n">
        <v>74382.0344446645</v>
      </c>
      <c r="AJ122" s="10" t="n">
        <v>18330004.8976794</v>
      </c>
      <c r="AK122" s="10" t="n">
        <v>270012842</v>
      </c>
      <c r="AL122" s="10" t="n">
        <v>-14243957.2788021</v>
      </c>
      <c r="AM122" s="10"/>
    </row>
    <row r="123">
      <c r="M123"/>
      <c r="N123"/>
      <c r="O123" s="10" t="n">
        <v>3092356317.88338</v>
      </c>
      <c r="P123" s="10" t="n">
        <v>3885018704.74731</v>
      </c>
      <c r="Q123" s="10" t="n">
        <v>5392471538.18147</v>
      </c>
      <c r="R123" s="10" t="n">
        <v>11736073168.1799</v>
      </c>
      <c r="S123" s="10" t="n">
        <v>11354905228.5007</v>
      </c>
      <c r="T123" s="10" t="n">
        <v>18890297508.6229</v>
      </c>
      <c r="U123" s="10" t="n">
        <v>16393039629.6085</v>
      </c>
      <c r="V123" s="10" t="n">
        <v>27381735741.9082</v>
      </c>
      <c r="W123" s="10" t="n">
        <v>33706911870.7227</v>
      </c>
      <c r="X123" s="10" t="n">
        <v>27450066781.1115</v>
      </c>
      <c r="Y123" s="10" t="n">
        <v>24073128549.6124</v>
      </c>
      <c r="Z123" s="10" t="n">
        <v>19864440671.848</v>
      </c>
      <c r="AA123" s="10" t="n">
        <v>10765944223.0109</v>
      </c>
      <c r="AB123" s="10" t="n">
        <v>7184462160.28266</v>
      </c>
      <c r="AC123" s="10" t="n">
        <v>5330415193.04808</v>
      </c>
      <c r="AD123" s="10" t="n">
        <v>7915098543.33114</v>
      </c>
      <c r="AE123" s="10" t="n">
        <v>8002157997.65835</v>
      </c>
      <c r="AF123" s="10" t="n">
        <v>8633688025.26896</v>
      </c>
      <c r="AG123" s="10" t="n">
        <v>12261205574.2148</v>
      </c>
      <c r="AH123" s="10" t="n">
        <v>11315656343.0153</v>
      </c>
      <c r="AI123" s="10" t="n">
        <v>9790485102.79134</v>
      </c>
      <c r="AJ123" s="10" t="n">
        <v>8695907500.44095</v>
      </c>
      <c r="AK123" s="10" t="n">
        <v>8852572756.3717</v>
      </c>
      <c r="AL123" s="10" t="n">
        <v>5145469094.85561</v>
      </c>
      <c r="AM12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AM2/Sum(AM$1:AM$123)</f>
      </c>
      <c r="K2" s="7" t="str">
        <f>AN2/Sum(AN1:AN$123)</f>
      </c>
      <c r="O2" t="s">
        <v>96</v>
      </c>
      <c r="P2" t="n">
        <v>688</v>
      </c>
      <c r="Q2" s="11"/>
      <c r="R2" s="11"/>
      <c r="S2" s="11"/>
      <c r="T2" s="11"/>
      <c r="U2" s="11"/>
      <c r="V2" s="11"/>
      <c r="W2" s="11"/>
      <c r="X2" s="11" t="n">
        <v>53596.7427409425</v>
      </c>
      <c r="Y2" s="11" t="n">
        <v>696409.041600171</v>
      </c>
      <c r="Z2" s="11" t="n">
        <v>241621.775155283</v>
      </c>
      <c r="AA2" s="11" t="n">
        <v>194524.559415822</v>
      </c>
      <c r="AB2" s="11"/>
      <c r="AC2" s="11" t="n">
        <v>10238.7386480464</v>
      </c>
      <c r="AD2" s="11" t="n">
        <v>299720.683846918</v>
      </c>
      <c r="AE2" s="11" t="n">
        <v>-303.299614706367</v>
      </c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AM3/Sum(AM$1:AM$123)</f>
      </c>
      <c r="K3" s="7" t="str">
        <f>AN3/Sum(AN1:AN$123)</f>
      </c>
      <c r="O3" t="s">
        <v>97</v>
      </c>
      <c r="P3" t="n">
        <v>2043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58816554.2804793</v>
      </c>
      <c r="AJ3" s="11" t="n">
        <v>47560126.8991145</v>
      </c>
      <c r="AK3" s="11" t="n">
        <v>69604401.665643</v>
      </c>
      <c r="AL3" s="11" t="n">
        <v>73268231.987581</v>
      </c>
      <c r="AM3" s="11" t="n">
        <v>50698141.6306</v>
      </c>
      <c r="AN3" s="11" t="n">
        <v>18633911.4287507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AM4/Sum(AM$1:AM$123)</f>
      </c>
      <c r="K4" s="7" t="str">
        <f>AN4/Sum(AN1:AN$123)</f>
      </c>
      <c r="O4" t="s">
        <v>98</v>
      </c>
      <c r="P4" t="n">
        <v>2044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 t="n">
        <v>693096.784340214</v>
      </c>
      <c r="AH4" s="11" t="n">
        <v>98972489.2702439</v>
      </c>
      <c r="AI4" s="11" t="n">
        <v>808844846.565229</v>
      </c>
      <c r="AJ4" s="11" t="n">
        <v>93472032.2254467</v>
      </c>
      <c r="AK4" s="11" t="n">
        <v>708695420.824229</v>
      </c>
      <c r="AL4" s="11" t="n">
        <v>105854215.705693</v>
      </c>
      <c r="AM4" s="11" t="n">
        <v>384386352.9914</v>
      </c>
      <c r="AN4" s="11" t="n">
        <v>166992536.498018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AM5/Sum(AM$1:AM$123)</f>
      </c>
      <c r="K5" s="7" t="str">
        <f>AN5/Sum(AN1:AN$123)</f>
      </c>
      <c r="O5" t="s">
        <v>99</v>
      </c>
      <c r="P5" t="n">
        <v>2045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17272.0449658883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AM6/Sum(AM$1:AM$123)</f>
      </c>
      <c r="K6" s="7" t="str">
        <f>AN6/Sum(AN1:AN$123)</f>
      </c>
      <c r="O6" t="s">
        <v>100</v>
      </c>
      <c r="P6" t="n">
        <v>2248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 t="n">
        <v>46420.3035044038</v>
      </c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AM7/Sum(AM$1:AM$123)</f>
      </c>
      <c r="K7" s="7" t="str">
        <f>AN7/Sum(AN1:AN$123)</f>
      </c>
      <c r="O7" t="s">
        <v>101</v>
      </c>
      <c r="P7" t="n">
        <v>563</v>
      </c>
      <c r="Q7" s="11"/>
      <c r="R7" s="11" t="n">
        <v>243830.641498999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AM8/Sum(AM$1:AM$123)</f>
      </c>
      <c r="K8" s="7" t="str">
        <f>AN8/Sum(AN1:AN$123)</f>
      </c>
      <c r="O8" t="s">
        <v>72</v>
      </c>
      <c r="P8" t="n">
        <v>250</v>
      </c>
      <c r="Q8" s="11" t="n">
        <v>503073275.280476</v>
      </c>
      <c r="R8" s="11" t="n">
        <v>433377186.98749</v>
      </c>
      <c r="S8" s="11" t="n">
        <v>493537940.641226</v>
      </c>
      <c r="T8" s="11" t="n">
        <v>592347033.66399</v>
      </c>
      <c r="U8" s="11" t="n">
        <v>482257.160632521</v>
      </c>
      <c r="V8" s="11"/>
      <c r="W8" s="11"/>
      <c r="X8" s="11"/>
      <c r="Y8" s="11" t="n">
        <v>-3171808.42642219</v>
      </c>
      <c r="Z8" s="11" t="n">
        <v>12790689.5495953</v>
      </c>
      <c r="AA8" s="11" t="n">
        <v>48175.19940468</v>
      </c>
      <c r="AB8" s="11" t="n">
        <v>-46814.4645265135</v>
      </c>
      <c r="AC8" s="11" t="n">
        <v>0</v>
      </c>
      <c r="AD8" s="11" t="n">
        <v>0</v>
      </c>
      <c r="AE8" s="11" t="n">
        <v>-2557282.84551331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AM9/Sum(AM$1:AM$123)</f>
      </c>
      <c r="K9" s="7" t="str">
        <f>AN9/Sum(AN1:AN$123)</f>
      </c>
      <c r="O9" t="s">
        <v>73</v>
      </c>
      <c r="P9" t="n">
        <v>1839</v>
      </c>
      <c r="Q9" s="11" t="n">
        <v>8552382.29943818</v>
      </c>
      <c r="R9" s="11" t="n">
        <v>2262633.82827036</v>
      </c>
      <c r="S9" s="11"/>
      <c r="T9" s="11"/>
      <c r="U9" s="11" t="n">
        <v>84100777.4682581</v>
      </c>
      <c r="V9" s="11" t="n">
        <v>563101943.28873</v>
      </c>
      <c r="W9" s="11" t="n">
        <v>1157140498.38961</v>
      </c>
      <c r="X9" s="11" t="n">
        <v>3205664934.64249</v>
      </c>
      <c r="Y9" s="11" t="n">
        <v>1761448580.39439</v>
      </c>
      <c r="Z9" s="11" t="n">
        <v>450027419.458894</v>
      </c>
      <c r="AA9" s="11" t="n">
        <v>317812061.05773</v>
      </c>
      <c r="AB9" s="11" t="n">
        <v>115621510.679978</v>
      </c>
      <c r="AC9" s="11" t="n">
        <v>51635315.620802</v>
      </c>
      <c r="AD9" s="11" t="n">
        <v>122917868.071782</v>
      </c>
      <c r="AE9" s="11" t="n">
        <v>83287480.0201076</v>
      </c>
      <c r="AF9" s="11" t="n">
        <v>-1427179.1486634</v>
      </c>
      <c r="AG9" s="11" t="n">
        <v>-7916965.70299184</v>
      </c>
      <c r="AH9" s="11" t="n">
        <v>13840494.9259607</v>
      </c>
      <c r="AI9" s="11" t="n">
        <v>-1885984.40677142</v>
      </c>
      <c r="AJ9" s="11" t="n">
        <v>-2085481.74600467</v>
      </c>
      <c r="AK9" s="11" t="n">
        <v>-1894797.98455058</v>
      </c>
      <c r="AL9" s="11" t="n">
        <v>-71968.0632537847</v>
      </c>
      <c r="AM9" s="11" t="n">
        <v>-1572797.3726</v>
      </c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AM10/Sum(AM$1:AM$123)</f>
      </c>
      <c r="K10" s="7" t="str">
        <f>AN10/Sum(AN1:AN$123)</f>
      </c>
      <c r="O10" t="s">
        <v>102</v>
      </c>
      <c r="P10" t="n">
        <v>2190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5829902.6956115</v>
      </c>
      <c r="AK10" s="11" t="n">
        <v>-5093580.03753483</v>
      </c>
      <c r="AL10" s="11" t="n">
        <v>0</v>
      </c>
      <c r="AM10" s="11" t="n">
        <v>-270086</v>
      </c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AM11/Sum(AM$1:AM$123)</f>
      </c>
      <c r="K11" s="7" t="str">
        <f>AN11/Sum(AN1:AN$123)</f>
      </c>
      <c r="O11" t="s">
        <v>103</v>
      </c>
      <c r="P11" t="n">
        <v>325</v>
      </c>
      <c r="Q11" s="11"/>
      <c r="R11" s="11" t="n">
        <v>347627.059820747</v>
      </c>
      <c r="S11" s="11" t="n">
        <v>699030.30188412</v>
      </c>
      <c r="T11" s="11" t="n">
        <v>209756.346905527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AM12/Sum(AM$1:AM$123)</f>
      </c>
      <c r="K12" s="7" t="str">
        <f>AN12/Sum(AN1:AN$123)</f>
      </c>
      <c r="O12" t="s">
        <v>104</v>
      </c>
      <c r="P12" t="n">
        <v>1757</v>
      </c>
      <c r="Q12" s="11"/>
      <c r="R12" s="11"/>
      <c r="S12" s="11" t="n">
        <v>267619.497347602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AM13/Sum(AM$1:AM$123)</f>
      </c>
      <c r="K13" s="7" t="str">
        <f>AN13/Sum(AN1:AN$123)</f>
      </c>
      <c r="O13" t="s">
        <v>105</v>
      </c>
      <c r="P13" t="n">
        <v>487</v>
      </c>
      <c r="Q13" s="11" t="n">
        <v>484898.360966276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AM14/Sum(AM$1:AM$123)</f>
      </c>
      <c r="K14" s="7" t="str">
        <f>AN14/Sum(AN1:AN$123)</f>
      </c>
      <c r="O14" t="s">
        <v>106</v>
      </c>
      <c r="P14" t="n">
        <v>1563</v>
      </c>
      <c r="Q14" s="11" t="n">
        <v>3230506.81880898</v>
      </c>
      <c r="R14" s="11" t="n">
        <v>7325300.622027</v>
      </c>
      <c r="S14" s="11" t="n">
        <v>3274044.89195937</v>
      </c>
      <c r="T14" s="11" t="n">
        <v>2444120.8787076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AM15/Sum(AM$1:AM$123)</f>
      </c>
      <c r="K15" s="7" t="str">
        <f>AN15/Sum(AN1:AN$123)</f>
      </c>
      <c r="O15" t="s">
        <v>74</v>
      </c>
      <c r="P15" t="n">
        <v>2146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81689182.5844474</v>
      </c>
      <c r="AG15" s="11" t="n">
        <v>198686158.724161</v>
      </c>
      <c r="AH15" s="11" t="n">
        <v>181579788.230432</v>
      </c>
      <c r="AI15" s="11" t="n">
        <v>464505756.508437</v>
      </c>
      <c r="AJ15" s="11" t="n">
        <v>698378026.066289</v>
      </c>
      <c r="AK15" s="11" t="n">
        <v>569379856.924422</v>
      </c>
      <c r="AL15" s="11" t="n">
        <v>84762189.8420125</v>
      </c>
      <c r="AM15" s="11" t="n">
        <v>57752439.6981</v>
      </c>
      <c r="AN15" s="11" t="n">
        <v>277295352.991762</v>
      </c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AM16/Sum(AM$1:AM$123)</f>
      </c>
      <c r="K16" s="7" t="str">
        <f>AN16/Sum(AN1:AN$123)</f>
      </c>
      <c r="O16" t="s">
        <v>107</v>
      </c>
      <c r="P16" t="n">
        <v>186</v>
      </c>
      <c r="Q16" s="11" t="n">
        <v>462030.933571893</v>
      </c>
      <c r="R16" s="11" t="n">
        <v>252899.557575713</v>
      </c>
      <c r="S16" s="11" t="n">
        <v>1563456.12467031</v>
      </c>
      <c r="T16" s="11" t="n">
        <v>6199999.89272178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AM17/Sum(AM$1:AM$123)</f>
      </c>
      <c r="K17" s="7" t="str">
        <f>AN17/Sum(AN1:AN$123)</f>
      </c>
      <c r="O17" t="s">
        <v>108</v>
      </c>
      <c r="P17" t="n">
        <v>1851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 t="n">
        <v>244678.655692531</v>
      </c>
      <c r="AC17" s="11" t="n">
        <v>-1890.4611596393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AM18/Sum(AM$1:AM$123)</f>
      </c>
      <c r="K18" s="7" t="str">
        <f>AN18/Sum(AN1:AN$123)</f>
      </c>
      <c r="O18" t="s">
        <v>109</v>
      </c>
      <c r="P18" t="n">
        <v>576</v>
      </c>
      <c r="Q18" s="11"/>
      <c r="R18" s="11"/>
      <c r="S18" s="11" t="n">
        <v>2980419.42864812</v>
      </c>
      <c r="T18" s="11" t="n">
        <v>313455.06948648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AM19/Sum(AM$1:AM$123)</f>
      </c>
      <c r="K19" s="7" t="str">
        <f>AN19/Sum(AN1:AN$123)</f>
      </c>
      <c r="O19" t="s">
        <v>75</v>
      </c>
      <c r="P19" t="n">
        <v>27</v>
      </c>
      <c r="Q19" s="11"/>
      <c r="R19" s="11"/>
      <c r="S19" s="11"/>
      <c r="T19" s="11"/>
      <c r="U19" s="11"/>
      <c r="V19" s="11"/>
      <c r="W19" s="11" t="n">
        <v>11687010.0520648</v>
      </c>
      <c r="X19" s="11" t="n">
        <v>1352091516.43583</v>
      </c>
      <c r="Y19" s="11" t="n">
        <v>4056788025.55878</v>
      </c>
      <c r="Z19" s="11" t="n">
        <v>1407581861.34247</v>
      </c>
      <c r="AA19" s="11" t="n">
        <v>641033365.403097</v>
      </c>
      <c r="AB19" s="11" t="n">
        <v>1006190981.38225</v>
      </c>
      <c r="AC19" s="11" t="n">
        <v>894417087.544833</v>
      </c>
      <c r="AD19" s="11" t="n">
        <v>382596035.447825</v>
      </c>
      <c r="AE19" s="11" t="n">
        <v>171930728.069512</v>
      </c>
      <c r="AF19" s="11" t="n">
        <v>89110277.5529587</v>
      </c>
      <c r="AG19" s="11" t="n">
        <v>-13157515.7200991</v>
      </c>
      <c r="AH19" s="11" t="n">
        <v>-16380317.3988107</v>
      </c>
      <c r="AI19" s="11" t="n">
        <v>-3979294.02392756</v>
      </c>
      <c r="AJ19" s="11" t="n">
        <v>-24376360.7880837</v>
      </c>
      <c r="AK19" s="11" t="n">
        <v>-4693646.275897</v>
      </c>
      <c r="AL19" s="11" t="n">
        <v>-476227.079050516</v>
      </c>
      <c r="AM19" s="11" t="n">
        <v>3791824.7343</v>
      </c>
      <c r="AN19" s="11" t="n">
        <v>-381193.443350727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AM20/Sum(AM$1:AM$123)</f>
      </c>
      <c r="K20" s="7" t="str">
        <f>AN20/Sum(AN1:AN$123)</f>
      </c>
      <c r="O20" t="s">
        <v>110</v>
      </c>
      <c r="P20" t="n">
        <v>1849</v>
      </c>
      <c r="Q20" s="11"/>
      <c r="R20" s="11"/>
      <c r="S20" s="11"/>
      <c r="T20" s="11"/>
      <c r="U20" s="11" t="n">
        <v>78759875.0963608</v>
      </c>
      <c r="V20" s="11" t="n">
        <v>326800470.965785</v>
      </c>
      <c r="W20" s="11" t="n">
        <v>152283407.513122</v>
      </c>
      <c r="X20" s="11" t="n">
        <v>44354475.8028621</v>
      </c>
      <c r="Y20" s="11" t="n">
        <v>21656407.7018393</v>
      </c>
      <c r="Z20" s="11" t="n">
        <v>12712358.4033571</v>
      </c>
      <c r="AA20" s="11" t="n">
        <v>70929622.7272603</v>
      </c>
      <c r="AB20" s="11" t="n">
        <v>3127360.98959518</v>
      </c>
      <c r="AC20" s="11" t="n">
        <v>73646293.1756483</v>
      </c>
      <c r="AD20" s="11" t="n">
        <v>69513189.3087807</v>
      </c>
      <c r="AE20" s="11" t="n">
        <v>142292911.88303</v>
      </c>
      <c r="AF20" s="11" t="n">
        <v>70854457.5640872</v>
      </c>
      <c r="AG20" s="11" t="n">
        <v>60023611.0578836</v>
      </c>
      <c r="AH20" s="11" t="n">
        <v>44616847.8653472</v>
      </c>
      <c r="AI20" s="11" t="n">
        <v>26534055.0684468</v>
      </c>
      <c r="AJ20" s="11" t="n">
        <v>-31713.875437008</v>
      </c>
      <c r="AK20" s="11" t="n">
        <v>-3852432.3478984</v>
      </c>
      <c r="AL20" s="11" t="n">
        <v>0</v>
      </c>
      <c r="AM20" s="11" t="n">
        <v>0</v>
      </c>
      <c r="AN20" s="11" t="n">
        <v>0</v>
      </c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AM21/Sum(AM$1:AM$123)</f>
      </c>
      <c r="K21" s="7" t="str">
        <f>AN21/Sum(AN1:AN$123)</f>
      </c>
      <c r="O21" t="s">
        <v>111</v>
      </c>
      <c r="P21" t="n">
        <v>1928</v>
      </c>
      <c r="Q21" s="11"/>
      <c r="R21" s="11"/>
      <c r="S21" s="11" t="n">
        <v>4083845.14130884</v>
      </c>
      <c r="T21" s="11" t="n">
        <v>1795070.89255563</v>
      </c>
      <c r="U21" s="11" t="n">
        <v>-61313.8979284247</v>
      </c>
      <c r="V21" s="11"/>
      <c r="W21" s="11"/>
      <c r="X21" s="11"/>
      <c r="Y21" s="11" t="n">
        <v>0</v>
      </c>
      <c r="Z21" s="11" t="n">
        <v>-789114.757269569</v>
      </c>
      <c r="AA21" s="11" t="n">
        <v>-851.86555960722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AM22/Sum(AM$1:AM$123)</f>
      </c>
      <c r="K22" s="7" t="str">
        <f>AN22/Sum(AN1:AN$123)</f>
      </c>
      <c r="O22" t="s">
        <v>112</v>
      </c>
      <c r="P22" t="n">
        <v>206</v>
      </c>
      <c r="Q22" s="11" t="n">
        <v>124067680.540504</v>
      </c>
      <c r="R22" s="11" t="n">
        <v>69314877.1326402</v>
      </c>
      <c r="S22" s="11" t="n">
        <v>123138933.695793</v>
      </c>
      <c r="T22" s="11" t="n">
        <v>165532923.325734</v>
      </c>
      <c r="U22" s="11" t="n">
        <v>-371.869832171426</v>
      </c>
      <c r="V22" s="11"/>
      <c r="W22" s="11" t="n">
        <v>-187895.704877516</v>
      </c>
      <c r="X22" s="11"/>
      <c r="Y22" s="11" t="n">
        <v>0</v>
      </c>
      <c r="Z22" s="11" t="n">
        <v>-79800.4276191144</v>
      </c>
      <c r="AA22" s="11" t="n">
        <v>1353831.51228231</v>
      </c>
      <c r="AB22" s="11"/>
      <c r="AC22" s="11"/>
      <c r="AD22" s="11"/>
      <c r="AE22" s="11"/>
      <c r="AF22" s="11" t="n">
        <v>47479.5088296757</v>
      </c>
      <c r="AG22" s="11" t="n">
        <v>0</v>
      </c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AM23/Sum(AM$1:AM$123)</f>
      </c>
      <c r="K23" s="7" t="str">
        <f>AN23/Sum(AN1:AN$123)</f>
      </c>
      <c r="O23" t="s">
        <v>113</v>
      </c>
      <c r="P23" t="n">
        <v>1972</v>
      </c>
      <c r="Q23" s="11"/>
      <c r="R23" s="11"/>
      <c r="S23" s="11"/>
      <c r="T23" s="11"/>
      <c r="U23" s="11"/>
      <c r="V23" s="11"/>
      <c r="W23" s="11" t="n">
        <v>16488.2034999158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AM24/Sum(AM$1:AM$123)</f>
      </c>
      <c r="K24" s="7" t="str">
        <f>AN24/Sum(AN1:AN$123)</f>
      </c>
      <c r="O24" t="s">
        <v>114</v>
      </c>
      <c r="P24" t="n">
        <v>587</v>
      </c>
      <c r="Q24" s="11" t="n">
        <v>702357.852634659</v>
      </c>
      <c r="R24" s="11" t="n">
        <v>1006067.59545071</v>
      </c>
      <c r="S24" s="11" t="n">
        <v>1333803.53618925</v>
      </c>
      <c r="T24" s="11" t="n">
        <v>2844451.49554919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AM25/Sum(AM$1:AM$123)</f>
      </c>
      <c r="K25" s="7" t="str">
        <f>AN25/Sum(AN1:AN$123)</f>
      </c>
      <c r="O25" t="s">
        <v>115</v>
      </c>
      <c r="P25" t="n">
        <v>260</v>
      </c>
      <c r="Q25" s="11"/>
      <c r="R25" s="11" t="n">
        <v>228729.452839687</v>
      </c>
      <c r="S25" s="11" t="n">
        <v>667921.290168861</v>
      </c>
      <c r="T25" s="11" t="n">
        <v>380801.104731592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AM26/Sum(AM$1:AM$123)</f>
      </c>
      <c r="K26" s="7" t="str">
        <f>AN26/Sum(AN1:AN$123)</f>
      </c>
      <c r="O26" t="s">
        <v>116</v>
      </c>
      <c r="P26" t="n">
        <v>256</v>
      </c>
      <c r="Q26" s="11"/>
      <c r="R26" s="11"/>
      <c r="S26" s="11" t="n">
        <v>440654.057218688</v>
      </c>
      <c r="T26" s="11" t="n">
        <v>1239133.52406669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AM27/Sum(AM$1:AM$123)</f>
      </c>
      <c r="K27" s="7" t="str">
        <f>AN27/Sum(AN1:AN$123)</f>
      </c>
      <c r="O27" t="s">
        <v>117</v>
      </c>
      <c r="P27" t="n">
        <v>891</v>
      </c>
      <c r="Q27" s="11"/>
      <c r="R27" s="11"/>
      <c r="S27" s="11" t="n">
        <v>64137.4892092751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AM28/Sum(AM$1:AM$123)</f>
      </c>
      <c r="K28" s="7" t="str">
        <f>AN28/Sum(AN1:AN$123)</f>
      </c>
      <c r="O28" t="s">
        <v>118</v>
      </c>
      <c r="P28" t="n">
        <v>1929</v>
      </c>
      <c r="Q28" s="11" t="n">
        <v>53778340.2888088</v>
      </c>
      <c r="R28" s="11" t="n">
        <v>119274021.421206</v>
      </c>
      <c r="S28" s="11" t="n">
        <v>117512046.165786</v>
      </c>
      <c r="T28" s="11" t="n">
        <v>149618135.560878</v>
      </c>
      <c r="U28" s="11" t="n">
        <v>3053092.97154861</v>
      </c>
      <c r="V28" s="11" t="n">
        <v>2664.26476016356</v>
      </c>
      <c r="W28" s="11"/>
      <c r="X28" s="11"/>
      <c r="Y28" s="11" t="n">
        <v>0</v>
      </c>
      <c r="Z28" s="11" t="n">
        <v>-15637.9908405963</v>
      </c>
      <c r="AA28" s="11"/>
      <c r="AB28" s="11"/>
      <c r="AC28" s="11" t="n">
        <v>-1517.16686071052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AM29/Sum(AM$1:AM$123)</f>
      </c>
      <c r="K29" s="7" t="str">
        <f>AN29/Sum(AN1:AN$123)</f>
      </c>
      <c r="O29" t="s">
        <v>119</v>
      </c>
      <c r="P29" t="n">
        <v>1344</v>
      </c>
      <c r="Q29" s="11"/>
      <c r="R29" s="11"/>
      <c r="S29" s="11"/>
      <c r="T29" s="11"/>
      <c r="U29" s="11"/>
      <c r="V29" s="11" t="n">
        <v>88280.9289345769</v>
      </c>
      <c r="W29" s="11" t="n">
        <v>45923.1350935501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AM30/Sum(AM$1:AM$123)</f>
      </c>
      <c r="K30" s="7" t="str">
        <f>AN30/Sum(AN1:AN$123)</f>
      </c>
      <c r="O30" t="s">
        <v>120</v>
      </c>
      <c r="P30" t="n">
        <v>219</v>
      </c>
      <c r="Q30" s="11" t="n">
        <v>62708.0989615913</v>
      </c>
      <c r="R30" s="11" t="n">
        <v>65042.5374282637</v>
      </c>
      <c r="S30" s="11" t="n">
        <v>18340.5265753399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AM31/Sum(AM$1:AM$123)</f>
      </c>
      <c r="K31" s="7" t="str">
        <f>AN31/Sum(AN1:AN$123)</f>
      </c>
      <c r="O31" t="s">
        <v>121</v>
      </c>
      <c r="P31" t="n">
        <v>221</v>
      </c>
      <c r="Q31" s="11"/>
      <c r="R31" s="11"/>
      <c r="S31" s="11" t="n">
        <v>39543.1691945707</v>
      </c>
      <c r="T31" s="11" t="n">
        <v>374445.175033496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AM32/Sum(AM$1:AM$123)</f>
      </c>
      <c r="K32" s="7" t="str">
        <f>AN32/Sum(AN1:AN$123)</f>
      </c>
      <c r="O32" t="s">
        <v>122</v>
      </c>
      <c r="P32" t="n">
        <v>220</v>
      </c>
      <c r="Q32" s="11"/>
      <c r="R32" s="11"/>
      <c r="S32" s="11"/>
      <c r="T32" s="11" t="n">
        <v>216659.334566131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AM33/Sum(AM$1:AM$123)</f>
      </c>
      <c r="K33" s="7" t="str">
        <f>AN33/Sum(AN1:AN$123)</f>
      </c>
      <c r="O33" t="s">
        <v>123</v>
      </c>
      <c r="P33" t="n">
        <v>253</v>
      </c>
      <c r="Q33" s="11" t="n">
        <v>41104.1724661277</v>
      </c>
      <c r="R33" s="11" t="n">
        <v>156659.254753611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AM34/Sum(AM$1:AM$123)</f>
      </c>
      <c r="K34" s="7" t="str">
        <f>AN34/Sum(AN1:AN$123)</f>
      </c>
      <c r="O34" t="s">
        <v>124</v>
      </c>
      <c r="P34" t="n">
        <v>1833</v>
      </c>
      <c r="Q34" s="11"/>
      <c r="R34" s="11"/>
      <c r="S34" s="11"/>
      <c r="T34" s="11"/>
      <c r="U34" s="11"/>
      <c r="V34" s="11"/>
      <c r="W34" s="11"/>
      <c r="X34" s="11" t="n">
        <v>175555.995918943</v>
      </c>
      <c r="Y34" s="11"/>
      <c r="Z34" s="11"/>
      <c r="AA34" s="11"/>
      <c r="AB34" s="11" t="n">
        <v>11591.9724221097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AM35/Sum(AM$1:AM$123)</f>
      </c>
      <c r="K35" s="7" t="str">
        <f>AN35/Sum(AN1:AN$123)</f>
      </c>
      <c r="O35" t="s">
        <v>125</v>
      </c>
      <c r="P35" t="n">
        <v>2073</v>
      </c>
      <c r="Q35" s="11"/>
      <c r="R35" s="11" t="n">
        <v>2303453.88383138</v>
      </c>
      <c r="S35" s="11" t="n">
        <v>5916259.41988119</v>
      </c>
      <c r="T35" s="11" t="n">
        <v>1377234.42091382</v>
      </c>
      <c r="U35" s="11" t="n">
        <v>4110018.43358758</v>
      </c>
      <c r="V35" s="11" t="n">
        <v>2086128.69096366</v>
      </c>
      <c r="W35" s="11" t="n">
        <v>3308881.70364121</v>
      </c>
      <c r="X35" s="11" t="n">
        <v>105331.367117962</v>
      </c>
      <c r="Y35" s="11" t="n">
        <v>-189577.191538148</v>
      </c>
      <c r="Z35" s="11" t="n">
        <v>-189425.378664866</v>
      </c>
      <c r="AA35" s="11" t="n">
        <v>-25032.1529339864</v>
      </c>
      <c r="AB35" s="11" t="n">
        <v>-598241.1165833</v>
      </c>
      <c r="AC35" s="11"/>
      <c r="AD35" s="11" t="n">
        <v>-352505.499160778</v>
      </c>
      <c r="AE35" s="11"/>
      <c r="AF35" s="11" t="n">
        <v>-78667.0524553829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AM36/Sum(AM$1:AM$123)</f>
      </c>
      <c r="K36" s="7" t="str">
        <f>AN36/Sum(AN1:AN$123)</f>
      </c>
      <c r="O36" t="s">
        <v>126</v>
      </c>
      <c r="P36" t="n">
        <v>1926</v>
      </c>
      <c r="Q36" s="11"/>
      <c r="R36" s="11"/>
      <c r="S36" s="11" t="n">
        <v>70038759.4028646</v>
      </c>
      <c r="T36" s="11" t="n">
        <v>66299560.6018254</v>
      </c>
      <c r="U36" s="11" t="n">
        <v>58090983.9043581</v>
      </c>
      <c r="V36" s="11" t="n">
        <v>43386185.2000842</v>
      </c>
      <c r="W36" s="11" t="n">
        <v>60096094.5027263</v>
      </c>
      <c r="X36" s="11" t="n">
        <v>27047135.9213738</v>
      </c>
      <c r="Y36" s="11" t="n">
        <v>13960717.2329217</v>
      </c>
      <c r="Z36" s="11" t="n">
        <v>-6379723.53325408</v>
      </c>
      <c r="AA36" s="11"/>
      <c r="AB36" s="11"/>
      <c r="AC36" s="11" t="n">
        <v>-486318.8745108</v>
      </c>
      <c r="AD36" s="11" t="n">
        <v>-7982883.72005318</v>
      </c>
      <c r="AE36" s="11" t="n">
        <v>0</v>
      </c>
      <c r="AF36" s="11"/>
      <c r="AG36" s="11"/>
      <c r="AH36" s="11"/>
      <c r="AI36" s="11" t="n">
        <v>76819.8121973754</v>
      </c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AM37/Sum(AM$1:AM$123)</f>
      </c>
      <c r="K37" s="7" t="str">
        <f>AN37/Sum(AN1:AN$123)</f>
      </c>
      <c r="O37" t="s">
        <v>127</v>
      </c>
      <c r="P37" t="n">
        <v>1930</v>
      </c>
      <c r="Q37" s="11" t="n">
        <v>691720026.555493</v>
      </c>
      <c r="R37" s="11" t="n">
        <v>8756454.1372941</v>
      </c>
      <c r="S37" s="11" t="n">
        <v>9455198.35413823</v>
      </c>
      <c r="T37" s="11" t="n">
        <v>16309085.5057264</v>
      </c>
      <c r="U37" s="11" t="n">
        <v>100425716.58387</v>
      </c>
      <c r="V37" s="11" t="n">
        <v>43255567.6532376</v>
      </c>
      <c r="W37" s="11" t="n">
        <v>38045838.1984055</v>
      </c>
      <c r="X37" s="11" t="n">
        <v>5063305.48660054</v>
      </c>
      <c r="Y37" s="11" t="n">
        <v>6882711.01218766</v>
      </c>
      <c r="Z37" s="11" t="n">
        <v>-28163.2812049509</v>
      </c>
      <c r="AA37" s="11" t="n">
        <v>-2748.12855179819</v>
      </c>
      <c r="AB37" s="11" t="n">
        <v>-294593.721870651</v>
      </c>
      <c r="AC37" s="11" t="n">
        <v>-369326.815344292</v>
      </c>
      <c r="AD37" s="11" t="n">
        <v>-1036112.09513204</v>
      </c>
      <c r="AE37" s="11" t="n">
        <v>-21733094.1189052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AM38/Sum(AM$1:AM$123)</f>
      </c>
      <c r="K38" s="7" t="str">
        <f>AN38/Sum(AN1:AN$123)</f>
      </c>
      <c r="O38" t="s">
        <v>128</v>
      </c>
      <c r="P38" t="n">
        <v>1931</v>
      </c>
      <c r="Q38" s="11" t="n">
        <v>70799791.3833989</v>
      </c>
      <c r="R38" s="11" t="n">
        <v>165333162.667133</v>
      </c>
      <c r="S38" s="11" t="n">
        <v>149359909.52713</v>
      </c>
      <c r="T38" s="11" t="n">
        <v>178108809.103396</v>
      </c>
      <c r="U38" s="11" t="n">
        <v>61779654.4808641</v>
      </c>
      <c r="V38" s="11" t="n">
        <v>1684040.53855752</v>
      </c>
      <c r="W38" s="11" t="n">
        <v>3633429.33276289</v>
      </c>
      <c r="X38" s="11" t="n">
        <v>9257561.46371953</v>
      </c>
      <c r="Y38" s="11" t="n">
        <v>900812.068009329</v>
      </c>
      <c r="Z38" s="11" t="n">
        <v>-312084.516229797</v>
      </c>
      <c r="AA38" s="11" t="n">
        <v>-608462.495080917</v>
      </c>
      <c r="AB38" s="11" t="n">
        <v>-4084556.78515258</v>
      </c>
      <c r="AC38" s="11" t="n">
        <v>-557649.12886235</v>
      </c>
      <c r="AD38" s="11" t="n">
        <v>-276824.03016565</v>
      </c>
      <c r="AE38" s="11" t="n">
        <v>-44393.0911016806</v>
      </c>
      <c r="AF38" s="11" t="n">
        <v>-25274.5787365025</v>
      </c>
      <c r="AG38" s="11" t="n">
        <v>-2510.77261797493</v>
      </c>
      <c r="AH38" s="11"/>
      <c r="AI38" s="11"/>
      <c r="AJ38" s="11"/>
      <c r="AK38" s="11"/>
      <c r="AL38" s="11"/>
      <c r="AM38" s="11" t="n">
        <v>-122448.2031</v>
      </c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AM39/Sum(AM$1:AM$123)</f>
      </c>
      <c r="K39" s="7" t="str">
        <f>AN39/Sum(AN1:AN$123)</f>
      </c>
      <c r="O39" t="s">
        <v>129</v>
      </c>
      <c r="P39" t="n">
        <v>1932</v>
      </c>
      <c r="Q39" s="11" t="n">
        <v>1431378.48255061</v>
      </c>
      <c r="R39" s="11" t="n">
        <v>76767.9250084026</v>
      </c>
      <c r="S39" s="11" t="n">
        <v>494265.543961608</v>
      </c>
      <c r="T39" s="11" t="n">
        <v>1142639.50913681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 t="n">
        <v>-35324.8329774517</v>
      </c>
      <c r="AF39" s="11"/>
      <c r="AG39" s="11"/>
      <c r="AH39" s="11" t="n">
        <v>0</v>
      </c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AM40/Sum(AM$1:AM$123)</f>
      </c>
      <c r="K40" s="7" t="str">
        <f>AN40/Sum(AN1:AN$123)</f>
      </c>
      <c r="O40" t="s">
        <v>130</v>
      </c>
      <c r="P40" t="n">
        <v>2075</v>
      </c>
      <c r="Q40" s="11"/>
      <c r="R40" s="11"/>
      <c r="S40" s="11"/>
      <c r="T40" s="11" t="n">
        <v>50323.2371972985</v>
      </c>
      <c r="U40" s="11" t="n">
        <v>1902.48606138902</v>
      </c>
      <c r="V40" s="11"/>
      <c r="W40" s="11"/>
      <c r="X40" s="11"/>
      <c r="Y40" s="11"/>
      <c r="Z40" s="11"/>
      <c r="AA40" s="11"/>
      <c r="AB40" s="11"/>
      <c r="AC40" s="11"/>
      <c r="AD40" s="11" t="n">
        <v>-20419.8778265304</v>
      </c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AM41/Sum(AM$1:AM$123)</f>
      </c>
      <c r="K41" s="7" t="str">
        <f>AN41/Sum(AN1:AN$123)</f>
      </c>
      <c r="O41" t="s">
        <v>131</v>
      </c>
      <c r="P41" t="n">
        <v>1950</v>
      </c>
      <c r="Q41" s="11"/>
      <c r="R41" s="11"/>
      <c r="S41" s="11"/>
      <c r="T41" s="11"/>
      <c r="U41" s="11"/>
      <c r="V41" s="11"/>
      <c r="W41" s="11"/>
      <c r="X41" s="11"/>
      <c r="Y41" s="11" t="n">
        <v>3648.7441003238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AM42/Sum(AM$1:AM$123)</f>
      </c>
      <c r="K42" s="7" t="str">
        <f>AN42/Sum(AN1:AN$123)</f>
      </c>
      <c r="O42" t="s">
        <v>132</v>
      </c>
      <c r="P42" t="n">
        <v>2079</v>
      </c>
      <c r="Q42" s="11"/>
      <c r="R42" s="11"/>
      <c r="S42" s="11"/>
      <c r="T42" s="11" t="n">
        <v>1980989.83637621</v>
      </c>
      <c r="U42" s="11" t="n">
        <v>1337243.91648845</v>
      </c>
      <c r="V42" s="11"/>
      <c r="W42" s="11"/>
      <c r="X42" s="11" t="n">
        <v>0</v>
      </c>
      <c r="Y42" s="11" t="n">
        <v>-258.365116861607</v>
      </c>
      <c r="Z42" s="11" t="n">
        <v>-187225.889875742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 t="n">
        <v>0</v>
      </c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AM43/Sum(AM$1:AM$123)</f>
      </c>
      <c r="K43" s="7" t="str">
        <f>AN43/Sum(AN1:AN$123)</f>
      </c>
      <c r="O43" t="s">
        <v>133</v>
      </c>
      <c r="P43" t="n">
        <v>1812</v>
      </c>
      <c r="Q43" s="11"/>
      <c r="R43" s="11"/>
      <c r="S43" s="11"/>
      <c r="T43" s="11" t="n">
        <v>687121.563130446</v>
      </c>
      <c r="U43" s="11" t="n">
        <v>159796020.052709</v>
      </c>
      <c r="V43" s="11" t="n">
        <v>67703726.8832643</v>
      </c>
      <c r="W43" s="11" t="n">
        <v>57903933.1944636</v>
      </c>
      <c r="X43" s="11" t="n">
        <v>15178423.9607661</v>
      </c>
      <c r="Y43" s="11" t="n">
        <v>100528573.789323</v>
      </c>
      <c r="Z43" s="11" t="n">
        <v>217731729.164731</v>
      </c>
      <c r="AA43" s="11" t="n">
        <v>330109763.225867</v>
      </c>
      <c r="AB43" s="11" t="n">
        <v>188808157.697563</v>
      </c>
      <c r="AC43" s="11" t="n">
        <v>72411823.3400163</v>
      </c>
      <c r="AD43" s="11" t="n">
        <v>55703500.1413061</v>
      </c>
      <c r="AE43" s="11" t="n">
        <v>80035086.1240487</v>
      </c>
      <c r="AF43" s="11" t="n">
        <v>60055898.528938</v>
      </c>
      <c r="AG43" s="11" t="n">
        <v>16955180.0769023</v>
      </c>
      <c r="AH43" s="11" t="n">
        <v>74862157.4230373</v>
      </c>
      <c r="AI43" s="11" t="n">
        <v>18913738.8432121</v>
      </c>
      <c r="AJ43" s="11" t="n">
        <v>1668467.76022043</v>
      </c>
      <c r="AK43" s="11" t="n">
        <v>-12555.4329901237</v>
      </c>
      <c r="AL43" s="11" t="n">
        <v>0</v>
      </c>
      <c r="AM43" s="11" t="n">
        <v>0</v>
      </c>
      <c r="AN43" s="11" t="n">
        <v>0</v>
      </c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AM44/Sum(AM$1:AM$123)</f>
      </c>
      <c r="K44" s="7" t="str">
        <f>AN44/Sum(AN1:AN$123)</f>
      </c>
      <c r="O44" t="s">
        <v>76</v>
      </c>
      <c r="P44" t="n">
        <v>1310</v>
      </c>
      <c r="Q44" s="11"/>
      <c r="R44" s="11"/>
      <c r="S44" s="11"/>
      <c r="T44" s="11"/>
      <c r="U44" s="11" t="n">
        <v>93761752.6671434</v>
      </c>
      <c r="V44" s="11" t="n">
        <v>538631936.469064</v>
      </c>
      <c r="W44" s="11" t="n">
        <v>4126166526.59104</v>
      </c>
      <c r="X44" s="11" t="n">
        <v>4092943094.40759</v>
      </c>
      <c r="Y44" s="11" t="n">
        <v>3996228819.73407</v>
      </c>
      <c r="Z44" s="11" t="n">
        <v>3884366035.69125</v>
      </c>
      <c r="AA44" s="11" t="n">
        <v>1919365983.00923</v>
      </c>
      <c r="AB44" s="11" t="n">
        <v>1141271705.4899</v>
      </c>
      <c r="AC44" s="11" t="n">
        <v>-205605842.18133</v>
      </c>
      <c r="AD44" s="11" t="n">
        <v>-44259331.8797766</v>
      </c>
      <c r="AE44" s="11" t="n">
        <v>17019292.5487959</v>
      </c>
      <c r="AF44" s="11" t="n">
        <v>-94162985.6420465</v>
      </c>
      <c r="AG44" s="11" t="n">
        <v>-274884370.743231</v>
      </c>
      <c r="AH44" s="11" t="n">
        <v>-110512782.901161</v>
      </c>
      <c r="AI44" s="11" t="n">
        <v>-2332423.07925139</v>
      </c>
      <c r="AJ44" s="11" t="n">
        <v>-276729.047095675</v>
      </c>
      <c r="AK44" s="11" t="n">
        <v>-212059.947401579</v>
      </c>
      <c r="AL44" s="11" t="n">
        <v>-8489.94044598463</v>
      </c>
      <c r="AM44" s="11" t="n">
        <v>-18885.6309</v>
      </c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AM45/Sum(AM$1:AM$123)</f>
      </c>
      <c r="K45" s="7" t="str">
        <f>AN45/Sum(AN1:AN$123)</f>
      </c>
      <c r="O45" t="s">
        <v>134</v>
      </c>
      <c r="P45" t="n">
        <v>470</v>
      </c>
      <c r="Q45" s="11"/>
      <c r="R45" s="11"/>
      <c r="S45" s="11"/>
      <c r="T45" s="11" t="n">
        <v>31447.4517333045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AM46/Sum(AM$1:AM$123)</f>
      </c>
      <c r="K46" s="7" t="str">
        <f>AN46/Sum(AN1:AN$123)</f>
      </c>
      <c r="O46" t="s">
        <v>135</v>
      </c>
      <c r="P46" t="n">
        <v>678</v>
      </c>
      <c r="Q46" s="11"/>
      <c r="R46" s="11"/>
      <c r="S46" s="11"/>
      <c r="T46" s="11"/>
      <c r="U46" s="11" t="n">
        <v>52915.5896386652</v>
      </c>
      <c r="V46" s="11"/>
      <c r="W46" s="11" t="n">
        <v>-389042.18854232</v>
      </c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AM47/Sum(AM$1:AM$123)</f>
      </c>
      <c r="K47" s="7" t="str">
        <f>AN47/Sum(AN1:AN$123)</f>
      </c>
      <c r="O47" t="s">
        <v>136</v>
      </c>
      <c r="P47" t="n">
        <v>1857</v>
      </c>
      <c r="Q47" s="11"/>
      <c r="R47" s="11" t="n">
        <v>1154782.67532829</v>
      </c>
      <c r="S47" s="11" t="n">
        <v>90888.2106904159</v>
      </c>
      <c r="T47" s="11" t="n">
        <v>1570680.88808908</v>
      </c>
      <c r="U47" s="11" t="n">
        <v>107533727.716909</v>
      </c>
      <c r="V47" s="11" t="n">
        <v>440541086.76923</v>
      </c>
      <c r="W47" s="11" t="n">
        <v>95565097.483235</v>
      </c>
      <c r="X47" s="11" t="n">
        <v>159371323.597621</v>
      </c>
      <c r="Y47" s="11" t="n">
        <v>5258619087.24835</v>
      </c>
      <c r="Z47" s="11" t="n">
        <v>128726307.733071</v>
      </c>
      <c r="AA47" s="11" t="n">
        <v>265435796.882194</v>
      </c>
      <c r="AB47" s="11" t="n">
        <v>88035445.8866665</v>
      </c>
      <c r="AC47" s="11" t="n">
        <v>10512856.4382536</v>
      </c>
      <c r="AD47" s="11" t="n">
        <v>37208312.0220748</v>
      </c>
      <c r="AE47" s="11" t="n">
        <v>-15331997.4602903</v>
      </c>
      <c r="AF47" s="11" t="n">
        <v>-27722760.3946213</v>
      </c>
      <c r="AG47" s="11" t="n">
        <v>-398750.576451534</v>
      </c>
      <c r="AH47" s="11" t="n">
        <v>-241982.712769032</v>
      </c>
      <c r="AI47" s="11" t="n">
        <v>-143601.202829736</v>
      </c>
      <c r="AJ47" s="11"/>
      <c r="AK47" s="11" t="n">
        <v>1254865.95277583</v>
      </c>
      <c r="AL47" s="11"/>
      <c r="AM47" s="11" t="n">
        <v>0</v>
      </c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AM48/Sum(AM$1:AM$123)</f>
      </c>
      <c r="K48" s="7" t="str">
        <f>AN48/Sum(AN1:AN$123)</f>
      </c>
      <c r="O48" t="s">
        <v>137</v>
      </c>
      <c r="P48" t="n">
        <v>268</v>
      </c>
      <c r="Q48" s="11"/>
      <c r="R48" s="11"/>
      <c r="S48" s="11" t="n">
        <v>119090.738438316</v>
      </c>
      <c r="T48" s="11" t="n">
        <v>249909.487050538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AM49/Sum(AM$1:AM$123)</f>
      </c>
      <c r="K49" s="7" t="str">
        <f>AN49/Sum(AN1:AN$123)</f>
      </c>
      <c r="O49" t="s">
        <v>138</v>
      </c>
      <c r="P49" t="n">
        <v>270</v>
      </c>
      <c r="Q49" s="11"/>
      <c r="R49" s="11" t="n">
        <v>782329.280281355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AM50/Sum(AM$1:AM$123)</f>
      </c>
      <c r="K50" s="7" t="str">
        <f>AN50/Sum(AN1:AN$123)</f>
      </c>
      <c r="O50" t="s">
        <v>139</v>
      </c>
      <c r="P50" t="n">
        <v>267</v>
      </c>
      <c r="Q50" s="11" t="n">
        <v>174418.058872582</v>
      </c>
      <c r="R50" s="11"/>
      <c r="S50" s="11" t="n">
        <v>323071.248611418</v>
      </c>
      <c r="T50" s="11" t="n">
        <v>2291525.23161154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AM51/Sum(AM$1:AM$123)</f>
      </c>
      <c r="K51" s="7" t="str">
        <f>AN51/Sum(AN1:AN$123)</f>
      </c>
      <c r="O51" t="s">
        <v>140</v>
      </c>
      <c r="P51" t="n">
        <v>272</v>
      </c>
      <c r="Q51" s="11" t="n">
        <v>659012.662589501</v>
      </c>
      <c r="R51" s="11"/>
      <c r="S51" s="11" t="n">
        <v>9286568.00539057</v>
      </c>
      <c r="T51" s="11" t="n">
        <v>91103788.8240941</v>
      </c>
      <c r="U51" s="11"/>
      <c r="V51" s="11"/>
      <c r="W51" s="11"/>
      <c r="X51" s="11"/>
      <c r="Y51" s="11"/>
      <c r="Z51" s="11"/>
      <c r="AA51" s="11" t="n">
        <v>-151015.409526617</v>
      </c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AM52/Sum(AM$1:AM$123)</f>
      </c>
      <c r="K52" s="7" t="str">
        <f>AN52/Sum(AN1:AN$123)</f>
      </c>
      <c r="O52" t="s">
        <v>141</v>
      </c>
      <c r="P52" t="n">
        <v>278</v>
      </c>
      <c r="Q52" s="11" t="n">
        <v>121131.281831195</v>
      </c>
      <c r="R52" s="11"/>
      <c r="S52" s="11" t="n">
        <v>167844.548032408</v>
      </c>
      <c r="T52" s="11" t="n">
        <v>725840.771401587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AM53/Sum(AM$1:AM$123)</f>
      </c>
      <c r="K53" s="7" t="str">
        <f>AN53/Sum(AN1:AN$123)</f>
      </c>
      <c r="O53" t="s">
        <v>142</v>
      </c>
      <c r="P53" t="n">
        <v>286</v>
      </c>
      <c r="Q53" s="11" t="n">
        <v>40837.5770079158</v>
      </c>
      <c r="R53" s="11"/>
      <c r="S53" s="11" t="n">
        <v>65215.2475025254</v>
      </c>
      <c r="T53" s="11" t="n">
        <v>43533143.0997937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AM54/Sum(AM$1:AM$123)</f>
      </c>
      <c r="K54" s="7" t="str">
        <f>AN54/Sum(AN1:AN$123)</f>
      </c>
      <c r="O54" t="s">
        <v>77</v>
      </c>
      <c r="P54" t="n">
        <v>684</v>
      </c>
      <c r="Q54" s="11"/>
      <c r="R54" s="11"/>
      <c r="S54" s="11"/>
      <c r="T54" s="11"/>
      <c r="U54" s="11"/>
      <c r="V54" s="11" t="n">
        <v>5079354.71804902</v>
      </c>
      <c r="W54" s="11" t="n">
        <v>-43442.8439879068</v>
      </c>
      <c r="X54" s="11"/>
      <c r="Y54" s="11"/>
      <c r="Z54" s="11"/>
      <c r="AA54" s="11"/>
      <c r="AB54" s="11"/>
      <c r="AC54" s="11"/>
      <c r="AD54" s="11"/>
      <c r="AE54" s="11"/>
      <c r="AF54" s="11" t="n">
        <v>176757851.629353</v>
      </c>
      <c r="AG54" s="11" t="n">
        <v>346614797.349342</v>
      </c>
      <c r="AH54" s="11" t="n">
        <v>667682541.448951</v>
      </c>
      <c r="AI54" s="11" t="n">
        <v>830373422.780334</v>
      </c>
      <c r="AJ54" s="11" t="n">
        <v>2241336852.07042</v>
      </c>
      <c r="AK54" s="11" t="n">
        <v>1797104281.15779</v>
      </c>
      <c r="AL54" s="11" t="n">
        <v>1328974376.24113</v>
      </c>
      <c r="AM54" s="11" t="n">
        <v>1143790701.3454</v>
      </c>
      <c r="AN54" s="11" t="n">
        <v>1119131759.41095</v>
      </c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AM55/Sum(AM$1:AM$123)</f>
      </c>
      <c r="K55" s="7" t="str">
        <f>AN55/Sum(AN1:AN$123)</f>
      </c>
      <c r="O55" t="s">
        <v>143</v>
      </c>
      <c r="P55" t="n">
        <v>190</v>
      </c>
      <c r="Q55" s="11"/>
      <c r="R55" s="11"/>
      <c r="S55" s="11"/>
      <c r="T55" s="11" t="n">
        <v>2275828.17291576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AM56/Sum(AM$1:AM$123)</f>
      </c>
      <c r="K56" s="7" t="str">
        <f>AN56/Sum(AN1:AN$123)</f>
      </c>
      <c r="O56" t="s">
        <v>144</v>
      </c>
      <c r="P56" t="n">
        <v>2187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 t="n">
        <v>162772.632554854</v>
      </c>
      <c r="AJ56" s="11"/>
      <c r="AK56" s="11" t="n">
        <v>-157544.022553941</v>
      </c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AM57/Sum(AM$1:AM$123)</f>
      </c>
      <c r="K57" s="7" t="str">
        <f>AN57/Sum(AN1:AN$123)</f>
      </c>
      <c r="O57" t="s">
        <v>145</v>
      </c>
      <c r="P57" t="n">
        <v>2178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 t="n">
        <v>99803.064915354</v>
      </c>
      <c r="AJ57" s="11"/>
      <c r="AK57" s="11"/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AM58/Sum(AM$1:AM$123)</f>
      </c>
      <c r="K58" s="7" t="str">
        <f>AN58/Sum(AN1:AN$123)</f>
      </c>
      <c r="O58" t="s">
        <v>146</v>
      </c>
      <c r="P58" t="n">
        <v>2188</v>
      </c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 t="n">
        <v>3272426.91578525</v>
      </c>
      <c r="AI58" s="11"/>
      <c r="AJ58" s="11"/>
      <c r="AK58" s="11" t="n">
        <v>3718904.99114658</v>
      </c>
      <c r="AL58" s="11" t="n">
        <v>3236767.76073008</v>
      </c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AM59/Sum(AM$1:AM$123)</f>
      </c>
      <c r="K59" s="7" t="str">
        <f>AN59/Sum(AN1:AN$123)</f>
      </c>
      <c r="O59" t="s">
        <v>147</v>
      </c>
      <c r="P59" t="n">
        <v>567</v>
      </c>
      <c r="Q59" s="11" t="n">
        <v>341150.089898412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AM60/Sum(AM$1:AM$123)</f>
      </c>
      <c r="K60" s="7" t="str">
        <f>AN60/Sum(AN1:AN$123)</f>
      </c>
      <c r="O60" t="s">
        <v>148</v>
      </c>
      <c r="P60" t="n">
        <v>189</v>
      </c>
      <c r="Q60" s="11" t="n">
        <v>9919811.80234897</v>
      </c>
      <c r="R60" s="11" t="n">
        <v>55922511.0922198</v>
      </c>
      <c r="S60" s="11" t="n">
        <v>75479929.3009816</v>
      </c>
      <c r="T60" s="11" t="n">
        <v>278136266.841598</v>
      </c>
      <c r="U60" s="11"/>
      <c r="V60" s="11"/>
      <c r="W60" s="11"/>
      <c r="X60" s="11"/>
      <c r="Y60" s="11" t="n">
        <v>-3687.00151966864</v>
      </c>
      <c r="Z60" s="11" t="n">
        <v>-803249.365998929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AM61/Sum(AM$1:AM$123)</f>
      </c>
      <c r="K61" s="7" t="str">
        <f>AN61/Sum(AN1:AN$123)</f>
      </c>
      <c r="O61" t="s">
        <v>149</v>
      </c>
      <c r="P61" t="n">
        <v>261</v>
      </c>
      <c r="Q61" s="11" t="n">
        <v>134903.764775427</v>
      </c>
      <c r="R61" s="11"/>
      <c r="S61" s="11"/>
      <c r="T61" s="11" t="n">
        <v>13096823.6272572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AM62/Sum(AM$1:AM$123)</f>
      </c>
      <c r="K62" s="7" t="str">
        <f>AN62/Sum(AN1:AN$123)</f>
      </c>
      <c r="O62" t="s">
        <v>150</v>
      </c>
      <c r="P62" t="n">
        <v>656</v>
      </c>
      <c r="Q62" s="11"/>
      <c r="R62" s="11"/>
      <c r="S62" s="11"/>
      <c r="T62" s="11"/>
      <c r="U62" s="11" t="n">
        <v>26765582.5545449</v>
      </c>
      <c r="V62" s="11" t="n">
        <v>27881774.5460817</v>
      </c>
      <c r="W62" s="11" t="n">
        <v>59008788.8500149</v>
      </c>
      <c r="X62" s="11" t="n">
        <v>126370511.789209</v>
      </c>
      <c r="Y62" s="11" t="n">
        <v>32884354.1307508</v>
      </c>
      <c r="Z62" s="11" t="n">
        <v>23651462.7078297</v>
      </c>
      <c r="AA62" s="11" t="n">
        <v>-1079883.36239385</v>
      </c>
      <c r="AB62" s="11" t="n">
        <v>96978914.1356439</v>
      </c>
      <c r="AC62" s="11" t="n">
        <v>70964792.4096337</v>
      </c>
      <c r="AD62" s="11" t="n">
        <v>15584376.6436374</v>
      </c>
      <c r="AE62" s="11" t="n">
        <v>8255457.7522138</v>
      </c>
      <c r="AF62" s="11" t="n">
        <v>-204124.949360523</v>
      </c>
      <c r="AG62" s="11" t="n">
        <v>-28956.4650782334</v>
      </c>
      <c r="AH62" s="11"/>
      <c r="AI62" s="11" t="n">
        <v>668.680534932872</v>
      </c>
      <c r="AJ62" s="11"/>
      <c r="AK62" s="11"/>
      <c r="AL62" s="11"/>
      <c r="AM62" s="11" t="n">
        <v>67500</v>
      </c>
      <c r="AN62" s="11" t="n">
        <v>65756.7305815132</v>
      </c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AM63/Sum(AM$1:AM$123)</f>
      </c>
      <c r="K63" s="7" t="str">
        <f>AN63/Sum(AN1:AN$123)</f>
      </c>
      <c r="O63" t="s">
        <v>151</v>
      </c>
      <c r="P63" t="n">
        <v>1927</v>
      </c>
      <c r="Q63" s="11"/>
      <c r="R63" s="11"/>
      <c r="S63" s="11" t="n">
        <v>695728.696507391</v>
      </c>
      <c r="T63" s="11" t="n">
        <v>1916016.41741974</v>
      </c>
      <c r="U63" s="11"/>
      <c r="V63" s="11" t="n">
        <v>-343494.538848418</v>
      </c>
      <c r="W63" s="11"/>
      <c r="X63" s="11"/>
      <c r="Y63" s="11" t="n">
        <v>-50758.5224320514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AM64/Sum(AM$1:AM$123)</f>
      </c>
      <c r="K64" s="7" t="str">
        <f>AN64/Sum(AN1:AN$123)</f>
      </c>
      <c r="O64" t="s">
        <v>152</v>
      </c>
      <c r="P64" t="n">
        <v>258</v>
      </c>
      <c r="Q64" s="11" t="n">
        <v>649166.403666208</v>
      </c>
      <c r="R64" s="11" t="n">
        <v>8650689.02750188</v>
      </c>
      <c r="S64" s="11" t="n">
        <v>35600603.5676281</v>
      </c>
      <c r="T64" s="11" t="n">
        <v>55941973.5283924</v>
      </c>
      <c r="U64" s="11"/>
      <c r="V64" s="11"/>
      <c r="W64" s="11"/>
      <c r="X64" s="11"/>
      <c r="Y64" s="11"/>
      <c r="Z64" s="11"/>
      <c r="AA64" s="11" t="n">
        <v>-246938.058820344</v>
      </c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AM65/Sum(AM$1:AM$123)</f>
      </c>
      <c r="K65" s="7" t="str">
        <f>AN65/Sum(AN1:AN$123)</f>
      </c>
      <c r="O65" t="s">
        <v>153</v>
      </c>
      <c r="P65" t="n">
        <v>1974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 t="n">
        <v>2345524.32615247</v>
      </c>
      <c r="AD65" s="11" t="n">
        <v>118886.576629854</v>
      </c>
      <c r="AE65" s="11" t="n">
        <v>0</v>
      </c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AM66/Sum(AM$1:AM$123)</f>
      </c>
      <c r="K66" s="7" t="str">
        <f>AN66/Sum(AN1:AN$123)</f>
      </c>
      <c r="O66" t="s">
        <v>154</v>
      </c>
      <c r="P66" t="n">
        <v>492</v>
      </c>
      <c r="Q66" s="11"/>
      <c r="R66" s="11"/>
      <c r="S66" s="11"/>
      <c r="T66" s="11" t="n">
        <v>6094637.13867827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AM67/Sum(AM$1:AM$123)</f>
      </c>
      <c r="K67" s="7" t="str">
        <f>AN67/Sum(AN1:AN$123)</f>
      </c>
      <c r="O67" t="s">
        <v>155</v>
      </c>
      <c r="P67" t="n">
        <v>595</v>
      </c>
      <c r="Q67" s="11"/>
      <c r="R67" s="11"/>
      <c r="S67" s="11"/>
      <c r="T67" s="11" t="n">
        <v>8411.58761292054</v>
      </c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AM68/Sum(AM$1:AM$123)</f>
      </c>
      <c r="K68" s="7" t="str">
        <f>AN68/Sum(AN1:AN$123)</f>
      </c>
      <c r="O68" t="s">
        <v>156</v>
      </c>
      <c r="P68" t="n">
        <v>197</v>
      </c>
      <c r="Q68" s="11"/>
      <c r="R68" s="11" t="n">
        <v>75245.6595684949</v>
      </c>
      <c r="S68" s="11" t="n">
        <v>282645.994819489</v>
      </c>
      <c r="T68" s="11" t="n">
        <v>48340.7235225866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AM69/Sum(AM$1:AM$123)</f>
      </c>
      <c r="K69" s="7" t="str">
        <f>AN69/Sum(AN1:AN$123)</f>
      </c>
      <c r="O69" t="s">
        <v>157</v>
      </c>
      <c r="P69" t="n">
        <v>71</v>
      </c>
      <c r="Q69" s="11"/>
      <c r="R69" s="11"/>
      <c r="S69" s="11"/>
      <c r="T69" s="11"/>
      <c r="U69" s="11"/>
      <c r="V69" s="11"/>
      <c r="W69" s="11" t="n">
        <v>92080.2337821171</v>
      </c>
      <c r="X69" s="11" t="n">
        <v>1028163.04425724</v>
      </c>
      <c r="Y69" s="11" t="n">
        <v>61835467.2104507</v>
      </c>
      <c r="Z69" s="11" t="n">
        <v>60653848.0910988</v>
      </c>
      <c r="AA69" s="11" t="n">
        <v>49123103.9886781</v>
      </c>
      <c r="AB69" s="11" t="n">
        <v>54244402.1675292</v>
      </c>
      <c r="AC69" s="11" t="n">
        <v>-12484160.449171</v>
      </c>
      <c r="AD69" s="11" t="n">
        <v>13701594.0053185</v>
      </c>
      <c r="AE69" s="11" t="n">
        <v>33849424.8013797</v>
      </c>
      <c r="AF69" s="11" t="n">
        <v>6764660.19175443</v>
      </c>
      <c r="AG69" s="11" t="n">
        <v>9992556.21179263</v>
      </c>
      <c r="AH69" s="11" t="n">
        <v>6317132.9104443</v>
      </c>
      <c r="AI69" s="11" t="n">
        <v>7783918.95893381</v>
      </c>
      <c r="AJ69" s="11" t="n">
        <v>-134983.878714447</v>
      </c>
      <c r="AK69" s="11"/>
      <c r="AL69" s="11" t="n">
        <v>-76215.7957139566</v>
      </c>
      <c r="AM69" s="11" t="n">
        <v>0</v>
      </c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AM70/Sum(AM$1:AM$123)</f>
      </c>
      <c r="K70" s="7" t="str">
        <f>AN70/Sum(AN1:AN$123)</f>
      </c>
      <c r="O70" t="s">
        <v>78</v>
      </c>
      <c r="P70" t="n">
        <v>1863</v>
      </c>
      <c r="Q70" s="11"/>
      <c r="R70" s="11"/>
      <c r="S70" s="11"/>
      <c r="T70" s="11"/>
      <c r="U70" s="11"/>
      <c r="V70" s="11" t="n">
        <v>4290625.51859235</v>
      </c>
      <c r="W70" s="11" t="n">
        <v>11163328.8820217</v>
      </c>
      <c r="X70" s="11" t="n">
        <v>33813956.1304678</v>
      </c>
      <c r="Y70" s="11" t="n">
        <v>52921491.4304062</v>
      </c>
      <c r="Z70" s="11" t="n">
        <v>60888775.8001067</v>
      </c>
      <c r="AA70" s="11" t="n">
        <v>2757087959.81295</v>
      </c>
      <c r="AB70" s="11" t="n">
        <v>543872539.73063</v>
      </c>
      <c r="AC70" s="11" t="n">
        <v>329294771.488656</v>
      </c>
      <c r="AD70" s="11" t="n">
        <v>139964976.372654</v>
      </c>
      <c r="AE70" s="11" t="n">
        <v>110767397.827004</v>
      </c>
      <c r="AF70" s="11" t="n">
        <v>145892856.132391</v>
      </c>
      <c r="AG70" s="11" t="n">
        <v>157456717.587155</v>
      </c>
      <c r="AH70" s="11" t="n">
        <v>34197097.3346525</v>
      </c>
      <c r="AI70" s="11" t="n">
        <v>34579547.8201527</v>
      </c>
      <c r="AJ70" s="11" t="n">
        <v>32993194.0882854</v>
      </c>
      <c r="AK70" s="11" t="n">
        <v>32294225.691167</v>
      </c>
      <c r="AL70" s="11" t="n">
        <v>11291873.1913321</v>
      </c>
      <c r="AM70" s="11" t="n">
        <v>-2054352.7805</v>
      </c>
      <c r="AN70" s="11" t="n">
        <v>-2307153.15334867</v>
      </c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AM71/Sum(AM$1:AM$123)</f>
      </c>
      <c r="K71" s="7" t="str">
        <f>AN71/Sum(AN1:AN$123)</f>
      </c>
      <c r="O71" t="s">
        <v>158</v>
      </c>
      <c r="P71" t="n">
        <v>249</v>
      </c>
      <c r="Q71" s="11" t="n">
        <v>2878198.49718686</v>
      </c>
      <c r="R71" s="11" t="n">
        <v>12843411.8831555</v>
      </c>
      <c r="S71" s="11" t="n">
        <v>23366049.8251666</v>
      </c>
      <c r="T71" s="11" t="n">
        <v>49257586.572395</v>
      </c>
      <c r="U71" s="11" t="n">
        <v>2208.90680309827</v>
      </c>
      <c r="V71" s="11"/>
      <c r="W71" s="11"/>
      <c r="X71" s="11"/>
      <c r="Y71" s="11"/>
      <c r="Z71" s="11" t="n">
        <v>-773.698190772543</v>
      </c>
      <c r="AA71" s="11" t="n">
        <v>0</v>
      </c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AM72/Sum(AM$1:AM$123)</f>
      </c>
      <c r="K72" s="7" t="str">
        <f>AN72/Sum(AN1:AN$123)</f>
      </c>
      <c r="O72" t="s">
        <v>159</v>
      </c>
      <c r="P72" t="n">
        <v>2002</v>
      </c>
      <c r="Q72" s="11"/>
      <c r="R72" s="11"/>
      <c r="S72" s="11"/>
      <c r="T72" s="11"/>
      <c r="U72" s="11"/>
      <c r="V72" s="11"/>
      <c r="W72" s="11"/>
      <c r="X72" s="11"/>
      <c r="Y72" s="11" t="n">
        <v>5330146.54318264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AM73/Sum(AM$1:AM$123)</f>
      </c>
      <c r="K73" s="7" t="str">
        <f>AN73/Sum(AN1:AN$123)</f>
      </c>
      <c r="O73" t="s">
        <v>160</v>
      </c>
      <c r="P73" t="n">
        <v>1568</v>
      </c>
      <c r="Q73" s="11"/>
      <c r="R73" s="11" t="n">
        <v>153597.371625257</v>
      </c>
      <c r="S73" s="11" t="n">
        <v>42619.5945244394</v>
      </c>
      <c r="T73" s="11" t="n">
        <v>284851.100087543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AM74/Sum(AM$1:AM$123)</f>
      </c>
      <c r="K74" s="7" t="str">
        <f>AN74/Sum(AN1:AN$123)</f>
      </c>
      <c r="O74" t="s">
        <v>161</v>
      </c>
      <c r="P74" t="n">
        <v>222</v>
      </c>
      <c r="Q74" s="11"/>
      <c r="R74" s="11" t="n">
        <v>1209806.65544168</v>
      </c>
      <c r="S74" s="11" t="n">
        <v>156163.138980782</v>
      </c>
      <c r="T74" s="11" t="n">
        <v>2440977.20022111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AM75/Sum(AM$1:AM$123)</f>
      </c>
      <c r="K75" s="7" t="str">
        <f>AN75/Sum(AN1:AN$123)</f>
      </c>
      <c r="O75" t="s">
        <v>162</v>
      </c>
      <c r="P75" t="n">
        <v>228</v>
      </c>
      <c r="Q75" s="11"/>
      <c r="R75" s="11" t="n">
        <v>64043.9943987699</v>
      </c>
      <c r="S75" s="11"/>
      <c r="T75" s="11" t="n">
        <v>55408.2857234427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AM76/Sum(AM$1:AM$123)</f>
      </c>
      <c r="K76" s="7" t="str">
        <f>AN76/Sum(AN1:AN$123)</f>
      </c>
      <c r="O76" t="s">
        <v>163</v>
      </c>
      <c r="P76" t="n">
        <v>252</v>
      </c>
      <c r="Q76" s="11" t="n">
        <v>149710.314951512</v>
      </c>
      <c r="R76" s="11"/>
      <c r="S76" s="11" t="n">
        <v>154712.668885831</v>
      </c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AM77/Sum(AM$1:AM$123)</f>
      </c>
      <c r="K77" s="7" t="str">
        <f>AN77/Sum(AN1:AN$123)</f>
      </c>
      <c r="O77" t="s">
        <v>164</v>
      </c>
      <c r="P77" t="n">
        <v>883</v>
      </c>
      <c r="Q77" s="11" t="n">
        <v>63620128.4870545</v>
      </c>
      <c r="R77" s="11" t="n">
        <v>43047215.2411147</v>
      </c>
      <c r="S77" s="11" t="n">
        <v>36501685.5961115</v>
      </c>
      <c r="T77" s="11" t="n">
        <v>34312700.574459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 t="n">
        <v>0</v>
      </c>
      <c r="AI77" s="11"/>
      <c r="AJ77" s="11"/>
      <c r="AK77" s="11" t="n">
        <v>0</v>
      </c>
      <c r="AL77" s="11" t="n">
        <v>0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AM78/Sum(AM$1:AM$123)</f>
      </c>
      <c r="K78" s="7" t="str">
        <f>AN78/Sum(AN1:AN$123)</f>
      </c>
      <c r="O78" t="s">
        <v>165</v>
      </c>
      <c r="P78" t="n">
        <v>882</v>
      </c>
      <c r="Q78" s="11" t="n">
        <v>140254587.675628</v>
      </c>
      <c r="R78" s="11" t="n">
        <v>144148976.070315</v>
      </c>
      <c r="S78" s="11" t="n">
        <v>28749068.9173892</v>
      </c>
      <c r="T78" s="11" t="n">
        <v>4506672.63816243</v>
      </c>
      <c r="U78" s="11"/>
      <c r="V78" s="11"/>
      <c r="W78" s="11"/>
      <c r="X78" s="11"/>
      <c r="Y78" s="11"/>
      <c r="Z78" s="11" t="n">
        <v>-2672.80915809411</v>
      </c>
      <c r="AA78" s="11"/>
      <c r="AB78" s="11"/>
      <c r="AC78" s="11"/>
      <c r="AD78" s="11"/>
      <c r="AE78" s="11"/>
      <c r="AF78" s="11"/>
      <c r="AG78" s="11"/>
      <c r="AH78" s="11" t="n">
        <v>0</v>
      </c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AM79/Sum(AM$1:AM$123)</f>
      </c>
      <c r="K79" s="7" t="str">
        <f>AN79/Sum(AN1:AN$123)</f>
      </c>
      <c r="O79" t="s">
        <v>166</v>
      </c>
      <c r="P79" t="n">
        <v>422</v>
      </c>
      <c r="Q79" s="11"/>
      <c r="R79" s="11"/>
      <c r="S79" s="11" t="n">
        <v>45828.0219507435</v>
      </c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AM80/Sum(AM$1:AM$123)</f>
      </c>
      <c r="K80" s="7" t="str">
        <f>AN80/Sum(AN1:AN$123)</f>
      </c>
      <c r="O80" t="s">
        <v>167</v>
      </c>
      <c r="P80" t="n">
        <v>239</v>
      </c>
      <c r="Q80" s="11"/>
      <c r="R80" s="11"/>
      <c r="S80" s="11" t="n">
        <v>23226054.6135504</v>
      </c>
      <c r="T80" s="11" t="n">
        <v>2732965.95907295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AM81/Sum(AM$1:AM$123)</f>
      </c>
      <c r="K81" s="7" t="str">
        <f>AN81/Sum(AN1:AN$123)</f>
      </c>
      <c r="O81" t="s">
        <v>168</v>
      </c>
      <c r="P81" t="n">
        <v>233</v>
      </c>
      <c r="Q81" s="11" t="n">
        <v>11366660.9001261</v>
      </c>
      <c r="R81" s="11"/>
      <c r="S81" s="11"/>
      <c r="T81" s="11" t="n">
        <v>319398.038995608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AM82/Sum(AM$1:AM$123)</f>
      </c>
      <c r="K82" s="7" t="str">
        <f>AN82/Sum(AN1:AN$123)</f>
      </c>
      <c r="O82" t="s">
        <v>79</v>
      </c>
      <c r="P82" t="n">
        <v>53</v>
      </c>
      <c r="Q82" s="11"/>
      <c r="R82" s="11"/>
      <c r="S82" s="11"/>
      <c r="T82" s="11"/>
      <c r="U82" s="11" t="n">
        <v>181109539.093374</v>
      </c>
      <c r="V82" s="11" t="n">
        <v>232539289.030345</v>
      </c>
      <c r="W82" s="11" t="n">
        <v>3020466.56330955</v>
      </c>
      <c r="X82" s="11" t="n">
        <v>389073881.005942</v>
      </c>
      <c r="Y82" s="11" t="n">
        <v>1173459195.59515</v>
      </c>
      <c r="Z82" s="11" t="n">
        <v>1119335862.19525</v>
      </c>
      <c r="AA82" s="11" t="n">
        <v>761715997.617754</v>
      </c>
      <c r="AB82" s="11" t="n">
        <v>431923416.003442</v>
      </c>
      <c r="AC82" s="11" t="n">
        <v>314276090.529999</v>
      </c>
      <c r="AD82" s="11" t="n">
        <v>268733505.950967</v>
      </c>
      <c r="AE82" s="11" t="n">
        <v>153156846.821987</v>
      </c>
      <c r="AF82" s="11" t="n">
        <v>100104889.702256</v>
      </c>
      <c r="AG82" s="11" t="n">
        <v>163288505.750307</v>
      </c>
      <c r="AH82" s="11" t="n">
        <v>16939675.7262411</v>
      </c>
      <c r="AI82" s="11" t="n">
        <v>-6951409.74712519</v>
      </c>
      <c r="AJ82" s="11" t="n">
        <v>61576047.5984713</v>
      </c>
      <c r="AK82" s="11" t="n">
        <v>17872960.9391511</v>
      </c>
      <c r="AL82" s="11" t="n">
        <v>39772601.3044564</v>
      </c>
      <c r="AM82" s="11" t="n">
        <v>-8210768.2549</v>
      </c>
      <c r="AN82" s="11" t="n">
        <v>950790.09934658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AM83/Sum(AM$1:AM$123)</f>
      </c>
      <c r="K83" s="7" t="str">
        <f>AN83/Sum(AN1:AN$123)</f>
      </c>
      <c r="O83" t="s">
        <v>169</v>
      </c>
      <c r="P83" t="n">
        <v>327</v>
      </c>
      <c r="Q83" s="11" t="n">
        <v>61462.3710932193</v>
      </c>
      <c r="R83" s="11" t="n">
        <v>110423.399786051</v>
      </c>
      <c r="S83" s="11" t="n">
        <v>75008.2500922031</v>
      </c>
      <c r="T83" s="11" t="n">
        <v>117640.319514034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AM84/Sum(AM$1:AM$123)</f>
      </c>
      <c r="K84" s="7" t="str">
        <f>AN84/Sum(AN1:AN$123)</f>
      </c>
      <c r="O84" t="s">
        <v>170</v>
      </c>
      <c r="P84" t="n">
        <v>329</v>
      </c>
      <c r="Q84" s="11" t="n">
        <v>12525772.7119901</v>
      </c>
      <c r="R84" s="11" t="n">
        <v>9695526.27861747</v>
      </c>
      <c r="S84" s="11" t="n">
        <v>32266132.7748181</v>
      </c>
      <c r="T84" s="11" t="n">
        <v>47415124.3075999</v>
      </c>
      <c r="U84" s="11"/>
      <c r="V84" s="11"/>
      <c r="W84" s="11"/>
      <c r="X84" s="11"/>
      <c r="Y84" s="11"/>
      <c r="Z84" s="11"/>
      <c r="AA84" s="11" t="n">
        <v>-70697.264584936</v>
      </c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AM85/Sum(AM$1:AM$123)</f>
      </c>
      <c r="K85" s="7" t="str">
        <f>AN85/Sum(AN1:AN$123)</f>
      </c>
      <c r="O85" t="s">
        <v>171</v>
      </c>
      <c r="P85" t="n">
        <v>1800</v>
      </c>
      <c r="Q85" s="11"/>
      <c r="R85" s="11"/>
      <c r="S85" s="11"/>
      <c r="T85" s="11"/>
      <c r="U85" s="11"/>
      <c r="V85" s="11"/>
      <c r="W85" s="11"/>
      <c r="X85" s="11" t="n">
        <v>18497645.406883</v>
      </c>
      <c r="Y85" s="11" t="n">
        <v>161390.165543643</v>
      </c>
      <c r="Z85" s="11" t="n">
        <v>255686.712514978</v>
      </c>
      <c r="AA85" s="11" t="n">
        <v>160628.529345727</v>
      </c>
      <c r="AB85" s="11" t="n">
        <v>425865.252045477</v>
      </c>
      <c r="AC85" s="11" t="n">
        <v>254945.284951356</v>
      </c>
      <c r="AD85" s="11" t="n">
        <v>1145574.3144372</v>
      </c>
      <c r="AE85" s="11" t="n">
        <v>269733.507006737</v>
      </c>
      <c r="AF85" s="11" t="n">
        <v>0</v>
      </c>
      <c r="AG85" s="11"/>
      <c r="AH85" s="11" t="n">
        <v>0</v>
      </c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AM86/Sum(AM$1:AM$123)</f>
      </c>
      <c r="K86" s="7" t="str">
        <f>AN86/Sum(AN1:AN$123)</f>
      </c>
      <c r="O86" t="s">
        <v>172</v>
      </c>
      <c r="P86" t="n">
        <v>235</v>
      </c>
      <c r="Q86" s="11"/>
      <c r="R86" s="11" t="n">
        <v>150204.218297546</v>
      </c>
      <c r="S86" s="11" t="n">
        <v>254065.211492431</v>
      </c>
      <c r="T86" s="11" t="n">
        <v>230009.682224971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AM87/Sum(AM$1:AM$123)</f>
      </c>
      <c r="K87" s="7" t="str">
        <f>AN87/Sum(AN1:AN$123)</f>
      </c>
      <c r="O87" t="s">
        <v>173</v>
      </c>
      <c r="P87" t="n">
        <v>236</v>
      </c>
      <c r="Q87" s="11" t="n">
        <v>47276.2612562459</v>
      </c>
      <c r="R87" s="11"/>
      <c r="S87" s="11" t="n">
        <v>1051326.81464637</v>
      </c>
      <c r="T87" s="11" t="n">
        <v>34822909.0783327</v>
      </c>
      <c r="U87" s="11"/>
      <c r="V87" s="11"/>
      <c r="W87" s="11"/>
      <c r="X87" s="11"/>
      <c r="Y87" s="11"/>
      <c r="Z87" s="11" t="n">
        <v>0</v>
      </c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AM88/Sum(AM$1:AM$123)</f>
      </c>
      <c r="K88" s="7" t="str">
        <f>AN88/Sum(AN1:AN$123)</f>
      </c>
      <c r="O88" t="s">
        <v>174</v>
      </c>
      <c r="P88" t="n">
        <v>2244</v>
      </c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 t="n">
        <v>1922391.89676961</v>
      </c>
      <c r="AK88" s="11" t="n">
        <v>10978287.8864666</v>
      </c>
      <c r="AL88" s="11" t="n">
        <v>-521857.757684067</v>
      </c>
      <c r="AM88" s="11" t="n">
        <v>0</v>
      </c>
      <c r="AN88" s="11" t="n">
        <v>122287375.352298</v>
      </c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AM89/Sum(AM$1:AM$123)</f>
      </c>
      <c r="K89" s="7" t="str">
        <f>AN89/Sum(AN1:AN$123)</f>
      </c>
      <c r="O89" t="s">
        <v>175</v>
      </c>
      <c r="P89" t="n">
        <v>1156</v>
      </c>
      <c r="Q89" s="11" t="n">
        <v>162314.625069761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AM90/Sum(AM$1:AM$123)</f>
      </c>
      <c r="K90" s="7" t="str">
        <f>AN90/Sum(AN1:AN$123)</f>
      </c>
      <c r="O90" t="s">
        <v>176</v>
      </c>
      <c r="P90" t="n">
        <v>2186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 t="n">
        <v>19148.5644318578</v>
      </c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AM91/Sum(AM$1:AM$123)</f>
      </c>
      <c r="K91" s="7" t="str">
        <f>AN91/Sum(AN1:AN$123)</f>
      </c>
      <c r="O91" t="s">
        <v>177</v>
      </c>
      <c r="P91" t="n">
        <v>662</v>
      </c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 t="n">
        <v>28631983.3965174</v>
      </c>
      <c r="AD91" s="11" t="n">
        <v>7238910.40268972</v>
      </c>
      <c r="AE91" s="11" t="n">
        <v>-4139711.30365514</v>
      </c>
      <c r="AF91" s="11" t="n">
        <v>-714.870749977045</v>
      </c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AM92/Sum(AM$1:AM$123)</f>
      </c>
      <c r="K92" s="7" t="str">
        <f>AN92/Sum(AN1:AN$123)</f>
      </c>
      <c r="O92" t="s">
        <v>178</v>
      </c>
      <c r="P92" t="n">
        <v>411</v>
      </c>
      <c r="Q92" s="11"/>
      <c r="R92" s="11"/>
      <c r="S92" s="11" t="n">
        <v>1391757.11542198</v>
      </c>
      <c r="T92" s="11" t="n">
        <v>-176974.012790172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AM93/Sum(AM$1:AM$123)</f>
      </c>
      <c r="K93" s="7" t="str">
        <f>AN93/Sum(AN1:AN$123)</f>
      </c>
      <c r="O93" t="s">
        <v>179</v>
      </c>
      <c r="P93" t="n">
        <v>609</v>
      </c>
      <c r="Q93" s="11"/>
      <c r="R93" s="11"/>
      <c r="S93" s="11"/>
      <c r="T93" s="11" t="n">
        <v>58657.1090550997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AM94/Sum(AM$1:AM$123)</f>
      </c>
      <c r="K94" s="7" t="str">
        <f>AN94/Sum(AN1:AN$123)</f>
      </c>
      <c r="O94" t="s">
        <v>180</v>
      </c>
      <c r="P94" t="n">
        <v>187</v>
      </c>
      <c r="Q94" s="11" t="n">
        <v>305185.5547206</v>
      </c>
      <c r="R94" s="11" t="n">
        <v>969160.940287934</v>
      </c>
      <c r="S94" s="11" t="n">
        <v>3300850.63533083</v>
      </c>
      <c r="T94" s="11" t="n">
        <v>13843115.8329619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AM95/Sum(AM$1:AM$123)</f>
      </c>
      <c r="K95" s="7" t="str">
        <f>AN95/Sum(AN1:AN$123)</f>
      </c>
      <c r="O95" t="s">
        <v>181</v>
      </c>
      <c r="P95" t="n">
        <v>1858</v>
      </c>
      <c r="Q95" s="11"/>
      <c r="R95" s="11"/>
      <c r="S95" s="11"/>
      <c r="T95" s="11"/>
      <c r="U95" s="11"/>
      <c r="V95" s="11"/>
      <c r="W95" s="11"/>
      <c r="X95" s="11"/>
      <c r="Y95" s="11" t="n">
        <v>295461.487867335</v>
      </c>
      <c r="Z95" s="11" t="n">
        <v>122656.717407536</v>
      </c>
      <c r="AA95" s="11" t="n">
        <v>310888.542678634</v>
      </c>
      <c r="AB95" s="11"/>
      <c r="AC95" s="11" t="n">
        <v>1213159.23794599</v>
      </c>
      <c r="AD95" s="11" t="n">
        <v>-24295.8209398029</v>
      </c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AM96/Sum(AM$1:AM$123)</f>
      </c>
      <c r="K96" s="7" t="str">
        <f>AN96/Sum(AN1:AN$123)</f>
      </c>
      <c r="O96" t="s">
        <v>182</v>
      </c>
      <c r="P96" t="n">
        <v>185</v>
      </c>
      <c r="Q96" s="11" t="n">
        <v>30462463.7876522</v>
      </c>
      <c r="R96" s="11" t="n">
        <v>44264363.475165</v>
      </c>
      <c r="S96" s="11" t="n">
        <v>34401086.5406257</v>
      </c>
      <c r="T96" s="11" t="n">
        <v>69730450.6139904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AM97/Sum(AM$1:AM$123)</f>
      </c>
      <c r="K97" s="7" t="str">
        <f>AN97/Sum(AN1:AN$123)</f>
      </c>
      <c r="O97" t="s">
        <v>183</v>
      </c>
      <c r="P97" t="n">
        <v>1558</v>
      </c>
      <c r="Q97" s="11" t="n">
        <v>1727874.64106355</v>
      </c>
      <c r="R97" s="11" t="n">
        <v>3255800.81567178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AM98/Sum(AM$1:AM$123)</f>
      </c>
      <c r="K98" s="7" t="str">
        <f>AN98/Sum(AN1:AN$123)</f>
      </c>
      <c r="O98" t="s">
        <v>184</v>
      </c>
      <c r="P98" t="n">
        <v>600</v>
      </c>
      <c r="Q98" s="11"/>
      <c r="R98" s="11" t="n">
        <v>533561.13533478</v>
      </c>
      <c r="S98" s="11" t="n">
        <v>1079477.42643563</v>
      </c>
      <c r="T98" s="11" t="n">
        <v>2610854.69788204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AM99/Sum(AM$1:AM$123)</f>
      </c>
      <c r="K99" s="7" t="str">
        <f>AN99/Sum(AN1:AN$123)</f>
      </c>
      <c r="O99" t="s">
        <v>185</v>
      </c>
      <c r="P99" t="n">
        <v>599</v>
      </c>
      <c r="Q99" s="11" t="n">
        <v>122722.775930217</v>
      </c>
      <c r="R99" s="11" t="n">
        <v>259185.803977819</v>
      </c>
      <c r="S99" s="11" t="n">
        <v>153906.679614654</v>
      </c>
      <c r="T99" s="11" t="n">
        <v>158596.522461944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AM100/Sum(AM$1:AM$123)</f>
      </c>
      <c r="K100" s="7" t="str">
        <f>AN100/Sum(AN1:AN$123)</f>
      </c>
      <c r="O100" t="s">
        <v>186</v>
      </c>
      <c r="P100" t="n">
        <v>1961</v>
      </c>
      <c r="Q100" s="11"/>
      <c r="R100" s="11"/>
      <c r="S100" s="11"/>
      <c r="T100" s="11"/>
      <c r="U100" s="11"/>
      <c r="V100" s="11" t="n">
        <v>14436.5470613035</v>
      </c>
      <c r="W100" s="11" t="n">
        <v>396622.875337584</v>
      </c>
      <c r="X100" s="11"/>
      <c r="Y100" s="11" t="n">
        <v>25691.7597701201</v>
      </c>
      <c r="Z100" s="11" t="n">
        <v>97495.6301016553</v>
      </c>
      <c r="AA100" s="11" t="n">
        <v>294644.401839741</v>
      </c>
      <c r="AB100" s="11" t="n">
        <v>12023.0446616477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AM101/Sum(AM$1:AM$123)</f>
      </c>
      <c r="K101" s="7" t="str">
        <f>AN101/Sum(AN1:AN$123)</f>
      </c>
      <c r="O101" t="s">
        <v>187</v>
      </c>
      <c r="P101" t="n">
        <v>2202</v>
      </c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 t="n">
        <v>399531.281186138</v>
      </c>
      <c r="AJ101" s="11" t="n">
        <v>16081.7224325507</v>
      </c>
      <c r="AK101" s="11" t="n">
        <v>637736.723946897</v>
      </c>
      <c r="AL101" s="11" t="n">
        <v>468317.449108882</v>
      </c>
      <c r="AM101" s="11" t="n">
        <v>455143.46</v>
      </c>
      <c r="AN101" s="11" t="n">
        <v>287226.843983152</v>
      </c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AM102/Sum(AM$1:AM$123)</f>
      </c>
      <c r="K102" s="7" t="str">
        <f>AN102/Sum(AN1:AN$123)</f>
      </c>
      <c r="O102" t="s">
        <v>81</v>
      </c>
      <c r="P102" t="n">
        <v>703</v>
      </c>
      <c r="Q102" s="11" t="n">
        <v>5784685.19608508</v>
      </c>
      <c r="R102" s="11"/>
      <c r="S102" s="11"/>
      <c r="T102" s="11" t="n">
        <v>80454.0926085807</v>
      </c>
      <c r="U102" s="11" t="n">
        <v>393938374.475152</v>
      </c>
      <c r="V102" s="11" t="n">
        <v>845688286.944932</v>
      </c>
      <c r="W102" s="11" t="n">
        <v>382387988.512365</v>
      </c>
      <c r="X102" s="11" t="n">
        <v>1511302266.00584</v>
      </c>
      <c r="Y102" s="11" t="n">
        <v>2748846353.68899</v>
      </c>
      <c r="Z102" s="11" t="n">
        <v>3230799856.98691</v>
      </c>
      <c r="AA102" s="11" t="n">
        <v>1960888766.05564</v>
      </c>
      <c r="AB102" s="11" t="n">
        <v>1576636451.03094</v>
      </c>
      <c r="AC102" s="11" t="n">
        <v>1250393215.84615</v>
      </c>
      <c r="AD102" s="11" t="n">
        <v>949273905.725156</v>
      </c>
      <c r="AE102" s="11" t="n">
        <v>921757598.203229</v>
      </c>
      <c r="AF102" s="11" t="n">
        <v>386138192.432085</v>
      </c>
      <c r="AG102" s="11" t="n">
        <v>86773551.9782035</v>
      </c>
      <c r="AH102" s="11" t="n">
        <v>-2999437.64593987</v>
      </c>
      <c r="AI102" s="11" t="n">
        <v>-7183520.88299028</v>
      </c>
      <c r="AJ102" s="11" t="n">
        <v>-14857175.909432</v>
      </c>
      <c r="AK102" s="11" t="n">
        <v>-4415794.86939782</v>
      </c>
      <c r="AL102" s="11" t="n">
        <v>-1660541.85693356</v>
      </c>
      <c r="AM102" s="11" t="n">
        <v>5089245.1191</v>
      </c>
      <c r="AN102" s="11" t="n">
        <v>92329750.9716652</v>
      </c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AM103/Sum(AM$1:AM$123)</f>
      </c>
      <c r="K103" s="7" t="str">
        <f>AN103/Sum(AN1:AN$123)</f>
      </c>
      <c r="O103" t="s">
        <v>188</v>
      </c>
      <c r="P103" t="n">
        <v>188</v>
      </c>
      <c r="Q103" s="11"/>
      <c r="R103" s="11"/>
      <c r="S103" s="11"/>
      <c r="T103" s="11" t="n">
        <v>13407540.3592545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AM104/Sum(AM$1:AM$123)</f>
      </c>
      <c r="K104" s="7" t="str">
        <f>AN104/Sum(AN1:AN$123)</f>
      </c>
      <c r="O104" t="s">
        <v>189</v>
      </c>
      <c r="P104" t="n">
        <v>230</v>
      </c>
      <c r="Q104" s="11" t="n">
        <v>346006.974428018</v>
      </c>
      <c r="R104" s="11" t="n">
        <v>206272.488277483</v>
      </c>
      <c r="S104" s="11" t="n">
        <v>618255.889626444</v>
      </c>
      <c r="T104" s="11" t="n">
        <v>1136314.05620542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AM105/Sum(AM$1:AM$123)</f>
      </c>
      <c r="K105" s="7" t="str">
        <f>AN105/Sum(AN1:AN$123)</f>
      </c>
      <c r="O105" t="s">
        <v>190</v>
      </c>
      <c r="P105" t="n">
        <v>289</v>
      </c>
      <c r="Q105" s="11" t="n">
        <v>364697.739643748</v>
      </c>
      <c r="R105" s="11"/>
      <c r="S105" s="11"/>
      <c r="T105" s="11" t="n">
        <v>352210.849877677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AM106/Sum(AM$1:AM$123)</f>
      </c>
      <c r="K106" s="7" t="str">
        <f>AN106/Sum(AN1:AN$123)</f>
      </c>
      <c r="O106" t="s">
        <v>191</v>
      </c>
      <c r="P106" t="n">
        <v>1572</v>
      </c>
      <c r="Q106" s="11" t="n">
        <v>6680841.7895393</v>
      </c>
      <c r="R106" s="11" t="n">
        <v>6852481.82143739</v>
      </c>
      <c r="S106" s="11" t="n">
        <v>10646663.2532581</v>
      </c>
      <c r="T106" s="11" t="n">
        <v>1028654.87779006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AM107/Sum(AM$1:AM$123)</f>
      </c>
      <c r="K107" s="7" t="str">
        <f>AN107/Sum(AN1:AN$123)</f>
      </c>
      <c r="O107" t="s">
        <v>192</v>
      </c>
      <c r="P107" t="n">
        <v>292</v>
      </c>
      <c r="Q107" s="11"/>
      <c r="R107" s="11"/>
      <c r="S107" s="11"/>
      <c r="T107" s="11" t="n">
        <v>1526.88601234536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AM108/Sum(AM$1:AM$123)</f>
      </c>
      <c r="K108" s="7" t="str">
        <f>AN108/Sum(AN1:AN$123)</f>
      </c>
      <c r="O108" t="s">
        <v>193</v>
      </c>
      <c r="P108" t="n">
        <v>263</v>
      </c>
      <c r="Q108" s="11"/>
      <c r="R108" s="11" t="n">
        <v>41520.775796695</v>
      </c>
      <c r="S108" s="11" t="n">
        <v>41576.0014796783</v>
      </c>
      <c r="T108" s="11" t="n">
        <v>989292.60974126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AM109/Sum(AM$1:AM$123)</f>
      </c>
      <c r="K109" s="7" t="str">
        <f>AN109/Sum(AN1:AN$123)</f>
      </c>
      <c r="O109" t="s">
        <v>194</v>
      </c>
      <c r="P109" t="n">
        <v>1565</v>
      </c>
      <c r="Q109" s="11" t="n">
        <v>786359.657922158</v>
      </c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AM110/Sum(AM$1:AM$123)</f>
      </c>
      <c r="K110" s="7" t="str">
        <f>AN110/Sum(AN1:AN$123)</f>
      </c>
      <c r="O110" t="s">
        <v>195</v>
      </c>
      <c r="P110" t="n">
        <v>290</v>
      </c>
      <c r="Q110" s="11" t="n">
        <v>3036498.03308295</v>
      </c>
      <c r="R110" s="11" t="n">
        <v>19749829.2254798</v>
      </c>
      <c r="S110" s="11" t="n">
        <v>10736795.8376701</v>
      </c>
      <c r="T110" s="11" t="n">
        <v>11152305.3376071</v>
      </c>
      <c r="U110" s="11"/>
      <c r="V110" s="11"/>
      <c r="W110" s="11"/>
      <c r="X110" s="11"/>
      <c r="Y110" s="11" t="n">
        <v>-31937.7248730123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AM111/Sum(AM$1:AM$123)</f>
      </c>
      <c r="K111" s="7" t="str">
        <f>AN111/Sum(AN1:AN$123)</f>
      </c>
      <c r="O111" t="s">
        <v>196</v>
      </c>
      <c r="P111" t="n">
        <v>295</v>
      </c>
      <c r="Q111" s="11" t="n">
        <v>355804.761449818</v>
      </c>
      <c r="R111" s="11" t="n">
        <v>60043.5123722352</v>
      </c>
      <c r="S111" s="11" t="n">
        <v>456387.154147965</v>
      </c>
      <c r="T111" s="11" t="n">
        <v>1058456.58412083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AM112/Sum(AM$1:AM$123)</f>
      </c>
      <c r="K112" s="7" t="str">
        <f>AN112/Sum(AN1:AN$123)</f>
      </c>
      <c r="O112" t="s">
        <v>197</v>
      </c>
      <c r="P112" t="n">
        <v>237</v>
      </c>
      <c r="Q112" s="11" t="n">
        <v>12064916.4141644</v>
      </c>
      <c r="R112" s="11" t="n">
        <v>2327215.7423738</v>
      </c>
      <c r="S112" s="11" t="n">
        <v>6273020.70943464</v>
      </c>
      <c r="T112" s="11" t="n">
        <v>13819636.5318858</v>
      </c>
      <c r="U112" s="11"/>
      <c r="V112" s="11"/>
      <c r="W112" s="11"/>
      <c r="X112" s="11"/>
      <c r="Y112" s="11"/>
      <c r="Z112" s="11" t="n">
        <v>-170920.969901486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AM113/Sum(AM$1:AM$123)</f>
      </c>
      <c r="K113" s="7" t="str">
        <f>AN113/Sum(AN1:AN$123)</f>
      </c>
      <c r="O113" t="s">
        <v>198</v>
      </c>
      <c r="P113" t="n">
        <v>223</v>
      </c>
      <c r="Q113" s="11"/>
      <c r="R113" s="11"/>
      <c r="S113" s="11"/>
      <c r="T113" s="11" t="n">
        <v>3428.63625526652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AM114/Sum(AM$1:AM$123)</f>
      </c>
      <c r="K114" s="7" t="str">
        <f>AN114/Sum(AN1:AN$123)</f>
      </c>
      <c r="O114" t="s">
        <v>199</v>
      </c>
      <c r="P114" t="n">
        <v>1925</v>
      </c>
      <c r="Q114" s="11" t="n">
        <v>158105.648290112</v>
      </c>
      <c r="R114" s="11" t="n">
        <v>597442.64958815</v>
      </c>
      <c r="S114" s="11" t="n">
        <v>5625239.83325017</v>
      </c>
      <c r="T114" s="11" t="n">
        <v>12919701.8021485</v>
      </c>
      <c r="U114" s="11" t="n">
        <v>-29304.8302544371</v>
      </c>
      <c r="V114" s="11"/>
      <c r="W114" s="11"/>
      <c r="X114" s="11"/>
      <c r="Y114" s="11" t="n">
        <v>-53722.9724837111</v>
      </c>
      <c r="Z114" s="11" t="n">
        <v>21398.3609250477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AM115/Sum(AM$1:AM$123)</f>
      </c>
      <c r="K115" s="7" t="str">
        <f>AN115/Sum(AN1:AN$123)</f>
      </c>
      <c r="O115" t="s">
        <v>200</v>
      </c>
      <c r="P115" t="n">
        <v>181</v>
      </c>
      <c r="Q115" s="11" t="n">
        <v>29959456.3242881</v>
      </c>
      <c r="R115" s="11" t="n">
        <v>25077669.9264369</v>
      </c>
      <c r="S115" s="11" t="n">
        <v>5236310.40927829</v>
      </c>
      <c r="T115" s="11" t="n">
        <v>8339817.87498696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AM116/Sum(AM$1:AM$123)</f>
      </c>
      <c r="K116" s="7" t="str">
        <f>AN116/Sum(AN1:AN$123)</f>
      </c>
      <c r="O116" t="s">
        <v>201</v>
      </c>
      <c r="P116" t="n">
        <v>182</v>
      </c>
      <c r="Q116" s="11" t="n">
        <v>571757706.026545</v>
      </c>
      <c r="R116" s="11" t="n">
        <v>110986107.966498</v>
      </c>
      <c r="S116" s="11" t="n">
        <v>676483078.145767</v>
      </c>
      <c r="T116" s="11" t="n">
        <v>821595282.825553</v>
      </c>
      <c r="U116" s="11" t="n">
        <v>1270871.10136316</v>
      </c>
      <c r="V116" s="11"/>
      <c r="W116" s="11"/>
      <c r="X116" s="11"/>
      <c r="Y116" s="11"/>
      <c r="Z116" s="11"/>
      <c r="AA116" s="11"/>
      <c r="AB116" s="11" t="n">
        <v>-70246.5253255277</v>
      </c>
      <c r="AC116" s="11"/>
      <c r="AD116" s="11"/>
      <c r="AE116" s="11"/>
      <c r="AF116" s="11"/>
      <c r="AG116" s="11"/>
      <c r="AH116" s="11"/>
      <c r="AI116" s="11"/>
      <c r="AJ116" s="11" t="n">
        <v>0</v>
      </c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AM117/Sum(AM$1:AM$123)</f>
      </c>
      <c r="K117" s="7" t="str">
        <f>AN117/Sum(AN1:AN$123)</f>
      </c>
      <c r="O117" t="s">
        <v>202</v>
      </c>
      <c r="P117" t="n">
        <v>180</v>
      </c>
      <c r="Q117" s="11" t="n">
        <v>3960986.45295987</v>
      </c>
      <c r="R117" s="11" t="n">
        <v>2009754.77789747</v>
      </c>
      <c r="S117" s="11" t="n">
        <v>9766358.35475364</v>
      </c>
      <c r="T117" s="11" t="n">
        <v>15654630.4649978</v>
      </c>
      <c r="U117" s="11"/>
      <c r="V117" s="11"/>
      <c r="W117" s="11"/>
      <c r="X117" s="11"/>
      <c r="Y117" s="11"/>
      <c r="Z117" s="11" t="n">
        <v>-51337.1887549094</v>
      </c>
      <c r="AA117" s="11" t="n">
        <v>-1340210.44964759</v>
      </c>
      <c r="AB117" s="11"/>
      <c r="AC117" s="11" t="n">
        <v>-5116.06983209385</v>
      </c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AM118/Sum(AM$1:AM$123)</f>
      </c>
      <c r="K118" s="7" t="str">
        <f>AN118/Sum(AN1:AN$123)</f>
      </c>
      <c r="O118" t="s">
        <v>203</v>
      </c>
      <c r="P118" t="n">
        <v>184</v>
      </c>
      <c r="Q118" s="11" t="n">
        <v>15576038.3808272</v>
      </c>
      <c r="R118" s="11" t="n">
        <v>8378653.09474324</v>
      </c>
      <c r="S118" s="11" t="n">
        <v>8398892.73100748</v>
      </c>
      <c r="T118" s="11" t="n">
        <v>62208458.4876997</v>
      </c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AM119/Sum(AM$1:AM$123)</f>
      </c>
      <c r="K119" s="7" t="str">
        <f>AN119/Sum(AN1:AN$123)</f>
      </c>
      <c r="O119" t="s">
        <v>204</v>
      </c>
      <c r="P119" t="n">
        <v>254</v>
      </c>
      <c r="Q119" s="11" t="n">
        <v>10130915.0120016</v>
      </c>
      <c r="R119" s="11" t="n">
        <v>3266563.94219664</v>
      </c>
      <c r="S119" s="11" t="n">
        <v>10597855.0898596</v>
      </c>
      <c r="T119" s="11" t="n">
        <v>39952368.3489318</v>
      </c>
      <c r="U119" s="11" t="n">
        <v>53998.4745899484</v>
      </c>
      <c r="V119" s="11"/>
      <c r="W119" s="11"/>
      <c r="X119" s="11"/>
      <c r="Y119" s="11"/>
      <c r="Z119" s="11" t="n">
        <v>-20038.9296172743</v>
      </c>
      <c r="AA119" s="11" t="n">
        <v>-86243.3420481315</v>
      </c>
      <c r="AB119" s="11" t="n">
        <v>-17797.2177961952</v>
      </c>
      <c r="AC119" s="11"/>
      <c r="AD119" s="11"/>
      <c r="AE119" s="11"/>
      <c r="AF119" s="11"/>
      <c r="AG119" s="11"/>
      <c r="AH119" s="11" t="n">
        <v>0</v>
      </c>
      <c r="AI119" s="11"/>
      <c r="AJ119" s="11"/>
      <c r="AK119" s="11" t="n">
        <v>0</v>
      </c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AM120/Sum(AM$1:AM$123)</f>
      </c>
      <c r="K120" s="7" t="str">
        <f>AN120/Sum(AN1:AN$123)</f>
      </c>
      <c r="O120" t="s">
        <v>205</v>
      </c>
      <c r="P120" t="n">
        <v>1924</v>
      </c>
      <c r="Q120" s="11"/>
      <c r="R120" s="11"/>
      <c r="S120" s="11"/>
      <c r="T120" s="11" t="n">
        <v>3064743.91671241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AM121/Sum(AM$1:AM$123)</f>
      </c>
      <c r="K121" s="7" t="str">
        <f>AN121/Sum(AN1:AN$123)</f>
      </c>
      <c r="O121" t="s">
        <v>206</v>
      </c>
      <c r="P121" t="n">
        <v>429</v>
      </c>
      <c r="Q121" s="11"/>
      <c r="R121" s="11"/>
      <c r="S121" s="11"/>
      <c r="T121" s="11" t="n">
        <v>51239.0640370386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AM122/Sum(AM$1:AM$123)</f>
      </c>
      <c r="K122" s="7" t="str">
        <f>AN122/Sum(AN1:AN$123)</f>
      </c>
      <c r="O122" t="s">
        <v>207</v>
      </c>
      <c r="P122" t="n">
        <v>2015</v>
      </c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 t="n">
        <v>58397561.2129291</v>
      </c>
      <c r="AF122" s="11" t="n">
        <v>84707365.2416101</v>
      </c>
      <c r="AG122" s="11" t="n">
        <v>323817.651366147</v>
      </c>
      <c r="AH122" s="11" t="n">
        <v>0</v>
      </c>
      <c r="AI122" s="11"/>
      <c r="AJ122" s="11" t="n">
        <v>-1226521.96901993</v>
      </c>
      <c r="AK122" s="11" t="n">
        <v>74382.0344446645</v>
      </c>
      <c r="AL122" s="11" t="n">
        <v>18330004.8976794</v>
      </c>
      <c r="AM122" s="11" t="n">
        <v>270012842</v>
      </c>
      <c r="AN122" s="11" t="n">
        <v>-14243957.2788021</v>
      </c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AM123/Sum(AM$1:AM$123)</f>
      </c>
      <c r="K123" s="7" t="str">
        <f>AN123/Sum(AN1:AN$123)</f>
      </c>
      <c r="O123"/>
      <c r="P123"/>
      <c r="Q123" s="11" t="n">
        <v>3092356317.88338</v>
      </c>
      <c r="R123" s="11" t="n">
        <v>3885018704.74731</v>
      </c>
      <c r="S123" s="11" t="n">
        <v>5392471538.18147</v>
      </c>
      <c r="T123" s="11" t="n">
        <v>11736073168.1799</v>
      </c>
      <c r="U123" s="11" t="n">
        <v>11354905228.5007</v>
      </c>
      <c r="V123" s="11" t="n">
        <v>18890297508.6229</v>
      </c>
      <c r="W123" s="11" t="n">
        <v>16393039629.6085</v>
      </c>
      <c r="X123" s="11" t="n">
        <v>27381735741.9082</v>
      </c>
      <c r="Y123" s="11" t="n">
        <v>33706911870.7227</v>
      </c>
      <c r="Z123" s="11" t="n">
        <v>27450066781.1115</v>
      </c>
      <c r="AA123" s="11" t="n">
        <v>24073128549.6124</v>
      </c>
      <c r="AB123" s="11" t="n">
        <v>19864440671.848</v>
      </c>
      <c r="AC123" s="11" t="n">
        <v>10765944223.0109</v>
      </c>
      <c r="AD123" s="11" t="n">
        <v>7184462160.28266</v>
      </c>
      <c r="AE123" s="11" t="n">
        <v>5330415193.04808</v>
      </c>
      <c r="AF123" s="11" t="n">
        <v>7915098543.33114</v>
      </c>
      <c r="AG123" s="11" t="n">
        <v>8002157997.65835</v>
      </c>
      <c r="AH123" s="11" t="n">
        <v>8633688025.26896</v>
      </c>
      <c r="AI123" s="11" t="n">
        <v>12261205574.2148</v>
      </c>
      <c r="AJ123" s="11" t="n">
        <v>11315656343.0153</v>
      </c>
      <c r="AK123" s="11" t="n">
        <v>9790485102.79134</v>
      </c>
      <c r="AL123" s="11" t="n">
        <v>8695907500.44095</v>
      </c>
      <c r="AM123" s="11" t="n">
        <v>8852572756.3717</v>
      </c>
      <c r="AN123" s="11" t="n">
        <v>5145469094.85561</v>
      </c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Sum(J$1:J$123)</f>
      </c>
      <c r="K124" s="7" t="str">
        <f>Sum(K$1:K$123)</f>
      </c>
      <c r="O124" t="s">
        <v>208</v>
      </c>
      <c r="P124" t="s">
        <v>209</v>
      </c>
      <c r="Q124" s="11" t="str">
        <f>Sum(Q2:Q123)</f>
      </c>
      <c r="R124" s="11" t="str">
        <f>Sum(R2:R123)</f>
      </c>
      <c r="S124" s="11" t="str">
        <f>Sum(S2:S123)</f>
      </c>
      <c r="T124" s="11" t="str">
        <f>Sum(T2:T123)</f>
      </c>
      <c r="U124" s="11" t="str">
        <f>Sum(U2:U123)</f>
      </c>
      <c r="V124" s="11" t="str">
        <f>Sum(V2:V123)</f>
      </c>
      <c r="W124" s="11" t="str">
        <f>Sum(W2:W123)</f>
      </c>
      <c r="X124" s="11" t="str">
        <f>Sum(X2:X123)</f>
      </c>
      <c r="Y124" s="11" t="str">
        <f>Sum(Y2:Y123)</f>
      </c>
      <c r="Z124" s="11" t="str">
        <f>Sum(Z2:Z123)</f>
      </c>
      <c r="AA124" s="11" t="str">
        <f>Sum(AA2:AA123)</f>
      </c>
      <c r="AB124" s="11" t="str">
        <f>Sum(AB2:AB123)</f>
      </c>
      <c r="AC124" s="11" t="str">
        <f>Sum(AC2:AC123)</f>
      </c>
      <c r="AD124" s="11" t="str">
        <f>Sum(AD2:AD123)</f>
      </c>
      <c r="AE124" s="11" t="str">
        <f>Sum(AE2:AE123)</f>
      </c>
      <c r="AF124" s="11" t="str">
        <f>Sum(AF2:AF123)</f>
      </c>
      <c r="AG124" s="11" t="str">
        <f>Sum(AG2:AG123)</f>
      </c>
      <c r="AH124" s="11" t="str">
        <f>Sum(AH2:AH123)</f>
      </c>
      <c r="AI124" s="11" t="str">
        <f>Sum(AI2:AI123)</f>
      </c>
      <c r="AJ124" s="11" t="str">
        <f>Sum(AJ2:AJ123)</f>
      </c>
      <c r="AK124" s="11" t="str">
        <f>Sum(AK2:AK123)</f>
      </c>
      <c r="AL124" s="11" t="str">
        <f>Sum(AL2:AL123)</f>
      </c>
      <c r="AM124" s="11" t="str">
        <f>Sum(AM2:AM123)</f>
      </c>
      <c r="AN124" s="11"/>
      <c r="AO124" s="11"/>
    </row>
    <row r="125">
      <c r="P125" t="str">
        <f>Sum(A2:A123)</f>
      </c>
    </row>
    <row r="126">
      <c r="P126" t="str">
        <f>Sum(B2:B123)</f>
      </c>
    </row>
    <row r="127">
      <c r="P127" t="str">
        <f>Sum(C2:C123)</f>
      </c>
    </row>
    <row r="128">
      <c r="P128" t="str">
        <f>Sum(D2:D123)</f>
      </c>
    </row>
    <row r="129">
      <c r="P129" t="str">
        <f>Sum(E2:E123)</f>
      </c>
    </row>
    <row r="130">
      <c r="P130" t="str">
        <f>Sum(F2:F123)</f>
      </c>
    </row>
    <row r="131">
      <c r="P131" t="str">
        <f>Sum(G2:G123)</f>
      </c>
    </row>
    <row r="132">
      <c r="P132" t="str">
        <f>Sum(H2:H123)</f>
      </c>
    </row>
    <row r="133">
      <c r="P133" t="str">
        <f>Sum(I2:I123)</f>
      </c>
    </row>
    <row r="134">
      <c r="P134" t="str">
        <f>Sum(J2:J123)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210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211</v>
      </c>
      <c r="L2" s="12" t="n">
        <v>886506000</v>
      </c>
      <c r="M2" s="12" t="n">
        <v>1390584000</v>
      </c>
      <c r="N2" s="12" t="n">
        <v>787831501</v>
      </c>
      <c r="O2" s="12" t="n">
        <v>946274271</v>
      </c>
      <c r="P2" s="12" t="n">
        <v>1272653294</v>
      </c>
      <c r="Q2" s="12" t="n">
        <v>632854418</v>
      </c>
      <c r="R2" s="12" t="n">
        <v>786510954</v>
      </c>
      <c r="S2" s="12" t="n">
        <v>766161183</v>
      </c>
      <c r="T2" s="12" t="n">
        <v>660565119</v>
      </c>
      <c r="U2" s="12" t="n">
        <v>687767624</v>
      </c>
      <c r="V2" s="12" t="n">
        <v>837983431</v>
      </c>
      <c r="W2" s="12" t="n">
        <v>654796452</v>
      </c>
      <c r="X2" s="12" t="n">
        <v>1232632023.5469</v>
      </c>
      <c r="Y2" s="12" t="n">
        <v>1130246775</v>
      </c>
      <c r="Z2" s="12" t="n">
        <v>1452056837.7656</v>
      </c>
      <c r="AA2" s="12" t="n">
        <v>3175176391.8047</v>
      </c>
      <c r="AB2" s="12" t="n">
        <v>5464560482.4938</v>
      </c>
      <c r="AC2" s="12" t="n">
        <v>6839356875.6788</v>
      </c>
      <c r="AD2" s="12" t="n">
        <v>8072001124.3207</v>
      </c>
      <c r="AE2" s="12" t="n">
        <v>6889143890.0566</v>
      </c>
      <c r="AF2" s="12" t="n">
        <v>4409505235.2583</v>
      </c>
      <c r="AG2" s="12" t="n">
        <v>3759524033.3481</v>
      </c>
      <c r="AH2" s="12" t="n">
        <v>2599820201.5748</v>
      </c>
      <c r="AI2" s="12" t="n">
        <v>1889131684.3013</v>
      </c>
      <c r="AJ2" s="12" t="n">
        <v>1565931717.3698</v>
      </c>
      <c r="AK2" s="12" t="n">
        <v>946564294.1378</v>
      </c>
      <c r="AL2" s="12" t="n">
        <v>1087968235.4018</v>
      </c>
      <c r="AM2" s="12" t="n">
        <v>1847667812.8519</v>
      </c>
      <c r="AN2" s="12" t="n">
        <v>3115080987.0877</v>
      </c>
      <c r="AO2" s="12" t="n">
        <v>2572654093.846</v>
      </c>
      <c r="AP2" s="12" t="n">
        <v>2399351621.3374</v>
      </c>
      <c r="AQ2" s="12" t="n">
        <v>3118901947.6276</v>
      </c>
      <c r="AR2" s="12" t="n">
        <v>4403866497.644</v>
      </c>
      <c r="AS2" s="12" t="n">
        <v>2360528547.9345</v>
      </c>
      <c r="AT2" s="12"/>
      <c r="AU2" s="12"/>
    </row>
    <row r="3">
      <c r="A3" t="str">
        <f>K3</f>
      </c>
      <c r="K3" t="s">
        <v>212</v>
      </c>
      <c r="L3" s="12" t="n">
        <v>1736961000</v>
      </c>
      <c r="M3" s="12" t="n">
        <v>2569710000</v>
      </c>
      <c r="N3" s="12" t="n">
        <v>1047483450</v>
      </c>
      <c r="O3" s="12" t="n">
        <v>1765906809</v>
      </c>
      <c r="P3" s="12" t="n">
        <v>1093701750</v>
      </c>
      <c r="Q3" s="12" t="n">
        <v>581555298</v>
      </c>
      <c r="R3" s="12" t="n">
        <v>935647780</v>
      </c>
      <c r="S3" s="12" t="n">
        <v>764560458</v>
      </c>
      <c r="T3" s="12" t="n">
        <v>567043252</v>
      </c>
      <c r="U3" s="12" t="n">
        <v>843543561</v>
      </c>
      <c r="V3" s="12" t="n">
        <v>1025239831</v>
      </c>
      <c r="W3" s="12" t="n">
        <v>941396748</v>
      </c>
      <c r="X3" s="12" t="n">
        <v>1120245130.8008</v>
      </c>
      <c r="Y3" s="12" t="n">
        <v>1646776230</v>
      </c>
      <c r="Z3" s="12" t="n">
        <v>2887605302.2356</v>
      </c>
      <c r="AA3" s="12" t="n">
        <v>4123836974.259</v>
      </c>
      <c r="AB3" s="12" t="n">
        <v>4537946570.2704</v>
      </c>
      <c r="AC3" s="12" t="n">
        <v>12643182968.4787</v>
      </c>
      <c r="AD3" s="12" t="n">
        <v>20850220680.0062</v>
      </c>
      <c r="AE3" s="12" t="n">
        <v>13622013113.1193</v>
      </c>
      <c r="AF3" s="12" t="n">
        <v>15004232791.5379</v>
      </c>
      <c r="AG3" s="12" t="n">
        <v>10193711518.7293</v>
      </c>
      <c r="AH3" s="12" t="n">
        <v>5699762350.0308</v>
      </c>
      <c r="AI3" s="12" t="n">
        <v>3374878029.5538</v>
      </c>
      <c r="AJ3" s="12" t="n">
        <v>2313306874.1224</v>
      </c>
      <c r="AK3" s="12" t="n">
        <v>3414878675.6013</v>
      </c>
      <c r="AL3" s="12" t="n">
        <v>3613418724.8578</v>
      </c>
      <c r="AM3" s="12" t="n">
        <v>3117253588.9273</v>
      </c>
      <c r="AN3" s="12" t="n">
        <v>6355866206.1668</v>
      </c>
      <c r="AO3" s="12" t="n">
        <v>6360102440.9942</v>
      </c>
      <c r="AP3" s="12" t="n">
        <v>6018929049.3179</v>
      </c>
      <c r="AQ3" s="12" t="n">
        <v>4007922055.994</v>
      </c>
      <c r="AR3" s="12" t="n">
        <v>3740907018.4825</v>
      </c>
      <c r="AS3" s="12" t="n">
        <v>2651952272.7688</v>
      </c>
      <c r="AT3" s="12"/>
      <c r="AU3" s="12"/>
    </row>
    <row r="4">
      <c r="A4" t="str">
        <f>K4</f>
      </c>
      <c r="K4" t="s">
        <v>213</v>
      </c>
      <c r="L4" s="12" t="n">
        <v>439697000</v>
      </c>
      <c r="M4" s="12" t="n">
        <v>1679467708</v>
      </c>
      <c r="N4" s="12" t="n">
        <v>1559758204</v>
      </c>
      <c r="O4" s="12" t="n">
        <v>1133491170</v>
      </c>
      <c r="P4" s="12" t="n">
        <v>866321181</v>
      </c>
      <c r="Q4" s="12" t="n">
        <v>1399806805</v>
      </c>
      <c r="R4" s="12" t="n">
        <v>1414530321</v>
      </c>
      <c r="S4" s="12" t="n">
        <v>1622527379</v>
      </c>
      <c r="T4" s="12" t="n">
        <v>1166632543</v>
      </c>
      <c r="U4" s="12" t="n">
        <v>1573910138</v>
      </c>
      <c r="V4" s="12" t="n">
        <v>1183270198.9815</v>
      </c>
      <c r="W4" s="12" t="n">
        <v>1369831283.7969</v>
      </c>
      <c r="X4" s="12" t="n">
        <v>1881697932.77</v>
      </c>
      <c r="Y4" s="12" t="n">
        <v>5836119498.2621</v>
      </c>
      <c r="Z4" s="12" t="n">
        <v>2799497074.6039</v>
      </c>
      <c r="AA4" s="12" t="n">
        <v>6170068521.6763</v>
      </c>
      <c r="AB4" s="12" t="n">
        <v>4377359780.4864</v>
      </c>
      <c r="AC4" s="12" t="n">
        <v>6501316040.0508</v>
      </c>
      <c r="AD4" s="12" t="n">
        <v>8210198278.6011</v>
      </c>
      <c r="AE4" s="12" t="n">
        <v>5866416808.7428</v>
      </c>
      <c r="AF4" s="12" t="n">
        <v>4280836282.3881</v>
      </c>
      <c r="AG4" s="12" t="n">
        <v>3826443933.2041</v>
      </c>
      <c r="AH4" s="12" t="n">
        <v>1131332144.546</v>
      </c>
      <c r="AI4" s="12" t="n">
        <v>1224676378.0847</v>
      </c>
      <c r="AJ4" s="12" t="n">
        <v>959348126.6333</v>
      </c>
      <c r="AK4" s="12" t="n">
        <v>2065296629.7012</v>
      </c>
      <c r="AL4" s="12" t="n">
        <v>1618001138.1234</v>
      </c>
      <c r="AM4" s="12" t="n">
        <v>2076016845.49</v>
      </c>
      <c r="AN4" s="12" t="n">
        <v>1791692041.0738</v>
      </c>
      <c r="AO4" s="12" t="n">
        <v>2464835320.6091</v>
      </c>
      <c r="AP4" s="12" t="n">
        <v>1782219128.4007</v>
      </c>
      <c r="AQ4" s="12" t="n">
        <v>1569588495.1783</v>
      </c>
      <c r="AR4" s="12" t="n">
        <v>1656848366.2614</v>
      </c>
      <c r="AS4" s="12" t="n">
        <v>1000237442.273</v>
      </c>
      <c r="AT4" s="12"/>
      <c r="AU4" s="12"/>
    </row>
    <row r="5">
      <c r="A5" t="str">
        <f>K5</f>
      </c>
      <c r="K5" t="s">
        <v>214</v>
      </c>
      <c r="L5" s="12" t="n">
        <v>331377000</v>
      </c>
      <c r="M5" s="12" t="n">
        <v>710348473</v>
      </c>
      <c r="N5" s="12" t="n">
        <v>556826915</v>
      </c>
      <c r="O5" s="12" t="n">
        <v>418439411</v>
      </c>
      <c r="P5" s="12" t="n">
        <v>330150636</v>
      </c>
      <c r="Q5" s="12" t="n">
        <v>387903859</v>
      </c>
      <c r="R5" s="12" t="n">
        <v>419014865</v>
      </c>
      <c r="S5" s="12" t="n">
        <v>489491374</v>
      </c>
      <c r="T5" s="12" t="n">
        <v>401054209</v>
      </c>
      <c r="U5" s="12" t="n">
        <v>401762355</v>
      </c>
      <c r="V5" s="12" t="n">
        <v>349773513.4375</v>
      </c>
      <c r="W5" s="12" t="n">
        <v>331714055.4609</v>
      </c>
      <c r="X5" s="12" t="n">
        <v>549534587.9297</v>
      </c>
      <c r="Y5" s="12" t="n">
        <v>1023217740.7969</v>
      </c>
      <c r="Z5" s="12" t="n">
        <v>1404530414.6925</v>
      </c>
      <c r="AA5" s="12" t="n">
        <v>1773892246.9974</v>
      </c>
      <c r="AB5" s="12" t="n">
        <v>1661296795.5901</v>
      </c>
      <c r="AC5" s="12" t="n">
        <v>2171131463.3616</v>
      </c>
      <c r="AD5" s="12" t="n">
        <v>2539233411.377</v>
      </c>
      <c r="AE5" s="12" t="n">
        <v>2351550644.3131</v>
      </c>
      <c r="AF5" s="12" t="n">
        <v>1432646464.3045</v>
      </c>
      <c r="AG5" s="12" t="n">
        <v>1618013234.5207</v>
      </c>
      <c r="AH5" s="12" t="n">
        <v>1253903797.7823</v>
      </c>
      <c r="AI5" s="12" t="n">
        <v>876150172.7099</v>
      </c>
      <c r="AJ5" s="12" t="n">
        <v>977614355.5743</v>
      </c>
      <c r="AK5" s="12" t="n">
        <v>1052267047.6487</v>
      </c>
      <c r="AL5" s="12" t="n">
        <v>1022932355.3975</v>
      </c>
      <c r="AM5" s="12" t="n">
        <v>1198500764.761</v>
      </c>
      <c r="AN5" s="12" t="n">
        <v>1410043432.9273</v>
      </c>
      <c r="AO5" s="12" t="n">
        <v>1505081025.544</v>
      </c>
      <c r="AP5" s="12" t="n">
        <v>1428022139.3594</v>
      </c>
      <c r="AQ5" s="12" t="n">
        <v>919900293.3019</v>
      </c>
      <c r="AR5" s="12" t="n">
        <v>951873235.1444</v>
      </c>
      <c r="AS5" s="12" t="n">
        <v>397366686.3691</v>
      </c>
      <c r="AT5" s="12"/>
      <c r="AU5" s="12"/>
    </row>
    <row r="6">
      <c r="A6" t="str">
        <f>K6</f>
      </c>
      <c r="K6" t="s">
        <v>38</v>
      </c>
      <c r="L6" s="12" t="n">
        <v>880491000</v>
      </c>
      <c r="M6" s="12" t="n">
        <v>153865708</v>
      </c>
      <c r="N6" s="12" t="n">
        <v>214912380</v>
      </c>
      <c r="O6" s="12" t="n">
        <v>132252869</v>
      </c>
      <c r="P6" s="12" t="n">
        <v>56216550</v>
      </c>
      <c r="Q6" s="12" t="n">
        <v>96334279</v>
      </c>
      <c r="R6" s="12" t="n">
        <v>122546148</v>
      </c>
      <c r="S6" s="12" t="n">
        <v>9907152</v>
      </c>
      <c r="T6" s="12" t="n">
        <v>8955292</v>
      </c>
      <c r="U6" s="12" t="n">
        <v>409918</v>
      </c>
      <c r="V6" s="12"/>
      <c r="W6" s="12" t="n">
        <v>51127</v>
      </c>
      <c r="X6" s="12" t="n">
        <v>648164.2998</v>
      </c>
      <c r="Y6" s="12" t="n">
        <v>5152386.375</v>
      </c>
      <c r="Z6" s="12" t="n">
        <v>1801058.1382</v>
      </c>
      <c r="AA6" s="12" t="n">
        <v>18798448.0566</v>
      </c>
      <c r="AB6" s="12" t="n">
        <v>90601292.4389</v>
      </c>
      <c r="AC6" s="12" t="n">
        <v>43609526.641</v>
      </c>
      <c r="AD6" s="12" t="n">
        <v>85478110.6526</v>
      </c>
      <c r="AE6" s="12" t="n">
        <v>106029241.5681</v>
      </c>
      <c r="AF6" s="12" t="n">
        <v>208874137.2263</v>
      </c>
      <c r="AG6" s="12" t="n">
        <v>180495380.7503</v>
      </c>
      <c r="AH6" s="12" t="n">
        <v>151710134.5468</v>
      </c>
      <c r="AI6" s="12" t="n">
        <v>70063824.929</v>
      </c>
      <c r="AJ6" s="12" t="n">
        <v>9385460.353</v>
      </c>
      <c r="AK6" s="12" t="n">
        <v>19126215.6387</v>
      </c>
      <c r="AL6" s="12" t="n">
        <v>10277277.7617</v>
      </c>
      <c r="AM6" s="12" t="n">
        <v>13865441.729</v>
      </c>
      <c r="AN6" s="12" t="n">
        <v>16426736.1795</v>
      </c>
      <c r="AO6" s="12" t="n">
        <v>6066737.0697</v>
      </c>
      <c r="AP6" s="12" t="n">
        <v>117230837.0275</v>
      </c>
      <c r="AQ6" s="12" t="n">
        <v>71493208.3606</v>
      </c>
      <c r="AR6" s="12" t="n">
        <v>2872491.5763</v>
      </c>
      <c r="AS6" s="12" t="n">
        <v>1060701.6976</v>
      </c>
      <c r="AT6" s="12"/>
      <c r="AU6" s="12"/>
    </row>
    <row r="7">
      <c r="A7" t="str">
        <f>K7</f>
      </c>
      <c r="K7" t="s">
        <v>208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210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211</v>
      </c>
      <c r="L11" s="12" t="n">
        <v>1761958658.93398</v>
      </c>
      <c r="M11" s="12" t="n">
        <v>2668641317.6434</v>
      </c>
      <c r="N11" s="12" t="n">
        <v>1475046399.47576</v>
      </c>
      <c r="O11" s="12" t="n">
        <v>1731033106.26896</v>
      </c>
      <c r="P11" s="12" t="n">
        <v>2278436582.88197</v>
      </c>
      <c r="Q11" s="12" t="n">
        <v>1109499608.00233</v>
      </c>
      <c r="R11" s="12" t="n">
        <v>1353447997.90427</v>
      </c>
      <c r="S11" s="12" t="n">
        <v>1295417262.7397</v>
      </c>
      <c r="T11" s="12" t="n">
        <v>1103102578.20609</v>
      </c>
      <c r="U11" s="12" t="n">
        <v>1134388695.89775</v>
      </c>
      <c r="V11" s="12" t="n">
        <v>1353955010.67537</v>
      </c>
      <c r="W11" s="12" t="n">
        <v>1032926434.25263</v>
      </c>
      <c r="X11" s="12" t="n">
        <v>1914235426.374</v>
      </c>
      <c r="Y11" s="12" t="n">
        <v>1722313364.51692</v>
      </c>
      <c r="Z11" s="12" t="n">
        <v>2159904530.25306</v>
      </c>
      <c r="AA11" s="12" t="n">
        <v>4583858340.82283</v>
      </c>
      <c r="AB11" s="12" t="n">
        <v>7640192086.23388</v>
      </c>
      <c r="AC11" s="12" t="n">
        <v>9307112721.91998</v>
      </c>
      <c r="AD11" s="12" t="n">
        <v>10760104807.5128</v>
      </c>
      <c r="AE11" s="12" t="n">
        <v>9090955575.90441</v>
      </c>
      <c r="AF11" s="12" t="n">
        <v>5768636962.99569</v>
      </c>
      <c r="AG11" s="12" t="n">
        <v>4821149300.43699</v>
      </c>
      <c r="AH11" s="12" t="n">
        <v>3273953579.21848</v>
      </c>
      <c r="AI11" s="12" t="n">
        <v>2336230510.63833</v>
      </c>
      <c r="AJ11" s="12" t="n">
        <v>1899785946.13896</v>
      </c>
      <c r="AK11" s="12" t="n">
        <v>1135354239.6842</v>
      </c>
      <c r="AL11" s="12" t="n">
        <v>1294236160.58301</v>
      </c>
      <c r="AM11" s="12" t="n">
        <v>2159413529.3595</v>
      </c>
      <c r="AN11" s="12" t="n">
        <v>3557146796.00571</v>
      </c>
      <c r="AO11" s="12" t="n">
        <v>2881308520.94134</v>
      </c>
      <c r="AP11" s="12" t="n">
        <v>2651837369.14086</v>
      </c>
      <c r="AQ11" s="12" t="n">
        <v>3335003162.38342</v>
      </c>
      <c r="AR11" s="12" t="n">
        <v>4403866497.644</v>
      </c>
      <c r="AS11" s="12" t="n">
        <v>2251468303.63073</v>
      </c>
      <c r="AT11" s="12"/>
      <c r="AU11" s="12"/>
    </row>
    <row r="12">
      <c r="A12" t="str">
        <f>K12</f>
      </c>
      <c r="K12" t="s">
        <v>212</v>
      </c>
      <c r="L12" s="12" t="n">
        <v>3452264817.36236</v>
      </c>
      <c r="M12" s="12" t="n">
        <v>4931477911.69855</v>
      </c>
      <c r="N12" s="12" t="n">
        <v>1961189276.47823</v>
      </c>
      <c r="O12" s="12" t="n">
        <v>3230398672.61145</v>
      </c>
      <c r="P12" s="12" t="n">
        <v>1958058875.66581</v>
      </c>
      <c r="Q12" s="12" t="n">
        <v>1019563673.43031</v>
      </c>
      <c r="R12" s="12" t="n">
        <v>1610086430.6393</v>
      </c>
      <c r="S12" s="12" t="n">
        <v>1292710773.76074</v>
      </c>
      <c r="T12" s="12" t="n">
        <v>946926889.180117</v>
      </c>
      <c r="U12" s="12" t="n">
        <v>1391322078.42301</v>
      </c>
      <c r="V12" s="12" t="n">
        <v>1656510803.16697</v>
      </c>
      <c r="W12" s="12" t="n">
        <v>1485031849.45275</v>
      </c>
      <c r="X12" s="12" t="n">
        <v>1739702421.02855</v>
      </c>
      <c r="Y12" s="12" t="n">
        <v>2509420749.55072</v>
      </c>
      <c r="Z12" s="12" t="n">
        <v>4295253196.47869</v>
      </c>
      <c r="AA12" s="12" t="n">
        <v>5953396655.20334</v>
      </c>
      <c r="AB12" s="12" t="n">
        <v>6344660944.82859</v>
      </c>
      <c r="AC12" s="12" t="n">
        <v>17205057608.5506</v>
      </c>
      <c r="AD12" s="12" t="n">
        <v>27793673008.8747</v>
      </c>
      <c r="AE12" s="12" t="n">
        <v>17975690164.4186</v>
      </c>
      <c r="AF12" s="12" t="n">
        <v>19628953196.5115</v>
      </c>
      <c r="AG12" s="12" t="n">
        <v>13072241252.2021</v>
      </c>
      <c r="AH12" s="12" t="n">
        <v>7177710726.02428</v>
      </c>
      <c r="AI12" s="12" t="n">
        <v>4173606894.55731</v>
      </c>
      <c r="AJ12" s="12" t="n">
        <v>2806500334.47566</v>
      </c>
      <c r="AK12" s="12" t="n">
        <v>4095967919.30825</v>
      </c>
      <c r="AL12" s="12" t="n">
        <v>4298486872.01019</v>
      </c>
      <c r="AM12" s="12" t="n">
        <v>3643208767.0478</v>
      </c>
      <c r="AN12" s="12" t="n">
        <v>7257836699.85549</v>
      </c>
      <c r="AO12" s="12" t="n">
        <v>7123156354.80585</v>
      </c>
      <c r="AP12" s="12" t="n">
        <v>6652305911.83293</v>
      </c>
      <c r="AQ12" s="12" t="n">
        <v>4285621335.89786</v>
      </c>
      <c r="AR12" s="12" t="n">
        <v>3740907018.4825</v>
      </c>
      <c r="AS12" s="12" t="n">
        <v>2529427780.10669</v>
      </c>
      <c r="AT12" s="12"/>
      <c r="AU12" s="12"/>
    </row>
    <row r="13">
      <c r="A13" t="str">
        <f>K13</f>
      </c>
      <c r="K13" t="s">
        <v>213</v>
      </c>
      <c r="L13" s="12" t="n">
        <v>873911667.216348</v>
      </c>
      <c r="M13" s="12" t="n">
        <v>3223032134.13692</v>
      </c>
      <c r="N13" s="12" t="n">
        <v>2920314458.03152</v>
      </c>
      <c r="O13" s="12" t="n">
        <v>2073511666.82364</v>
      </c>
      <c r="P13" s="12" t="n">
        <v>1550978479.85919</v>
      </c>
      <c r="Q13" s="12" t="n">
        <v>2454095376.83989</v>
      </c>
      <c r="R13" s="12" t="n">
        <v>2434159653.08009</v>
      </c>
      <c r="S13" s="12" t="n">
        <v>2743352211.8601</v>
      </c>
      <c r="T13" s="12" t="n">
        <v>1948203635.0188</v>
      </c>
      <c r="U13" s="12" t="n">
        <v>2595972544.50882</v>
      </c>
      <c r="V13" s="12" t="n">
        <v>1911845217.49076</v>
      </c>
      <c r="W13" s="12" t="n">
        <v>2160877535.5735</v>
      </c>
      <c r="X13" s="12" t="n">
        <v>2922212611.57751</v>
      </c>
      <c r="Y13" s="12" t="n">
        <v>8893302623.02636</v>
      </c>
      <c r="Z13" s="12" t="n">
        <v>4164194029.1894</v>
      </c>
      <c r="AA13" s="12" t="n">
        <v>8907448458.46471</v>
      </c>
      <c r="AB13" s="12" t="n">
        <v>6120138968.28684</v>
      </c>
      <c r="AC13" s="12" t="n">
        <v>8847101025.06149</v>
      </c>
      <c r="AD13" s="12" t="n">
        <v>10944323793.7661</v>
      </c>
      <c r="AE13" s="12" t="n">
        <v>7741358788.42582</v>
      </c>
      <c r="AF13" s="12" t="n">
        <v>5600308672.651</v>
      </c>
      <c r="AG13" s="12" t="n">
        <v>4906966235.11123</v>
      </c>
      <c r="AH13" s="12" t="n">
        <v>1424686569.35495</v>
      </c>
      <c r="AI13" s="12" t="n">
        <v>1514519259.78242</v>
      </c>
      <c r="AJ13" s="12" t="n">
        <v>1163879668.70862</v>
      </c>
      <c r="AK13" s="12" t="n">
        <v>2477215017.7845</v>
      </c>
      <c r="AL13" s="12" t="n">
        <v>1924758014.69554</v>
      </c>
      <c r="AM13" s="12" t="n">
        <v>2426290501.00181</v>
      </c>
      <c r="AN13" s="12" t="n">
        <v>2045953742.37542</v>
      </c>
      <c r="AO13" s="12" t="n">
        <v>2760554179.81634</v>
      </c>
      <c r="AP13" s="12" t="n">
        <v>1969763515.55187</v>
      </c>
      <c r="AQ13" s="12" t="n">
        <v>1678341507.03005</v>
      </c>
      <c r="AR13" s="12" t="n">
        <v>1656848366.2614</v>
      </c>
      <c r="AS13" s="12" t="n">
        <v>954024851.490516</v>
      </c>
      <c r="AT13" s="12"/>
      <c r="AU13" s="12"/>
    </row>
    <row r="14">
      <c r="A14" t="str">
        <f>K14</f>
      </c>
      <c r="K14" t="s">
        <v>214</v>
      </c>
      <c r="L14" s="12" t="n">
        <v>658622247.927895</v>
      </c>
      <c r="M14" s="12" t="n">
        <v>1363215228.25856</v>
      </c>
      <c r="N14" s="12" t="n">
        <v>1042539597.69241</v>
      </c>
      <c r="O14" s="12" t="n">
        <v>765457220.603944</v>
      </c>
      <c r="P14" s="12" t="n">
        <v>591070082.064431</v>
      </c>
      <c r="Q14" s="12" t="n">
        <v>680060322.345877</v>
      </c>
      <c r="R14" s="12" t="n">
        <v>721051407.15736</v>
      </c>
      <c r="S14" s="12" t="n">
        <v>827626862.220942</v>
      </c>
      <c r="T14" s="12" t="n">
        <v>669735532.83897</v>
      </c>
      <c r="U14" s="12" t="n">
        <v>662657935.682734</v>
      </c>
      <c r="V14" s="12" t="n">
        <v>565139576.27431</v>
      </c>
      <c r="W14" s="12" t="n">
        <v>523271339.440162</v>
      </c>
      <c r="X14" s="12" t="n">
        <v>853408443.183161</v>
      </c>
      <c r="Y14" s="12" t="n">
        <v>1559218419.16807</v>
      </c>
      <c r="Z14" s="12" t="n">
        <v>2089209958.36545</v>
      </c>
      <c r="AA14" s="12" t="n">
        <v>2560887890.54593</v>
      </c>
      <c r="AB14" s="12" t="n">
        <v>2322716835.364</v>
      </c>
      <c r="AC14" s="12" t="n">
        <v>2954512482.81411</v>
      </c>
      <c r="AD14" s="12" t="n">
        <v>3384838185.27147</v>
      </c>
      <c r="AE14" s="12" t="n">
        <v>3103120327.15638</v>
      </c>
      <c r="AF14" s="12" t="n">
        <v>1874227811.95721</v>
      </c>
      <c r="AG14" s="12" t="n">
        <v>2074912490.12185</v>
      </c>
      <c r="AH14" s="12" t="n">
        <v>1579041052.24597</v>
      </c>
      <c r="AI14" s="12" t="n">
        <v>1083507720.71401</v>
      </c>
      <c r="AJ14" s="12" t="n">
        <v>1186040229.5084</v>
      </c>
      <c r="AK14" s="12" t="n">
        <v>1262139150.21604</v>
      </c>
      <c r="AL14" s="12" t="n">
        <v>1216870126.44892</v>
      </c>
      <c r="AM14" s="12" t="n">
        <v>1400716486.14039</v>
      </c>
      <c r="AN14" s="12" t="n">
        <v>1610144808.58023</v>
      </c>
      <c r="AO14" s="12" t="n">
        <v>1685653269.12023</v>
      </c>
      <c r="AP14" s="12" t="n">
        <v>1578294085.55088</v>
      </c>
      <c r="AQ14" s="12" t="n">
        <v>983637972.194942</v>
      </c>
      <c r="AR14" s="12" t="n">
        <v>951873235.1444</v>
      </c>
      <c r="AS14" s="12" t="n">
        <v>379007701.50043</v>
      </c>
      <c r="AT14" s="12"/>
      <c r="AU14" s="12"/>
    </row>
    <row r="15">
      <c r="A15" t="str">
        <f>K15</f>
      </c>
      <c r="K15" t="s">
        <v>38</v>
      </c>
      <c r="L15" s="12" t="n">
        <v>1750003656.5612</v>
      </c>
      <c r="M15" s="12" t="n">
        <v>295280533.744998</v>
      </c>
      <c r="N15" s="12" t="n">
        <v>402377579.367401</v>
      </c>
      <c r="O15" s="12" t="n">
        <v>241932071.550587</v>
      </c>
      <c r="P15" s="12" t="n">
        <v>100644727.583924</v>
      </c>
      <c r="Q15" s="12" t="n">
        <v>168890098.176872</v>
      </c>
      <c r="R15" s="12" t="n">
        <v>210880519.613819</v>
      </c>
      <c r="S15" s="12" t="n">
        <v>16750908.3077446</v>
      </c>
      <c r="T15" s="12" t="n">
        <v>14954779.4905416</v>
      </c>
      <c r="U15" s="12" t="n">
        <v>676109.676027748</v>
      </c>
      <c r="V15" s="12"/>
      <c r="W15" s="12" t="n">
        <v>80651.673726592</v>
      </c>
      <c r="X15" s="12" t="n">
        <v>1006577.01656804</v>
      </c>
      <c r="Y15" s="12" t="n">
        <v>7851403.87842945</v>
      </c>
      <c r="Z15" s="12" t="n">
        <v>2679036.75033366</v>
      </c>
      <c r="AA15" s="12" t="n">
        <v>27138468.0048575</v>
      </c>
      <c r="AB15" s="12" t="n">
        <v>126672818.374287</v>
      </c>
      <c r="AC15" s="12" t="n">
        <v>59344582.7692792</v>
      </c>
      <c r="AD15" s="12" t="n">
        <v>113943669.630938</v>
      </c>
      <c r="AE15" s="12" t="n">
        <v>139916822.790374</v>
      </c>
      <c r="AF15" s="12" t="n">
        <v>273254935.493208</v>
      </c>
      <c r="AG15" s="12" t="n">
        <v>231464188.263601</v>
      </c>
      <c r="AH15" s="12" t="n">
        <v>191048572.398333</v>
      </c>
      <c r="AI15" s="12" t="n">
        <v>86645757.3346412</v>
      </c>
      <c r="AJ15" s="12" t="n">
        <v>11386426.0356272</v>
      </c>
      <c r="AK15" s="12" t="n">
        <v>22940892.8152016</v>
      </c>
      <c r="AL15" s="12" t="n">
        <v>12225747.1116659</v>
      </c>
      <c r="AM15" s="12" t="n">
        <v>16204873.1118684</v>
      </c>
      <c r="AN15" s="12" t="n">
        <v>18757878.9161331</v>
      </c>
      <c r="AO15" s="12" t="n">
        <v>6794594.44433329</v>
      </c>
      <c r="AP15" s="12" t="n">
        <v>129567134.587762</v>
      </c>
      <c r="AQ15" s="12" t="n">
        <v>76446800.8213275</v>
      </c>
      <c r="AR15" s="12" t="n">
        <v>2872491.5763</v>
      </c>
      <c r="AS15" s="12" t="n">
        <v>1011695.56023517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../output/AcqTrends/Platform//Land_Vehicles/DoD_Land_Vehicles_Contracts.xlsx</dc:creator>
  <cp:lastModifiedBy>../output/AcqTrends/Platform//Land_Vehicles/DoD_Land_Vehicles_Contracts.xlsx</cp:lastModifiedBy>
  <dcterms:created xsi:type="dcterms:W3CDTF">2023-11-12T22:34:24Z</dcterms:created>
</coreProperties>
</file>