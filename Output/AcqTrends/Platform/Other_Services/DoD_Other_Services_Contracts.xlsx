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SR" sheetId="1" state="visible" r:id="rId1"/>
    <sheet name="Cust" sheetId="2" state="visible" r:id="rId2"/>
    <sheet name="Price" sheetId="3" state="visible" r:id="rId3"/>
    <sheet name="Veh" sheetId="4" state="visible" r:id="rId4"/>
    <sheet name="FYQ" sheetId="5" state="visible" r:id="rId5"/>
    <sheet name="Proj" sheetId="6" state="visible" r:id="rId6"/>
    <sheet name="PSC" sheetId="7" state="visible" r:id="rId7"/>
    <sheet name="AllProj" sheetId="8" state="visible" r:id="rId8"/>
    <sheet name="AllPSC" sheetId="9" state="visible" r:id="rId9"/>
    <sheet name="vend" sheetId="10" state="visible" r:id="rId10"/>
  </sheets>
</workbook>
</file>

<file path=xl/sharedStrings.xml><?xml version="1.0" encoding="utf-8"?>
<sst xmlns="http://schemas.openxmlformats.org/spreadsheetml/2006/main" count="124" uniqueCount="124">
  <si>
    <t xml:space="preserve">SimpleArea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</si>
  <si>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</si>
  <si>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</si>
  <si>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</si>
  <si>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</si>
  <si>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</si>
  <si>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</si>
  <si>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</si>
  <si>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</si>
  <si>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</si>
  <si>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</si>
  <si>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</si>
  <si>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</si>
  <si>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</si>
  <si>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</si>
  <si>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</si>
  <si>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</si>
  <si>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</si>
  <si>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</si>
  <si>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</si>
  <si>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</si>
  <si>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</si>
  <si>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</si>
  <si>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</si>
  <si>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</si>
  <si>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</si>
  <si>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</si>
  <si>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</si>
  <si>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</si>
  <si>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</si>
  <si>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</si>
  <si>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</si>
  <si>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</si>
  <si>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</si>
  <si>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</si>
  <si>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Services (Non-R&amp;D)</t>
  </si>
  <si>
    <t xml:space="preserve">SubCustomer.JPO</t>
  </si>
  <si>
    <t xml:space="preserve">SubCustomer.sum</t>
  </si>
  <si>
    <t xml:space="preserve">Air Force</t>
  </si>
  <si>
    <t xml:space="preserve">Army</t>
  </si>
  <si>
    <t xml:space="preserve">DLA</t>
  </si>
  <si>
    <t xml:space="preserve">Other DoD</t>
  </si>
  <si>
    <t xml:space="preserve">Navy</t>
  </si>
  <si>
    <t xml:space="preserve">PricingUCA.sumlong</t>
  </si>
  <si>
    <t xml:space="preserve">PricingUCA</t>
  </si>
  <si>
    <t xml:space="preserve">Firm-Fixed-Price</t>
  </si>
  <si>
    <t xml:space="preserve">FFP</t>
  </si>
  <si>
    <t xml:space="preserve">Less Common</t>
  </si>
  <si>
    <t xml:space="preserve">Other FP</t>
  </si>
  <si>
    <t xml:space="preserve">T&amp;M/LH/FPLOE</t>
  </si>
  <si>
    <t xml:space="preserve">Incentive</t>
  </si>
  <si>
    <t xml:space="preserve">Other Cost-Based</t>
  </si>
  <si>
    <t xml:space="preserve">Other CB</t>
  </si>
  <si>
    <t xml:space="preserve">Undefinitized
Contract Award</t>
  </si>
  <si>
    <t xml:space="preserve">UCA</t>
  </si>
  <si>
    <t xml:space="preserve">Unclear</t>
  </si>
  <si>
    <t xml:space="preserve">Combination/Other</t>
  </si>
  <si>
    <t xml:space="preserve">Vehicle.AwardTask</t>
  </si>
  <si>
    <t xml:space="preserve">Vehicle.sum7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</si>
  <si>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</si>
  <si>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</si>
  <si>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</si>
  <si>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</si>
  <si>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</si>
  <si>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</si>
  <si>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</si>
  <si>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</si>
  <si>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</si>
  <si>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TopProject</t>
  </si>
  <si>
    <t xml:space="preserve">466</t>
  </si>
  <si>
    <t xml:space="preserve">CBDP</t>
  </si>
  <si>
    <t xml:space="preserve">DTS</t>
  </si>
  <si>
    <t xml:space="preserve">Department of Defense Healthcare Management System Modernization (DHMSM)</t>
  </si>
  <si>
    <t xml:space="preserve">MQ-9 Reaper</t>
  </si>
  <si>
    <t xml:space="preserve">Other Labeled Project</t>
  </si>
  <si>
    <t xml:space="preserve">Other UAS</t>
  </si>
  <si>
    <t xml:space="preserve">STATUS OF FORCES AGREEMENT</t>
  </si>
  <si>
    <t xml:space="preserve">ZBL</t>
  </si>
  <si>
    <t xml:space="preserve">MQ-1C Gray Eagle</t>
  </si>
  <si>
    <t xml:space="preserve">TopPStext</t>
  </si>
  <si>
    <t xml:space="preserve">AIR CHARTER FOR
THINGS</t>
  </si>
  <si>
    <t xml:space="preserve">GENERAL HEALTH CARE
SERVICES</t>
  </si>
  <si>
    <t xml:space="preserve">LOGISTICS SUPPORT
SERVICES</t>
  </si>
  <si>
    <t xml:space="preserve">MAINT-REP OF
TRAINING
AIDS-DEVICES</t>
  </si>
  <si>
    <t xml:space="preserve">MARINE CHARTER FOR
THINGS</t>
  </si>
  <si>
    <t xml:space="preserve">MEDICAL- OTHER</t>
  </si>
  <si>
    <t xml:space="preserve">Other Labeled PSC</t>
  </si>
  <si>
    <t xml:space="preserve">PASSENGER AIR
CHARTER SERVICE</t>
  </si>
  <si>
    <t xml:space="preserve">TRANSPORTATION/TRAVEL/RELOCATION-
TRANSPORTATION:
VESSEL FREIGHT</t>
  </si>
  <si>
    <t xml:space="preserve">Project.Name</t>
  </si>
  <si>
    <t xml:space="preserve">ProjectID</t>
  </si>
  <si>
    <t xml:space="preserve">ACC</t>
  </si>
  <si>
    <t xml:space="preserve">AN/MLQ-34 COUNTERMEASURES</t>
  </si>
  <si>
    <t xml:space="preserve">ATS</t>
  </si>
  <si>
    <t xml:space="preserve">DCD/DCW</t>
  </si>
  <si>
    <t xml:space="preserve">DIMHRS</t>
  </si>
  <si>
    <t xml:space="preserve">DJN</t>
  </si>
  <si>
    <t xml:space="preserve">DLS</t>
  </si>
  <si>
    <t xml:space="preserve">DMLSS</t>
  </si>
  <si>
    <t xml:space="preserve">ECSS</t>
  </si>
  <si>
    <t xml:space="preserve">JMPS</t>
  </si>
  <si>
    <t xml:space="preserve">MSE</t>
  </si>
  <si>
    <t xml:space="preserve">NAVY ERP</t>
  </si>
  <si>
    <t xml:space="preserve">NCES</t>
  </si>
  <si>
    <t xml:space="preserve">NEMAIS</t>
  </si>
  <si>
    <t xml:space="preserve">NSIPS</t>
  </si>
  <si>
    <t xml:space="preserve">PKI</t>
  </si>
  <si>
    <t xml:space="preserve">PRV</t>
  </si>
  <si>
    <t xml:space="preserve">REMOTE SENSING CHEM AGENT</t>
  </si>
  <si>
    <t xml:space="preserve">RQ-7 Shadow</t>
  </si>
  <si>
    <t xml:space="preserve">RV-1</t>
  </si>
  <si>
    <t xml:space="preserve">SPS</t>
  </si>
  <si>
    <t xml:space="preserve">TMIP</t>
  </si>
  <si>
    <t xml:space="preserve">Grand Total</t>
  </si>
  <si>
    <t xml:space="preserve"/>
  </si>
  <si>
    <t xml:space="preserve">Shiny.VendorSize</t>
  </si>
  <si>
    <t xml:space="preserve">Big Five</t>
  </si>
  <si>
    <t xml:space="preserve">Large</t>
  </si>
  <si>
    <t xml:space="preserve">Medium</t>
  </si>
  <si>
    <t xml:space="preserve">Small</t>
  </si>
  <si>
    <t xml:space="preserve">Unlabeled</t>
  </si>
  <si>
    <t xml:space="preserve">Firm Fixed-Price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</si>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</sst>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211" formatCode="0.00,,,&quot;B&quot;"/>
    <numFmt numFmtId="207" formatCode="0.00,,,&quot;B&quot;"/>
    <numFmt numFmtId="210" formatCode="0.00,,,&quot;B&quot;"/>
    <numFmt numFmtId="209" formatCode="0.00,,,&quot;B&quot;"/>
    <numFmt numFmtId="208" formatCode="0.00,,,&quot;B&quot;"/>
    <numFmt numFmtId="184" formatCode="0.00,,,&quot;B&quot;"/>
    <numFmt numFmtId="171" formatCode="0.00,,,&quot;B&quot;"/>
    <numFmt numFmtId="186" formatCode="0.00,,,&quot;B&quot;"/>
    <numFmt numFmtId="175" formatCode="0.00,,,&quot;B&quot;"/>
    <numFmt numFmtId="187" formatCode="0.00,,,&quot;B&quot;"/>
    <numFmt numFmtId="195" formatCode="0.00,,,&quot;B&quot;"/>
    <numFmt numFmtId="212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11" fontId="1" fillId="0" borderId="0" xfId="0" applyFont="1" applyNumberFormat="1"/>
    <xf numFmtId="207" fontId="1" fillId="0" borderId="0" xfId="0" applyFont="1" applyNumberFormat="1"/>
    <xf numFmtId="210" fontId="1" fillId="0" borderId="0" xfId="0" applyFont="1" applyNumberFormat="1"/>
    <xf numFmtId="209" fontId="1" fillId="0" borderId="0" xfId="0" applyFont="1" applyNumberFormat="1"/>
    <xf numFmtId="208" fontId="1" fillId="0" borderId="0" xfId="0" applyFont="1" applyNumberFormat="1"/>
    <xf numFmtId="184" fontId="1" fillId="0" borderId="0" xfId="0" applyFont="1" applyNumberFormat="1"/>
    <xf numFmtId="10" fontId="1" fillId="0" borderId="0" xfId="0" applyFont="1" applyNumberFormat="1"/>
    <xf numFmtId="171" fontId="1" fillId="0" borderId="0" xfId="0" applyFont="1" applyNumberFormat="1"/>
    <xf numFmtId="186" fontId="1" fillId="0" borderId="0" xfId="0" applyFont="1" applyNumberFormat="1"/>
    <xf numFmtId="175" fontId="1" fillId="0" borderId="0" xfId="0" applyFont="1" applyNumberFormat="1"/>
    <xf numFmtId="187" fontId="1" fillId="0" borderId="0" xfId="0" applyFont="1" applyNumberFormat="1"/>
    <xf numFmtId="195" fontId="1" fillId="0" borderId="0" xfId="0" applyFont="1" applyNumberFormat="1"/>
    <xf numFmtId="212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122</v>
      </c>
      <c r="AW1" t="s">
        <v>123</v>
      </c>
    </row>
    <row r="2">
      <c r="A2" t="str">
        <f>M2</f>
      </c>
      <c r="M2" t="s">
        <v>35</v>
      </c>
      <c r="N2" s="1" t="n">
        <v>4385928184</v>
      </c>
      <c r="O2" s="1" t="n">
        <v>5642501985</v>
      </c>
      <c r="P2" s="1" t="n">
        <v>4212521274</v>
      </c>
      <c r="Q2" s="1" t="n">
        <v>3076431560</v>
      </c>
      <c r="R2" s="1" t="n">
        <v>4016084413</v>
      </c>
      <c r="S2" s="1" t="n">
        <v>5278185433</v>
      </c>
      <c r="T2" s="1" t="n">
        <v>5094354952</v>
      </c>
      <c r="U2" s="1" t="n">
        <v>5936682915</v>
      </c>
      <c r="V2" s="1" t="n">
        <v>6260095195</v>
      </c>
      <c r="W2" s="1" t="n">
        <v>7836022358</v>
      </c>
      <c r="X2" s="1" t="n">
        <v>6506896271.1198</v>
      </c>
      <c r="Y2" s="1" t="n">
        <v>7420418599.3494</v>
      </c>
      <c r="Z2" s="1" t="n">
        <v>10545115941.9841</v>
      </c>
      <c r="AA2" s="1" t="n">
        <v>16105347747.7887</v>
      </c>
      <c r="AB2" s="1" t="n">
        <v>20122322174.6054</v>
      </c>
      <c r="AC2" s="1" t="n">
        <v>22213036981.4812</v>
      </c>
      <c r="AD2" s="1" t="n">
        <v>24238830668.4184</v>
      </c>
      <c r="AE2" s="1" t="n">
        <v>24497884758.7179</v>
      </c>
      <c r="AF2" s="1" t="n">
        <v>27468028277.7697</v>
      </c>
      <c r="AG2" s="1" t="n">
        <v>30723657954.163</v>
      </c>
      <c r="AH2" s="1" t="n">
        <v>33024157518.5712</v>
      </c>
      <c r="AI2" s="1" t="n">
        <v>36792544582.1274</v>
      </c>
      <c r="AJ2" s="1" t="n">
        <v>33864152089.4193</v>
      </c>
      <c r="AK2" s="1" t="n">
        <v>30720193694.7523</v>
      </c>
      <c r="AL2" s="1" t="n">
        <v>25679241583.4147</v>
      </c>
      <c r="AM2" s="1" t="n">
        <v>23029997076.4498</v>
      </c>
      <c r="AN2" s="1" t="n">
        <v>23858636087.5907</v>
      </c>
      <c r="AO2" s="1" t="n">
        <v>26346176148.3264</v>
      </c>
      <c r="AP2" s="1" t="n">
        <v>28367720162.7264</v>
      </c>
      <c r="AQ2" s="1" t="n">
        <v>29627333196.4905</v>
      </c>
      <c r="AR2" s="1" t="n">
        <v>29368308989.5551</v>
      </c>
      <c r="AS2" s="1" t="n">
        <v>28664016702.31</v>
      </c>
      <c r="AT2" s="1" t="n">
        <v>30373207224.8044</v>
      </c>
      <c r="AU2" s="1" t="n">
        <v>31780507044.8988</v>
      </c>
      <c r="AV2" s="1" t="n">
        <v>32406631594.5412</v>
      </c>
      <c r="AW2" s="1" t="n">
        <v>15052614323.12</v>
      </c>
      <c r="AX2" s="1"/>
      <c r="AY2" s="1"/>
    </row>
    <row r="3">
      <c r="A3" t="str">
        <f>M3</f>
      </c>
      <c r="M3" t="s">
        <v>113</v>
      </c>
      <c r="N3" s="1" t="str">
        <f>Sum(N2:N2)</f>
      </c>
      <c r="O3" s="1" t="str">
        <f>Sum(O2:O2)</f>
      </c>
      <c r="P3" s="1" t="str">
        <f>Sum(P2:P2)</f>
      </c>
      <c r="Q3" s="1" t="str">
        <f>Sum(Q2:Q2)</f>
      </c>
      <c r="R3" s="1" t="str">
        <f>Sum(R2:R2)</f>
      </c>
      <c r="S3" s="1" t="str">
        <f>Sum(S2:S2)</f>
      </c>
      <c r="T3" s="1" t="str">
        <f>Sum(T2:T2)</f>
      </c>
      <c r="U3" s="1" t="str">
        <f>Sum(U2:U2)</f>
      </c>
      <c r="V3" s="1" t="str">
        <f>Sum(V2:V2)</f>
      </c>
      <c r="W3" s="1" t="str">
        <f>Sum(W2:W2)</f>
      </c>
      <c r="X3" s="1" t="str">
        <f>Sum(X2:X2)</f>
      </c>
      <c r="Y3" s="1" t="str">
        <f>Sum(Y2:Y2)</f>
      </c>
      <c r="Z3" s="1" t="str">
        <f>Sum(Z2:Z2)</f>
      </c>
      <c r="AA3" s="1" t="str">
        <f>Sum(AA2:AA2)</f>
      </c>
      <c r="AB3" s="1" t="str">
        <f>Sum(AB2:AB2)</f>
      </c>
      <c r="AC3" s="1" t="str">
        <f>Sum(AC2:AC2)</f>
      </c>
      <c r="AD3" s="1" t="str">
        <f>Sum(AD2:AD2)</f>
      </c>
      <c r="AE3" s="1" t="str">
        <f>Sum(AE2:AE2)</f>
      </c>
      <c r="AF3" s="1" t="str">
        <f>Sum(AF2:AF2)</f>
      </c>
      <c r="AG3" s="1" t="str">
        <f>Sum(AG2:AG2)</f>
      </c>
      <c r="AH3" s="1" t="str">
        <f>Sum(AH2:AH2)</f>
      </c>
      <c r="AI3" s="1" t="str">
        <f>Sum(AI2:AI2)</f>
      </c>
      <c r="AJ3" s="1" t="str">
        <f>Sum(AJ2:AJ2)</f>
      </c>
      <c r="AK3" s="1" t="str">
        <f>Sum(AK2:AK2)</f>
      </c>
      <c r="AL3" s="1" t="str">
        <f>Sum(AL2:AL2)</f>
      </c>
      <c r="AM3" s="1" t="str">
        <f>Sum(AM2:AM2)</f>
      </c>
      <c r="AN3" s="1" t="str">
        <f>Sum(AN2:AN2)</f>
      </c>
      <c r="AO3" s="1" t="str">
        <f>Sum(AO2:AO2)</f>
      </c>
      <c r="AP3" s="1" t="str">
        <f>Sum(AP2:AP2)</f>
      </c>
      <c r="AQ3" s="1" t="str">
        <f>Sum(AQ2:AQ2)</f>
      </c>
      <c r="AR3" s="1" t="str">
        <f>Sum(AR2:AR2)</f>
      </c>
      <c r="AS3" s="1" t="str">
        <f>Sum(AS2:AS2)</f>
      </c>
      <c r="AT3" s="1" t="str">
        <f>Sum(AT2:AT2)</f>
      </c>
      <c r="AU3" s="1" t="str">
        <f>Sum(AU2:AU2)</f>
      </c>
      <c r="AV3" s="1" t="str">
        <f>Sum(AV2:AV2)</f>
      </c>
      <c r="AW3" s="1" t="str">
        <f>Sum(AW2:AW2)</f>
      </c>
      <c r="AX3" s="1" t="str">
        <f>Sum(AX2:AX2)</f>
      </c>
      <c r="AY3" s="1"/>
    </row>
    <row r="6">
      <c r="A6" t="str">
        <f>M6</f>
      </c>
      <c r="M6" t="s">
        <v>0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 t="s">
        <v>6</v>
      </c>
      <c r="T6" t="s">
        <v>7</v>
      </c>
      <c r="U6" t="s">
        <v>8</v>
      </c>
      <c r="V6" t="s">
        <v>9</v>
      </c>
      <c r="W6" t="s">
        <v>10</v>
      </c>
      <c r="X6" t="s">
        <v>11</v>
      </c>
      <c r="Y6" t="s">
        <v>12</v>
      </c>
      <c r="Z6" t="s">
        <v>13</v>
      </c>
      <c r="AA6" t="s">
        <v>14</v>
      </c>
      <c r="AB6" t="s">
        <v>15</v>
      </c>
      <c r="AC6" t="s">
        <v>16</v>
      </c>
      <c r="AD6" t="s">
        <v>17</v>
      </c>
      <c r="AE6" t="s">
        <v>18</v>
      </c>
      <c r="AF6" t="s">
        <v>19</v>
      </c>
      <c r="AG6" t="s">
        <v>20</v>
      </c>
      <c r="AH6" t="s">
        <v>21</v>
      </c>
      <c r="AI6" t="s">
        <v>22</v>
      </c>
      <c r="AJ6" t="s">
        <v>23</v>
      </c>
      <c r="AK6" t="s">
        <v>24</v>
      </c>
      <c r="AL6" t="s">
        <v>25</v>
      </c>
      <c r="AM6" t="s">
        <v>26</v>
      </c>
      <c r="AN6" t="s">
        <v>27</v>
      </c>
      <c r="AO6" t="s">
        <v>28</v>
      </c>
      <c r="AP6" t="s">
        <v>29</v>
      </c>
      <c r="AQ6" t="s">
        <v>30</v>
      </c>
      <c r="AR6" t="s">
        <v>31</v>
      </c>
      <c r="AS6" t="s">
        <v>32</v>
      </c>
      <c r="AT6" t="s">
        <v>33</v>
      </c>
      <c r="AU6" t="s">
        <v>34</v>
      </c>
      <c r="AV6" t="s">
        <v>122</v>
      </c>
      <c r="AW6" t="s">
        <v>123</v>
      </c>
    </row>
    <row r="7">
      <c r="A7" t="str">
        <f>M7</f>
      </c>
      <c r="M7" t="s">
        <v>35</v>
      </c>
      <c r="N7" s="1" t="n">
        <v>9071336040.92673</v>
      </c>
      <c r="O7" s="1" t="n">
        <v>11267466338.9229</v>
      </c>
      <c r="P7" s="1" t="n">
        <v>8206550781.93628</v>
      </c>
      <c r="Q7" s="1" t="n">
        <v>5855917674.454</v>
      </c>
      <c r="R7" s="1" t="n">
        <v>7481205929.17667</v>
      </c>
      <c r="S7" s="1" t="n">
        <v>9628034911.79384</v>
      </c>
      <c r="T7" s="1" t="n">
        <v>9120972555.21568</v>
      </c>
      <c r="U7" s="1" t="n">
        <v>10443736614.9493</v>
      </c>
      <c r="V7" s="1" t="n">
        <v>10876313991.8596</v>
      </c>
      <c r="W7" s="1" t="n">
        <v>13447817359.2265</v>
      </c>
      <c r="X7" s="1" t="n">
        <v>10939220871.4553</v>
      </c>
      <c r="Y7" s="1" t="n">
        <v>12179783486.7693</v>
      </c>
      <c r="Z7" s="1" t="n">
        <v>17040538832.9202</v>
      </c>
      <c r="AA7" s="1" t="n">
        <v>25535521474.6105</v>
      </c>
      <c r="AB7" s="1" t="n">
        <v>31144058171.1753</v>
      </c>
      <c r="AC7" s="1" t="n">
        <v>33364653941.1195</v>
      </c>
      <c r="AD7" s="1" t="n">
        <v>35261995691.9203</v>
      </c>
      <c r="AE7" s="1" t="n">
        <v>34684026829.1878</v>
      </c>
      <c r="AF7" s="1" t="n">
        <v>38098195779.0057</v>
      </c>
      <c r="AG7" s="1" t="n">
        <v>42182397079.2429</v>
      </c>
      <c r="AH7" s="1" t="n">
        <v>44951593519.3402</v>
      </c>
      <c r="AI7" s="1" t="n">
        <v>49095604722.5005</v>
      </c>
      <c r="AJ7" s="1" t="n">
        <v>44382618071.0697</v>
      </c>
      <c r="AK7" s="1" t="n">
        <v>39544596045.9346</v>
      </c>
      <c r="AL7" s="1" t="n">
        <v>32463390846.5979</v>
      </c>
      <c r="AM7" s="1" t="n">
        <v>28815823524.7596</v>
      </c>
      <c r="AN7" s="1" t="n">
        <v>29615860366.665</v>
      </c>
      <c r="AO7" s="1" t="n">
        <v>32160777230.4401</v>
      </c>
      <c r="AP7" s="1" t="n">
        <v>33876419478.4035</v>
      </c>
      <c r="AQ7" s="1" t="n">
        <v>34738339878.8017</v>
      </c>
      <c r="AR7" s="1" t="n">
        <v>33990608493.6321</v>
      </c>
      <c r="AS7" s="1" t="n">
        <v>32071645452.2993</v>
      </c>
      <c r="AT7" s="1" t="n">
        <v>31762678026.0225</v>
      </c>
      <c r="AU7" s="1" t="n">
        <v>31780507044.8988</v>
      </c>
      <c r="AV7" s="1" t="n">
        <v>31563692014.3697</v>
      </c>
      <c r="AW7" s="1" t="n">
        <v>14346288495.4078</v>
      </c>
      <c r="AX7" s="1"/>
      <c r="AY7" s="1"/>
    </row>
    <row r="8">
      <c r="A8" t="str">
        <f>M8</f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36</v>
      </c>
      <c r="N1" t="s">
        <v>37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122</v>
      </c>
      <c r="AX1" t="s">
        <v>123</v>
      </c>
    </row>
    <row r="2">
      <c r="A2" t="str">
        <f>M2</f>
      </c>
      <c r="B2" t="str">
        <f>N2</f>
      </c>
      <c r="M2" t="s">
        <v>38</v>
      </c>
      <c r="N2" t="s">
        <v>38</v>
      </c>
      <c r="O2" s="13" t="n">
        <v>978067000</v>
      </c>
      <c r="P2" s="13" t="n">
        <v>2278830000</v>
      </c>
      <c r="Q2" s="13" t="n">
        <v>955534803</v>
      </c>
      <c r="R2" s="13" t="n">
        <v>748618235</v>
      </c>
      <c r="S2" s="13" t="n">
        <v>1030339101</v>
      </c>
      <c r="T2" s="13" t="n">
        <v>874995499</v>
      </c>
      <c r="U2" s="13" t="n">
        <v>985507927</v>
      </c>
      <c r="V2" s="13" t="n">
        <v>891747286</v>
      </c>
      <c r="W2" s="13" t="n">
        <v>947950806</v>
      </c>
      <c r="X2" s="13" t="n">
        <v>1116737744</v>
      </c>
      <c r="Y2" s="13" t="n">
        <v>1000021460</v>
      </c>
      <c r="Z2" s="13" t="n">
        <v>972021925</v>
      </c>
      <c r="AA2" s="13" t="n">
        <v>1690451082</v>
      </c>
      <c r="AB2" s="13" t="n">
        <v>2842159455.3375</v>
      </c>
      <c r="AC2" s="13" t="n">
        <v>2506793634.2544</v>
      </c>
      <c r="AD2" s="13" t="n">
        <v>3325521119.56</v>
      </c>
      <c r="AE2" s="13" t="n">
        <v>3474823462.191</v>
      </c>
      <c r="AF2" s="13" t="n">
        <v>3646942571.1923</v>
      </c>
      <c r="AG2" s="13" t="n">
        <v>1030827611.7022</v>
      </c>
      <c r="AH2" s="13" t="n">
        <v>1085829396.1984</v>
      </c>
      <c r="AI2" s="13" t="n">
        <v>1139874459.0974</v>
      </c>
      <c r="AJ2" s="13" t="n">
        <v>1410571056.3293</v>
      </c>
      <c r="AK2" s="13" t="n">
        <v>1356695255.0365</v>
      </c>
      <c r="AL2" s="13" t="n">
        <v>1072793604.4092</v>
      </c>
      <c r="AM2" s="13" t="n">
        <v>1291779802.7566</v>
      </c>
      <c r="AN2" s="13" t="n">
        <v>1381432122.3518</v>
      </c>
      <c r="AO2" s="13" t="n">
        <v>1751440291.8325</v>
      </c>
      <c r="AP2" s="13" t="n">
        <v>2180944651.5329</v>
      </c>
      <c r="AQ2" s="13" t="n">
        <v>2362352905.3037</v>
      </c>
      <c r="AR2" s="13" t="n">
        <v>2326396637.8051</v>
      </c>
      <c r="AS2" s="13" t="n">
        <v>2514654037.2568</v>
      </c>
      <c r="AT2" s="13" t="n">
        <v>2390351911.2255</v>
      </c>
      <c r="AU2" s="13" t="n">
        <v>2260673802.8923</v>
      </c>
      <c r="AV2" s="13" t="n">
        <v>2268663004.364</v>
      </c>
      <c r="AW2" s="13" t="n">
        <v>2347677470.8392</v>
      </c>
      <c r="AX2" s="13" t="n">
        <v>821936235.52</v>
      </c>
      <c r="AY2" s="13"/>
    </row>
    <row r="3">
      <c r="A3" t="str">
        <f>M3</f>
      </c>
      <c r="B3" t="str">
        <f>N3</f>
      </c>
      <c r="M3" t="s">
        <v>39</v>
      </c>
      <c r="N3" t="s">
        <v>39</v>
      </c>
      <c r="O3" s="13" t="n">
        <v>460294000</v>
      </c>
      <c r="P3" s="13" t="n">
        <v>739507000</v>
      </c>
      <c r="Q3" s="13" t="n">
        <v>721428300</v>
      </c>
      <c r="R3" s="13" t="n">
        <v>614467215</v>
      </c>
      <c r="S3" s="13" t="n">
        <v>576034333</v>
      </c>
      <c r="T3" s="13" t="n">
        <v>702514157</v>
      </c>
      <c r="U3" s="13" t="n">
        <v>978731112</v>
      </c>
      <c r="V3" s="13" t="n">
        <v>1137311378</v>
      </c>
      <c r="W3" s="13" t="n">
        <v>956787961</v>
      </c>
      <c r="X3" s="13" t="n">
        <v>2202710176</v>
      </c>
      <c r="Y3" s="13" t="n">
        <v>2172056314.1198</v>
      </c>
      <c r="Z3" s="13" t="n">
        <v>2341728430.3494</v>
      </c>
      <c r="AA3" s="13" t="n">
        <v>2554072220.9803</v>
      </c>
      <c r="AB3" s="13" t="n">
        <v>4685951121.5098</v>
      </c>
      <c r="AC3" s="13" t="n">
        <v>9741607844.3791</v>
      </c>
      <c r="AD3" s="13" t="n">
        <v>9236607466.913</v>
      </c>
      <c r="AE3" s="13" t="n">
        <v>8770622073.1851</v>
      </c>
      <c r="AF3" s="13" t="n">
        <v>7935352746.69</v>
      </c>
      <c r="AG3" s="13" t="n">
        <v>9841580971.9272</v>
      </c>
      <c r="AH3" s="13" t="n">
        <v>10245593309.5033</v>
      </c>
      <c r="AI3" s="13" t="n">
        <v>13080985163.4256</v>
      </c>
      <c r="AJ3" s="13" t="n">
        <v>12994734830.9703</v>
      </c>
      <c r="AK3" s="13" t="n">
        <v>9717971559.515</v>
      </c>
      <c r="AL3" s="13" t="n">
        <v>9029217883.6923</v>
      </c>
      <c r="AM3" s="13" t="n">
        <v>4572205034.0497</v>
      </c>
      <c r="AN3" s="13" t="n">
        <v>3933865539.0539</v>
      </c>
      <c r="AO3" s="13" t="n">
        <v>4155319281.4781</v>
      </c>
      <c r="AP3" s="13" t="n">
        <v>4947981735.9576</v>
      </c>
      <c r="AQ3" s="13" t="n">
        <v>5714516540.6657</v>
      </c>
      <c r="AR3" s="13" t="n">
        <v>5464806683.3295</v>
      </c>
      <c r="AS3" s="13" t="n">
        <v>5164279436.4873</v>
      </c>
      <c r="AT3" s="13" t="n">
        <v>5027389737.908</v>
      </c>
      <c r="AU3" s="13" t="n">
        <v>4990817721.5085</v>
      </c>
      <c r="AV3" s="13" t="n">
        <v>5168265202.4804</v>
      </c>
      <c r="AW3" s="13" t="n">
        <v>5134389426.2</v>
      </c>
      <c r="AX3" s="13" t="n">
        <v>1766302719.12</v>
      </c>
      <c r="AY3" s="13"/>
    </row>
    <row r="4">
      <c r="A4" t="str">
        <f>M4</f>
      </c>
      <c r="B4" t="str">
        <f>N4</f>
      </c>
      <c r="M4" t="s">
        <v>40</v>
      </c>
      <c r="N4" t="s">
        <v>41</v>
      </c>
      <c r="O4" s="13" t="n">
        <v>101013000</v>
      </c>
      <c r="P4" s="13" t="n">
        <v>75447000</v>
      </c>
      <c r="Q4" s="13" t="n">
        <v>35845959</v>
      </c>
      <c r="R4" s="13" t="n">
        <v>11636499</v>
      </c>
      <c r="S4" s="13" t="n">
        <v>2318144</v>
      </c>
      <c r="T4" s="13" t="n">
        <v>5058783</v>
      </c>
      <c r="U4" s="13" t="n">
        <v>4273792</v>
      </c>
      <c r="V4" s="13" t="n">
        <v>25815767</v>
      </c>
      <c r="W4" s="13" t="n">
        <v>31206672</v>
      </c>
      <c r="X4" s="13" t="n">
        <v>18242997</v>
      </c>
      <c r="Y4" s="13" t="n">
        <v>18062369</v>
      </c>
      <c r="Z4" s="13" t="n">
        <v>7264052</v>
      </c>
      <c r="AA4" s="13" t="n">
        <v>26900225</v>
      </c>
      <c r="AB4" s="13" t="n">
        <v>50749144.58</v>
      </c>
      <c r="AC4" s="13" t="n">
        <v>58659883</v>
      </c>
      <c r="AD4" s="13" t="n">
        <v>99473986.1465</v>
      </c>
      <c r="AE4" s="13" t="n">
        <v>79872346.305</v>
      </c>
      <c r="AF4" s="13" t="n">
        <v>96078196.9848</v>
      </c>
      <c r="AG4" s="13" t="n">
        <v>71330811.926</v>
      </c>
      <c r="AH4" s="13" t="n">
        <v>79047827.8308</v>
      </c>
      <c r="AI4" s="13" t="n">
        <v>91207357.0935</v>
      </c>
      <c r="AJ4" s="13" t="n">
        <v>97590477.78</v>
      </c>
      <c r="AK4" s="13" t="n">
        <v>99997281.5344</v>
      </c>
      <c r="AL4" s="13" t="n">
        <v>136343281.3544</v>
      </c>
      <c r="AM4" s="13" t="n">
        <v>118352098.073</v>
      </c>
      <c r="AN4" s="13" t="n">
        <v>124714532.2354</v>
      </c>
      <c r="AO4" s="13" t="n">
        <v>73067283.8849</v>
      </c>
      <c r="AP4" s="13" t="n">
        <v>158043053.4527</v>
      </c>
      <c r="AQ4" s="13" t="n">
        <v>105662253.1368</v>
      </c>
      <c r="AR4" s="13" t="n">
        <v>133765100.6098</v>
      </c>
      <c r="AS4" s="13" t="n">
        <v>82102948.0547</v>
      </c>
      <c r="AT4" s="13" t="n">
        <v>73255446.459</v>
      </c>
      <c r="AU4" s="13" t="n">
        <v>88866242.8818</v>
      </c>
      <c r="AV4" s="13" t="n">
        <v>124524868.2513</v>
      </c>
      <c r="AW4" s="13" t="n">
        <v>119688990.41</v>
      </c>
      <c r="AX4" s="13" t="n">
        <v>63271823.99</v>
      </c>
      <c r="AY4" s="13"/>
    </row>
    <row r="5">
      <c r="A5" t="str">
        <f>M5</f>
      </c>
      <c r="B5" t="str">
        <f>N5</f>
      </c>
      <c r="M5" t="s">
        <v>42</v>
      </c>
      <c r="N5" t="s">
        <v>42</v>
      </c>
      <c r="O5" s="13" t="n">
        <v>2203183184</v>
      </c>
      <c r="P5" s="13" t="n">
        <v>2272812985</v>
      </c>
      <c r="Q5" s="13" t="n">
        <v>2174389345</v>
      </c>
      <c r="R5" s="13" t="n">
        <v>1273972658</v>
      </c>
      <c r="S5" s="13" t="n">
        <v>1873084575</v>
      </c>
      <c r="T5" s="13" t="n">
        <v>2333703376</v>
      </c>
      <c r="U5" s="13" t="n">
        <v>1695449311</v>
      </c>
      <c r="V5" s="13" t="n">
        <v>1943834105</v>
      </c>
      <c r="W5" s="13" t="n">
        <v>1679139510</v>
      </c>
      <c r="X5" s="13" t="n">
        <v>1743933552</v>
      </c>
      <c r="Y5" s="13" t="n">
        <v>1737477086</v>
      </c>
      <c r="Z5" s="13" t="n">
        <v>1568833919</v>
      </c>
      <c r="AA5" s="13" t="n">
        <v>1843064088.0938</v>
      </c>
      <c r="AB5" s="13" t="n">
        <v>2277702628.8414</v>
      </c>
      <c r="AC5" s="13" t="n">
        <v>2299498904.8935</v>
      </c>
      <c r="AD5" s="13" t="n">
        <v>2630308181.7373</v>
      </c>
      <c r="AE5" s="13" t="n">
        <v>3394430234.9719</v>
      </c>
      <c r="AF5" s="13" t="n">
        <v>3210535213.4632</v>
      </c>
      <c r="AG5" s="13" t="n">
        <v>2759560654.2552</v>
      </c>
      <c r="AH5" s="13" t="n">
        <v>3026791897.7168</v>
      </c>
      <c r="AI5" s="13" t="n">
        <v>2861984056.1941</v>
      </c>
      <c r="AJ5" s="13" t="n">
        <v>3059337690.5861</v>
      </c>
      <c r="AK5" s="13" t="n">
        <v>2804894238.1737</v>
      </c>
      <c r="AL5" s="13" t="n">
        <v>2762414295.0253</v>
      </c>
      <c r="AM5" s="13" t="n">
        <v>2602250779.3904</v>
      </c>
      <c r="AN5" s="13" t="n">
        <v>2381426979.3873</v>
      </c>
      <c r="AO5" s="13" t="n">
        <v>2644979319.3996</v>
      </c>
      <c r="AP5" s="13" t="n">
        <v>2999146135.3695</v>
      </c>
      <c r="AQ5" s="13" t="n">
        <v>3202534299.6358</v>
      </c>
      <c r="AR5" s="13" t="n">
        <v>3522978031.7182</v>
      </c>
      <c r="AS5" s="13" t="n">
        <v>3105180772.1432</v>
      </c>
      <c r="AT5" s="13" t="n">
        <v>3116277894.0183</v>
      </c>
      <c r="AU5" s="13" t="n">
        <v>3203514978.7528</v>
      </c>
      <c r="AV5" s="13" t="n">
        <v>3623944081.8725</v>
      </c>
      <c r="AW5" s="13" t="n">
        <v>3473528910.942</v>
      </c>
      <c r="AX5" s="13" t="n">
        <v>1428505365.56</v>
      </c>
      <c r="AY5" s="13"/>
    </row>
    <row r="6">
      <c r="A6" t="str">
        <f>M6</f>
      </c>
      <c r="B6" t="str">
        <f>N6</f>
      </c>
      <c r="M6" t="s">
        <v>41</v>
      </c>
      <c r="N6" t="s">
        <v>41</v>
      </c>
      <c r="O6" s="13" t="n">
        <v>643371000</v>
      </c>
      <c r="P6" s="13" t="n">
        <v>275905000</v>
      </c>
      <c r="Q6" s="13" t="n">
        <v>325322867</v>
      </c>
      <c r="R6" s="13" t="n">
        <v>427736953</v>
      </c>
      <c r="S6" s="13" t="n">
        <v>534308260</v>
      </c>
      <c r="T6" s="13" t="n">
        <v>1361913618</v>
      </c>
      <c r="U6" s="13" t="n">
        <v>1430392810</v>
      </c>
      <c r="V6" s="13" t="n">
        <v>1937974379</v>
      </c>
      <c r="W6" s="13" t="n">
        <v>2645010246</v>
      </c>
      <c r="X6" s="13" t="n">
        <v>2754397889</v>
      </c>
      <c r="Y6" s="13" t="n">
        <v>1579279042</v>
      </c>
      <c r="Z6" s="13" t="n">
        <v>2530570273</v>
      </c>
      <c r="AA6" s="13" t="n">
        <v>4430628325.91</v>
      </c>
      <c r="AB6" s="13" t="n">
        <v>6248785397.52</v>
      </c>
      <c r="AC6" s="13" t="n">
        <v>5515761908.0784</v>
      </c>
      <c r="AD6" s="13" t="n">
        <v>6921126227.1244</v>
      </c>
      <c r="AE6" s="13" t="n">
        <v>8519082551.7654</v>
      </c>
      <c r="AF6" s="13" t="n">
        <v>9608976030.3876</v>
      </c>
      <c r="AG6" s="13" t="n">
        <v>13764728227.9591</v>
      </c>
      <c r="AH6" s="13" t="n">
        <v>16286395522.9137</v>
      </c>
      <c r="AI6" s="13" t="n">
        <v>15850106482.7606</v>
      </c>
      <c r="AJ6" s="13" t="n">
        <v>19230310526.4617</v>
      </c>
      <c r="AK6" s="13" t="n">
        <v>19884593755.1597</v>
      </c>
      <c r="AL6" s="13" t="n">
        <v>17719424630.2711</v>
      </c>
      <c r="AM6" s="13" t="n">
        <v>17094653869.145</v>
      </c>
      <c r="AN6" s="13" t="n">
        <v>15208557903.4214</v>
      </c>
      <c r="AO6" s="13" t="n">
        <v>15233829910.9956</v>
      </c>
      <c r="AP6" s="13" t="n">
        <v>16060060572.0137</v>
      </c>
      <c r="AQ6" s="13" t="n">
        <v>16982654163.9844</v>
      </c>
      <c r="AR6" s="13" t="n">
        <v>18179386743.0279</v>
      </c>
      <c r="AS6" s="13" t="n">
        <v>18502091795.6131</v>
      </c>
      <c r="AT6" s="13" t="n">
        <v>18056741712.6992</v>
      </c>
      <c r="AU6" s="13" t="n">
        <v>19829334478.769</v>
      </c>
      <c r="AV6" s="13" t="n">
        <v>20595109887.9306</v>
      </c>
      <c r="AW6" s="13" t="n">
        <v>21331346796.15</v>
      </c>
      <c r="AX6" s="13" t="n">
        <v>10972598178.93</v>
      </c>
      <c r="AY6" s="13"/>
    </row>
    <row r="7">
      <c r="A7" t="str">
        <f>M7</f>
      </c>
      <c r="B7" t="str">
        <f>N7</f>
      </c>
      <c r="M7" t="s">
        <v>113</v>
      </c>
      <c r="N7" t="s">
        <v>114</v>
      </c>
      <c r="O7" s="13" t="str">
        <f>Sum(O2:O6)</f>
      </c>
      <c r="P7" s="13" t="str">
        <f>Sum(P2:P6)</f>
      </c>
      <c r="Q7" s="13" t="str">
        <f>Sum(Q2:Q6)</f>
      </c>
      <c r="R7" s="13" t="str">
        <f>Sum(R2:R6)</f>
      </c>
      <c r="S7" s="13" t="str">
        <f>Sum(S2:S6)</f>
      </c>
      <c r="T7" s="13" t="str">
        <f>Sum(T2:T6)</f>
      </c>
      <c r="U7" s="13" t="str">
        <f>Sum(U2:U6)</f>
      </c>
      <c r="V7" s="13" t="str">
        <f>Sum(V2:V6)</f>
      </c>
      <c r="W7" s="13" t="str">
        <f>Sum(W2:W6)</f>
      </c>
      <c r="X7" s="13" t="str">
        <f>Sum(X2:X6)</f>
      </c>
      <c r="Y7" s="13" t="str">
        <f>Sum(Y2:Y6)</f>
      </c>
      <c r="Z7" s="13" t="str">
        <f>Sum(Z2:Z6)</f>
      </c>
      <c r="AA7" s="13" t="str">
        <f>Sum(AA2:AA6)</f>
      </c>
      <c r="AB7" s="13" t="str">
        <f>Sum(AB2:AB6)</f>
      </c>
      <c r="AC7" s="13" t="str">
        <f>Sum(AC2:AC6)</f>
      </c>
      <c r="AD7" s="13" t="str">
        <f>Sum(AD2:AD6)</f>
      </c>
      <c r="AE7" s="13" t="str">
        <f>Sum(AE2:AE6)</f>
      </c>
      <c r="AF7" s="13" t="str">
        <f>Sum(AF2:AF6)</f>
      </c>
      <c r="AG7" s="13" t="str">
        <f>Sum(AG2:AG6)</f>
      </c>
      <c r="AH7" s="13" t="str">
        <f>Sum(AH2:AH6)</f>
      </c>
      <c r="AI7" s="13" t="str">
        <f>Sum(AI2:AI6)</f>
      </c>
      <c r="AJ7" s="13" t="str">
        <f>Sum(AJ2:AJ6)</f>
      </c>
      <c r="AK7" s="13" t="str">
        <f>Sum(AK2:AK6)</f>
      </c>
      <c r="AL7" s="13" t="str">
        <f>Sum(AL2:AL6)</f>
      </c>
      <c r="AM7" s="13" t="str">
        <f>Sum(AM2:AM6)</f>
      </c>
      <c r="AN7" s="13" t="str">
        <f>Sum(AN2:AN6)</f>
      </c>
      <c r="AO7" s="13" t="str">
        <f>Sum(AO2:AO6)</f>
      </c>
      <c r="AP7" s="13" t="str">
        <f>Sum(AP2:AP6)</f>
      </c>
      <c r="AQ7" s="13" t="str">
        <f>Sum(AQ2:AQ6)</f>
      </c>
      <c r="AR7" s="13" t="str">
        <f>Sum(AR2:AR6)</f>
      </c>
      <c r="AS7" s="13" t="str">
        <f>Sum(AS2:AS6)</f>
      </c>
      <c r="AT7" s="13" t="str">
        <f>Sum(AT2:AT6)</f>
      </c>
      <c r="AU7" s="13" t="str">
        <f>Sum(AU2:AU6)</f>
      </c>
      <c r="AV7" s="13" t="str">
        <f>Sum(AV2:AV6)</f>
      </c>
      <c r="AW7" s="13" t="str">
        <f>Sum(AW2:AW6)</f>
      </c>
      <c r="AX7" s="13" t="str">
        <f>Sum(AX2:AX6)</f>
      </c>
      <c r="AY7" s="13"/>
    </row>
    <row r="10">
      <c r="A10" t="str">
        <f>M10</f>
      </c>
      <c r="B10" t="str">
        <f>N10</f>
      </c>
      <c r="M10" t="s">
        <v>36</v>
      </c>
      <c r="N10" t="s">
        <v>37</v>
      </c>
      <c r="O10" t="s">
        <v>1</v>
      </c>
      <c r="P10" t="s">
        <v>2</v>
      </c>
      <c r="Q10" t="s">
        <v>3</v>
      </c>
      <c r="R10" t="s">
        <v>4</v>
      </c>
      <c r="S10" t="s">
        <v>5</v>
      </c>
      <c r="T10" t="s">
        <v>6</v>
      </c>
      <c r="U10" t="s">
        <v>7</v>
      </c>
      <c r="V10" t="s">
        <v>8</v>
      </c>
      <c r="W10" t="s">
        <v>9</v>
      </c>
      <c r="X10" t="s">
        <v>10</v>
      </c>
      <c r="Y10" t="s">
        <v>11</v>
      </c>
      <c r="Z10" t="s">
        <v>12</v>
      </c>
      <c r="AA10" t="s">
        <v>13</v>
      </c>
      <c r="AB10" t="s">
        <v>14</v>
      </c>
      <c r="AC10" t="s">
        <v>15</v>
      </c>
      <c r="AD10" t="s">
        <v>16</v>
      </c>
      <c r="AE10" t="s">
        <v>17</v>
      </c>
      <c r="AF10" t="s">
        <v>18</v>
      </c>
      <c r="AG10" t="s">
        <v>19</v>
      </c>
      <c r="AH10" t="s">
        <v>20</v>
      </c>
      <c r="AI10" t="s">
        <v>21</v>
      </c>
      <c r="AJ10" t="s">
        <v>22</v>
      </c>
      <c r="AK10" t="s">
        <v>23</v>
      </c>
      <c r="AL10" t="s">
        <v>24</v>
      </c>
      <c r="AM10" t="s">
        <v>25</v>
      </c>
      <c r="AN10" t="s">
        <v>26</v>
      </c>
      <c r="AO10" t="s">
        <v>27</v>
      </c>
      <c r="AP10" t="s">
        <v>28</v>
      </c>
      <c r="AQ10" t="s">
        <v>29</v>
      </c>
      <c r="AR10" t="s">
        <v>30</v>
      </c>
      <c r="AS10" t="s">
        <v>31</v>
      </c>
      <c r="AT10" t="s">
        <v>32</v>
      </c>
      <c r="AU10" t="s">
        <v>33</v>
      </c>
      <c r="AV10" t="s">
        <v>34</v>
      </c>
      <c r="AW10" t="s">
        <v>122</v>
      </c>
      <c r="AX10" t="s">
        <v>123</v>
      </c>
    </row>
    <row r="11">
      <c r="A11" t="str">
        <f>M11</f>
      </c>
      <c r="B11" t="str">
        <f>N11</f>
      </c>
      <c r="M11" t="s">
        <v>38</v>
      </c>
      <c r="N11" t="s">
        <v>38</v>
      </c>
      <c r="O11" s="13" t="n">
        <v>2022918309.49439</v>
      </c>
      <c r="P11" s="13" t="n">
        <v>4550577099.55378</v>
      </c>
      <c r="Q11" s="13" t="n">
        <v>1861508672.52023</v>
      </c>
      <c r="R11" s="13" t="n">
        <v>1424977825.20313</v>
      </c>
      <c r="S11" s="13" t="n">
        <v>1919326936.08543</v>
      </c>
      <c r="T11" s="13" t="n">
        <v>1596095347.34481</v>
      </c>
      <c r="U11" s="13" t="n">
        <v>1764461023.97823</v>
      </c>
      <c r="V11" s="13" t="n">
        <v>1568750414.23361</v>
      </c>
      <c r="W11" s="13" t="n">
        <v>1646973455.47193</v>
      </c>
      <c r="X11" s="13" t="n">
        <v>1916493411.24387</v>
      </c>
      <c r="Y11" s="13" t="n">
        <v>1681209469.35774</v>
      </c>
      <c r="Z11" s="13" t="n">
        <v>1595464788.4596</v>
      </c>
      <c r="AA11" s="13" t="n">
        <v>2731709870.84975</v>
      </c>
      <c r="AB11" s="13" t="n">
        <v>4506330750.66652</v>
      </c>
      <c r="AC11" s="13" t="n">
        <v>3879856712.90356</v>
      </c>
      <c r="AD11" s="13" t="n">
        <v>4995033386.04739</v>
      </c>
      <c r="AE11" s="13" t="n">
        <v>5055079249.90829</v>
      </c>
      <c r="AF11" s="13" t="n">
        <v>5163329619.25325</v>
      </c>
      <c r="AG11" s="13" t="n">
        <v>1429759419.49278</v>
      </c>
      <c r="AH11" s="13" t="n">
        <v>1490801870.63303</v>
      </c>
      <c r="AI11" s="13" t="n">
        <v>1551566404.67239</v>
      </c>
      <c r="AJ11" s="13" t="n">
        <v>1882251956.2342</v>
      </c>
      <c r="AK11" s="13" t="n">
        <v>1778095231.32667</v>
      </c>
      <c r="AL11" s="13" t="n">
        <v>1380954500.11016</v>
      </c>
      <c r="AM11" s="13" t="n">
        <v>1633052615.21872</v>
      </c>
      <c r="AN11" s="13" t="n">
        <v>1728489331.41333</v>
      </c>
      <c r="AO11" s="13" t="n">
        <v>2174072773.18929</v>
      </c>
      <c r="AP11" s="13" t="n">
        <v>2662279136.63763</v>
      </c>
      <c r="AQ11" s="13" t="n">
        <v>2821095862.37549</v>
      </c>
      <c r="AR11" s="13" t="n">
        <v>2727722963.1504</v>
      </c>
      <c r="AS11" s="13" t="n">
        <v>2910437264.45831</v>
      </c>
      <c r="AT11" s="13" t="n">
        <v>2674521153.09687</v>
      </c>
      <c r="AU11" s="13" t="n">
        <v>2364091931.14424</v>
      </c>
      <c r="AV11" s="13" t="n">
        <v>2268663004.364</v>
      </c>
      <c r="AW11" s="13" t="n">
        <v>2286611258.0218</v>
      </c>
      <c r="AX11" s="13" t="n">
        <v>783367865.971821</v>
      </c>
      <c r="AY11" s="13"/>
    </row>
    <row r="12">
      <c r="A12" t="str">
        <f>M12</f>
      </c>
      <c r="B12" t="str">
        <f>N12</f>
      </c>
      <c r="M12" t="s">
        <v>39</v>
      </c>
      <c r="N12" t="s">
        <v>39</v>
      </c>
      <c r="O12" s="13" t="n">
        <v>952017766.012361</v>
      </c>
      <c r="P12" s="13" t="n">
        <v>1476715515.92691</v>
      </c>
      <c r="Q12" s="13" t="n">
        <v>1405438119.92532</v>
      </c>
      <c r="R12" s="13" t="n">
        <v>1169624402.33549</v>
      </c>
      <c r="S12" s="13" t="n">
        <v>1073043049.96662</v>
      </c>
      <c r="T12" s="13" t="n">
        <v>1281468966.08386</v>
      </c>
      <c r="U12" s="13" t="n">
        <v>1752327761.92461</v>
      </c>
      <c r="V12" s="13" t="n">
        <v>2000743622.50439</v>
      </c>
      <c r="W12" s="13" t="n">
        <v>1662327163.29597</v>
      </c>
      <c r="X12" s="13" t="n">
        <v>3780188823.97855</v>
      </c>
      <c r="Y12" s="13" t="n">
        <v>3651603279.8701</v>
      </c>
      <c r="Z12" s="13" t="n">
        <v>3843684137.84209</v>
      </c>
      <c r="AA12" s="13" t="n">
        <v>4127291449.72384</v>
      </c>
      <c r="AB12" s="13" t="n">
        <v>7429718834.15048</v>
      </c>
      <c r="AC12" s="13" t="n">
        <v>15077444777.6711</v>
      </c>
      <c r="AD12" s="13" t="n">
        <v>13873664010.0332</v>
      </c>
      <c r="AE12" s="13" t="n">
        <v>12759263926.1708</v>
      </c>
      <c r="AF12" s="13" t="n">
        <v>11234847019.4889</v>
      </c>
      <c r="AG12" s="13" t="n">
        <v>13650287339.5856</v>
      </c>
      <c r="AH12" s="13" t="n">
        <v>14066804347.929</v>
      </c>
      <c r="AI12" s="13" t="n">
        <v>17805484593.1545</v>
      </c>
      <c r="AJ12" s="13" t="n">
        <v>17340044619.9347</v>
      </c>
      <c r="AK12" s="13" t="n">
        <v>12736448236.2525</v>
      </c>
      <c r="AL12" s="13" t="n">
        <v>11622868572.0277</v>
      </c>
      <c r="AM12" s="13" t="n">
        <v>5780127055.89416</v>
      </c>
      <c r="AN12" s="13" t="n">
        <v>4922170626.73571</v>
      </c>
      <c r="AO12" s="13" t="n">
        <v>5158021404.38253</v>
      </c>
      <c r="AP12" s="13" t="n">
        <v>6040001306.24373</v>
      </c>
      <c r="AQ12" s="13" t="n">
        <v>6824212814.33216</v>
      </c>
      <c r="AR12" s="13" t="n">
        <v>6407539641.80396</v>
      </c>
      <c r="AS12" s="13" t="n">
        <v>5977089131.68221</v>
      </c>
      <c r="AT12" s="13" t="n">
        <v>5625054677.4109</v>
      </c>
      <c r="AU12" s="13" t="n">
        <v>5219130637.12891</v>
      </c>
      <c r="AV12" s="13" t="n">
        <v>5168265202.4804</v>
      </c>
      <c r="AW12" s="13" t="n">
        <v>5000837129.82104</v>
      </c>
      <c r="AX12" s="13" t="n">
        <v>1683421087.84373</v>
      </c>
      <c r="AY12" s="13"/>
    </row>
    <row r="13">
      <c r="A13" t="str">
        <f>M13</f>
      </c>
      <c r="B13" t="str">
        <f>N13</f>
      </c>
      <c r="M13" t="s">
        <v>40</v>
      </c>
      <c r="N13" t="s">
        <v>41</v>
      </c>
      <c r="O13" s="13" t="n">
        <v>208923363.324759</v>
      </c>
      <c r="P13" s="13" t="n">
        <v>150659500.897405</v>
      </c>
      <c r="Q13" s="13" t="n">
        <v>69832687.772132</v>
      </c>
      <c r="R13" s="13" t="n">
        <v>22149811.8303228</v>
      </c>
      <c r="S13" s="13" t="n">
        <v>4318263.97407083</v>
      </c>
      <c r="T13" s="13" t="n">
        <v>9227818.90735993</v>
      </c>
      <c r="U13" s="13" t="n">
        <v>7651830.2917618</v>
      </c>
      <c r="V13" s="13" t="n">
        <v>45414766.9533904</v>
      </c>
      <c r="W13" s="13" t="n">
        <v>54218594.5645148</v>
      </c>
      <c r="X13" s="13" t="n">
        <v>31307783.532605</v>
      </c>
      <c r="Y13" s="13" t="n">
        <v>30365974.1480285</v>
      </c>
      <c r="Z13" s="13" t="n">
        <v>11923125.2808825</v>
      </c>
      <c r="AA13" s="13" t="n">
        <v>43469823.4944719</v>
      </c>
      <c r="AB13" s="13" t="n">
        <v>80464321.0152749</v>
      </c>
      <c r="AC13" s="13" t="n">
        <v>90790058.5535755</v>
      </c>
      <c r="AD13" s="13" t="n">
        <v>149412938.29784</v>
      </c>
      <c r="AE13" s="13" t="n">
        <v>116196130.491564</v>
      </c>
      <c r="AF13" s="13" t="n">
        <v>136027203.766436</v>
      </c>
      <c r="AG13" s="13" t="n">
        <v>98935941.46441</v>
      </c>
      <c r="AH13" s="13" t="n">
        <v>108529618.015703</v>
      </c>
      <c r="AI13" s="13" t="n">
        <v>124148997.282814</v>
      </c>
      <c r="AJ13" s="13" t="n">
        <v>130223760.715215</v>
      </c>
      <c r="AK13" s="13" t="n">
        <v>131057205.943543</v>
      </c>
      <c r="AL13" s="13" t="n">
        <v>175508007.479067</v>
      </c>
      <c r="AM13" s="13" t="n">
        <v>149619310.398176</v>
      </c>
      <c r="AN13" s="13" t="n">
        <v>156046565.700312</v>
      </c>
      <c r="AO13" s="13" t="n">
        <v>90698834.1228853</v>
      </c>
      <c r="AP13" s="13" t="n">
        <v>192923155.386771</v>
      </c>
      <c r="AQ13" s="13" t="n">
        <v>126180700.80227</v>
      </c>
      <c r="AR13" s="13" t="n">
        <v>156840897.494472</v>
      </c>
      <c r="AS13" s="13" t="n">
        <v>95025190.741927</v>
      </c>
      <c r="AT13" s="13" t="n">
        <v>81964182.8527683</v>
      </c>
      <c r="AU13" s="13" t="n">
        <v>92931570.8790812</v>
      </c>
      <c r="AV13" s="13" t="n">
        <v>124524868.2513</v>
      </c>
      <c r="AW13" s="13" t="n">
        <v>116575720.614186</v>
      </c>
      <c r="AX13" s="13" t="n">
        <v>60302869.7278853</v>
      </c>
      <c r="AY13" s="13"/>
    </row>
    <row r="14">
      <c r="A14" t="str">
        <f>M14</f>
      </c>
      <c r="B14" t="str">
        <f>N14</f>
      </c>
      <c r="M14" t="s">
        <v>42</v>
      </c>
      <c r="N14" t="s">
        <v>42</v>
      </c>
      <c r="O14" s="13" t="n">
        <v>4556803983.86179</v>
      </c>
      <c r="P14" s="13" t="n">
        <v>4538561771.22008</v>
      </c>
      <c r="Q14" s="13" t="n">
        <v>4235999160.30802</v>
      </c>
      <c r="R14" s="13" t="n">
        <v>2424978049.81345</v>
      </c>
      <c r="S14" s="13" t="n">
        <v>3489202413.91832</v>
      </c>
      <c r="T14" s="13" t="n">
        <v>4256951155.48987</v>
      </c>
      <c r="U14" s="13" t="n">
        <v>3035545575.46471</v>
      </c>
      <c r="V14" s="13" t="n">
        <v>3419568083.12638</v>
      </c>
      <c r="W14" s="13" t="n">
        <v>2917343583.12697</v>
      </c>
      <c r="X14" s="13" t="n">
        <v>2992857705.41227</v>
      </c>
      <c r="Y14" s="13" t="n">
        <v>2921000245.11004</v>
      </c>
      <c r="Z14" s="13" t="n">
        <v>2575064627.99754</v>
      </c>
      <c r="AA14" s="13" t="n">
        <v>2978327155.19805</v>
      </c>
      <c r="AB14" s="13" t="n">
        <v>3611367186.99801</v>
      </c>
      <c r="AC14" s="13" t="n">
        <v>3559019035.53343</v>
      </c>
      <c r="AD14" s="13" t="n">
        <v>3950802509.14472</v>
      </c>
      <c r="AE14" s="13" t="n">
        <v>4938125355.94207</v>
      </c>
      <c r="AF14" s="13" t="n">
        <v>4545465479.02193</v>
      </c>
      <c r="AG14" s="13" t="n">
        <v>3827514702.06336</v>
      </c>
      <c r="AH14" s="13" t="n">
        <v>4155668504.58394</v>
      </c>
      <c r="AI14" s="13" t="n">
        <v>3895655593.34928</v>
      </c>
      <c r="AJ14" s="13" t="n">
        <v>4082349717.19311</v>
      </c>
      <c r="AK14" s="13" t="n">
        <v>3676115952.16947</v>
      </c>
      <c r="AL14" s="13" t="n">
        <v>3555920203.29453</v>
      </c>
      <c r="AM14" s="13" t="n">
        <v>3289734389.46015</v>
      </c>
      <c r="AN14" s="13" t="n">
        <v>2979712908.66114</v>
      </c>
      <c r="AO14" s="13" t="n">
        <v>3283227838.69434</v>
      </c>
      <c r="AP14" s="13" t="n">
        <v>3661057688.14884</v>
      </c>
      <c r="AQ14" s="13" t="n">
        <v>3824431244.60131</v>
      </c>
      <c r="AR14" s="13" t="n">
        <v>4130726428.85981</v>
      </c>
      <c r="AS14" s="13" t="n">
        <v>3593907431.49058</v>
      </c>
      <c r="AT14" s="13" t="n">
        <v>3486746494.24616</v>
      </c>
      <c r="AU14" s="13" t="n">
        <v>3350064880.16087</v>
      </c>
      <c r="AV14" s="13" t="n">
        <v>3623944081.8725</v>
      </c>
      <c r="AW14" s="13" t="n">
        <v>3383177805.07773</v>
      </c>
      <c r="AX14" s="13" t="n">
        <v>1361474468.92893</v>
      </c>
      <c r="AY14" s="13"/>
    </row>
    <row r="15">
      <c r="A15" t="str">
        <f>M15</f>
      </c>
      <c r="B15" t="str">
        <f>N15</f>
      </c>
      <c r="M15" t="s">
        <v>41</v>
      </c>
      <c r="N15" t="s">
        <v>41</v>
      </c>
      <c r="O15" s="13" t="n">
        <v>1330672618.23343</v>
      </c>
      <c r="P15" s="13" t="n">
        <v>550952451.324752</v>
      </c>
      <c r="Q15" s="13" t="n">
        <v>633772141.410579</v>
      </c>
      <c r="R15" s="13" t="n">
        <v>814187585.27162</v>
      </c>
      <c r="S15" s="13" t="n">
        <v>995315265.232217</v>
      </c>
      <c r="T15" s="13" t="n">
        <v>2484291623.96793</v>
      </c>
      <c r="U15" s="13" t="n">
        <v>2560986363.55637</v>
      </c>
      <c r="V15" s="13" t="n">
        <v>3409259728.13152</v>
      </c>
      <c r="W15" s="13" t="n">
        <v>4595451195.40019</v>
      </c>
      <c r="X15" s="13" t="n">
        <v>4726969635.0592</v>
      </c>
      <c r="Y15" s="13" t="n">
        <v>2655041902.96939</v>
      </c>
      <c r="Z15" s="13" t="n">
        <v>4153646807.18915</v>
      </c>
      <c r="AA15" s="13" t="n">
        <v>7159740533.6541</v>
      </c>
      <c r="AB15" s="13" t="n">
        <v>9907640381.78023</v>
      </c>
      <c r="AC15" s="13" t="n">
        <v>8536947586.51359</v>
      </c>
      <c r="AD15" s="13" t="n">
        <v>10395741097.5964</v>
      </c>
      <c r="AE15" s="13" t="n">
        <v>12393331029.4075</v>
      </c>
      <c r="AF15" s="13" t="n">
        <v>13604357507.6573</v>
      </c>
      <c r="AG15" s="13" t="n">
        <v>19091698376.3995</v>
      </c>
      <c r="AH15" s="13" t="n">
        <v>22360592738.0812</v>
      </c>
      <c r="AI15" s="13" t="n">
        <v>21574737930.8812</v>
      </c>
      <c r="AJ15" s="13" t="n">
        <v>25660734668.4233</v>
      </c>
      <c r="AK15" s="13" t="n">
        <v>26060901445.3775</v>
      </c>
      <c r="AL15" s="13" t="n">
        <v>22809344763.0232</v>
      </c>
      <c r="AM15" s="13" t="n">
        <v>21610857475.6267</v>
      </c>
      <c r="AN15" s="13" t="n">
        <v>19029404092.2491</v>
      </c>
      <c r="AO15" s="13" t="n">
        <v>18909839516.276</v>
      </c>
      <c r="AP15" s="13" t="n">
        <v>19604515944.0232</v>
      </c>
      <c r="AQ15" s="13" t="n">
        <v>20280498856.2922</v>
      </c>
      <c r="AR15" s="13" t="n">
        <v>21315509947.4931</v>
      </c>
      <c r="AS15" s="13" t="n">
        <v>21414149475.2591</v>
      </c>
      <c r="AT15" s="13" t="n">
        <v>20203358944.6926</v>
      </c>
      <c r="AU15" s="13" t="n">
        <v>20736459006.7094</v>
      </c>
      <c r="AV15" s="13" t="n">
        <v>20595109887.9306</v>
      </c>
      <c r="AW15" s="13" t="n">
        <v>20776490100.835</v>
      </c>
      <c r="AX15" s="13" t="n">
        <v>10457722202.9355</v>
      </c>
      <c r="AY15" s="13"/>
    </row>
    <row r="16">
      <c r="A16" t="str">
        <f>M16</f>
      </c>
      <c r="B16" t="str">
        <f>N16</f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M1" t="s">
        <v>43</v>
      </c>
      <c r="N1" t="s">
        <v>43</v>
      </c>
      <c r="O1" t="s">
        <v>44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122</v>
      </c>
      <c r="AY1" t="s">
        <v>123</v>
      </c>
    </row>
    <row r="2">
      <c r="A2" t="str">
        <f>N2</f>
      </c>
      <c r="B2" t="str">
        <f>O2</f>
      </c>
      <c r="M2" t="s">
        <v>45</v>
      </c>
      <c r="N2" t="s">
        <v>50</v>
      </c>
      <c r="O2" t="s">
        <v>50</v>
      </c>
      <c r="P2" s="3"/>
      <c r="Q2" s="3"/>
      <c r="R2" s="3"/>
      <c r="S2" s="3"/>
      <c r="T2" s="3"/>
      <c r="U2" s="3"/>
      <c r="V2" s="3"/>
      <c r="W2" s="3" t="n">
        <v>1693261</v>
      </c>
      <c r="X2" s="3" t="n">
        <v>4342000</v>
      </c>
      <c r="Y2" s="3" t="n">
        <v>-400800</v>
      </c>
      <c r="Z2" s="3" t="n">
        <v>16433478</v>
      </c>
      <c r="AA2" s="3" t="n">
        <v>15826196</v>
      </c>
      <c r="AB2" s="3" t="n">
        <v>36187212</v>
      </c>
      <c r="AC2" s="3" t="n">
        <v>155924511</v>
      </c>
      <c r="AD2" s="3" t="n">
        <v>712466362.61</v>
      </c>
      <c r="AE2" s="3" t="n">
        <v>6000711336.8451</v>
      </c>
      <c r="AF2" s="3" t="n">
        <v>6900641379.2411</v>
      </c>
      <c r="AG2" s="3" t="n">
        <v>6273358943.7603</v>
      </c>
      <c r="AH2" s="3" t="n">
        <v>7264298840.9603</v>
      </c>
      <c r="AI2" s="3" t="n">
        <v>6621922966.12</v>
      </c>
      <c r="AJ2" s="3" t="n">
        <v>9433518596.3895</v>
      </c>
      <c r="AK2" s="3" t="n">
        <v>8701153136.24</v>
      </c>
      <c r="AL2" s="3" t="n">
        <v>5757697302.5788</v>
      </c>
      <c r="AM2" s="3" t="n">
        <v>2890336334.6</v>
      </c>
      <c r="AN2" s="3" t="n">
        <v>1160100895.0301</v>
      </c>
      <c r="AO2" s="3" t="n">
        <v>587852391.5713</v>
      </c>
      <c r="AP2" s="3" t="n">
        <v>334957317.0048</v>
      </c>
      <c r="AQ2" s="3" t="n">
        <v>302636645.893</v>
      </c>
      <c r="AR2" s="3" t="n">
        <v>27934533.0619</v>
      </c>
      <c r="AS2" s="3" t="n">
        <v>32305392.1047</v>
      </c>
      <c r="AT2" s="3" t="n">
        <v>1469798.7971</v>
      </c>
      <c r="AU2" s="3" t="n">
        <v>16719683.8393</v>
      </c>
      <c r="AV2" s="3" t="n">
        <v>7223931.7598</v>
      </c>
      <c r="AW2" s="3" t="n">
        <v>-3327303.2938</v>
      </c>
      <c r="AX2" s="3" t="n">
        <v>258773.06</v>
      </c>
      <c r="AY2" s="3" t="n">
        <v>18217.43</v>
      </c>
      <c r="AZ2" s="3"/>
    </row>
    <row r="3">
      <c r="A3" t="str">
        <f>N3</f>
      </c>
      <c r="B3" t="str">
        <f>O3</f>
      </c>
      <c r="M3" t="s">
        <v>47</v>
      </c>
      <c r="N3"/>
      <c r="O3" t="s">
        <v>56</v>
      </c>
      <c r="P3" s="3"/>
      <c r="Q3" s="3"/>
      <c r="R3" s="3"/>
      <c r="S3" s="3"/>
      <c r="T3" s="3"/>
      <c r="U3" s="3"/>
      <c r="V3" s="3"/>
      <c r="W3" s="3"/>
      <c r="X3" s="3"/>
      <c r="Y3" s="3"/>
      <c r="Z3" s="3" t="n">
        <v>10995.9697</v>
      </c>
      <c r="AA3" s="3" t="n">
        <v>23226</v>
      </c>
      <c r="AB3" s="3" t="n">
        <v>5823152.5</v>
      </c>
      <c r="AC3" s="3" t="n">
        <v>428184.9375</v>
      </c>
      <c r="AD3" s="3" t="n">
        <v>1800785</v>
      </c>
      <c r="AE3" s="3" t="n">
        <v>18782212.0403</v>
      </c>
      <c r="AF3" s="3" t="n">
        <v>80648608.9704</v>
      </c>
      <c r="AG3" s="3" t="n">
        <v>2137097792.5148</v>
      </c>
      <c r="AH3" s="3" t="n">
        <v>1793215177.5841</v>
      </c>
      <c r="AI3" s="3" t="n">
        <v>4343216879.1628</v>
      </c>
      <c r="AJ3" s="3" t="n">
        <v>15190315.7806</v>
      </c>
      <c r="AK3" s="3" t="n">
        <v>3404625.7933</v>
      </c>
      <c r="AL3" s="3" t="n">
        <v>-3445830.8398</v>
      </c>
      <c r="AM3" s="3" t="n">
        <v>-3634093.22</v>
      </c>
      <c r="AN3" s="3" t="n">
        <v>-526218.51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>
      <c r="A4" t="str">
        <f>N4</f>
      </c>
      <c r="B4" t="str">
        <f>O4</f>
      </c>
      <c r="M4" t="s">
        <v>47</v>
      </c>
      <c r="N4"/>
      <c r="O4" t="s">
        <v>46</v>
      </c>
      <c r="P4" s="3" t="n">
        <v>578000</v>
      </c>
      <c r="Q4" s="3" t="n">
        <v>687000</v>
      </c>
      <c r="R4" s="3" t="n">
        <v>916000</v>
      </c>
      <c r="S4" s="3" t="n">
        <v>572000</v>
      </c>
      <c r="T4" s="3" t="n">
        <v>1231000</v>
      </c>
      <c r="U4" s="3" t="n">
        <v>5084000</v>
      </c>
      <c r="V4" s="3" t="n">
        <v>9577000</v>
      </c>
      <c r="W4" s="3" t="n">
        <v>58193833</v>
      </c>
      <c r="X4" s="3" t="n">
        <v>70392851</v>
      </c>
      <c r="Y4" s="3" t="n">
        <v>248358810</v>
      </c>
      <c r="Z4" s="3" t="n">
        <v>4146068488.1501</v>
      </c>
      <c r="AA4" s="3" t="n">
        <v>4913840012.6094</v>
      </c>
      <c r="AB4" s="3" t="n">
        <v>8216231979.3141</v>
      </c>
      <c r="AC4" s="3" t="n">
        <v>11711482975.5328</v>
      </c>
      <c r="AD4" s="3" t="n">
        <v>9934064086.2183</v>
      </c>
      <c r="AE4" s="3" t="n">
        <v>7367518367.0986</v>
      </c>
      <c r="AF4" s="3" t="n">
        <v>8315661714.1128</v>
      </c>
      <c r="AG4" s="3" t="n">
        <v>8493493373.3686</v>
      </c>
      <c r="AH4" s="3" t="n">
        <v>9316051529.255</v>
      </c>
      <c r="AI4" s="3" t="n">
        <v>10825931607.2556</v>
      </c>
      <c r="AJ4" s="3" t="n">
        <v>11889681519.7142</v>
      </c>
      <c r="AK4" s="3" t="n">
        <v>13329842926.0856</v>
      </c>
      <c r="AL4" s="3" t="n">
        <v>12459359809.6822</v>
      </c>
      <c r="AM4" s="3" t="n">
        <v>10926848319.9599</v>
      </c>
      <c r="AN4" s="3" t="n">
        <v>9939579047.481</v>
      </c>
      <c r="AO4" s="3" t="n">
        <v>8723404839.8293</v>
      </c>
      <c r="AP4" s="3" t="n">
        <v>9705738094.0905</v>
      </c>
      <c r="AQ4" s="3" t="n">
        <v>10788016521.4998</v>
      </c>
      <c r="AR4" s="3" t="n">
        <v>12060090101.2086</v>
      </c>
      <c r="AS4" s="3" t="n">
        <v>12942231950.8472</v>
      </c>
      <c r="AT4" s="3" t="n">
        <v>12825789555.103</v>
      </c>
      <c r="AU4" s="3" t="n">
        <v>10327797551.6581</v>
      </c>
      <c r="AV4" s="3" t="n">
        <v>11266034603.1219</v>
      </c>
      <c r="AW4" s="3" t="n">
        <v>12610762756.1455</v>
      </c>
      <c r="AX4" s="3" t="n">
        <v>12949005767.9012</v>
      </c>
      <c r="AY4" s="3" t="n">
        <v>6303772866.07</v>
      </c>
      <c r="AZ4" s="3"/>
    </row>
    <row r="5">
      <c r="A5" t="str">
        <f>N5</f>
      </c>
      <c r="B5" t="str">
        <f>O5</f>
      </c>
      <c r="M5" t="s">
        <v>50</v>
      </c>
      <c r="N5"/>
      <c r="O5" t="s">
        <v>52</v>
      </c>
      <c r="P5" s="3" t="n">
        <v>160000</v>
      </c>
      <c r="Q5" s="3"/>
      <c r="R5" s="3" t="n">
        <v>261000</v>
      </c>
      <c r="S5" s="3" t="n">
        <v>36000</v>
      </c>
      <c r="T5" s="3" t="n">
        <v>150000</v>
      </c>
      <c r="U5" s="3" t="n">
        <v>164000</v>
      </c>
      <c r="V5" s="3" t="n">
        <v>53000</v>
      </c>
      <c r="W5" s="3" t="n">
        <v>49194526</v>
      </c>
      <c r="X5" s="3" t="n">
        <v>77447516</v>
      </c>
      <c r="Y5" s="3" t="n">
        <v>222966945</v>
      </c>
      <c r="Z5" s="3" t="n">
        <v>1180230567</v>
      </c>
      <c r="AA5" s="3" t="n">
        <v>1175827513.74</v>
      </c>
      <c r="AB5" s="3" t="n">
        <v>1474967896.53</v>
      </c>
      <c r="AC5" s="3" t="n">
        <v>3354433656.5494</v>
      </c>
      <c r="AD5" s="3" t="n">
        <v>7989358977.44</v>
      </c>
      <c r="AE5" s="3" t="n">
        <v>7061752257.7402</v>
      </c>
      <c r="AF5" s="3" t="n">
        <v>7216502420.7848</v>
      </c>
      <c r="AG5" s="3" t="n">
        <v>5964544972.6875</v>
      </c>
      <c r="AH5" s="3" t="n">
        <v>7316656609.6836</v>
      </c>
      <c r="AI5" s="3" t="n">
        <v>7351562516.1098</v>
      </c>
      <c r="AJ5" s="3" t="n">
        <v>9346785518.7602</v>
      </c>
      <c r="AK5" s="3" t="n">
        <v>11134015913.5856</v>
      </c>
      <c r="AL5" s="3" t="n">
        <v>11411680651.8962</v>
      </c>
      <c r="AM5" s="3" t="n">
        <v>14462842637.4906</v>
      </c>
      <c r="AN5" s="3" t="n">
        <v>12536089657.3859</v>
      </c>
      <c r="AO5" s="3" t="n">
        <v>12169660848.2928</v>
      </c>
      <c r="AP5" s="3" t="n">
        <v>10685531578.0475</v>
      </c>
      <c r="AQ5" s="3" t="n">
        <v>13245551717.3121</v>
      </c>
      <c r="AR5" s="3" t="n">
        <v>9477010202.0866</v>
      </c>
      <c r="AS5" s="3" t="n">
        <v>12689979866.8276</v>
      </c>
      <c r="AT5" s="3" t="n">
        <v>12449629988.2219</v>
      </c>
      <c r="AU5" s="3" t="n">
        <v>15019484181.8002</v>
      </c>
      <c r="AV5" s="3" t="n">
        <v>16228904138.9836</v>
      </c>
      <c r="AW5" s="3" t="n">
        <v>16211436844.8518</v>
      </c>
      <c r="AX5" s="3" t="n">
        <v>15972650585.45</v>
      </c>
      <c r="AY5" s="3" t="n">
        <v>7513870941.7</v>
      </c>
      <c r="AZ5" s="3"/>
    </row>
    <row r="6">
      <c r="A6" t="str">
        <f>N6</f>
      </c>
      <c r="B6" t="str">
        <f>O6</f>
      </c>
      <c r="M6" t="s">
        <v>51</v>
      </c>
      <c r="N6"/>
      <c r="O6" t="s">
        <v>48</v>
      </c>
      <c r="P6" s="3"/>
      <c r="Q6" s="3"/>
      <c r="R6" s="3"/>
      <c r="S6" s="3"/>
      <c r="T6" s="3"/>
      <c r="U6" s="3"/>
      <c r="V6" s="3"/>
      <c r="W6" s="3" t="n">
        <v>96351</v>
      </c>
      <c r="X6" s="3" t="n">
        <v>179991</v>
      </c>
      <c r="Y6" s="3" t="n">
        <v>2050434</v>
      </c>
      <c r="Z6" s="3" t="n">
        <v>659356030</v>
      </c>
      <c r="AA6" s="3" t="n">
        <v>1137008485</v>
      </c>
      <c r="AB6" s="3" t="n">
        <v>570852158.64</v>
      </c>
      <c r="AC6" s="3" t="n">
        <v>575905771</v>
      </c>
      <c r="AD6" s="3" t="n">
        <v>1217278580.67</v>
      </c>
      <c r="AE6" s="3" t="n">
        <v>1349145989.5238</v>
      </c>
      <c r="AF6" s="3" t="n">
        <v>1123824202.4061</v>
      </c>
      <c r="AG6" s="3" t="n">
        <v>652206952.8593</v>
      </c>
      <c r="AH6" s="3" t="n">
        <v>190487302.8787</v>
      </c>
      <c r="AI6" s="3" t="n">
        <v>516152824.273</v>
      </c>
      <c r="AJ6" s="3" t="n">
        <v>637605731.818</v>
      </c>
      <c r="AK6" s="3" t="n">
        <v>2332645664.3774</v>
      </c>
      <c r="AL6" s="3" t="n">
        <v>3159789510.5794</v>
      </c>
      <c r="AM6" s="3" t="n">
        <v>1938021393.2433</v>
      </c>
      <c r="AN6" s="3" t="n">
        <v>1622066634.3279</v>
      </c>
      <c r="AO6" s="3" t="n">
        <v>1309515889.2031</v>
      </c>
      <c r="AP6" s="3" t="n">
        <v>918185678.0254</v>
      </c>
      <c r="AQ6" s="3" t="n">
        <v>1162223819.3448</v>
      </c>
      <c r="AR6" s="3" t="n">
        <v>1574823023.3834</v>
      </c>
      <c r="AS6" s="3" t="n">
        <v>2022579691.8047</v>
      </c>
      <c r="AT6" s="3" t="n">
        <v>1680904517.0666</v>
      </c>
      <c r="AU6" s="3" t="n">
        <v>2232038980.1522</v>
      </c>
      <c r="AV6" s="3" t="n">
        <v>2332080240.6918</v>
      </c>
      <c r="AW6" s="3" t="n">
        <v>2512563752.4229</v>
      </c>
      <c r="AX6" s="3" t="n">
        <v>2332004228.65</v>
      </c>
      <c r="AY6" s="3" t="n">
        <v>1073880425.73</v>
      </c>
      <c r="AZ6" s="3"/>
    </row>
    <row r="7">
      <c r="A7" t="str">
        <f>N7</f>
      </c>
      <c r="B7" t="str">
        <f>O7</f>
      </c>
      <c r="M7" t="s">
        <v>53</v>
      </c>
      <c r="N7"/>
      <c r="O7" t="s">
        <v>49</v>
      </c>
      <c r="P7" s="3"/>
      <c r="Q7" s="3"/>
      <c r="R7" s="3"/>
      <c r="S7" s="3"/>
      <c r="T7" s="3"/>
      <c r="U7" s="3"/>
      <c r="V7" s="3" t="n">
        <v>29000</v>
      </c>
      <c r="W7" s="3" t="n">
        <v>20566453</v>
      </c>
      <c r="X7" s="3" t="n">
        <v>27364653</v>
      </c>
      <c r="Y7" s="3" t="n">
        <v>17886978</v>
      </c>
      <c r="Z7" s="3" t="n">
        <v>111481099</v>
      </c>
      <c r="AA7" s="3" t="n">
        <v>140603393</v>
      </c>
      <c r="AB7" s="3" t="n">
        <v>161309573</v>
      </c>
      <c r="AC7" s="3" t="n">
        <v>197034856.769</v>
      </c>
      <c r="AD7" s="3" t="n">
        <v>148961640.2071</v>
      </c>
      <c r="AE7" s="3" t="n">
        <v>205591671.0032</v>
      </c>
      <c r="AF7" s="3" t="n">
        <v>445810147.2532</v>
      </c>
      <c r="AG7" s="3" t="n">
        <v>494517290.8275</v>
      </c>
      <c r="AH7" s="3" t="n">
        <v>841355358.833</v>
      </c>
      <c r="AI7" s="3" t="n">
        <v>804054602.4607</v>
      </c>
      <c r="AJ7" s="3" t="n">
        <v>1213116613.1443</v>
      </c>
      <c r="AK7" s="3" t="n">
        <v>851995166.3714</v>
      </c>
      <c r="AL7" s="3" t="n">
        <v>758680103.2198</v>
      </c>
      <c r="AM7" s="3" t="n">
        <v>439973063.9683</v>
      </c>
      <c r="AN7" s="3" t="n">
        <v>63659027.753</v>
      </c>
      <c r="AO7" s="3" t="n">
        <v>197089563.7271</v>
      </c>
      <c r="AP7" s="3" t="n">
        <v>300405274.5565</v>
      </c>
      <c r="AQ7" s="3" t="n">
        <v>350743886.939</v>
      </c>
      <c r="AR7" s="3" t="n">
        <v>500539847.0331</v>
      </c>
      <c r="AS7" s="3" t="n">
        <v>278080635.6154</v>
      </c>
      <c r="AT7" s="3" t="n">
        <v>155062082.5206</v>
      </c>
      <c r="AU7" s="3" t="n">
        <v>157030201.1573</v>
      </c>
      <c r="AV7" s="3" t="n">
        <v>145383344.7613</v>
      </c>
      <c r="AW7" s="3" t="n">
        <v>180759064.4403</v>
      </c>
      <c r="AX7" s="3" t="n">
        <v>216785288.26</v>
      </c>
      <c r="AY7" s="3" t="n">
        <v>66794287.96</v>
      </c>
      <c r="AZ7" s="3"/>
    </row>
    <row r="8">
      <c r="A8" t="str">
        <f>N8</f>
      </c>
      <c r="B8" t="str">
        <f>O8</f>
      </c>
      <c r="M8" t="s">
        <v>55</v>
      </c>
      <c r="N8"/>
      <c r="O8" t="s">
        <v>54</v>
      </c>
      <c r="P8" s="3"/>
      <c r="Q8" s="3"/>
      <c r="R8" s="3"/>
      <c r="S8" s="3"/>
      <c r="T8" s="3"/>
      <c r="U8" s="3"/>
      <c r="V8" s="3" t="n">
        <v>1527000</v>
      </c>
      <c r="W8" s="3" t="n">
        <v>13358565</v>
      </c>
      <c r="X8" s="3" t="n">
        <v>10871128</v>
      </c>
      <c r="Y8" s="3"/>
      <c r="Z8" s="3" t="n">
        <v>21890164</v>
      </c>
      <c r="AA8" s="3" t="n">
        <v>12640462</v>
      </c>
      <c r="AB8" s="3" t="n">
        <v>30357859</v>
      </c>
      <c r="AC8" s="3" t="n">
        <v>52503013</v>
      </c>
      <c r="AD8" s="3" t="n">
        <v>55623708.46</v>
      </c>
      <c r="AE8" s="3" t="n">
        <v>60688208.43</v>
      </c>
      <c r="AF8" s="3" t="n">
        <v>66410272.37</v>
      </c>
      <c r="AG8" s="3" t="n">
        <v>434415483.3999</v>
      </c>
      <c r="AH8" s="3" t="n">
        <v>535739486.3354</v>
      </c>
      <c r="AI8" s="3" t="n">
        <v>237538103.5344</v>
      </c>
      <c r="AJ8" s="3" t="n">
        <v>485809073.7437</v>
      </c>
      <c r="AK8" s="3" t="n">
        <v>438950590.1954</v>
      </c>
      <c r="AL8" s="3" t="n">
        <v>318696737.5137</v>
      </c>
      <c r="AM8" s="3" t="n">
        <v>63109545.33</v>
      </c>
      <c r="AN8" s="3" t="n">
        <v>355765225.1343</v>
      </c>
      <c r="AO8" s="3" t="n">
        <v>29930975.56</v>
      </c>
      <c r="AP8" s="3" t="n">
        <v>1911813148.0286</v>
      </c>
      <c r="AQ8" s="3" t="n">
        <v>492540110.577</v>
      </c>
      <c r="AR8" s="3" t="n">
        <v>4727322455.9528</v>
      </c>
      <c r="AS8" s="3" t="n">
        <v>1662155659.2909</v>
      </c>
      <c r="AT8" s="3" t="n">
        <v>2255453047.8459</v>
      </c>
      <c r="AU8" s="3" t="n">
        <v>910946103.7029</v>
      </c>
      <c r="AV8" s="3" t="n">
        <v>393580965.486</v>
      </c>
      <c r="AW8" s="3" t="n">
        <v>268311930.3321</v>
      </c>
      <c r="AX8" s="3" t="n">
        <v>935926951.22</v>
      </c>
      <c r="AY8" s="3" t="n">
        <v>94277584.23</v>
      </c>
      <c r="AZ8" s="3"/>
    </row>
    <row r="9">
      <c r="A9" t="str">
        <f>N9</f>
      </c>
      <c r="B9" t="str">
        <f>O9</f>
      </c>
      <c r="M9" t="s">
        <v>55</v>
      </c>
      <c r="N9"/>
      <c r="O9"/>
      <c r="P9" s="3" t="n">
        <v>4385190184</v>
      </c>
      <c r="Q9" s="3" t="n">
        <v>5641814985</v>
      </c>
      <c r="R9" s="3" t="n">
        <v>4211344274</v>
      </c>
      <c r="S9" s="3" t="n">
        <v>3075823560</v>
      </c>
      <c r="T9" s="3" t="n">
        <v>4014703413</v>
      </c>
      <c r="U9" s="3" t="n">
        <v>5272937433</v>
      </c>
      <c r="V9" s="3" t="n">
        <v>5083168952</v>
      </c>
      <c r="W9" s="3" t="n">
        <v>5793579926</v>
      </c>
      <c r="X9" s="3" t="n">
        <v>6069497056</v>
      </c>
      <c r="Y9" s="3" t="n">
        <v>7345159991</v>
      </c>
      <c r="Z9" s="3" t="n">
        <v>371425449</v>
      </c>
      <c r="AA9" s="3" t="n">
        <v>24649311</v>
      </c>
      <c r="AB9" s="3" t="n">
        <v>49386111</v>
      </c>
      <c r="AC9" s="3" t="n">
        <v>57634779</v>
      </c>
      <c r="AD9" s="3" t="n">
        <v>62768034</v>
      </c>
      <c r="AE9" s="3" t="n">
        <v>148846938.8</v>
      </c>
      <c r="AF9" s="3" t="n">
        <v>89331923.28</v>
      </c>
      <c r="AG9" s="3" t="n">
        <v>48249949.3</v>
      </c>
      <c r="AH9" s="3" t="n">
        <v>210223972.2396</v>
      </c>
      <c r="AI9" s="3" t="n">
        <v>23278455.2467</v>
      </c>
      <c r="AJ9" s="3" t="n">
        <v>2450149.2207</v>
      </c>
      <c r="AK9" s="3" t="n">
        <v>536559.4787</v>
      </c>
      <c r="AL9" s="3" t="n">
        <v>1693804.789</v>
      </c>
      <c r="AM9" s="3" t="n">
        <v>2696493.3802</v>
      </c>
      <c r="AN9" s="3" t="n">
        <v>2507314.8125</v>
      </c>
      <c r="AO9" s="3" t="n">
        <v>12542568.2662</v>
      </c>
      <c r="AP9" s="3" t="n">
        <v>2004997.8374</v>
      </c>
      <c r="AQ9" s="3" t="n">
        <v>4463446.7607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/>
    </row>
    <row r="10">
      <c r="A10" t="str">
        <f>N10</f>
      </c>
      <c r="B10" t="str">
        <f>O10</f>
      </c>
      <c r="N10" t="s">
        <v>113</v>
      </c>
      <c r="O10" t="s">
        <v>114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 t="str">
        <f>Sum(AP2:AP9)</f>
      </c>
      <c r="AQ10" s="3" t="str">
        <f>Sum(AQ2:AQ9)</f>
      </c>
      <c r="AR10" s="3" t="str">
        <f>Sum(AR2:AR9)</f>
      </c>
      <c r="AS10" s="3" t="str">
        <f>Sum(AS2:AS9)</f>
      </c>
      <c r="AT10" s="3" t="str">
        <f>Sum(AT2:AT9)</f>
      </c>
      <c r="AU10" s="3" t="str">
        <f>Sum(AU2:AU9)</f>
      </c>
      <c r="AV10" s="3" t="str">
        <f>Sum(AV2:AV9)</f>
      </c>
      <c r="AW10" s="3" t="str">
        <f>Sum(AW2:AW9)</f>
      </c>
      <c r="AX10" s="3" t="str">
        <f>Sum(AX2:AX9)</f>
      </c>
      <c r="AY10" s="3" t="str">
        <f>Sum(AY2:AY9)</f>
      </c>
      <c r="AZ10" s="3"/>
    </row>
    <row r="13">
      <c r="A13" t="str">
        <f>N13</f>
      </c>
      <c r="B13" t="str">
        <f>O13</f>
      </c>
      <c r="M13" t="s">
        <v>43</v>
      </c>
      <c r="N13" t="s">
        <v>43</v>
      </c>
      <c r="O13" t="s">
        <v>44</v>
      </c>
      <c r="P13" t="s">
        <v>1</v>
      </c>
      <c r="Q13" t="s">
        <v>2</v>
      </c>
      <c r="R13" t="s">
        <v>3</v>
      </c>
      <c r="S13" t="s">
        <v>4</v>
      </c>
      <c r="T13" t="s">
        <v>5</v>
      </c>
      <c r="U13" t="s">
        <v>6</v>
      </c>
      <c r="V13" t="s">
        <v>7</v>
      </c>
      <c r="W13" t="s">
        <v>8</v>
      </c>
      <c r="X13" t="s">
        <v>9</v>
      </c>
      <c r="Y13" t="s">
        <v>10</v>
      </c>
      <c r="Z13" t="s">
        <v>11</v>
      </c>
      <c r="AA13" t="s">
        <v>12</v>
      </c>
      <c r="AB13" t="s">
        <v>13</v>
      </c>
      <c r="AC13" t="s">
        <v>14</v>
      </c>
      <c r="AD13" t="s">
        <v>15</v>
      </c>
      <c r="AE13" t="s">
        <v>16</v>
      </c>
      <c r="AF13" t="s">
        <v>17</v>
      </c>
      <c r="AG13" t="s">
        <v>18</v>
      </c>
      <c r="AH13" t="s">
        <v>19</v>
      </c>
      <c r="AI13" t="s">
        <v>20</v>
      </c>
      <c r="AJ13" t="s">
        <v>21</v>
      </c>
      <c r="AK13" t="s">
        <v>22</v>
      </c>
      <c r="AL13" t="s">
        <v>23</v>
      </c>
      <c r="AM13" t="s">
        <v>24</v>
      </c>
      <c r="AN13" t="s">
        <v>25</v>
      </c>
      <c r="AO13" t="s">
        <v>26</v>
      </c>
      <c r="AP13" t="s">
        <v>27</v>
      </c>
      <c r="AQ13" t="s">
        <v>28</v>
      </c>
      <c r="AR13" t="s">
        <v>29</v>
      </c>
      <c r="AS13" t="s">
        <v>30</v>
      </c>
      <c r="AT13" t="s">
        <v>31</v>
      </c>
      <c r="AU13" t="s">
        <v>32</v>
      </c>
      <c r="AV13" t="s">
        <v>33</v>
      </c>
      <c r="AW13" t="s">
        <v>34</v>
      </c>
      <c r="AX13" t="s">
        <v>122</v>
      </c>
      <c r="AY13" t="s">
        <v>123</v>
      </c>
    </row>
    <row r="14">
      <c r="A14" t="str">
        <f>N14</f>
      </c>
      <c r="B14" t="str">
        <f>O14</f>
      </c>
      <c r="M14" t="s">
        <v>45</v>
      </c>
      <c r="N14" t="s">
        <v>50</v>
      </c>
      <c r="O14" t="s">
        <v>50</v>
      </c>
      <c r="P14" s="3"/>
      <c r="Q14" s="3"/>
      <c r="R14" s="3"/>
      <c r="S14" s="3"/>
      <c r="T14" s="3"/>
      <c r="U14" s="3"/>
      <c r="V14" s="3"/>
      <c r="W14" s="3" t="n">
        <v>2978763.08328414</v>
      </c>
      <c r="X14" s="3" t="n">
        <v>7543807.8625982</v>
      </c>
      <c r="Y14" s="3" t="n">
        <v>-687834.331161051</v>
      </c>
      <c r="Z14" s="3" t="n">
        <v>27627525.9413754</v>
      </c>
      <c r="AA14" s="3" t="n">
        <v>25976922.7461203</v>
      </c>
      <c r="AB14" s="3" t="n">
        <v>58477269.9260708</v>
      </c>
      <c r="AC14" s="3" t="n">
        <v>247223081.513737</v>
      </c>
      <c r="AD14" s="3" t="n">
        <v>1102710395.43012</v>
      </c>
      <c r="AE14" s="3" t="n">
        <v>9013250071.17686</v>
      </c>
      <c r="AF14" s="3" t="n">
        <v>10038866557.343</v>
      </c>
      <c r="AG14" s="3" t="n">
        <v>8881801512.96845</v>
      </c>
      <c r="AH14" s="3" t="n">
        <v>10075593218.4653</v>
      </c>
      <c r="AI14" s="3" t="n">
        <v>9091644764.49273</v>
      </c>
      <c r="AJ14" s="3" t="n">
        <v>12840651367.52</v>
      </c>
      <c r="AK14" s="3" t="n">
        <v>11610732007.2203</v>
      </c>
      <c r="AL14" s="3" t="n">
        <v>7546082349.09935</v>
      </c>
      <c r="AM14" s="3" t="n">
        <v>3720587959.97009</v>
      </c>
      <c r="AN14" s="3" t="n">
        <v>1466585711.05051</v>
      </c>
      <c r="AO14" s="3" t="n">
        <v>735538555.124201</v>
      </c>
      <c r="AP14" s="3" t="n">
        <v>415784418.387877</v>
      </c>
      <c r="AQ14" s="3" t="n">
        <v>369428553.712552</v>
      </c>
      <c r="AR14" s="3" t="n">
        <v>33359112.2060513</v>
      </c>
      <c r="AS14" s="3" t="n">
        <v>37878390.316411</v>
      </c>
      <c r="AT14" s="3" t="n">
        <v>1701131.49839188</v>
      </c>
      <c r="AU14" s="3" t="n">
        <v>18707349.2782801</v>
      </c>
      <c r="AV14" s="3" t="n">
        <v>7554402.03829062</v>
      </c>
      <c r="AW14" s="3" t="n">
        <v>-3327303.2938</v>
      </c>
      <c r="AX14" s="3" t="n">
        <v>252042.028608486</v>
      </c>
      <c r="AY14" s="3" t="n">
        <v>17362.5990020533</v>
      </c>
      <c r="AZ14" s="3"/>
    </row>
    <row r="15">
      <c r="A15" t="str">
        <f>N15</f>
      </c>
      <c r="B15" t="str">
        <f>O15</f>
      </c>
      <c r="M15" t="s">
        <v>47</v>
      </c>
      <c r="N15"/>
      <c r="O15" t="s">
        <v>56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 t="n">
        <v>18486.1316720251</v>
      </c>
      <c r="AA15" s="3" t="n">
        <v>38122.8696839968</v>
      </c>
      <c r="AB15" s="3" t="n">
        <v>9410010.93323171</v>
      </c>
      <c r="AC15" s="3" t="n">
        <v>678900.315464301</v>
      </c>
      <c r="AD15" s="3" t="n">
        <v>2787141.18117829</v>
      </c>
      <c r="AE15" s="3" t="n">
        <v>28211451.0274206</v>
      </c>
      <c r="AF15" s="3" t="n">
        <v>117325416.435164</v>
      </c>
      <c r="AG15" s="3" t="n">
        <v>3025696214.27432</v>
      </c>
      <c r="AH15" s="3" t="n">
        <v>2487192099.06939</v>
      </c>
      <c r="AI15" s="3" t="n">
        <v>5963069217.58615</v>
      </c>
      <c r="AJ15" s="3" t="n">
        <v>20676648.6023439</v>
      </c>
      <c r="AK15" s="3" t="n">
        <v>4543098.71943686</v>
      </c>
      <c r="AL15" s="3" t="n">
        <v>-4516132.38968828</v>
      </c>
      <c r="AM15" s="3" t="n">
        <v>-4677989.65742584</v>
      </c>
      <c r="AN15" s="3" t="n">
        <v>-665239.162354295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>
      <c r="A16" t="str">
        <f>N16</f>
      </c>
      <c r="B16" t="str">
        <f>O16</f>
      </c>
      <c r="M16" t="s">
        <v>47</v>
      </c>
      <c r="N16"/>
      <c r="O16" t="s">
        <v>46</v>
      </c>
      <c r="P16" s="3" t="n">
        <v>1195466.95971519</v>
      </c>
      <c r="Q16" s="3" t="n">
        <v>1371864.71452168</v>
      </c>
      <c r="R16" s="3" t="n">
        <v>1784489.62682998</v>
      </c>
      <c r="S16" s="3" t="n">
        <v>1088789.02210576</v>
      </c>
      <c r="T16" s="3" t="n">
        <v>2293120.25140854</v>
      </c>
      <c r="U16" s="3" t="n">
        <v>9273817.69983371</v>
      </c>
      <c r="V16" s="3" t="n">
        <v>17146734.961412</v>
      </c>
      <c r="W16" s="3" t="n">
        <v>102373846.332728</v>
      </c>
      <c r="X16" s="3" t="n">
        <v>122300815.947606</v>
      </c>
      <c r="Y16" s="3" t="n">
        <v>426221846.218325</v>
      </c>
      <c r="Z16" s="3" t="n">
        <v>6970260021.10363</v>
      </c>
      <c r="AA16" s="3" t="n">
        <v>8065516337.23918</v>
      </c>
      <c r="AB16" s="3" t="n">
        <v>13277143738.7762</v>
      </c>
      <c r="AC16" s="3" t="n">
        <v>18568914481.3601</v>
      </c>
      <c r="AD16" s="3" t="n">
        <v>15375316382.113</v>
      </c>
      <c r="AE16" s="3" t="n">
        <v>11066235604.2544</v>
      </c>
      <c r="AF16" s="3" t="n">
        <v>12097399893.1626</v>
      </c>
      <c r="AG16" s="3" t="n">
        <v>12025060732.2582</v>
      </c>
      <c r="AH16" s="3" t="n">
        <v>12921377226.6322</v>
      </c>
      <c r="AI16" s="3" t="n">
        <v>14863586441.7995</v>
      </c>
      <c r="AJ16" s="3" t="n">
        <v>16183914167.9254</v>
      </c>
      <c r="AK16" s="3" t="n">
        <v>17787209521.5187</v>
      </c>
      <c r="AL16" s="3" t="n">
        <v>16329332752.3159</v>
      </c>
      <c r="AM16" s="3" t="n">
        <v>14065595001.1743</v>
      </c>
      <c r="AN16" s="3" t="n">
        <v>12565497248.8531</v>
      </c>
      <c r="AO16" s="3" t="n">
        <v>10914985944.8573</v>
      </c>
      <c r="AP16" s="3" t="n">
        <v>12047787773.5647</v>
      </c>
      <c r="AQ16" s="3" t="n">
        <v>13168931770.3246</v>
      </c>
      <c r="AR16" s="3" t="n">
        <v>14402026982.5102</v>
      </c>
      <c r="AS16" s="3" t="n">
        <v>15174894389.4847</v>
      </c>
      <c r="AT16" s="3" t="n">
        <v>14844449898.163</v>
      </c>
      <c r="AU16" s="3" t="n">
        <v>11555584299.9913</v>
      </c>
      <c r="AV16" s="3" t="n">
        <v>11781417322.197</v>
      </c>
      <c r="AW16" s="3" t="n">
        <v>12610762756.1455</v>
      </c>
      <c r="AX16" s="3" t="n">
        <v>12612184909.0659</v>
      </c>
      <c r="AY16" s="3" t="n">
        <v>6007975904.04343</v>
      </c>
      <c r="AZ16" s="3"/>
    </row>
    <row r="17">
      <c r="A17" t="str">
        <f>N17</f>
      </c>
      <c r="B17" t="str">
        <f>O17</f>
      </c>
      <c r="M17" t="s">
        <v>50</v>
      </c>
      <c r="N17"/>
      <c r="O17" t="s">
        <v>52</v>
      </c>
      <c r="P17" s="3" t="n">
        <v>330925.109955762</v>
      </c>
      <c r="Q17" s="3"/>
      <c r="R17" s="3" t="n">
        <v>508462.655679722</v>
      </c>
      <c r="S17" s="3" t="n">
        <v>68525.1832094533</v>
      </c>
      <c r="T17" s="3" t="n">
        <v>279421.639083088</v>
      </c>
      <c r="U17" s="3" t="n">
        <v>299155.409672055</v>
      </c>
      <c r="V17" s="3" t="n">
        <v>94891.6104160838</v>
      </c>
      <c r="W17" s="3" t="n">
        <v>86542380.6184998</v>
      </c>
      <c r="X17" s="3" t="n">
        <v>134557618.641064</v>
      </c>
      <c r="Y17" s="3" t="n">
        <v>382645507.69735</v>
      </c>
      <c r="Z17" s="3" t="n">
        <v>1984172224.92991</v>
      </c>
      <c r="AA17" s="3" t="n">
        <v>1929988765.91613</v>
      </c>
      <c r="AB17" s="3" t="n">
        <v>2383496573.80827</v>
      </c>
      <c r="AC17" s="3" t="n">
        <v>5318557165.81683</v>
      </c>
      <c r="AD17" s="3" t="n">
        <v>12365424754.8927</v>
      </c>
      <c r="AE17" s="3" t="n">
        <v>10606965652.3712</v>
      </c>
      <c r="AF17" s="3" t="n">
        <v>10498372663.0015</v>
      </c>
      <c r="AG17" s="3" t="n">
        <v>8444583681.16747</v>
      </c>
      <c r="AH17" s="3" t="n">
        <v>10148213520.993</v>
      </c>
      <c r="AI17" s="3" t="n">
        <v>10093411717.7737</v>
      </c>
      <c r="AJ17" s="3" t="n">
        <v>12722592638.9035</v>
      </c>
      <c r="AK17" s="3" t="n">
        <v>14857119845.2244</v>
      </c>
      <c r="AL17" s="3" t="n">
        <v>14956236393.7165</v>
      </c>
      <c r="AM17" s="3" t="n">
        <v>18617306761.0958</v>
      </c>
      <c r="AN17" s="3" t="n">
        <v>15847974984.5321</v>
      </c>
      <c r="AO17" s="3" t="n">
        <v>15227044892.6449</v>
      </c>
      <c r="AP17" s="3" t="n">
        <v>13264010985.2567</v>
      </c>
      <c r="AQ17" s="3" t="n">
        <v>16168844984.4289</v>
      </c>
      <c r="AR17" s="3" t="n">
        <v>11317341371.2968</v>
      </c>
      <c r="AS17" s="3" t="n">
        <v>14879126337.3386</v>
      </c>
      <c r="AT17" s="3" t="n">
        <v>14409086303.5639</v>
      </c>
      <c r="AU17" s="3" t="n">
        <v>16805026893.3974</v>
      </c>
      <c r="AV17" s="3" t="n">
        <v>16971321239.3572</v>
      </c>
      <c r="AW17" s="3" t="n">
        <v>16211436844.8518</v>
      </c>
      <c r="AX17" s="3" t="n">
        <v>15557180704.2485</v>
      </c>
      <c r="AY17" s="3" t="n">
        <v>7161291582.50742</v>
      </c>
      <c r="AZ17" s="3"/>
    </row>
    <row r="18">
      <c r="A18" t="str">
        <f>N18</f>
      </c>
      <c r="B18" t="str">
        <f>O18</f>
      </c>
      <c r="M18" t="s">
        <v>51</v>
      </c>
      <c r="N18"/>
      <c r="O18" t="s">
        <v>48</v>
      </c>
      <c r="P18" s="3"/>
      <c r="Q18" s="3"/>
      <c r="R18" s="3"/>
      <c r="S18" s="3"/>
      <c r="T18" s="3"/>
      <c r="U18" s="3"/>
      <c r="V18" s="3"/>
      <c r="W18" s="3" t="n">
        <v>169499.446238654</v>
      </c>
      <c r="X18" s="3" t="n">
        <v>312717.070704033</v>
      </c>
      <c r="Y18" s="3" t="n">
        <v>3518859.52839291</v>
      </c>
      <c r="Z18" s="3" t="n">
        <v>1108491813.07982</v>
      </c>
      <c r="AA18" s="3" t="n">
        <v>1866271691.34821</v>
      </c>
      <c r="AB18" s="3" t="n">
        <v>922477138.296021</v>
      </c>
      <c r="AC18" s="3" t="n">
        <v>913116215.372735</v>
      </c>
      <c r="AD18" s="3" t="n">
        <v>1884026833.3819</v>
      </c>
      <c r="AE18" s="3" t="n">
        <v>2026458115.29682</v>
      </c>
      <c r="AF18" s="3" t="n">
        <v>1634909073.20677</v>
      </c>
      <c r="AG18" s="3" t="n">
        <v>923392516.290809</v>
      </c>
      <c r="AH18" s="3" t="n">
        <v>264206170.355549</v>
      </c>
      <c r="AI18" s="3" t="n">
        <v>708657915.0028</v>
      </c>
      <c r="AJ18" s="3" t="n">
        <v>867891744.586258</v>
      </c>
      <c r="AK18" s="3" t="n">
        <v>3112659121.47753</v>
      </c>
      <c r="AL18" s="3" t="n">
        <v>4141244424.56762</v>
      </c>
      <c r="AM18" s="3" t="n">
        <v>2494719723.63499</v>
      </c>
      <c r="AN18" s="3" t="n">
        <v>2050597287.24317</v>
      </c>
      <c r="AO18" s="3" t="n">
        <v>1638505582.12759</v>
      </c>
      <c r="AP18" s="3" t="n">
        <v>1139749092.58184</v>
      </c>
      <c r="AQ18" s="3" t="n">
        <v>1418726616.54673</v>
      </c>
      <c r="AR18" s="3" t="n">
        <v>1880636337.30009</v>
      </c>
      <c r="AS18" s="3" t="n">
        <v>2371494602.63256</v>
      </c>
      <c r="AT18" s="3" t="n">
        <v>1945463301.1083</v>
      </c>
      <c r="AU18" s="3" t="n">
        <v>2497387702.1703</v>
      </c>
      <c r="AV18" s="3" t="n">
        <v>2438764970.31406</v>
      </c>
      <c r="AW18" s="3" t="n">
        <v>2512563752.4229</v>
      </c>
      <c r="AX18" s="3" t="n">
        <v>2271345697.70328</v>
      </c>
      <c r="AY18" s="3" t="n">
        <v>1023489877.9962</v>
      </c>
      <c r="AZ18" s="3"/>
    </row>
    <row r="19">
      <c r="A19" t="str">
        <f>N19</f>
      </c>
      <c r="B19" t="str">
        <f>O19</f>
      </c>
      <c r="M19" t="s">
        <v>53</v>
      </c>
      <c r="N19"/>
      <c r="O19" t="s">
        <v>49</v>
      </c>
      <c r="P19" s="3"/>
      <c r="Q19" s="3"/>
      <c r="R19" s="3"/>
      <c r="S19" s="3"/>
      <c r="T19" s="3"/>
      <c r="U19" s="3"/>
      <c r="V19" s="3" t="n">
        <v>51921.8245672911</v>
      </c>
      <c r="W19" s="3" t="n">
        <v>36180240.9377516</v>
      </c>
      <c r="X19" s="3" t="n">
        <v>47543455.6560736</v>
      </c>
      <c r="Y19" s="3" t="n">
        <v>30696800.2722616</v>
      </c>
      <c r="Z19" s="3" t="n">
        <v>187419057.280239</v>
      </c>
      <c r="AA19" s="3" t="n">
        <v>230784673.575596</v>
      </c>
      <c r="AB19" s="3" t="n">
        <v>260670632.542242</v>
      </c>
      <c r="AC19" s="3" t="n">
        <v>312404792.188509</v>
      </c>
      <c r="AD19" s="3" t="n">
        <v>230553409.672489</v>
      </c>
      <c r="AE19" s="3" t="n">
        <v>308804913.165047</v>
      </c>
      <c r="AF19" s="3" t="n">
        <v>648552552.179797</v>
      </c>
      <c r="AG19" s="3" t="n">
        <v>700135997.515237</v>
      </c>
      <c r="AH19" s="3" t="n">
        <v>1166961124.99917</v>
      </c>
      <c r="AI19" s="3" t="n">
        <v>1103935949.45599</v>
      </c>
      <c r="AJ19" s="3" t="n">
        <v>1651261651.56387</v>
      </c>
      <c r="AK19" s="3" t="n">
        <v>1136893856.85954</v>
      </c>
      <c r="AL19" s="3" t="n">
        <v>994331975.902176</v>
      </c>
      <c r="AM19" s="3" t="n">
        <v>566355709.166334</v>
      </c>
      <c r="AN19" s="3" t="n">
        <v>80476983.40884</v>
      </c>
      <c r="AO19" s="3" t="n">
        <v>246604377.24239</v>
      </c>
      <c r="AP19" s="3" t="n">
        <v>372894772.02355</v>
      </c>
      <c r="AQ19" s="3" t="n">
        <v>428153062.868685</v>
      </c>
      <c r="AR19" s="3" t="n">
        <v>597739181.241258</v>
      </c>
      <c r="AS19" s="3" t="n">
        <v>326052283.195886</v>
      </c>
      <c r="AT19" s="3" t="n">
        <v>179467416.426309</v>
      </c>
      <c r="AU19" s="3" t="n">
        <v>175698227.820747</v>
      </c>
      <c r="AV19" s="3" t="n">
        <v>152034137.712934</v>
      </c>
      <c r="AW19" s="3" t="n">
        <v>180759064.4403</v>
      </c>
      <c r="AX19" s="3" t="n">
        <v>211146414.644267</v>
      </c>
      <c r="AY19" s="3" t="n">
        <v>63660046.3115357</v>
      </c>
      <c r="AZ19" s="3"/>
    </row>
    <row r="20">
      <c r="A20" t="str">
        <f>N20</f>
      </c>
      <c r="B20" t="str">
        <f>O20</f>
      </c>
      <c r="M20" t="s">
        <v>55</v>
      </c>
      <c r="N20"/>
      <c r="O20" t="s">
        <v>54</v>
      </c>
      <c r="P20" s="3"/>
      <c r="Q20" s="3"/>
      <c r="R20" s="3"/>
      <c r="S20" s="3"/>
      <c r="T20" s="3"/>
      <c r="U20" s="3"/>
      <c r="V20" s="3" t="n">
        <v>2733952.62462943</v>
      </c>
      <c r="W20" s="3" t="n">
        <v>23500216.6043224</v>
      </c>
      <c r="X20" s="3" t="n">
        <v>18887540.5070731</v>
      </c>
      <c r="Y20" s="3"/>
      <c r="Z20" s="3" t="n">
        <v>36801161.2496735</v>
      </c>
      <c r="AA20" s="3" t="n">
        <v>20747898.2851767</v>
      </c>
      <c r="AB20" s="3" t="n">
        <v>49057239.2015333</v>
      </c>
      <c r="AC20" s="3" t="n">
        <v>83245133.0414356</v>
      </c>
      <c r="AD20" s="3" t="n">
        <v>86090859.5411009</v>
      </c>
      <c r="AE20" s="3" t="n">
        <v>91155526.111156</v>
      </c>
      <c r="AF20" s="3" t="n">
        <v>96611869.2046209</v>
      </c>
      <c r="AG20" s="3" t="n">
        <v>615044050.931574</v>
      </c>
      <c r="AH20" s="3" t="n">
        <v>743071458.589866</v>
      </c>
      <c r="AI20" s="3" t="n">
        <v>326130652.14068</v>
      </c>
      <c r="AJ20" s="3" t="n">
        <v>661270223.128429</v>
      </c>
      <c r="AK20" s="3" t="n">
        <v>585731291.860966</v>
      </c>
      <c r="AL20" s="3" t="n">
        <v>417686394.279628</v>
      </c>
      <c r="AM20" s="3" t="n">
        <v>81237817.1021676</v>
      </c>
      <c r="AN20" s="3" t="n">
        <v>449754153.199835</v>
      </c>
      <c r="AO20" s="3" t="n">
        <v>37450534.9174716</v>
      </c>
      <c r="AP20" s="3" t="n">
        <v>2373144509.65696</v>
      </c>
      <c r="AQ20" s="3" t="n">
        <v>601243713.096843</v>
      </c>
      <c r="AR20" s="3" t="n">
        <v>5645316493.84905</v>
      </c>
      <c r="AS20" s="3" t="n">
        <v>1948893875.83357</v>
      </c>
      <c r="AT20" s="3" t="n">
        <v>2610440442.87211</v>
      </c>
      <c r="AU20" s="3" t="n">
        <v>1019240979.64115</v>
      </c>
      <c r="AV20" s="3" t="n">
        <v>411585954.403056</v>
      </c>
      <c r="AW20" s="3" t="n">
        <v>268311930.3321</v>
      </c>
      <c r="AX20" s="3" t="n">
        <v>911582246.679173</v>
      </c>
      <c r="AY20" s="3" t="n">
        <v>89853721.9502311</v>
      </c>
      <c r="AZ20" s="3"/>
    </row>
    <row r="21">
      <c r="A21" t="str">
        <f>N21</f>
      </c>
      <c r="B21" t="str">
        <f>O21</f>
      </c>
      <c r="M21" t="s">
        <v>55</v>
      </c>
      <c r="N21"/>
      <c r="O21"/>
      <c r="P21" s="3" t="n">
        <v>9069809648.85706</v>
      </c>
      <c r="Q21" s="3" t="n">
        <v>11266094474.2084</v>
      </c>
      <c r="R21" s="3" t="n">
        <v>8204257829.65377</v>
      </c>
      <c r="S21" s="3" t="n">
        <v>5854760360.24869</v>
      </c>
      <c r="T21" s="3" t="n">
        <v>7478633387.28617</v>
      </c>
      <c r="U21" s="3" t="n">
        <v>9618461938.68433</v>
      </c>
      <c r="V21" s="3" t="n">
        <v>9100945054.19466</v>
      </c>
      <c r="W21" s="3" t="n">
        <v>10191991667.9265</v>
      </c>
      <c r="X21" s="3" t="n">
        <v>10545168036.1744</v>
      </c>
      <c r="Y21" s="3" t="n">
        <v>12605422179.8413</v>
      </c>
      <c r="Z21" s="3" t="n">
        <v>624430581.738967</v>
      </c>
      <c r="AA21" s="3" t="n">
        <v>40459074.789172</v>
      </c>
      <c r="AB21" s="3" t="n">
        <v>79806229.4366831</v>
      </c>
      <c r="AC21" s="3" t="n">
        <v>91381705.0017441</v>
      </c>
      <c r="AD21" s="3" t="n">
        <v>97148394.962752</v>
      </c>
      <c r="AE21" s="3" t="n">
        <v>223572607.716689</v>
      </c>
      <c r="AF21" s="3" t="n">
        <v>129957667.38676</v>
      </c>
      <c r="AG21" s="3" t="n">
        <v>68312123.7817323</v>
      </c>
      <c r="AH21" s="3" t="n">
        <v>291580959.901169</v>
      </c>
      <c r="AI21" s="3" t="n">
        <v>31960420.9912978</v>
      </c>
      <c r="AJ21" s="3" t="n">
        <v>3335077.11040617</v>
      </c>
      <c r="AK21" s="3" t="n">
        <v>715979.61966356</v>
      </c>
      <c r="AL21" s="3" t="n">
        <v>2219913.5781883</v>
      </c>
      <c r="AM21" s="3" t="n">
        <v>3471063.44836494</v>
      </c>
      <c r="AN21" s="3" t="n">
        <v>3169717.47273963</v>
      </c>
      <c r="AO21" s="3" t="n">
        <v>15693637.845732</v>
      </c>
      <c r="AP21" s="3" t="n">
        <v>2488815.19337093</v>
      </c>
      <c r="AQ21" s="3" t="n">
        <v>5448529.46183315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57</v>
      </c>
      <c r="O1" t="s">
        <v>58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122</v>
      </c>
      <c r="AY1" t="s">
        <v>123</v>
      </c>
    </row>
    <row r="2">
      <c r="A2" t="str">
        <f>N2</f>
      </c>
      <c r="B2" t="str">
        <f>O2</f>
      </c>
      <c r="N2" t="s">
        <v>59</v>
      </c>
      <c r="O2" t="s">
        <v>60</v>
      </c>
      <c r="P2" s="4" t="n">
        <v>338000</v>
      </c>
      <c r="Q2" s="4" t="n">
        <v>428000</v>
      </c>
      <c r="R2" s="4" t="n">
        <v>527000</v>
      </c>
      <c r="S2" s="4" t="n">
        <v>31000</v>
      </c>
      <c r="T2" s="4"/>
      <c r="U2" s="4" t="n">
        <v>346000</v>
      </c>
      <c r="V2" s="4" t="n">
        <v>2146000</v>
      </c>
      <c r="W2" s="4" t="n">
        <v>71504441</v>
      </c>
      <c r="X2" s="4" t="n">
        <v>66970736</v>
      </c>
      <c r="Y2" s="4" t="n">
        <v>138339738</v>
      </c>
      <c r="Z2" s="4" t="n">
        <v>3667184221</v>
      </c>
      <c r="AA2" s="4" t="n">
        <v>4225376155.74</v>
      </c>
      <c r="AB2" s="4" t="n">
        <v>6596789366.83</v>
      </c>
      <c r="AC2" s="4" t="n">
        <v>8676410920.69</v>
      </c>
      <c r="AD2" s="4" t="n">
        <v>8107341326.05</v>
      </c>
      <c r="AE2" s="4" t="n">
        <v>9415076266.06</v>
      </c>
      <c r="AF2" s="4" t="n">
        <v>10962085801.85</v>
      </c>
      <c r="AG2" s="4" t="n">
        <v>11975315475.8</v>
      </c>
      <c r="AH2" s="4" t="n">
        <v>11627318949.43</v>
      </c>
      <c r="AI2" s="4" t="n">
        <v>14679677580.96</v>
      </c>
      <c r="AJ2" s="4" t="n">
        <v>13516909106.7247</v>
      </c>
      <c r="AK2" s="4" t="n">
        <v>14219095327.5042</v>
      </c>
      <c r="AL2" s="4" t="n">
        <v>14527668757.1305</v>
      </c>
      <c r="AM2" s="4" t="n">
        <v>14857623175.7842</v>
      </c>
      <c r="AN2" s="4" t="n">
        <v>14630991393.2016</v>
      </c>
      <c r="AO2" s="4" t="n">
        <v>13081612517.5362</v>
      </c>
      <c r="AP2" s="4" t="n">
        <v>13499212271.0042</v>
      </c>
      <c r="AQ2" s="4" t="n">
        <v>14162664791.8321</v>
      </c>
      <c r="AR2" s="4" t="n">
        <v>13547142918.59</v>
      </c>
      <c r="AS2" s="4" t="n">
        <v>14040945937.99</v>
      </c>
      <c r="AT2" s="4" t="n">
        <v>14340836045.8</v>
      </c>
      <c r="AU2" s="4" t="n">
        <v>14323812842.04</v>
      </c>
      <c r="AV2" s="4" t="n">
        <v>15451338802.92</v>
      </c>
      <c r="AW2" s="4" t="n">
        <v>16453485668.12</v>
      </c>
      <c r="AX2" s="4" t="n">
        <v>17064780024.84</v>
      </c>
      <c r="AY2" s="4" t="n">
        <v>8563058055.51</v>
      </c>
      <c r="AZ2" s="4"/>
    </row>
    <row r="3">
      <c r="A3" t="str">
        <f>N3</f>
      </c>
      <c r="B3" t="str">
        <f>O3</f>
      </c>
      <c r="N3" t="s">
        <v>59</v>
      </c>
      <c r="O3" t="s">
        <v>61</v>
      </c>
      <c r="P3" s="4" t="n">
        <v>29000</v>
      </c>
      <c r="Q3" s="4" t="n">
        <v>123000</v>
      </c>
      <c r="R3" s="4" t="n">
        <v>181000</v>
      </c>
      <c r="S3" s="4" t="n">
        <v>550000</v>
      </c>
      <c r="T3" s="4" t="n">
        <v>1252000</v>
      </c>
      <c r="U3" s="4" t="n">
        <v>165000</v>
      </c>
      <c r="V3" s="4" t="n">
        <v>8667000</v>
      </c>
      <c r="W3" s="4" t="n">
        <v>585513</v>
      </c>
      <c r="X3" s="4" t="n">
        <v>6886989</v>
      </c>
      <c r="Y3" s="4" t="n">
        <v>20727229</v>
      </c>
      <c r="Z3" s="4" t="n">
        <v>146667353</v>
      </c>
      <c r="AA3" s="4" t="n">
        <v>188457391</v>
      </c>
      <c r="AB3" s="4" t="n">
        <v>265861042</v>
      </c>
      <c r="AC3" s="4" t="n">
        <v>315475520.63</v>
      </c>
      <c r="AD3" s="4" t="n">
        <v>351445382.74</v>
      </c>
      <c r="AE3" s="4" t="n">
        <v>419365322.2702</v>
      </c>
      <c r="AF3" s="4" t="n">
        <v>410657779.54</v>
      </c>
      <c r="AG3" s="4" t="n">
        <v>493917378.1</v>
      </c>
      <c r="AH3" s="4" t="n">
        <v>592835545.98</v>
      </c>
      <c r="AI3" s="4" t="n">
        <v>635993323.88</v>
      </c>
      <c r="AJ3" s="4" t="n">
        <v>610492140.0484</v>
      </c>
      <c r="AK3" s="4" t="n">
        <v>610584755.974</v>
      </c>
      <c r="AL3" s="4" t="n">
        <v>532129686.8409</v>
      </c>
      <c r="AM3" s="4" t="n">
        <v>418471487.563</v>
      </c>
      <c r="AN3" s="4" t="n">
        <v>443697611.9937</v>
      </c>
      <c r="AO3" s="4" t="n">
        <v>346912947.1051</v>
      </c>
      <c r="AP3" s="4" t="n">
        <v>461372938.1563</v>
      </c>
      <c r="AQ3" s="4" t="n">
        <v>523683342.1109</v>
      </c>
      <c r="AR3" s="4" t="n">
        <v>563276989.9</v>
      </c>
      <c r="AS3" s="4" t="n">
        <v>604762677.11</v>
      </c>
      <c r="AT3" s="4" t="n">
        <v>710981132.95</v>
      </c>
      <c r="AU3" s="4" t="n">
        <v>510812453.14</v>
      </c>
      <c r="AV3" s="4" t="n">
        <v>604487538.55</v>
      </c>
      <c r="AW3" s="4" t="n">
        <v>614617714.29</v>
      </c>
      <c r="AX3" s="4" t="n">
        <v>569206387.42</v>
      </c>
      <c r="AY3" s="4" t="n">
        <v>231977258.63</v>
      </c>
      <c r="AZ3" s="4"/>
    </row>
    <row r="4">
      <c r="A4" t="str">
        <f>N4</f>
      </c>
      <c r="B4" t="str">
        <f>O4</f>
      </c>
      <c r="N4" t="s">
        <v>62</v>
      </c>
      <c r="O4" t="s">
        <v>63</v>
      </c>
      <c r="P4" s="4"/>
      <c r="Q4" s="4"/>
      <c r="R4" s="4"/>
      <c r="S4" s="4"/>
      <c r="T4" s="4"/>
      <c r="U4" s="4"/>
      <c r="V4" s="4" t="n">
        <v>224000</v>
      </c>
      <c r="W4" s="4"/>
      <c r="X4" s="4"/>
      <c r="Y4" s="4"/>
      <c r="Z4" s="4"/>
      <c r="AA4" s="4"/>
      <c r="AB4" s="4" t="n">
        <v>0</v>
      </c>
      <c r="AC4" s="4" t="n">
        <v>795610</v>
      </c>
      <c r="AD4" s="4" t="n">
        <v>441630</v>
      </c>
      <c r="AE4" s="4" t="n">
        <v>123954</v>
      </c>
      <c r="AF4" s="4" t="n">
        <v>22858</v>
      </c>
      <c r="AG4" s="4" t="n">
        <v>54652</v>
      </c>
      <c r="AH4" s="4"/>
      <c r="AI4" s="4"/>
      <c r="AJ4" s="4" t="n">
        <v>19376326.3531</v>
      </c>
      <c r="AK4" s="4" t="n">
        <v>387313611.7314</v>
      </c>
      <c r="AL4" s="4" t="n">
        <v>582652780.2747</v>
      </c>
      <c r="AM4" s="4" t="n">
        <v>465322850.5088</v>
      </c>
      <c r="AN4" s="4" t="n">
        <v>767044831.1513</v>
      </c>
      <c r="AO4" s="4" t="n">
        <v>832635465.757</v>
      </c>
      <c r="AP4" s="4" t="n">
        <v>1056365216.9117</v>
      </c>
      <c r="AQ4" s="4" t="n">
        <v>1410618561.4844</v>
      </c>
      <c r="AR4" s="4" t="n">
        <v>1672998676.9531</v>
      </c>
      <c r="AS4" s="4" t="n">
        <v>1590112247.3886</v>
      </c>
      <c r="AT4" s="4" t="n">
        <v>1594359512.3911</v>
      </c>
      <c r="AU4" s="4" t="n">
        <v>1392821094.9294</v>
      </c>
      <c r="AV4" s="4" t="n">
        <v>1226293103.8166</v>
      </c>
      <c r="AW4" s="4" t="n">
        <v>1181136182.2279</v>
      </c>
      <c r="AX4" s="4" t="n">
        <v>1173450486.2104</v>
      </c>
      <c r="AY4" s="4" t="n">
        <v>431596466.67</v>
      </c>
      <c r="AZ4" s="4"/>
    </row>
    <row r="5">
      <c r="A5" t="str">
        <f>N5</f>
      </c>
      <c r="B5" t="str">
        <f>O5</f>
      </c>
      <c r="N5" t="s">
        <v>62</v>
      </c>
      <c r="O5" t="s">
        <v>64</v>
      </c>
      <c r="P5" s="4"/>
      <c r="Q5" s="4"/>
      <c r="R5" s="4"/>
      <c r="S5" s="4"/>
      <c r="T5" s="4"/>
      <c r="U5" s="4"/>
      <c r="V5" s="4"/>
      <c r="W5" s="4" t="n">
        <v>359310</v>
      </c>
      <c r="X5" s="4" t="n">
        <v>736259</v>
      </c>
      <c r="Y5" s="4" t="n">
        <v>5905822</v>
      </c>
      <c r="Z5" s="4" t="n">
        <v>33792438</v>
      </c>
      <c r="AA5" s="4" t="n">
        <v>41430488.2598</v>
      </c>
      <c r="AB5" s="4" t="n">
        <v>79174793</v>
      </c>
      <c r="AC5" s="4" t="n">
        <v>100620364.8408</v>
      </c>
      <c r="AD5" s="4" t="n">
        <v>227065685.0186</v>
      </c>
      <c r="AE5" s="4" t="n">
        <v>520987042.8471</v>
      </c>
      <c r="AF5" s="4" t="n">
        <v>753845871.3055</v>
      </c>
      <c r="AG5" s="4" t="n">
        <v>666904319.5715</v>
      </c>
      <c r="AH5" s="4" t="n">
        <v>741562019.9268</v>
      </c>
      <c r="AI5" s="4" t="n">
        <v>401941193.9722</v>
      </c>
      <c r="AJ5" s="4" t="n">
        <v>382770659.5893</v>
      </c>
      <c r="AK5" s="4" t="n">
        <v>255190230.9778</v>
      </c>
      <c r="AL5" s="4" t="n">
        <v>200211015.9651</v>
      </c>
      <c r="AM5" s="4" t="n">
        <v>135348880.6813</v>
      </c>
      <c r="AN5" s="4" t="n">
        <v>143597255.4704</v>
      </c>
      <c r="AO5" s="4" t="n">
        <v>182122547.0743</v>
      </c>
      <c r="AP5" s="4" t="n">
        <v>172669243.1096</v>
      </c>
      <c r="AQ5" s="4" t="n">
        <v>184927761.5675</v>
      </c>
      <c r="AR5" s="4" t="n">
        <v>187855701.9758</v>
      </c>
      <c r="AS5" s="4" t="n">
        <v>180397019.2286</v>
      </c>
      <c r="AT5" s="4" t="n">
        <v>225983552.3556</v>
      </c>
      <c r="AU5" s="4" t="n">
        <v>173772465.1872</v>
      </c>
      <c r="AV5" s="4" t="n">
        <v>138183896.6027</v>
      </c>
      <c r="AW5" s="4" t="n">
        <v>147459320.7738</v>
      </c>
      <c r="AX5" s="4" t="n">
        <v>131691310.9</v>
      </c>
      <c r="AY5" s="4" t="n">
        <v>53717612.74</v>
      </c>
      <c r="AZ5" s="4"/>
    </row>
    <row r="6">
      <c r="A6" t="str">
        <f>N6</f>
      </c>
      <c r="B6" t="str">
        <f>O6</f>
      </c>
      <c r="N6" t="s">
        <v>62</v>
      </c>
      <c r="O6" t="s">
        <v>65</v>
      </c>
      <c r="P6" s="4"/>
      <c r="Q6" s="4"/>
      <c r="R6" s="4"/>
      <c r="S6" s="4"/>
      <c r="T6" s="4"/>
      <c r="U6" s="4"/>
      <c r="V6" s="4"/>
      <c r="W6" s="4" t="n">
        <v>6529965</v>
      </c>
      <c r="X6" s="4" t="n">
        <v>11413775</v>
      </c>
      <c r="Y6" s="4" t="n">
        <v>52978113</v>
      </c>
      <c r="Z6" s="4" t="n">
        <v>1352581234.319</v>
      </c>
      <c r="AA6" s="4" t="n">
        <v>1428011413.3496</v>
      </c>
      <c r="AB6" s="4" t="n">
        <v>1997739910.0538</v>
      </c>
      <c r="AC6" s="4" t="n">
        <v>3162648757.8764</v>
      </c>
      <c r="AD6" s="4" t="n">
        <v>3404703555.4239</v>
      </c>
      <c r="AE6" s="4" t="n">
        <v>4386894360.4406</v>
      </c>
      <c r="AF6" s="4" t="n">
        <v>3594392277.5264</v>
      </c>
      <c r="AG6" s="4" t="n">
        <v>3738084350.1045</v>
      </c>
      <c r="AH6" s="4" t="n">
        <v>5102263980.4349</v>
      </c>
      <c r="AI6" s="4" t="n">
        <v>5864589825.5735</v>
      </c>
      <c r="AJ6" s="4" t="n">
        <v>9569643537.4518</v>
      </c>
      <c r="AK6" s="4" t="n">
        <v>13569573545.0724</v>
      </c>
      <c r="AL6" s="4" t="n">
        <v>12543300628.8965</v>
      </c>
      <c r="AM6" s="4" t="n">
        <v>10377116042.9763</v>
      </c>
      <c r="AN6" s="4" t="n">
        <v>5588843060.951</v>
      </c>
      <c r="AO6" s="4" t="n">
        <v>4486712312.7461</v>
      </c>
      <c r="AP6" s="4" t="n">
        <v>4031249673.6956</v>
      </c>
      <c r="AQ6" s="4" t="n">
        <v>5161325975.8641</v>
      </c>
      <c r="AR6" s="4" t="n">
        <v>6851300099.2699</v>
      </c>
      <c r="AS6" s="4" t="n">
        <v>7828162300.1424</v>
      </c>
      <c r="AT6" s="4" t="n">
        <v>7240535451.7204</v>
      </c>
      <c r="AU6" s="4" t="n">
        <v>7593720799.5519</v>
      </c>
      <c r="AV6" s="4" t="n">
        <v>7998455509.4689</v>
      </c>
      <c r="AW6" s="4" t="n">
        <v>8678428608.6077</v>
      </c>
      <c r="AX6" s="4" t="n">
        <v>8745939760.5197</v>
      </c>
      <c r="AY6" s="4" t="n">
        <v>3834040073.9</v>
      </c>
      <c r="AZ6" s="4"/>
    </row>
    <row r="7">
      <c r="A7" t="str">
        <f>N7</f>
      </c>
      <c r="B7" t="str">
        <f>O7</f>
      </c>
      <c r="N7" t="s">
        <v>62</v>
      </c>
      <c r="O7" t="s">
        <v>66</v>
      </c>
      <c r="P7" s="4" t="n">
        <v>211000</v>
      </c>
      <c r="Q7" s="4" t="n">
        <v>136000</v>
      </c>
      <c r="R7" s="4" t="n">
        <v>469000</v>
      </c>
      <c r="S7" s="4" t="n">
        <v>27000</v>
      </c>
      <c r="T7" s="4" t="n">
        <v>129000</v>
      </c>
      <c r="U7" s="4" t="n">
        <v>4737000</v>
      </c>
      <c r="V7" s="4" t="n">
        <v>101000</v>
      </c>
      <c r="W7" s="4" t="n">
        <v>63238802</v>
      </c>
      <c r="X7" s="4" t="n">
        <v>100952543</v>
      </c>
      <c r="Y7" s="4" t="n">
        <v>279367390</v>
      </c>
      <c r="Z7" s="4" t="n">
        <v>1295207891.8008</v>
      </c>
      <c r="AA7" s="4" t="n">
        <v>1532225457</v>
      </c>
      <c r="AB7" s="4" t="n">
        <v>1605556338.1003</v>
      </c>
      <c r="AC7" s="4" t="n">
        <v>3848398927.7515</v>
      </c>
      <c r="AD7" s="4" t="n">
        <v>8033484894.3729</v>
      </c>
      <c r="AE7" s="4" t="n">
        <v>7461228829.8633</v>
      </c>
      <c r="AF7" s="4" t="n">
        <v>8517771407.3365</v>
      </c>
      <c r="AG7" s="4" t="n">
        <v>7623445958.3606</v>
      </c>
      <c r="AH7" s="4" t="n">
        <v>9404043446.0678</v>
      </c>
      <c r="AI7" s="4" t="n">
        <v>9141499470.6165</v>
      </c>
      <c r="AJ7" s="4" t="n">
        <v>8924961308.4039</v>
      </c>
      <c r="AK7" s="4" t="n">
        <v>7750896850.7576</v>
      </c>
      <c r="AL7" s="4" t="n">
        <v>5478189220.3116</v>
      </c>
      <c r="AM7" s="4" t="n">
        <v>4466311257.2387</v>
      </c>
      <c r="AN7" s="4" t="n">
        <v>4104991920.7267</v>
      </c>
      <c r="AO7" s="4" t="n">
        <v>4100001286.2311</v>
      </c>
      <c r="AP7" s="4" t="n">
        <v>4637766744.7133</v>
      </c>
      <c r="AQ7" s="4" t="n">
        <v>4902923689.8483</v>
      </c>
      <c r="AR7" s="4" t="n">
        <v>5545145776.0376</v>
      </c>
      <c r="AS7" s="4" t="n">
        <v>5382953014.6309</v>
      </c>
      <c r="AT7" s="4" t="n">
        <v>5255613294.338</v>
      </c>
      <c r="AU7" s="4" t="n">
        <v>4669077047.4615</v>
      </c>
      <c r="AV7" s="4" t="n">
        <v>4954448373.4462</v>
      </c>
      <c r="AW7" s="4" t="n">
        <v>4705379550.8794</v>
      </c>
      <c r="AX7" s="4" t="n">
        <v>4721563624.6511</v>
      </c>
      <c r="AY7" s="4" t="n">
        <v>1938224855.67</v>
      </c>
      <c r="AZ7" s="4"/>
    </row>
    <row r="8">
      <c r="A8" t="str">
        <f>N8</f>
      </c>
      <c r="B8" t="str">
        <f>O8</f>
      </c>
      <c r="N8" t="s">
        <v>62</v>
      </c>
      <c r="O8" t="s">
        <v>67</v>
      </c>
      <c r="P8" s="4" t="n">
        <v>160000</v>
      </c>
      <c r="Q8" s="4"/>
      <c r="R8" s="4"/>
      <c r="S8" s="4"/>
      <c r="T8" s="4"/>
      <c r="U8" s="4"/>
      <c r="V8" s="4" t="n">
        <v>48000</v>
      </c>
      <c r="W8" s="4" t="n">
        <v>1244268</v>
      </c>
      <c r="X8" s="4" t="n">
        <v>4374096</v>
      </c>
      <c r="Y8" s="4" t="n">
        <v>-314400</v>
      </c>
      <c r="Z8" s="4" t="n">
        <v>11463133</v>
      </c>
      <c r="AA8" s="4" t="n">
        <v>4917694</v>
      </c>
      <c r="AB8" s="4" t="n">
        <v>-5508</v>
      </c>
      <c r="AC8" s="4" t="n">
        <v>997646</v>
      </c>
      <c r="AD8" s="4" t="n">
        <v>-2160299</v>
      </c>
      <c r="AE8" s="4" t="n">
        <v>9361206</v>
      </c>
      <c r="AF8" s="4" t="n">
        <v>54672.86</v>
      </c>
      <c r="AG8" s="4" t="n">
        <v>162624.7813</v>
      </c>
      <c r="AH8" s="4" t="n">
        <v>4335.9302</v>
      </c>
      <c r="AI8" s="4" t="n">
        <v>-43440.8392</v>
      </c>
      <c r="AJ8" s="4" t="n">
        <v>4440</v>
      </c>
      <c r="AK8" s="4" t="n">
        <v>-109739.89</v>
      </c>
      <c r="AL8" s="4"/>
      <c r="AM8" s="4"/>
      <c r="AN8" s="4" t="n">
        <v>75509.92</v>
      </c>
      <c r="AO8" s="4"/>
      <c r="AP8" s="4"/>
      <c r="AQ8" s="4" t="n">
        <v>32025.6191</v>
      </c>
      <c r="AR8" s="4"/>
      <c r="AS8" s="4"/>
      <c r="AT8" s="4"/>
      <c r="AU8" s="4"/>
      <c r="AV8" s="4"/>
      <c r="AW8" s="4"/>
      <c r="AX8" s="4"/>
      <c r="AY8" s="4"/>
      <c r="AZ8" s="4"/>
    </row>
    <row r="9">
      <c r="A9" t="str">
        <f>N9</f>
      </c>
      <c r="B9" t="str">
        <f>O9</f>
      </c>
      <c r="N9"/>
      <c r="O9"/>
      <c r="P9" s="4" t="n">
        <v>4385190184</v>
      </c>
      <c r="Q9" s="4" t="n">
        <v>5641814985</v>
      </c>
      <c r="R9" s="4" t="n">
        <v>4211344274</v>
      </c>
      <c r="S9" s="4" t="n">
        <v>3075823560</v>
      </c>
      <c r="T9" s="4" t="n">
        <v>4014703413</v>
      </c>
      <c r="U9" s="4" t="n">
        <v>5272937433</v>
      </c>
      <c r="V9" s="4" t="n">
        <v>5083168952</v>
      </c>
      <c r="W9" s="4" t="n">
        <v>5793220616</v>
      </c>
      <c r="X9" s="4" t="n">
        <v>6068760797</v>
      </c>
      <c r="Y9" s="4" t="n">
        <v>7339018466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 t="n">
        <v>0</v>
      </c>
      <c r="AU9" s="4"/>
      <c r="AV9" s="4" t="n">
        <v>0</v>
      </c>
      <c r="AW9" s="4"/>
      <c r="AX9" s="4" t="n">
        <v>0</v>
      </c>
      <c r="AY9" s="4" t="n">
        <v>0</v>
      </c>
      <c r="AZ9" s="4"/>
    </row>
    <row r="10">
      <c r="A10" t="str">
        <f>N10</f>
      </c>
      <c r="B10" t="str">
        <f>O10</f>
      </c>
      <c r="N10" t="s">
        <v>113</v>
      </c>
      <c r="O10" t="s">
        <v>114</v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 t="str">
        <f>Sum(AP2:AP9)</f>
      </c>
      <c r="AQ10" s="4" t="str">
        <f>Sum(AQ2:AQ9)</f>
      </c>
      <c r="AR10" s="4" t="str">
        <f>Sum(AR2:AR9)</f>
      </c>
      <c r="AS10" s="4" t="str">
        <f>Sum(AS2:AS9)</f>
      </c>
      <c r="AT10" s="4" t="str">
        <f>Sum(AT2:AT9)</f>
      </c>
      <c r="AU10" s="4" t="str">
        <f>Sum(AU2:AU9)</f>
      </c>
      <c r="AV10" s="4" t="str">
        <f>Sum(AV2:AV9)</f>
      </c>
      <c r="AW10" s="4" t="str">
        <f>Sum(AW2:AW9)</f>
      </c>
      <c r="AX10" s="4" t="str">
        <f>Sum(AX2:AX9)</f>
      </c>
      <c r="AY10" s="4" t="str">
        <f>Sum(AY2:AY9)</f>
      </c>
      <c r="AZ10" s="4"/>
    </row>
    <row r="13">
      <c r="A13" t="str">
        <f>N13</f>
      </c>
      <c r="B13" t="str">
        <f>O13</f>
      </c>
      <c r="N13" t="s">
        <v>57</v>
      </c>
      <c r="O13" t="s">
        <v>58</v>
      </c>
      <c r="P13" t="s">
        <v>1</v>
      </c>
      <c r="Q13" t="s">
        <v>2</v>
      </c>
      <c r="R13" t="s">
        <v>3</v>
      </c>
      <c r="S13" t="s">
        <v>4</v>
      </c>
      <c r="T13" t="s">
        <v>5</v>
      </c>
      <c r="U13" t="s">
        <v>6</v>
      </c>
      <c r="V13" t="s">
        <v>7</v>
      </c>
      <c r="W13" t="s">
        <v>8</v>
      </c>
      <c r="X13" t="s">
        <v>9</v>
      </c>
      <c r="Y13" t="s">
        <v>10</v>
      </c>
      <c r="Z13" t="s">
        <v>11</v>
      </c>
      <c r="AA13" t="s">
        <v>12</v>
      </c>
      <c r="AB13" t="s">
        <v>13</v>
      </c>
      <c r="AC13" t="s">
        <v>14</v>
      </c>
      <c r="AD13" t="s">
        <v>15</v>
      </c>
      <c r="AE13" t="s">
        <v>16</v>
      </c>
      <c r="AF13" t="s">
        <v>17</v>
      </c>
      <c r="AG13" t="s">
        <v>18</v>
      </c>
      <c r="AH13" t="s">
        <v>19</v>
      </c>
      <c r="AI13" t="s">
        <v>20</v>
      </c>
      <c r="AJ13" t="s">
        <v>21</v>
      </c>
      <c r="AK13" t="s">
        <v>22</v>
      </c>
      <c r="AL13" t="s">
        <v>23</v>
      </c>
      <c r="AM13" t="s">
        <v>24</v>
      </c>
      <c r="AN13" t="s">
        <v>25</v>
      </c>
      <c r="AO13" t="s">
        <v>26</v>
      </c>
      <c r="AP13" t="s">
        <v>27</v>
      </c>
      <c r="AQ13" t="s">
        <v>28</v>
      </c>
      <c r="AR13" t="s">
        <v>29</v>
      </c>
      <c r="AS13" t="s">
        <v>30</v>
      </c>
      <c r="AT13" t="s">
        <v>31</v>
      </c>
      <c r="AU13" t="s">
        <v>32</v>
      </c>
      <c r="AV13" t="s">
        <v>33</v>
      </c>
      <c r="AW13" t="s">
        <v>34</v>
      </c>
      <c r="AX13" t="s">
        <v>122</v>
      </c>
      <c r="AY13" t="s">
        <v>123</v>
      </c>
    </row>
    <row r="14">
      <c r="A14" t="str">
        <f>N14</f>
      </c>
      <c r="B14" t="str">
        <f>O14</f>
      </c>
      <c r="N14" t="s">
        <v>59</v>
      </c>
      <c r="O14" t="s">
        <v>60</v>
      </c>
      <c r="P14" s="4" t="n">
        <v>699079.294781548</v>
      </c>
      <c r="Q14" s="4" t="n">
        <v>854669.720255138</v>
      </c>
      <c r="R14" s="4" t="n">
        <v>1026665.97526136</v>
      </c>
      <c r="S14" s="4" t="n">
        <v>59007.7966525848</v>
      </c>
      <c r="T14" s="4"/>
      <c r="U14" s="4" t="n">
        <v>631144.94967397</v>
      </c>
      <c r="V14" s="4" t="n">
        <v>3842215.01797954</v>
      </c>
      <c r="W14" s="4" t="n">
        <v>125789697.596335</v>
      </c>
      <c r="X14" s="4" t="n">
        <v>116355219.898846</v>
      </c>
      <c r="Y14" s="4" t="n">
        <v>237412228.443675</v>
      </c>
      <c r="Z14" s="4" t="n">
        <v>6165172533.62193</v>
      </c>
      <c r="AA14" s="4" t="n">
        <v>6935480261.39427</v>
      </c>
      <c r="AB14" s="4" t="n">
        <v>10660181073.0694</v>
      </c>
      <c r="AC14" s="4" t="n">
        <v>13756714903.4857</v>
      </c>
      <c r="AD14" s="4" t="n">
        <v>12548030375.4766</v>
      </c>
      <c r="AE14" s="4" t="n">
        <v>14141729548.6532</v>
      </c>
      <c r="AF14" s="4" t="n">
        <v>15947346124.3713</v>
      </c>
      <c r="AG14" s="4" t="n">
        <v>16954613320.3532</v>
      </c>
      <c r="AH14" s="4" t="n">
        <v>16127108551.1018</v>
      </c>
      <c r="AI14" s="4" t="n">
        <v>20154630989.5502</v>
      </c>
      <c r="AJ14" s="4" t="n">
        <v>18398852520.6636</v>
      </c>
      <c r="AK14" s="4" t="n">
        <v>18973819061.4251</v>
      </c>
      <c r="AL14" s="4" t="n">
        <v>19040074359.7</v>
      </c>
      <c r="AM14" s="4" t="n">
        <v>19125488352.2908</v>
      </c>
      <c r="AN14" s="4" t="n">
        <v>18496324765.9728</v>
      </c>
      <c r="AO14" s="4" t="n">
        <v>16368106190.9505</v>
      </c>
      <c r="AP14" s="4" t="n">
        <v>16756648796.2809</v>
      </c>
      <c r="AQ14" s="4" t="n">
        <v>17288364914.7105</v>
      </c>
      <c r="AR14" s="4" t="n">
        <v>16177849104.9501</v>
      </c>
      <c r="AS14" s="4" t="n">
        <v>16463147357.1693</v>
      </c>
      <c r="AT14" s="4" t="n">
        <v>16597950657.5445</v>
      </c>
      <c r="AU14" s="4" t="n">
        <v>16026652920.4882</v>
      </c>
      <c r="AV14" s="4" t="n">
        <v>16158184936.9974</v>
      </c>
      <c r="AW14" s="4" t="n">
        <v>16453485668.12</v>
      </c>
      <c r="AX14" s="4" t="n">
        <v>16620902404.6717</v>
      </c>
      <c r="AY14" s="4" t="n">
        <v>8161246852.554</v>
      </c>
      <c r="AZ14" s="4"/>
    </row>
    <row r="15">
      <c r="A15" t="str">
        <f>N15</f>
      </c>
      <c r="B15" t="str">
        <f>O15</f>
      </c>
      <c r="N15" t="s">
        <v>59</v>
      </c>
      <c r="O15" t="s">
        <v>61</v>
      </c>
      <c r="P15" s="4" t="n">
        <v>59980.1761794819</v>
      </c>
      <c r="Q15" s="4" t="n">
        <v>245617.699979865</v>
      </c>
      <c r="R15" s="4" t="n">
        <v>352612.033249156</v>
      </c>
      <c r="S15" s="4" t="n">
        <v>1046912.52125554</v>
      </c>
      <c r="T15" s="4" t="n">
        <v>2332239.28088017</v>
      </c>
      <c r="U15" s="4" t="n">
        <v>300979.528023714</v>
      </c>
      <c r="V15" s="4" t="n">
        <v>15517463.9146452</v>
      </c>
      <c r="W15" s="4" t="n">
        <v>1030026.97704781</v>
      </c>
      <c r="X15" s="4" t="n">
        <v>11965481.7521482</v>
      </c>
      <c r="Y15" s="4" t="n">
        <v>35571107.0260403</v>
      </c>
      <c r="Z15" s="4" t="n">
        <v>246573251.247263</v>
      </c>
      <c r="AA15" s="4" t="n">
        <v>309331635.153665</v>
      </c>
      <c r="AB15" s="4" t="n">
        <v>429622152.595244</v>
      </c>
      <c r="AC15" s="4" t="n">
        <v>500196087.530453</v>
      </c>
      <c r="AD15" s="4" t="n">
        <v>543944945.770662</v>
      </c>
      <c r="AE15" s="4" t="n">
        <v>629899408.357186</v>
      </c>
      <c r="AF15" s="4" t="n">
        <v>597413837.783038</v>
      </c>
      <c r="AG15" s="4" t="n">
        <v>699286642.995828</v>
      </c>
      <c r="AH15" s="4" t="n">
        <v>822263777.621743</v>
      </c>
      <c r="AI15" s="4" t="n">
        <v>873194297.621666</v>
      </c>
      <c r="AJ15" s="4" t="n">
        <v>830985453.929457</v>
      </c>
      <c r="AK15" s="4" t="n">
        <v>814758211.734173</v>
      </c>
      <c r="AL15" s="4" t="n">
        <v>697413258.509334</v>
      </c>
      <c r="AM15" s="4" t="n">
        <v>538677786.242182</v>
      </c>
      <c r="AN15" s="4" t="n">
        <v>560917227.600545</v>
      </c>
      <c r="AO15" s="4" t="n">
        <v>434067891.066178</v>
      </c>
      <c r="AP15" s="4" t="n">
        <v>572704846.296802</v>
      </c>
      <c r="AQ15" s="4" t="n">
        <v>639260255.837577</v>
      </c>
      <c r="AR15" s="4" t="n">
        <v>672659187.376547</v>
      </c>
      <c r="AS15" s="4" t="n">
        <v>709090193.306692</v>
      </c>
      <c r="AT15" s="4" t="n">
        <v>822882970.383394</v>
      </c>
      <c r="AU15" s="4" t="n">
        <v>571538736.52345</v>
      </c>
      <c r="AV15" s="4" t="n">
        <v>632140784.98851</v>
      </c>
      <c r="AW15" s="4" t="n">
        <v>614617714.29</v>
      </c>
      <c r="AX15" s="4" t="n">
        <v>554400572.386649</v>
      </c>
      <c r="AY15" s="4" t="n">
        <v>221092004.700351</v>
      </c>
      <c r="AZ15" s="4"/>
    </row>
    <row r="16">
      <c r="A16" t="str">
        <f>N16</f>
      </c>
      <c r="B16" t="str">
        <f>O16</f>
      </c>
      <c r="N16" t="s">
        <v>62</v>
      </c>
      <c r="O16" t="s">
        <v>63</v>
      </c>
      <c r="P16" s="4"/>
      <c r="Q16" s="4"/>
      <c r="R16" s="4"/>
      <c r="S16" s="4"/>
      <c r="T16" s="4"/>
      <c r="U16" s="4"/>
      <c r="V16" s="4" t="n">
        <v>401051.334588731</v>
      </c>
      <c r="W16" s="4"/>
      <c r="X16" s="4"/>
      <c r="Y16" s="4"/>
      <c r="Z16" s="4"/>
      <c r="AA16" s="4"/>
      <c r="AB16" s="4" t="n">
        <v>0</v>
      </c>
      <c r="AC16" s="4" t="n">
        <v>1261463.99063034</v>
      </c>
      <c r="AD16" s="4" t="n">
        <v>683526.995084793</v>
      </c>
      <c r="AE16" s="4" t="n">
        <v>186182.660122765</v>
      </c>
      <c r="AF16" s="4" t="n">
        <v>33253.2005587259</v>
      </c>
      <c r="AG16" s="4" t="n">
        <v>77376.1266712717</v>
      </c>
      <c r="AH16" s="4"/>
      <c r="AI16" s="4"/>
      <c r="AJ16" s="4" t="n">
        <v>26374533.4194468</v>
      </c>
      <c r="AK16" s="4" t="n">
        <v>516827422.543803</v>
      </c>
      <c r="AL16" s="4" t="n">
        <v>763629213.177867</v>
      </c>
      <c r="AM16" s="4" t="n">
        <v>598987243.933186</v>
      </c>
      <c r="AN16" s="4" t="n">
        <v>969688924.403823</v>
      </c>
      <c r="AO16" s="4" t="n">
        <v>1041818484.04335</v>
      </c>
      <c r="AP16" s="4" t="n">
        <v>1311272138.33194</v>
      </c>
      <c r="AQ16" s="4" t="n">
        <v>1721942078.33479</v>
      </c>
      <c r="AR16" s="4" t="n">
        <v>1997876623.22421</v>
      </c>
      <c r="AS16" s="4" t="n">
        <v>1864422266.05038</v>
      </c>
      <c r="AT16" s="4" t="n">
        <v>1845296915.22443</v>
      </c>
      <c r="AU16" s="4" t="n">
        <v>1558402117.85319</v>
      </c>
      <c r="AV16" s="4" t="n">
        <v>1282391837.44315</v>
      </c>
      <c r="AW16" s="4" t="n">
        <v>1181136182.2279</v>
      </c>
      <c r="AX16" s="4" t="n">
        <v>1142927478.6799</v>
      </c>
      <c r="AY16" s="4" t="n">
        <v>411344321.427023</v>
      </c>
      <c r="AZ16" s="4"/>
    </row>
    <row r="17">
      <c r="A17" t="str">
        <f>N17</f>
      </c>
      <c r="B17" t="str">
        <f>O17</f>
      </c>
      <c r="N17" t="s">
        <v>62</v>
      </c>
      <c r="O17" t="s">
        <v>64</v>
      </c>
      <c r="P17" s="4"/>
      <c r="Q17" s="4"/>
      <c r="R17" s="4"/>
      <c r="S17" s="4"/>
      <c r="T17" s="4"/>
      <c r="U17" s="4"/>
      <c r="V17" s="4"/>
      <c r="W17" s="4" t="n">
        <v>632093.554068051</v>
      </c>
      <c r="X17" s="4" t="n">
        <v>1279179.27985</v>
      </c>
      <c r="Y17" s="4" t="n">
        <v>10135297.2188778</v>
      </c>
      <c r="Z17" s="4" t="n">
        <v>56810947.595349</v>
      </c>
      <c r="AA17" s="4" t="n">
        <v>68003491.9862531</v>
      </c>
      <c r="AB17" s="4" t="n">
        <v>127943698.497739</v>
      </c>
      <c r="AC17" s="4" t="n">
        <v>159536666.169048</v>
      </c>
      <c r="AD17" s="4" t="n">
        <v>351437912.65909</v>
      </c>
      <c r="AE17" s="4" t="n">
        <v>782538308.782018</v>
      </c>
      <c r="AF17" s="4" t="n">
        <v>1096674597.4665</v>
      </c>
      <c r="AG17" s="4" t="n">
        <v>944201001.038985</v>
      </c>
      <c r="AH17" s="4" t="n">
        <v>1028547616.58707</v>
      </c>
      <c r="AI17" s="4" t="n">
        <v>551849752.784498</v>
      </c>
      <c r="AJ17" s="4" t="n">
        <v>521017109.711642</v>
      </c>
      <c r="AK17" s="4" t="n">
        <v>340523300.343182</v>
      </c>
      <c r="AL17" s="4" t="n">
        <v>262398096.717036</v>
      </c>
      <c r="AM17" s="4" t="n">
        <v>174227964.34795</v>
      </c>
      <c r="AN17" s="4" t="n">
        <v>181533937.195604</v>
      </c>
      <c r="AO17" s="4" t="n">
        <v>227877196.812122</v>
      </c>
      <c r="AP17" s="4" t="n">
        <v>214335311.321983</v>
      </c>
      <c r="AQ17" s="4" t="n">
        <v>225741318.588812</v>
      </c>
      <c r="AR17" s="4" t="n">
        <v>224335213.582089</v>
      </c>
      <c r="AS17" s="4" t="n">
        <v>211517281.205322</v>
      </c>
      <c r="AT17" s="4" t="n">
        <v>261551267.96205</v>
      </c>
      <c r="AU17" s="4" t="n">
        <v>194430841.662423</v>
      </c>
      <c r="AV17" s="4" t="n">
        <v>144505339.317225</v>
      </c>
      <c r="AW17" s="4" t="n">
        <v>147459320.7738</v>
      </c>
      <c r="AX17" s="4" t="n">
        <v>128265844.788274</v>
      </c>
      <c r="AY17" s="4" t="n">
        <v>51196978.3527211</v>
      </c>
      <c r="AZ17" s="4"/>
    </row>
    <row r="18">
      <c r="A18" t="str">
        <f>N18</f>
      </c>
      <c r="B18" t="str">
        <f>O18</f>
      </c>
      <c r="N18" t="s">
        <v>62</v>
      </c>
      <c r="O18" t="s">
        <v>65</v>
      </c>
      <c r="P18" s="4"/>
      <c r="Q18" s="4"/>
      <c r="R18" s="4"/>
      <c r="S18" s="4"/>
      <c r="T18" s="4"/>
      <c r="U18" s="4"/>
      <c r="V18" s="4"/>
      <c r="W18" s="4" t="n">
        <v>11487430.8669115</v>
      </c>
      <c r="X18" s="4" t="n">
        <v>19830337.5372931</v>
      </c>
      <c r="Y18" s="4" t="n">
        <v>90918575.153517</v>
      </c>
      <c r="Z18" s="4" t="n">
        <v>2273923580.81264</v>
      </c>
      <c r="AA18" s="4" t="n">
        <v>2343920305.62244</v>
      </c>
      <c r="AB18" s="4" t="n">
        <v>3228277877.89511</v>
      </c>
      <c r="AC18" s="4" t="n">
        <v>5014476342.77202</v>
      </c>
      <c r="AD18" s="4" t="n">
        <v>5269584924.92225</v>
      </c>
      <c r="AE18" s="4" t="n">
        <v>6589248121.91933</v>
      </c>
      <c r="AF18" s="4" t="n">
        <v>5229024730.5679</v>
      </c>
      <c r="AG18" s="4" t="n">
        <v>5292367858.11286</v>
      </c>
      <c r="AH18" s="4" t="n">
        <v>7076847674.57801</v>
      </c>
      <c r="AI18" s="4" t="n">
        <v>8051855579.77185</v>
      </c>
      <c r="AJ18" s="4" t="n">
        <v>13025940969.9886</v>
      </c>
      <c r="AK18" s="4" t="n">
        <v>18107103669.7308</v>
      </c>
      <c r="AL18" s="4" t="n">
        <v>16439346235.3029</v>
      </c>
      <c r="AM18" s="4" t="n">
        <v>13357951649.6142</v>
      </c>
      <c r="AN18" s="4" t="n">
        <v>7065348720.62303</v>
      </c>
      <c r="AO18" s="4" t="n">
        <v>5613909102.1712</v>
      </c>
      <c r="AP18" s="4" t="n">
        <v>5004013096.18152</v>
      </c>
      <c r="AQ18" s="4" t="n">
        <v>6300430619.94762</v>
      </c>
      <c r="AR18" s="4" t="n">
        <v>8181747239.60573</v>
      </c>
      <c r="AS18" s="4" t="n">
        <v>9178597371.73312</v>
      </c>
      <c r="AT18" s="4" t="n">
        <v>8380128590.69351</v>
      </c>
      <c r="AU18" s="4" t="n">
        <v>8496475692.02512</v>
      </c>
      <c r="AV18" s="4" t="n">
        <v>8364357612.03558</v>
      </c>
      <c r="AW18" s="4" t="n">
        <v>8678428608.6077</v>
      </c>
      <c r="AX18" s="4" t="n">
        <v>8518446237.5218</v>
      </c>
      <c r="AY18" s="4" t="n">
        <v>3654132353.51686</v>
      </c>
      <c r="AZ18" s="4"/>
    </row>
    <row r="19">
      <c r="A19" t="str">
        <f>N19</f>
      </c>
      <c r="B19" t="str">
        <f>O19</f>
      </c>
      <c r="N19" t="s">
        <v>62</v>
      </c>
      <c r="O19" t="s">
        <v>66</v>
      </c>
      <c r="P19" s="4" t="n">
        <v>436407.488754162</v>
      </c>
      <c r="Q19" s="4" t="n">
        <v>271577.294286679</v>
      </c>
      <c r="R19" s="4" t="n">
        <v>913674.273999195</v>
      </c>
      <c r="S19" s="4" t="n">
        <v>51393.88740709</v>
      </c>
      <c r="T19" s="4" t="n">
        <v>240302.609611455</v>
      </c>
      <c r="U19" s="4" t="n">
        <v>8640848.63180808</v>
      </c>
      <c r="V19" s="4" t="n">
        <v>180831.182113669</v>
      </c>
      <c r="W19" s="4" t="n">
        <v>111248891.23928</v>
      </c>
      <c r="X19" s="4" t="n">
        <v>175395344.917707</v>
      </c>
      <c r="Y19" s="4" t="n">
        <v>479437329.962222</v>
      </c>
      <c r="Z19" s="4" t="n">
        <v>2177469043.9967</v>
      </c>
      <c r="AA19" s="4" t="n">
        <v>2514975950.38807</v>
      </c>
      <c r="AB19" s="4" t="n">
        <v>2594522931.59818</v>
      </c>
      <c r="AC19" s="4" t="n">
        <v>6101754212.41428</v>
      </c>
      <c r="AD19" s="4" t="n">
        <v>12433720059.5743</v>
      </c>
      <c r="AE19" s="4" t="n">
        <v>11206991555.9693</v>
      </c>
      <c r="AF19" s="4" t="n">
        <v>12391423611.932</v>
      </c>
      <c r="AG19" s="4" t="n">
        <v>10793250386.9155</v>
      </c>
      <c r="AH19" s="4" t="n">
        <v>13043422145.1754</v>
      </c>
      <c r="AI19" s="4" t="n">
        <v>12550926102.111</v>
      </c>
      <c r="AJ19" s="4" t="n">
        <v>12148416888.019</v>
      </c>
      <c r="AK19" s="4" t="n">
        <v>10342719492.5387</v>
      </c>
      <c r="AL19" s="4" t="n">
        <v>7179756907.66247</v>
      </c>
      <c r="AM19" s="4" t="n">
        <v>5749263049.50627</v>
      </c>
      <c r="AN19" s="4" t="n">
        <v>5189481812.06202</v>
      </c>
      <c r="AO19" s="4" t="n">
        <v>5130044659.71627</v>
      </c>
      <c r="AP19" s="4" t="n">
        <v>5756886178.25185</v>
      </c>
      <c r="AQ19" s="4" t="n">
        <v>5984998949.34754</v>
      </c>
      <c r="AR19" s="4" t="n">
        <v>6621952109.6648</v>
      </c>
      <c r="AS19" s="4" t="n">
        <v>6311565409.33691</v>
      </c>
      <c r="AT19" s="4" t="n">
        <v>6082798091.82426</v>
      </c>
      <c r="AU19" s="4" t="n">
        <v>5224145143.74692</v>
      </c>
      <c r="AV19" s="4" t="n">
        <v>5181097515.24063</v>
      </c>
      <c r="AW19" s="4" t="n">
        <v>4705379550.8794</v>
      </c>
      <c r="AX19" s="4" t="n">
        <v>4598749476.32145</v>
      </c>
      <c r="AY19" s="4" t="n">
        <v>1847275984.85686</v>
      </c>
      <c r="AZ19" s="4"/>
    </row>
    <row r="20">
      <c r="A20" t="str">
        <f>N20</f>
      </c>
      <c r="B20" t="str">
        <f>O20</f>
      </c>
      <c r="N20" t="s">
        <v>62</v>
      </c>
      <c r="O20" t="s">
        <v>67</v>
      </c>
      <c r="P20" s="4" t="n">
        <v>330925.109955762</v>
      </c>
      <c r="Q20" s="4"/>
      <c r="R20" s="4"/>
      <c r="S20" s="4"/>
      <c r="T20" s="4"/>
      <c r="U20" s="4"/>
      <c r="V20" s="4" t="n">
        <v>85939.5716975853</v>
      </c>
      <c r="W20" s="4" t="n">
        <v>2188900.34324997</v>
      </c>
      <c r="X20" s="4" t="n">
        <v>7599571.57912468</v>
      </c>
      <c r="Y20" s="4" t="n">
        <v>-539558.666958669</v>
      </c>
      <c r="Z20" s="4" t="n">
        <v>19271514.1814129</v>
      </c>
      <c r="AA20" s="4" t="n">
        <v>8071842.22456612</v>
      </c>
      <c r="AB20" s="4" t="n">
        <v>-8900.73550713978</v>
      </c>
      <c r="AC20" s="4" t="n">
        <v>1581798.2483835</v>
      </c>
      <c r="AD20" s="4" t="n">
        <v>-3343574.22266305</v>
      </c>
      <c r="AE20" s="4" t="n">
        <v>14060814.7783629</v>
      </c>
      <c r="AF20" s="4" t="n">
        <v>79536.5989456271</v>
      </c>
      <c r="AG20" s="4" t="n">
        <v>230243.644839286</v>
      </c>
      <c r="AH20" s="4" t="n">
        <v>6013.94158958963</v>
      </c>
      <c r="AI20" s="4" t="n">
        <v>-59642.5963120595</v>
      </c>
      <c r="AJ20" s="4" t="n">
        <v>6043.60838315507</v>
      </c>
      <c r="AK20" s="4" t="n">
        <v>-146435.815269702</v>
      </c>
      <c r="AL20" s="4"/>
      <c r="AM20" s="4"/>
      <c r="AN20" s="4" t="n">
        <v>95458.7400018289</v>
      </c>
      <c r="AO20" s="4"/>
      <c r="AP20" s="4"/>
      <c r="AQ20" s="4" t="n">
        <v>39093.6732428799</v>
      </c>
      <c r="AR20" s="4"/>
      <c r="AS20" s="4"/>
      <c r="AT20" s="4"/>
      <c r="AU20" s="4"/>
      <c r="AV20" s="4"/>
      <c r="AW20" s="4"/>
      <c r="AX20" s="4"/>
      <c r="AY20" s="4"/>
      <c r="AZ20" s="4"/>
    </row>
    <row r="21">
      <c r="A21" t="str">
        <f>N21</f>
      </c>
      <c r="B21" t="str">
        <f>O21</f>
      </c>
      <c r="N21"/>
      <c r="O21"/>
      <c r="P21" s="4" t="n">
        <v>9069809648.85706</v>
      </c>
      <c r="Q21" s="4" t="n">
        <v>11266094474.2084</v>
      </c>
      <c r="R21" s="4" t="n">
        <v>8204257829.65377</v>
      </c>
      <c r="S21" s="4" t="n">
        <v>5854760360.24869</v>
      </c>
      <c r="T21" s="4" t="n">
        <v>7478633387.28617</v>
      </c>
      <c r="U21" s="4" t="n">
        <v>9618461938.68433</v>
      </c>
      <c r="V21" s="4" t="n">
        <v>9100945054.19466</v>
      </c>
      <c r="W21" s="4" t="n">
        <v>10191359574.3724</v>
      </c>
      <c r="X21" s="4" t="n">
        <v>10543888856.8946</v>
      </c>
      <c r="Y21" s="4" t="n">
        <v>12594882380.0891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 t="n">
        <v>0</v>
      </c>
      <c r="AU21" s="4"/>
      <c r="AV21" s="4" t="n">
        <v>0</v>
      </c>
      <c r="AW21" s="4"/>
      <c r="AX21" s="4" t="n">
        <v>0</v>
      </c>
      <c r="AY21" s="4" t="n">
        <v>0</v>
      </c>
      <c r="AZ21" s="4"/>
    </row>
    <row r="22">
      <c r="A22" t="str">
        <f>N22</f>
      </c>
      <c r="B22" t="str">
        <f>O22</f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57</v>
      </c>
      <c r="N1" t="s">
        <v>58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122</v>
      </c>
      <c r="AX1" t="s">
        <v>123</v>
      </c>
    </row>
    <row r="2">
      <c r="A2" t="str">
        <f>M2</f>
      </c>
      <c r="B2" t="str">
        <f>N2</f>
      </c>
      <c r="M2" t="s">
        <v>59</v>
      </c>
      <c r="N2" t="s">
        <v>60</v>
      </c>
      <c r="O2" s="5" t="n">
        <v>338000</v>
      </c>
      <c r="P2" s="5" t="n">
        <v>428000</v>
      </c>
      <c r="Q2" s="5" t="n">
        <v>527000</v>
      </c>
      <c r="R2" s="5" t="n">
        <v>31000</v>
      </c>
      <c r="S2" s="5"/>
      <c r="T2" s="5" t="n">
        <v>346000</v>
      </c>
      <c r="U2" s="5" t="n">
        <v>2146000</v>
      </c>
      <c r="V2" s="5" t="n">
        <v>71504441</v>
      </c>
      <c r="W2" s="5" t="n">
        <v>66970736</v>
      </c>
      <c r="X2" s="5" t="n">
        <v>138339738</v>
      </c>
      <c r="Y2" s="5" t="n">
        <v>3667184221</v>
      </c>
      <c r="Z2" s="5" t="n">
        <v>4225376155.74</v>
      </c>
      <c r="AA2" s="5" t="n">
        <v>6596789366.83</v>
      </c>
      <c r="AB2" s="5" t="n">
        <v>8676410920.69</v>
      </c>
      <c r="AC2" s="5" t="n">
        <v>8107341326.05</v>
      </c>
      <c r="AD2" s="5" t="n">
        <v>9415076266.06</v>
      </c>
      <c r="AE2" s="5" t="n">
        <v>10962085801.85</v>
      </c>
      <c r="AF2" s="5" t="n">
        <v>11975315475.8</v>
      </c>
      <c r="AG2" s="5" t="n">
        <v>11627318949.43</v>
      </c>
      <c r="AH2" s="5" t="n">
        <v>14679677580.96</v>
      </c>
      <c r="AI2" s="5" t="n">
        <v>13516909106.7247</v>
      </c>
      <c r="AJ2" s="5" t="n">
        <v>14219095327.5042</v>
      </c>
      <c r="AK2" s="5" t="n">
        <v>14527668757.1305</v>
      </c>
      <c r="AL2" s="5" t="n">
        <v>14857623175.7842</v>
      </c>
      <c r="AM2" s="5" t="n">
        <v>14630991393.2016</v>
      </c>
      <c r="AN2" s="5" t="n">
        <v>13081612517.5362</v>
      </c>
      <c r="AO2" s="5" t="n">
        <v>13499212271.0042</v>
      </c>
      <c r="AP2" s="5" t="n">
        <v>14162664791.8321</v>
      </c>
      <c r="AQ2" s="5" t="n">
        <v>13547142918.59</v>
      </c>
      <c r="AR2" s="5" t="n">
        <v>14040945937.99</v>
      </c>
      <c r="AS2" s="5" t="n">
        <v>14340836045.8</v>
      </c>
      <c r="AT2" s="5" t="n">
        <v>14323812842.04</v>
      </c>
      <c r="AU2" s="5" t="n">
        <v>15451338802.92</v>
      </c>
      <c r="AV2" s="5" t="n">
        <v>16453485668.12</v>
      </c>
      <c r="AW2" s="5" t="n">
        <v>17064780024.84</v>
      </c>
      <c r="AX2" s="5" t="n">
        <v>8563058055.51</v>
      </c>
      <c r="AY2" s="5"/>
    </row>
    <row r="3">
      <c r="A3" t="str">
        <f>M3</f>
      </c>
      <c r="B3" t="str">
        <f>N3</f>
      </c>
      <c r="M3" t="s">
        <v>59</v>
      </c>
      <c r="N3" t="s">
        <v>61</v>
      </c>
      <c r="O3" s="5" t="n">
        <v>29000</v>
      </c>
      <c r="P3" s="5" t="n">
        <v>123000</v>
      </c>
      <c r="Q3" s="5" t="n">
        <v>181000</v>
      </c>
      <c r="R3" s="5" t="n">
        <v>550000</v>
      </c>
      <c r="S3" s="5" t="n">
        <v>1252000</v>
      </c>
      <c r="T3" s="5" t="n">
        <v>165000</v>
      </c>
      <c r="U3" s="5" t="n">
        <v>8667000</v>
      </c>
      <c r="V3" s="5" t="n">
        <v>585513</v>
      </c>
      <c r="W3" s="5" t="n">
        <v>6886989</v>
      </c>
      <c r="X3" s="5" t="n">
        <v>20727229</v>
      </c>
      <c r="Y3" s="5" t="n">
        <v>146667353</v>
      </c>
      <c r="Z3" s="5" t="n">
        <v>188457391</v>
      </c>
      <c r="AA3" s="5" t="n">
        <v>265861042</v>
      </c>
      <c r="AB3" s="5" t="n">
        <v>315475520.63</v>
      </c>
      <c r="AC3" s="5" t="n">
        <v>351445382.74</v>
      </c>
      <c r="AD3" s="5" t="n">
        <v>419365322.2702</v>
      </c>
      <c r="AE3" s="5" t="n">
        <v>410657779.54</v>
      </c>
      <c r="AF3" s="5" t="n">
        <v>493917378.1</v>
      </c>
      <c r="AG3" s="5" t="n">
        <v>592835545.98</v>
      </c>
      <c r="AH3" s="5" t="n">
        <v>635993323.88</v>
      </c>
      <c r="AI3" s="5" t="n">
        <v>610492140.0484</v>
      </c>
      <c r="AJ3" s="5" t="n">
        <v>610584755.974</v>
      </c>
      <c r="AK3" s="5" t="n">
        <v>532129686.8409</v>
      </c>
      <c r="AL3" s="5" t="n">
        <v>418471487.563</v>
      </c>
      <c r="AM3" s="5" t="n">
        <v>443697611.9937</v>
      </c>
      <c r="AN3" s="5" t="n">
        <v>346912947.1051</v>
      </c>
      <c r="AO3" s="5" t="n">
        <v>461372938.1563</v>
      </c>
      <c r="AP3" s="5" t="n">
        <v>523683342.1109</v>
      </c>
      <c r="AQ3" s="5" t="n">
        <v>563276989.9</v>
      </c>
      <c r="AR3" s="5" t="n">
        <v>604762677.11</v>
      </c>
      <c r="AS3" s="5" t="n">
        <v>710981132.95</v>
      </c>
      <c r="AT3" s="5" t="n">
        <v>510812453.14</v>
      </c>
      <c r="AU3" s="5" t="n">
        <v>604487538.55</v>
      </c>
      <c r="AV3" s="5" t="n">
        <v>614617714.29</v>
      </c>
      <c r="AW3" s="5" t="n">
        <v>569206387.42</v>
      </c>
      <c r="AX3" s="5" t="n">
        <v>231977258.63</v>
      </c>
      <c r="AY3" s="5"/>
    </row>
    <row r="4">
      <c r="A4" t="str">
        <f>M4</f>
      </c>
      <c r="B4" t="str">
        <f>N4</f>
      </c>
      <c r="M4" t="s">
        <v>62</v>
      </c>
      <c r="N4" t="s">
        <v>63</v>
      </c>
      <c r="O4" s="5"/>
      <c r="P4" s="5"/>
      <c r="Q4" s="5"/>
      <c r="R4" s="5"/>
      <c r="S4" s="5"/>
      <c r="T4" s="5"/>
      <c r="U4" s="5" t="n">
        <v>224000</v>
      </c>
      <c r="V4" s="5"/>
      <c r="W4" s="5"/>
      <c r="X4" s="5"/>
      <c r="Y4" s="5"/>
      <c r="Z4" s="5"/>
      <c r="AA4" s="5" t="n">
        <v>0</v>
      </c>
      <c r="AB4" s="5" t="n">
        <v>795610</v>
      </c>
      <c r="AC4" s="5" t="n">
        <v>441630</v>
      </c>
      <c r="AD4" s="5" t="n">
        <v>123954</v>
      </c>
      <c r="AE4" s="5" t="n">
        <v>22858</v>
      </c>
      <c r="AF4" s="5" t="n">
        <v>54652</v>
      </c>
      <c r="AG4" s="5"/>
      <c r="AH4" s="5"/>
      <c r="AI4" s="5" t="n">
        <v>19376326.3531</v>
      </c>
      <c r="AJ4" s="5" t="n">
        <v>387313611.7314</v>
      </c>
      <c r="AK4" s="5" t="n">
        <v>582652780.2747</v>
      </c>
      <c r="AL4" s="5" t="n">
        <v>465322850.5088</v>
      </c>
      <c r="AM4" s="5" t="n">
        <v>767044831.1513</v>
      </c>
      <c r="AN4" s="5" t="n">
        <v>832635465.757</v>
      </c>
      <c r="AO4" s="5" t="n">
        <v>1056365216.9117</v>
      </c>
      <c r="AP4" s="5" t="n">
        <v>1410618561.4844</v>
      </c>
      <c r="AQ4" s="5" t="n">
        <v>1672998676.9531</v>
      </c>
      <c r="AR4" s="5" t="n">
        <v>1590112247.3886</v>
      </c>
      <c r="AS4" s="5" t="n">
        <v>1594359512.3911</v>
      </c>
      <c r="AT4" s="5" t="n">
        <v>1392821094.9294</v>
      </c>
      <c r="AU4" s="5" t="n">
        <v>1226293103.8166</v>
      </c>
      <c r="AV4" s="5" t="n">
        <v>1181136182.2279</v>
      </c>
      <c r="AW4" s="5" t="n">
        <v>1173450486.2104</v>
      </c>
      <c r="AX4" s="5" t="n">
        <v>431596466.67</v>
      </c>
      <c r="AY4" s="5"/>
    </row>
    <row r="5">
      <c r="A5" t="str">
        <f>M5</f>
      </c>
      <c r="B5" t="str">
        <f>N5</f>
      </c>
      <c r="M5" t="s">
        <v>62</v>
      </c>
      <c r="N5" t="s">
        <v>64</v>
      </c>
      <c r="O5" s="5"/>
      <c r="P5" s="5"/>
      <c r="Q5" s="5"/>
      <c r="R5" s="5"/>
      <c r="S5" s="5"/>
      <c r="T5" s="5"/>
      <c r="U5" s="5"/>
      <c r="V5" s="5" t="n">
        <v>359310</v>
      </c>
      <c r="W5" s="5" t="n">
        <v>736259</v>
      </c>
      <c r="X5" s="5" t="n">
        <v>5905822</v>
      </c>
      <c r="Y5" s="5" t="n">
        <v>33792438</v>
      </c>
      <c r="Z5" s="5" t="n">
        <v>41430488.2598</v>
      </c>
      <c r="AA5" s="5" t="n">
        <v>79174793</v>
      </c>
      <c r="AB5" s="5" t="n">
        <v>100620364.8408</v>
      </c>
      <c r="AC5" s="5" t="n">
        <v>227065685.0186</v>
      </c>
      <c r="AD5" s="5" t="n">
        <v>520987042.8471</v>
      </c>
      <c r="AE5" s="5" t="n">
        <v>753845871.3055</v>
      </c>
      <c r="AF5" s="5" t="n">
        <v>666904319.5715</v>
      </c>
      <c r="AG5" s="5" t="n">
        <v>741562019.9268</v>
      </c>
      <c r="AH5" s="5" t="n">
        <v>401941193.9722</v>
      </c>
      <c r="AI5" s="5" t="n">
        <v>382770659.5893</v>
      </c>
      <c r="AJ5" s="5" t="n">
        <v>255190230.9778</v>
      </c>
      <c r="AK5" s="5" t="n">
        <v>200211015.9651</v>
      </c>
      <c r="AL5" s="5" t="n">
        <v>135348880.6813</v>
      </c>
      <c r="AM5" s="5" t="n">
        <v>143597255.4704</v>
      </c>
      <c r="AN5" s="5" t="n">
        <v>182122547.0743</v>
      </c>
      <c r="AO5" s="5" t="n">
        <v>172669243.1096</v>
      </c>
      <c r="AP5" s="5" t="n">
        <v>184927761.5675</v>
      </c>
      <c r="AQ5" s="5" t="n">
        <v>187855701.9758</v>
      </c>
      <c r="AR5" s="5" t="n">
        <v>180397019.2286</v>
      </c>
      <c r="AS5" s="5" t="n">
        <v>225983552.3556</v>
      </c>
      <c r="AT5" s="5" t="n">
        <v>173772465.1872</v>
      </c>
      <c r="AU5" s="5" t="n">
        <v>138183896.6027</v>
      </c>
      <c r="AV5" s="5" t="n">
        <v>147459320.7738</v>
      </c>
      <c r="AW5" s="5" t="n">
        <v>131691310.9</v>
      </c>
      <c r="AX5" s="5" t="n">
        <v>53717612.74</v>
      </c>
      <c r="AY5" s="5"/>
    </row>
    <row r="6">
      <c r="A6" t="str">
        <f>M6</f>
      </c>
      <c r="B6" t="str">
        <f>N6</f>
      </c>
      <c r="M6" t="s">
        <v>62</v>
      </c>
      <c r="N6" t="s">
        <v>65</v>
      </c>
      <c r="O6" s="5"/>
      <c r="P6" s="5"/>
      <c r="Q6" s="5"/>
      <c r="R6" s="5"/>
      <c r="S6" s="5"/>
      <c r="T6" s="5"/>
      <c r="U6" s="5"/>
      <c r="V6" s="5" t="n">
        <v>6529965</v>
      </c>
      <c r="W6" s="5" t="n">
        <v>11413775</v>
      </c>
      <c r="X6" s="5" t="n">
        <v>52978113</v>
      </c>
      <c r="Y6" s="5" t="n">
        <v>1352581234.319</v>
      </c>
      <c r="Z6" s="5" t="n">
        <v>1428011413.3496</v>
      </c>
      <c r="AA6" s="5" t="n">
        <v>1997739910.0538</v>
      </c>
      <c r="AB6" s="5" t="n">
        <v>3162648757.8764</v>
      </c>
      <c r="AC6" s="5" t="n">
        <v>3404703555.4239</v>
      </c>
      <c r="AD6" s="5" t="n">
        <v>4386894360.4406</v>
      </c>
      <c r="AE6" s="5" t="n">
        <v>3594392277.5264</v>
      </c>
      <c r="AF6" s="5" t="n">
        <v>3738084350.1045</v>
      </c>
      <c r="AG6" s="5" t="n">
        <v>5102263980.4349</v>
      </c>
      <c r="AH6" s="5" t="n">
        <v>5864589825.5735</v>
      </c>
      <c r="AI6" s="5" t="n">
        <v>9569643537.4518</v>
      </c>
      <c r="AJ6" s="5" t="n">
        <v>13569573545.0724</v>
      </c>
      <c r="AK6" s="5" t="n">
        <v>12543300628.8965</v>
      </c>
      <c r="AL6" s="5" t="n">
        <v>10377116042.9763</v>
      </c>
      <c r="AM6" s="5" t="n">
        <v>5588843060.951</v>
      </c>
      <c r="AN6" s="5" t="n">
        <v>4486712312.7461</v>
      </c>
      <c r="AO6" s="5" t="n">
        <v>4031249673.6956</v>
      </c>
      <c r="AP6" s="5" t="n">
        <v>5161325975.8641</v>
      </c>
      <c r="AQ6" s="5" t="n">
        <v>6851300099.2699</v>
      </c>
      <c r="AR6" s="5" t="n">
        <v>7828162300.1424</v>
      </c>
      <c r="AS6" s="5" t="n">
        <v>7240535451.7204</v>
      </c>
      <c r="AT6" s="5" t="n">
        <v>7593720799.5519</v>
      </c>
      <c r="AU6" s="5" t="n">
        <v>7998455509.4689</v>
      </c>
      <c r="AV6" s="5" t="n">
        <v>8678428608.6077</v>
      </c>
      <c r="AW6" s="5" t="n">
        <v>8745939760.5197</v>
      </c>
      <c r="AX6" s="5" t="n">
        <v>3834040073.9</v>
      </c>
      <c r="AY6" s="5"/>
    </row>
    <row r="7">
      <c r="A7" t="str">
        <f>M7</f>
      </c>
      <c r="B7" t="str">
        <f>N7</f>
      </c>
      <c r="M7" t="s">
        <v>62</v>
      </c>
      <c r="N7" t="s">
        <v>66</v>
      </c>
      <c r="O7" s="5" t="n">
        <v>211000</v>
      </c>
      <c r="P7" s="5" t="n">
        <v>136000</v>
      </c>
      <c r="Q7" s="5" t="n">
        <v>469000</v>
      </c>
      <c r="R7" s="5" t="n">
        <v>27000</v>
      </c>
      <c r="S7" s="5" t="n">
        <v>129000</v>
      </c>
      <c r="T7" s="5" t="n">
        <v>4737000</v>
      </c>
      <c r="U7" s="5" t="n">
        <v>101000</v>
      </c>
      <c r="V7" s="5" t="n">
        <v>63238802</v>
      </c>
      <c r="W7" s="5" t="n">
        <v>100952543</v>
      </c>
      <c r="X7" s="5" t="n">
        <v>279367390</v>
      </c>
      <c r="Y7" s="5" t="n">
        <v>1295207891.8008</v>
      </c>
      <c r="Z7" s="5" t="n">
        <v>1532225457</v>
      </c>
      <c r="AA7" s="5" t="n">
        <v>1605556338.1003</v>
      </c>
      <c r="AB7" s="5" t="n">
        <v>3848398927.7515</v>
      </c>
      <c r="AC7" s="5" t="n">
        <v>8033484894.3729</v>
      </c>
      <c r="AD7" s="5" t="n">
        <v>7461228829.8633</v>
      </c>
      <c r="AE7" s="5" t="n">
        <v>8517771407.3365</v>
      </c>
      <c r="AF7" s="5" t="n">
        <v>7623445958.3606</v>
      </c>
      <c r="AG7" s="5" t="n">
        <v>9404043446.0678</v>
      </c>
      <c r="AH7" s="5" t="n">
        <v>9141499470.6165</v>
      </c>
      <c r="AI7" s="5" t="n">
        <v>8924961308.4039</v>
      </c>
      <c r="AJ7" s="5" t="n">
        <v>7750896850.7576</v>
      </c>
      <c r="AK7" s="5" t="n">
        <v>5478189220.3116</v>
      </c>
      <c r="AL7" s="5" t="n">
        <v>4466311257.2387</v>
      </c>
      <c r="AM7" s="5" t="n">
        <v>4104991920.7267</v>
      </c>
      <c r="AN7" s="5" t="n">
        <v>4100001286.2311</v>
      </c>
      <c r="AO7" s="5" t="n">
        <v>4637766744.7133</v>
      </c>
      <c r="AP7" s="5" t="n">
        <v>4902923689.8483</v>
      </c>
      <c r="AQ7" s="5" t="n">
        <v>5545145776.0376</v>
      </c>
      <c r="AR7" s="5" t="n">
        <v>5382953014.6309</v>
      </c>
      <c r="AS7" s="5" t="n">
        <v>5255613294.338</v>
      </c>
      <c r="AT7" s="5" t="n">
        <v>4669077047.4615</v>
      </c>
      <c r="AU7" s="5" t="n">
        <v>4954448373.4462</v>
      </c>
      <c r="AV7" s="5" t="n">
        <v>4705379550.8794</v>
      </c>
      <c r="AW7" s="5" t="n">
        <v>4721563624.6511</v>
      </c>
      <c r="AX7" s="5" t="n">
        <v>1938224855.67</v>
      </c>
      <c r="AY7" s="5"/>
    </row>
    <row r="8">
      <c r="A8" t="str">
        <f>M8</f>
      </c>
      <c r="B8" t="str">
        <f>N8</f>
      </c>
      <c r="M8" t="s">
        <v>62</v>
      </c>
      <c r="N8" t="s">
        <v>67</v>
      </c>
      <c r="O8" s="5" t="n">
        <v>160000</v>
      </c>
      <c r="P8" s="5"/>
      <c r="Q8" s="5"/>
      <c r="R8" s="5"/>
      <c r="S8" s="5"/>
      <c r="T8" s="5"/>
      <c r="U8" s="5" t="n">
        <v>48000</v>
      </c>
      <c r="V8" s="5" t="n">
        <v>1244268</v>
      </c>
      <c r="W8" s="5" t="n">
        <v>4374096</v>
      </c>
      <c r="X8" s="5" t="n">
        <v>-314400</v>
      </c>
      <c r="Y8" s="5" t="n">
        <v>11463133</v>
      </c>
      <c r="Z8" s="5" t="n">
        <v>4917694</v>
      </c>
      <c r="AA8" s="5" t="n">
        <v>-5508</v>
      </c>
      <c r="AB8" s="5" t="n">
        <v>997646</v>
      </c>
      <c r="AC8" s="5" t="n">
        <v>-2160299</v>
      </c>
      <c r="AD8" s="5" t="n">
        <v>9361206</v>
      </c>
      <c r="AE8" s="5" t="n">
        <v>54672.86</v>
      </c>
      <c r="AF8" s="5" t="n">
        <v>162624.7813</v>
      </c>
      <c r="AG8" s="5" t="n">
        <v>4335.9302</v>
      </c>
      <c r="AH8" s="5" t="n">
        <v>-43440.8392</v>
      </c>
      <c r="AI8" s="5" t="n">
        <v>4440</v>
      </c>
      <c r="AJ8" s="5" t="n">
        <v>-109739.89</v>
      </c>
      <c r="AK8" s="5"/>
      <c r="AL8" s="5"/>
      <c r="AM8" s="5" t="n">
        <v>75509.92</v>
      </c>
      <c r="AN8" s="5"/>
      <c r="AO8" s="5"/>
      <c r="AP8" s="5" t="n">
        <v>32025.6191</v>
      </c>
      <c r="AQ8" s="5"/>
      <c r="AR8" s="5"/>
      <c r="AS8" s="5"/>
      <c r="AT8" s="5"/>
      <c r="AU8" s="5"/>
      <c r="AV8" s="5"/>
      <c r="AW8" s="5"/>
      <c r="AX8" s="5"/>
      <c r="AY8" s="5"/>
    </row>
    <row r="9">
      <c r="A9" t="str">
        <f>M9</f>
      </c>
      <c r="B9" t="str">
        <f>N9</f>
      </c>
      <c r="M9"/>
      <c r="N9"/>
      <c r="O9" s="5" t="n">
        <v>4385190184</v>
      </c>
      <c r="P9" s="5" t="n">
        <v>5641814985</v>
      </c>
      <c r="Q9" s="5" t="n">
        <v>4211344274</v>
      </c>
      <c r="R9" s="5" t="n">
        <v>3075823560</v>
      </c>
      <c r="S9" s="5" t="n">
        <v>4014703413</v>
      </c>
      <c r="T9" s="5" t="n">
        <v>5272937433</v>
      </c>
      <c r="U9" s="5" t="n">
        <v>5083168952</v>
      </c>
      <c r="V9" s="5" t="n">
        <v>5793220616</v>
      </c>
      <c r="W9" s="5" t="n">
        <v>6068760797</v>
      </c>
      <c r="X9" s="5" t="n">
        <v>7339018466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 t="n">
        <v>0</v>
      </c>
      <c r="AT9" s="5"/>
      <c r="AU9" s="5" t="n">
        <v>0</v>
      </c>
      <c r="AV9" s="5"/>
      <c r="AW9" s="5" t="n">
        <v>0</v>
      </c>
      <c r="AX9" s="5" t="n">
        <v>0</v>
      </c>
      <c r="AY9" s="5"/>
    </row>
    <row r="10">
      <c r="A10" t="str">
        <f>M10</f>
      </c>
      <c r="B10" t="str">
        <f>N10</f>
      </c>
      <c r="M10" t="s">
        <v>113</v>
      </c>
      <c r="N10" t="s">
        <v>114</v>
      </c>
      <c r="O10" s="5" t="str">
        <f>Sum(O2:O9)</f>
      </c>
      <c r="P10" s="5" t="str">
        <f>Sum(P2:P9)</f>
      </c>
      <c r="Q10" s="5" t="str">
        <f>Sum(Q2:Q9)</f>
      </c>
      <c r="R10" s="5" t="str">
        <f>Sum(R2:R9)</f>
      </c>
      <c r="S10" s="5" t="str">
        <f>Sum(S2:S9)</f>
      </c>
      <c r="T10" s="5" t="str">
        <f>Sum(T2:T9)</f>
      </c>
      <c r="U10" s="5" t="str">
        <f>Sum(U2:U9)</f>
      </c>
      <c r="V10" s="5" t="str">
        <f>Sum(V2:V9)</f>
      </c>
      <c r="W10" s="5" t="str">
        <f>Sum(W2:W9)</f>
      </c>
      <c r="X10" s="5" t="str">
        <f>Sum(X2:X9)</f>
      </c>
      <c r="Y10" s="5" t="str">
        <f>Sum(Y2:Y9)</f>
      </c>
      <c r="Z10" s="5" t="str">
        <f>Sum(Z2:Z9)</f>
      </c>
      <c r="AA10" s="5" t="str">
        <f>Sum(AA2:AA9)</f>
      </c>
      <c r="AB10" s="5" t="str">
        <f>Sum(AB2:AB9)</f>
      </c>
      <c r="AC10" s="5" t="str">
        <f>Sum(AC2:AC9)</f>
      </c>
      <c r="AD10" s="5" t="str">
        <f>Sum(AD2:AD9)</f>
      </c>
      <c r="AE10" s="5" t="str">
        <f>Sum(AE2:AE9)</f>
      </c>
      <c r="AF10" s="5" t="str">
        <f>Sum(AF2:AF9)</f>
      </c>
      <c r="AG10" s="5" t="str">
        <f>Sum(AG2:AG9)</f>
      </c>
      <c r="AH10" s="5" t="str">
        <f>Sum(AH2:AH9)</f>
      </c>
      <c r="AI10" s="5" t="str">
        <f>Sum(AI2:AI9)</f>
      </c>
      <c r="AJ10" s="5" t="str">
        <f>Sum(AJ2:AJ9)</f>
      </c>
      <c r="AK10" s="5" t="str">
        <f>Sum(AK2:AK9)</f>
      </c>
      <c r="AL10" s="5" t="str">
        <f>Sum(AL2:AL9)</f>
      </c>
      <c r="AM10" s="5" t="str">
        <f>Sum(AM2:AM9)</f>
      </c>
      <c r="AN10" s="5" t="str">
        <f>Sum(AN2:AN9)</f>
      </c>
      <c r="AO10" s="5" t="str">
        <f>Sum(AO2:AO9)</f>
      </c>
      <c r="AP10" s="5" t="str">
        <f>Sum(AP2:AP9)</f>
      </c>
      <c r="AQ10" s="5" t="str">
        <f>Sum(AQ2:AQ9)</f>
      </c>
      <c r="AR10" s="5" t="str">
        <f>Sum(AR2:AR9)</f>
      </c>
      <c r="AS10" s="5" t="str">
        <f>Sum(AS2:AS9)</f>
      </c>
      <c r="AT10" s="5" t="str">
        <f>Sum(AT2:AT9)</f>
      </c>
      <c r="AU10" s="5" t="str">
        <f>Sum(AU2:AU9)</f>
      </c>
      <c r="AV10" s="5" t="str">
        <f>Sum(AV2:AV9)</f>
      </c>
      <c r="AW10" s="5" t="str">
        <f>Sum(AW2:AW9)</f>
      </c>
      <c r="AX10" s="5" t="str">
        <f>Sum(AX2:AX9)</f>
      </c>
      <c r="AY10" s="5"/>
    </row>
    <row r="13">
      <c r="A13" t="str">
        <f>M13</f>
      </c>
      <c r="B13" t="str">
        <f>N13</f>
      </c>
      <c r="M13" t="s">
        <v>57</v>
      </c>
      <c r="N13" t="s">
        <v>58</v>
      </c>
      <c r="O13" t="s">
        <v>1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  <c r="AP13" t="s">
        <v>28</v>
      </c>
      <c r="AQ13" t="s">
        <v>29</v>
      </c>
      <c r="AR13" t="s">
        <v>30</v>
      </c>
      <c r="AS13" t="s">
        <v>31</v>
      </c>
      <c r="AT13" t="s">
        <v>32</v>
      </c>
      <c r="AU13" t="s">
        <v>33</v>
      </c>
      <c r="AV13" t="s">
        <v>34</v>
      </c>
      <c r="AW13" t="s">
        <v>122</v>
      </c>
      <c r="AX13" t="s">
        <v>123</v>
      </c>
    </row>
    <row r="14">
      <c r="A14" t="str">
        <f>M14</f>
      </c>
      <c r="B14" t="str">
        <f>N14</f>
      </c>
      <c r="M14" t="s">
        <v>59</v>
      </c>
      <c r="N14" t="s">
        <v>60</v>
      </c>
      <c r="O14" s="5" t="n">
        <v>699079.294781548</v>
      </c>
      <c r="P14" s="5" t="n">
        <v>854669.720255138</v>
      </c>
      <c r="Q14" s="5" t="n">
        <v>1026665.97526136</v>
      </c>
      <c r="R14" s="5" t="n">
        <v>59007.7966525848</v>
      </c>
      <c r="S14" s="5"/>
      <c r="T14" s="5" t="n">
        <v>631144.94967397</v>
      </c>
      <c r="U14" s="5" t="n">
        <v>3842215.01797954</v>
      </c>
      <c r="V14" s="5" t="n">
        <v>125789697.596335</v>
      </c>
      <c r="W14" s="5" t="n">
        <v>116355219.898846</v>
      </c>
      <c r="X14" s="5" t="n">
        <v>237412228.443675</v>
      </c>
      <c r="Y14" s="5" t="n">
        <v>6165172533.62193</v>
      </c>
      <c r="Z14" s="5" t="n">
        <v>6935480261.39427</v>
      </c>
      <c r="AA14" s="5" t="n">
        <v>10660181073.0694</v>
      </c>
      <c r="AB14" s="5" t="n">
        <v>13756714903.4857</v>
      </c>
      <c r="AC14" s="5" t="n">
        <v>12548030375.4766</v>
      </c>
      <c r="AD14" s="5" t="n">
        <v>14141729548.6532</v>
      </c>
      <c r="AE14" s="5" t="n">
        <v>15947346124.3713</v>
      </c>
      <c r="AF14" s="5" t="n">
        <v>16954613320.3532</v>
      </c>
      <c r="AG14" s="5" t="n">
        <v>16127108551.1018</v>
      </c>
      <c r="AH14" s="5" t="n">
        <v>20154630989.5502</v>
      </c>
      <c r="AI14" s="5" t="n">
        <v>18398852520.6636</v>
      </c>
      <c r="AJ14" s="5" t="n">
        <v>18973819061.4251</v>
      </c>
      <c r="AK14" s="5" t="n">
        <v>19040074359.7</v>
      </c>
      <c r="AL14" s="5" t="n">
        <v>19125488352.2908</v>
      </c>
      <c r="AM14" s="5" t="n">
        <v>18496324765.9728</v>
      </c>
      <c r="AN14" s="5" t="n">
        <v>16368106190.9505</v>
      </c>
      <c r="AO14" s="5" t="n">
        <v>16756648796.2809</v>
      </c>
      <c r="AP14" s="5" t="n">
        <v>17288364914.7105</v>
      </c>
      <c r="AQ14" s="5" t="n">
        <v>16177849104.9501</v>
      </c>
      <c r="AR14" s="5" t="n">
        <v>16463147357.1693</v>
      </c>
      <c r="AS14" s="5" t="n">
        <v>16597950657.5445</v>
      </c>
      <c r="AT14" s="5" t="n">
        <v>16026652920.4882</v>
      </c>
      <c r="AU14" s="5" t="n">
        <v>16158184936.9974</v>
      </c>
      <c r="AV14" s="5" t="n">
        <v>16453485668.12</v>
      </c>
      <c r="AW14" s="5" t="n">
        <v>16620902404.6717</v>
      </c>
      <c r="AX14" s="5" t="n">
        <v>8161246852.554</v>
      </c>
      <c r="AY14" s="5"/>
    </row>
    <row r="15">
      <c r="A15" t="str">
        <f>M15</f>
      </c>
      <c r="B15" t="str">
        <f>N15</f>
      </c>
      <c r="M15" t="s">
        <v>59</v>
      </c>
      <c r="N15" t="s">
        <v>61</v>
      </c>
      <c r="O15" s="5" t="n">
        <v>59980.1761794819</v>
      </c>
      <c r="P15" s="5" t="n">
        <v>245617.699979865</v>
      </c>
      <c r="Q15" s="5" t="n">
        <v>352612.033249156</v>
      </c>
      <c r="R15" s="5" t="n">
        <v>1046912.52125554</v>
      </c>
      <c r="S15" s="5" t="n">
        <v>2332239.28088017</v>
      </c>
      <c r="T15" s="5" t="n">
        <v>300979.528023714</v>
      </c>
      <c r="U15" s="5" t="n">
        <v>15517463.9146452</v>
      </c>
      <c r="V15" s="5" t="n">
        <v>1030026.97704781</v>
      </c>
      <c r="W15" s="5" t="n">
        <v>11965481.7521482</v>
      </c>
      <c r="X15" s="5" t="n">
        <v>35571107.0260403</v>
      </c>
      <c r="Y15" s="5" t="n">
        <v>246573251.247263</v>
      </c>
      <c r="Z15" s="5" t="n">
        <v>309331635.153665</v>
      </c>
      <c r="AA15" s="5" t="n">
        <v>429622152.595244</v>
      </c>
      <c r="AB15" s="5" t="n">
        <v>500196087.530453</v>
      </c>
      <c r="AC15" s="5" t="n">
        <v>543944945.770662</v>
      </c>
      <c r="AD15" s="5" t="n">
        <v>629899408.357186</v>
      </c>
      <c r="AE15" s="5" t="n">
        <v>597413837.783038</v>
      </c>
      <c r="AF15" s="5" t="n">
        <v>699286642.995828</v>
      </c>
      <c r="AG15" s="5" t="n">
        <v>822263777.621743</v>
      </c>
      <c r="AH15" s="5" t="n">
        <v>873194297.621666</v>
      </c>
      <c r="AI15" s="5" t="n">
        <v>830985453.929457</v>
      </c>
      <c r="AJ15" s="5" t="n">
        <v>814758211.734173</v>
      </c>
      <c r="AK15" s="5" t="n">
        <v>697413258.509334</v>
      </c>
      <c r="AL15" s="5" t="n">
        <v>538677786.242182</v>
      </c>
      <c r="AM15" s="5" t="n">
        <v>560917227.600545</v>
      </c>
      <c r="AN15" s="5" t="n">
        <v>434067891.066178</v>
      </c>
      <c r="AO15" s="5" t="n">
        <v>572704846.296802</v>
      </c>
      <c r="AP15" s="5" t="n">
        <v>639260255.837577</v>
      </c>
      <c r="AQ15" s="5" t="n">
        <v>672659187.376547</v>
      </c>
      <c r="AR15" s="5" t="n">
        <v>709090193.306692</v>
      </c>
      <c r="AS15" s="5" t="n">
        <v>822882970.383394</v>
      </c>
      <c r="AT15" s="5" t="n">
        <v>571538736.52345</v>
      </c>
      <c r="AU15" s="5" t="n">
        <v>632140784.98851</v>
      </c>
      <c r="AV15" s="5" t="n">
        <v>614617714.29</v>
      </c>
      <c r="AW15" s="5" t="n">
        <v>554400572.386649</v>
      </c>
      <c r="AX15" s="5" t="n">
        <v>221092004.700351</v>
      </c>
      <c r="AY15" s="5"/>
    </row>
    <row r="16">
      <c r="A16" t="str">
        <f>M16</f>
      </c>
      <c r="B16" t="str">
        <f>N16</f>
      </c>
      <c r="M16" t="s">
        <v>62</v>
      </c>
      <c r="N16" t="s">
        <v>63</v>
      </c>
      <c r="O16" s="5"/>
      <c r="P16" s="5"/>
      <c r="Q16" s="5"/>
      <c r="R16" s="5"/>
      <c r="S16" s="5"/>
      <c r="T16" s="5"/>
      <c r="U16" s="5" t="n">
        <v>401051.334588731</v>
      </c>
      <c r="V16" s="5"/>
      <c r="W16" s="5"/>
      <c r="X16" s="5"/>
      <c r="Y16" s="5"/>
      <c r="Z16" s="5"/>
      <c r="AA16" s="5" t="n">
        <v>0</v>
      </c>
      <c r="AB16" s="5" t="n">
        <v>1261463.99063034</v>
      </c>
      <c r="AC16" s="5" t="n">
        <v>683526.995084793</v>
      </c>
      <c r="AD16" s="5" t="n">
        <v>186182.660122765</v>
      </c>
      <c r="AE16" s="5" t="n">
        <v>33253.2005587259</v>
      </c>
      <c r="AF16" s="5" t="n">
        <v>77376.1266712717</v>
      </c>
      <c r="AG16" s="5"/>
      <c r="AH16" s="5"/>
      <c r="AI16" s="5" t="n">
        <v>26374533.4194468</v>
      </c>
      <c r="AJ16" s="5" t="n">
        <v>516827422.543803</v>
      </c>
      <c r="AK16" s="5" t="n">
        <v>763629213.177867</v>
      </c>
      <c r="AL16" s="5" t="n">
        <v>598987243.933186</v>
      </c>
      <c r="AM16" s="5" t="n">
        <v>969688924.403823</v>
      </c>
      <c r="AN16" s="5" t="n">
        <v>1041818484.04335</v>
      </c>
      <c r="AO16" s="5" t="n">
        <v>1311272138.33194</v>
      </c>
      <c r="AP16" s="5" t="n">
        <v>1721942078.33479</v>
      </c>
      <c r="AQ16" s="5" t="n">
        <v>1997876623.22421</v>
      </c>
      <c r="AR16" s="5" t="n">
        <v>1864422266.05038</v>
      </c>
      <c r="AS16" s="5" t="n">
        <v>1845296915.22443</v>
      </c>
      <c r="AT16" s="5" t="n">
        <v>1558402117.85319</v>
      </c>
      <c r="AU16" s="5" t="n">
        <v>1282391837.44315</v>
      </c>
      <c r="AV16" s="5" t="n">
        <v>1181136182.2279</v>
      </c>
      <c r="AW16" s="5" t="n">
        <v>1142927478.6799</v>
      </c>
      <c r="AX16" s="5" t="n">
        <v>411344321.427023</v>
      </c>
      <c r="AY16" s="5"/>
    </row>
    <row r="17">
      <c r="A17" t="str">
        <f>M17</f>
      </c>
      <c r="B17" t="str">
        <f>N17</f>
      </c>
      <c r="M17" t="s">
        <v>62</v>
      </c>
      <c r="N17" t="s">
        <v>64</v>
      </c>
      <c r="O17" s="5"/>
      <c r="P17" s="5"/>
      <c r="Q17" s="5"/>
      <c r="R17" s="5"/>
      <c r="S17" s="5"/>
      <c r="T17" s="5"/>
      <c r="U17" s="5"/>
      <c r="V17" s="5" t="n">
        <v>632093.554068051</v>
      </c>
      <c r="W17" s="5" t="n">
        <v>1279179.27985</v>
      </c>
      <c r="X17" s="5" t="n">
        <v>10135297.2188778</v>
      </c>
      <c r="Y17" s="5" t="n">
        <v>56810947.595349</v>
      </c>
      <c r="Z17" s="5" t="n">
        <v>68003491.9862531</v>
      </c>
      <c r="AA17" s="5" t="n">
        <v>127943698.497739</v>
      </c>
      <c r="AB17" s="5" t="n">
        <v>159536666.169048</v>
      </c>
      <c r="AC17" s="5" t="n">
        <v>351437912.65909</v>
      </c>
      <c r="AD17" s="5" t="n">
        <v>782538308.782018</v>
      </c>
      <c r="AE17" s="5" t="n">
        <v>1096674597.4665</v>
      </c>
      <c r="AF17" s="5" t="n">
        <v>944201001.038985</v>
      </c>
      <c r="AG17" s="5" t="n">
        <v>1028547616.58707</v>
      </c>
      <c r="AH17" s="5" t="n">
        <v>551849752.784498</v>
      </c>
      <c r="AI17" s="5" t="n">
        <v>521017109.711642</v>
      </c>
      <c r="AJ17" s="5" t="n">
        <v>340523300.343182</v>
      </c>
      <c r="AK17" s="5" t="n">
        <v>262398096.717036</v>
      </c>
      <c r="AL17" s="5" t="n">
        <v>174227964.34795</v>
      </c>
      <c r="AM17" s="5" t="n">
        <v>181533937.195604</v>
      </c>
      <c r="AN17" s="5" t="n">
        <v>227877196.812122</v>
      </c>
      <c r="AO17" s="5" t="n">
        <v>214335311.321983</v>
      </c>
      <c r="AP17" s="5" t="n">
        <v>225741318.588812</v>
      </c>
      <c r="AQ17" s="5" t="n">
        <v>224335213.582089</v>
      </c>
      <c r="AR17" s="5" t="n">
        <v>211517281.205322</v>
      </c>
      <c r="AS17" s="5" t="n">
        <v>261551267.96205</v>
      </c>
      <c r="AT17" s="5" t="n">
        <v>194430841.662423</v>
      </c>
      <c r="AU17" s="5" t="n">
        <v>144505339.317225</v>
      </c>
      <c r="AV17" s="5" t="n">
        <v>147459320.7738</v>
      </c>
      <c r="AW17" s="5" t="n">
        <v>128265844.788274</v>
      </c>
      <c r="AX17" s="5" t="n">
        <v>51196978.3527211</v>
      </c>
      <c r="AY17" s="5"/>
    </row>
    <row r="18">
      <c r="A18" t="str">
        <f>M18</f>
      </c>
      <c r="B18" t="str">
        <f>N18</f>
      </c>
      <c r="M18" t="s">
        <v>62</v>
      </c>
      <c r="N18" t="s">
        <v>65</v>
      </c>
      <c r="O18" s="5"/>
      <c r="P18" s="5"/>
      <c r="Q18" s="5"/>
      <c r="R18" s="5"/>
      <c r="S18" s="5"/>
      <c r="T18" s="5"/>
      <c r="U18" s="5"/>
      <c r="V18" s="5" t="n">
        <v>11487430.8669115</v>
      </c>
      <c r="W18" s="5" t="n">
        <v>19830337.5372931</v>
      </c>
      <c r="X18" s="5" t="n">
        <v>90918575.153517</v>
      </c>
      <c r="Y18" s="5" t="n">
        <v>2273923580.81264</v>
      </c>
      <c r="Z18" s="5" t="n">
        <v>2343920305.62244</v>
      </c>
      <c r="AA18" s="5" t="n">
        <v>3228277877.89511</v>
      </c>
      <c r="AB18" s="5" t="n">
        <v>5014476342.77202</v>
      </c>
      <c r="AC18" s="5" t="n">
        <v>5269584924.92225</v>
      </c>
      <c r="AD18" s="5" t="n">
        <v>6589248121.91933</v>
      </c>
      <c r="AE18" s="5" t="n">
        <v>5229024730.5679</v>
      </c>
      <c r="AF18" s="5" t="n">
        <v>5292367858.11286</v>
      </c>
      <c r="AG18" s="5" t="n">
        <v>7076847674.57801</v>
      </c>
      <c r="AH18" s="5" t="n">
        <v>8051855579.77185</v>
      </c>
      <c r="AI18" s="5" t="n">
        <v>13025940969.9886</v>
      </c>
      <c r="AJ18" s="5" t="n">
        <v>18107103669.7308</v>
      </c>
      <c r="AK18" s="5" t="n">
        <v>16439346235.3029</v>
      </c>
      <c r="AL18" s="5" t="n">
        <v>13357951649.6142</v>
      </c>
      <c r="AM18" s="5" t="n">
        <v>7065348720.62303</v>
      </c>
      <c r="AN18" s="5" t="n">
        <v>5613909102.1712</v>
      </c>
      <c r="AO18" s="5" t="n">
        <v>5004013096.18152</v>
      </c>
      <c r="AP18" s="5" t="n">
        <v>6300430619.94762</v>
      </c>
      <c r="AQ18" s="5" t="n">
        <v>8181747239.60573</v>
      </c>
      <c r="AR18" s="5" t="n">
        <v>9178597371.73312</v>
      </c>
      <c r="AS18" s="5" t="n">
        <v>8380128590.69351</v>
      </c>
      <c r="AT18" s="5" t="n">
        <v>8496475692.02512</v>
      </c>
      <c r="AU18" s="5" t="n">
        <v>8364357612.03558</v>
      </c>
      <c r="AV18" s="5" t="n">
        <v>8678428608.6077</v>
      </c>
      <c r="AW18" s="5" t="n">
        <v>8518446237.5218</v>
      </c>
      <c r="AX18" s="5" t="n">
        <v>3654132353.51686</v>
      </c>
      <c r="AY18" s="5"/>
    </row>
    <row r="19">
      <c r="A19" t="str">
        <f>M19</f>
      </c>
      <c r="B19" t="str">
        <f>N19</f>
      </c>
      <c r="M19" t="s">
        <v>62</v>
      </c>
      <c r="N19" t="s">
        <v>66</v>
      </c>
      <c r="O19" s="5" t="n">
        <v>436407.488754162</v>
      </c>
      <c r="P19" s="5" t="n">
        <v>271577.294286679</v>
      </c>
      <c r="Q19" s="5" t="n">
        <v>913674.273999195</v>
      </c>
      <c r="R19" s="5" t="n">
        <v>51393.88740709</v>
      </c>
      <c r="S19" s="5" t="n">
        <v>240302.609611455</v>
      </c>
      <c r="T19" s="5" t="n">
        <v>8640848.63180808</v>
      </c>
      <c r="U19" s="5" t="n">
        <v>180831.182113669</v>
      </c>
      <c r="V19" s="5" t="n">
        <v>111248891.23928</v>
      </c>
      <c r="W19" s="5" t="n">
        <v>175395344.917707</v>
      </c>
      <c r="X19" s="5" t="n">
        <v>479437329.962222</v>
      </c>
      <c r="Y19" s="5" t="n">
        <v>2177469043.9967</v>
      </c>
      <c r="Z19" s="5" t="n">
        <v>2514975950.38807</v>
      </c>
      <c r="AA19" s="5" t="n">
        <v>2594522931.59818</v>
      </c>
      <c r="AB19" s="5" t="n">
        <v>6101754212.41428</v>
      </c>
      <c r="AC19" s="5" t="n">
        <v>12433720059.5743</v>
      </c>
      <c r="AD19" s="5" t="n">
        <v>11206991555.9693</v>
      </c>
      <c r="AE19" s="5" t="n">
        <v>12391423611.932</v>
      </c>
      <c r="AF19" s="5" t="n">
        <v>10793250386.9155</v>
      </c>
      <c r="AG19" s="5" t="n">
        <v>13043422145.1754</v>
      </c>
      <c r="AH19" s="5" t="n">
        <v>12550926102.111</v>
      </c>
      <c r="AI19" s="5" t="n">
        <v>12148416888.019</v>
      </c>
      <c r="AJ19" s="5" t="n">
        <v>10342719492.5387</v>
      </c>
      <c r="AK19" s="5" t="n">
        <v>7179756907.66247</v>
      </c>
      <c r="AL19" s="5" t="n">
        <v>5749263049.50627</v>
      </c>
      <c r="AM19" s="5" t="n">
        <v>5189481812.06202</v>
      </c>
      <c r="AN19" s="5" t="n">
        <v>5130044659.71627</v>
      </c>
      <c r="AO19" s="5" t="n">
        <v>5756886178.25185</v>
      </c>
      <c r="AP19" s="5" t="n">
        <v>5984998949.34754</v>
      </c>
      <c r="AQ19" s="5" t="n">
        <v>6621952109.6648</v>
      </c>
      <c r="AR19" s="5" t="n">
        <v>6311565409.33691</v>
      </c>
      <c r="AS19" s="5" t="n">
        <v>6082798091.82426</v>
      </c>
      <c r="AT19" s="5" t="n">
        <v>5224145143.74692</v>
      </c>
      <c r="AU19" s="5" t="n">
        <v>5181097515.24063</v>
      </c>
      <c r="AV19" s="5" t="n">
        <v>4705379550.8794</v>
      </c>
      <c r="AW19" s="5" t="n">
        <v>4598749476.32145</v>
      </c>
      <c r="AX19" s="5" t="n">
        <v>1847275984.85686</v>
      </c>
      <c r="AY19" s="5"/>
    </row>
    <row r="20">
      <c r="A20" t="str">
        <f>M20</f>
      </c>
      <c r="B20" t="str">
        <f>N20</f>
      </c>
      <c r="M20" t="s">
        <v>62</v>
      </c>
      <c r="N20" t="s">
        <v>67</v>
      </c>
      <c r="O20" s="5" t="n">
        <v>330925.109955762</v>
      </c>
      <c r="P20" s="5"/>
      <c r="Q20" s="5"/>
      <c r="R20" s="5"/>
      <c r="S20" s="5"/>
      <c r="T20" s="5"/>
      <c r="U20" s="5" t="n">
        <v>85939.5716975853</v>
      </c>
      <c r="V20" s="5" t="n">
        <v>2188900.34324997</v>
      </c>
      <c r="W20" s="5" t="n">
        <v>7599571.57912468</v>
      </c>
      <c r="X20" s="5" t="n">
        <v>-539558.666958669</v>
      </c>
      <c r="Y20" s="5" t="n">
        <v>19271514.1814129</v>
      </c>
      <c r="Z20" s="5" t="n">
        <v>8071842.22456612</v>
      </c>
      <c r="AA20" s="5" t="n">
        <v>-8900.73550713978</v>
      </c>
      <c r="AB20" s="5" t="n">
        <v>1581798.2483835</v>
      </c>
      <c r="AC20" s="5" t="n">
        <v>-3343574.22266305</v>
      </c>
      <c r="AD20" s="5" t="n">
        <v>14060814.7783629</v>
      </c>
      <c r="AE20" s="5" t="n">
        <v>79536.5989456271</v>
      </c>
      <c r="AF20" s="5" t="n">
        <v>230243.644839286</v>
      </c>
      <c r="AG20" s="5" t="n">
        <v>6013.94158958963</v>
      </c>
      <c r="AH20" s="5" t="n">
        <v>-59642.5963120595</v>
      </c>
      <c r="AI20" s="5" t="n">
        <v>6043.60838315507</v>
      </c>
      <c r="AJ20" s="5" t="n">
        <v>-146435.815269702</v>
      </c>
      <c r="AK20" s="5"/>
      <c r="AL20" s="5"/>
      <c r="AM20" s="5" t="n">
        <v>95458.7400018289</v>
      </c>
      <c r="AN20" s="5"/>
      <c r="AO20" s="5"/>
      <c r="AP20" s="5" t="n">
        <v>39093.6732428799</v>
      </c>
      <c r="AQ20" s="5"/>
      <c r="AR20" s="5"/>
      <c r="AS20" s="5"/>
      <c r="AT20" s="5"/>
      <c r="AU20" s="5"/>
      <c r="AV20" s="5"/>
      <c r="AW20" s="5"/>
      <c r="AX20" s="5"/>
      <c r="AY20" s="5"/>
    </row>
    <row r="21">
      <c r="A21" t="str">
        <f>M21</f>
      </c>
      <c r="B21" t="str">
        <f>N21</f>
      </c>
      <c r="M21"/>
      <c r="N21"/>
      <c r="O21" s="5" t="n">
        <v>9069809648.85706</v>
      </c>
      <c r="P21" s="5" t="n">
        <v>11266094474.2084</v>
      </c>
      <c r="Q21" s="5" t="n">
        <v>8204257829.65377</v>
      </c>
      <c r="R21" s="5" t="n">
        <v>5854760360.24869</v>
      </c>
      <c r="S21" s="5" t="n">
        <v>7478633387.28617</v>
      </c>
      <c r="T21" s="5" t="n">
        <v>9618461938.68433</v>
      </c>
      <c r="U21" s="5" t="n">
        <v>9100945054.19466</v>
      </c>
      <c r="V21" s="5" t="n">
        <v>10191359574.3724</v>
      </c>
      <c r="W21" s="5" t="n">
        <v>10543888856.8946</v>
      </c>
      <c r="X21" s="5" t="n">
        <v>12594882380.0891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 t="n">
        <v>0</v>
      </c>
      <c r="AT21" s="5"/>
      <c r="AU21" s="5" t="n">
        <v>0</v>
      </c>
      <c r="AV21" s="5"/>
      <c r="AW21" s="5" t="n">
        <v>0</v>
      </c>
      <c r="AX21" s="5" t="n">
        <v>0</v>
      </c>
      <c r="AY21" s="5"/>
    </row>
    <row r="22">
      <c r="A22" t="str">
        <f>M22</f>
      </c>
      <c r="B22" t="str">
        <f>N22</f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68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>
      <c r="A2" t="str">
        <f>M2</f>
      </c>
      <c r="M2" t="s">
        <v>69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 t="n">
        <v>40567237</v>
      </c>
      <c r="AE2" s="6" t="n">
        <v>41772601.7187</v>
      </c>
      <c r="AF2" s="6" t="n">
        <v>76538932.0152</v>
      </c>
      <c r="AG2" s="6" t="n">
        <v>-2255891.25</v>
      </c>
      <c r="AH2" s="6" t="n">
        <v>2831222</v>
      </c>
      <c r="AI2" s="6" t="n">
        <v>692752.25</v>
      </c>
      <c r="AJ2" s="6" t="n">
        <v>-904173.8437</v>
      </c>
      <c r="AK2" s="6" t="n">
        <v>0</v>
      </c>
      <c r="AL2" s="6"/>
      <c r="AM2" s="6"/>
    </row>
    <row r="3">
      <c r="A3" t="str">
        <f>M3</f>
      </c>
      <c r="M3" t="s">
        <v>70</v>
      </c>
      <c r="N3" s="6"/>
      <c r="O3" s="6"/>
      <c r="P3" s="6"/>
      <c r="Q3" s="6"/>
      <c r="R3" s="6" t="n">
        <v>6952572</v>
      </c>
      <c r="S3" s="6" t="n">
        <v>28447718</v>
      </c>
      <c r="T3" s="6" t="n">
        <v>29186348</v>
      </c>
      <c r="U3" s="6" t="n">
        <v>1365970.9121</v>
      </c>
      <c r="V3" s="6" t="n">
        <v>2452091</v>
      </c>
      <c r="W3" s="6" t="n">
        <v>-429769.25</v>
      </c>
      <c r="X3" s="6" t="n">
        <v>-580102.9219</v>
      </c>
      <c r="Y3" s="6" t="n">
        <v>-2501078.46</v>
      </c>
      <c r="Z3" s="6" t="n">
        <v>-2461037</v>
      </c>
      <c r="AA3" s="6" t="n">
        <v>-349128.72</v>
      </c>
      <c r="AB3" s="6" t="n">
        <v>-296336.21</v>
      </c>
      <c r="AC3" s="6" t="n">
        <v>-174236.1172</v>
      </c>
      <c r="AD3" s="6"/>
      <c r="AE3" s="6"/>
      <c r="AF3" s="6"/>
      <c r="AG3" s="6"/>
      <c r="AH3" s="6"/>
      <c r="AI3" s="6"/>
      <c r="AJ3" s="6"/>
      <c r="AK3" s="6"/>
      <c r="AL3" s="6"/>
      <c r="AM3" s="6"/>
    </row>
    <row r="4">
      <c r="A4" t="str">
        <f>M4</f>
      </c>
      <c r="M4" t="s">
        <v>71</v>
      </c>
      <c r="N4" s="6"/>
      <c r="O4" s="6"/>
      <c r="P4" s="6" t="n">
        <v>180379.4063</v>
      </c>
      <c r="Q4" s="6"/>
      <c r="R4" s="6" t="n">
        <v>56425979.9492</v>
      </c>
      <c r="S4" s="6" t="n">
        <v>59969544.0137</v>
      </c>
      <c r="T4" s="6" t="n">
        <v>43835163.8953</v>
      </c>
      <c r="U4" s="6" t="n">
        <v>13703862.25</v>
      </c>
      <c r="V4" s="6" t="n">
        <v>6295791.0625</v>
      </c>
      <c r="W4" s="6" t="n">
        <v>0</v>
      </c>
      <c r="X4" s="6"/>
      <c r="Y4" s="6"/>
      <c r="Z4" s="6" t="n">
        <v>-76626.6875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>
      <c r="A5" t="str">
        <f>M5</f>
      </c>
      <c r="M5" t="s">
        <v>72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 t="n">
        <v>11184238.9922</v>
      </c>
      <c r="AI5" s="6" t="n">
        <v>3482942.876</v>
      </c>
      <c r="AJ5" s="6" t="n">
        <v>67001.7405</v>
      </c>
      <c r="AK5" s="6" t="n">
        <v>82391.6504</v>
      </c>
      <c r="AL5" s="6"/>
      <c r="AM5" s="6"/>
    </row>
    <row r="6">
      <c r="A6" t="str">
        <f>M6</f>
      </c>
      <c r="M6" t="s">
        <v>78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 t="n">
        <v>47011433</v>
      </c>
      <c r="AL6" s="6"/>
      <c r="AM6" s="6"/>
    </row>
    <row r="7">
      <c r="A7" t="str">
        <f>M7</f>
      </c>
      <c r="M7" t="s">
        <v>73</v>
      </c>
      <c r="N7" s="6"/>
      <c r="O7" s="6"/>
      <c r="P7" s="6"/>
      <c r="Q7" s="6"/>
      <c r="R7" s="6"/>
      <c r="S7" s="6"/>
      <c r="T7" s="6"/>
      <c r="U7" s="6" t="n">
        <v>11580875</v>
      </c>
      <c r="V7" s="6" t="n">
        <v>36728737</v>
      </c>
      <c r="W7" s="6" t="n">
        <v>33202997</v>
      </c>
      <c r="X7" s="6" t="n">
        <v>0</v>
      </c>
      <c r="Y7" s="6"/>
      <c r="Z7" s="6" t="n">
        <v>-21482.8008</v>
      </c>
      <c r="AA7" s="6" t="n">
        <v>6578514.3</v>
      </c>
      <c r="AB7" s="6" t="n">
        <v>21325026.55</v>
      </c>
      <c r="AC7" s="6"/>
      <c r="AD7" s="6" t="n">
        <v>12326321</v>
      </c>
      <c r="AE7" s="6" t="n">
        <v>50934277</v>
      </c>
      <c r="AF7" s="6" t="n">
        <v>35178955</v>
      </c>
      <c r="AG7" s="6" t="n">
        <v>111147008</v>
      </c>
      <c r="AH7" s="6" t="n">
        <v>22883588</v>
      </c>
      <c r="AI7" s="6" t="n">
        <v>88159457.207</v>
      </c>
      <c r="AJ7" s="6" t="n">
        <v>0</v>
      </c>
      <c r="AK7" s="6" t="n">
        <v>-198097.9063</v>
      </c>
      <c r="AL7" s="6"/>
      <c r="AM7" s="6"/>
    </row>
    <row r="8">
      <c r="A8" t="str">
        <f>M8</f>
      </c>
      <c r="M8" t="s">
        <v>74</v>
      </c>
      <c r="N8" s="6" t="n">
        <v>31473</v>
      </c>
      <c r="O8" s="6" t="n">
        <v>3695218</v>
      </c>
      <c r="P8" s="6" t="n">
        <v>7170163</v>
      </c>
      <c r="Q8" s="6" t="n">
        <v>15771337</v>
      </c>
      <c r="R8" s="6" t="n">
        <v>14780216</v>
      </c>
      <c r="S8" s="6" t="n">
        <v>15882167</v>
      </c>
      <c r="T8" s="6" t="n">
        <v>10598874.9873</v>
      </c>
      <c r="U8" s="6" t="n">
        <v>3976466.25</v>
      </c>
      <c r="V8" s="6" t="n">
        <v>2138920.8315</v>
      </c>
      <c r="W8" s="6" t="n">
        <v>39127085.2583</v>
      </c>
      <c r="X8" s="6" t="n">
        <v>953819.7803</v>
      </c>
      <c r="Y8" s="6" t="n">
        <v>272836.4095</v>
      </c>
      <c r="Z8" s="6" t="n">
        <v>13130.5698</v>
      </c>
      <c r="AA8" s="6" t="n">
        <v>-156524.8816</v>
      </c>
      <c r="AB8" s="6" t="n">
        <v>-117326.7803</v>
      </c>
      <c r="AC8" s="6" t="n">
        <v>-849536.61</v>
      </c>
      <c r="AD8" s="6"/>
      <c r="AE8" s="6" t="n">
        <v>81061</v>
      </c>
      <c r="AF8" s="6"/>
      <c r="AG8" s="6" t="n">
        <v>0</v>
      </c>
      <c r="AH8" s="6"/>
      <c r="AI8" s="6" t="n">
        <v>0</v>
      </c>
      <c r="AJ8" s="6"/>
      <c r="AK8" s="6" t="n">
        <v>2871583.5</v>
      </c>
      <c r="AL8" s="6"/>
      <c r="AM8" s="6"/>
    </row>
    <row r="9">
      <c r="A9" t="str">
        <f>M9</f>
      </c>
      <c r="M9" t="s">
        <v>75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 t="n">
        <v>219768216</v>
      </c>
      <c r="AA9" s="6"/>
      <c r="AB9" s="6"/>
      <c r="AC9" s="6" t="n">
        <v>13405694</v>
      </c>
      <c r="AD9" s="6" t="n">
        <v>42647300</v>
      </c>
      <c r="AE9" s="6" t="n">
        <v>34934469</v>
      </c>
      <c r="AF9" s="6" t="n">
        <v>119732986</v>
      </c>
      <c r="AG9" s="6" t="n">
        <v>43185330</v>
      </c>
      <c r="AH9" s="6" t="n">
        <v>15835046</v>
      </c>
      <c r="AI9" s="6"/>
      <c r="AJ9" s="6"/>
      <c r="AK9" s="6"/>
      <c r="AL9" s="6"/>
      <c r="AM9" s="6"/>
    </row>
    <row r="10">
      <c r="A10" t="str">
        <f>M10</f>
      </c>
      <c r="M10" t="s">
        <v>76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n">
        <v>281563.6562</v>
      </c>
      <c r="AG10" s="6" t="n">
        <v>843436.6438</v>
      </c>
      <c r="AH10" s="6" t="n">
        <v>315619.6053</v>
      </c>
      <c r="AI10" s="6" t="n">
        <v>-52484.4297</v>
      </c>
      <c r="AJ10" s="6" t="n">
        <v>507467.4062</v>
      </c>
      <c r="AK10" s="6" t="n">
        <v>381629.0391</v>
      </c>
      <c r="AL10" s="6"/>
      <c r="AM10" s="6"/>
    </row>
    <row r="11">
      <c r="A11" t="str">
        <f>M11</f>
      </c>
      <c r="M11" t="s">
        <v>77</v>
      </c>
      <c r="N11" s="6"/>
      <c r="O11" s="6"/>
      <c r="P11" s="6"/>
      <c r="Q11" s="6"/>
      <c r="R11" s="6"/>
      <c r="S11" s="6"/>
      <c r="T11" s="6"/>
      <c r="U11" s="6"/>
      <c r="V11" s="6" t="n">
        <v>70656554</v>
      </c>
      <c r="W11" s="6" t="n">
        <v>86918750</v>
      </c>
      <c r="X11" s="6" t="n">
        <v>70744441</v>
      </c>
      <c r="Y11" s="6" t="n">
        <v>63313657</v>
      </c>
      <c r="Z11" s="6" t="n">
        <v>40970078.3125</v>
      </c>
      <c r="AA11" s="6" t="n">
        <v>46536594.25</v>
      </c>
      <c r="AB11" s="6" t="n">
        <v>25962949.51</v>
      </c>
      <c r="AC11" s="6" t="n">
        <v>-6583084.5075</v>
      </c>
      <c r="AD11" s="6" t="n">
        <v>67240899.1328</v>
      </c>
      <c r="AE11" s="6" t="n">
        <v>66622042.875</v>
      </c>
      <c r="AF11" s="6" t="n">
        <v>78542913.1563</v>
      </c>
      <c r="AG11" s="6" t="n">
        <v>-2399218.25</v>
      </c>
      <c r="AH11" s="6" t="n">
        <v>7402665.0966</v>
      </c>
      <c r="AI11" s="6" t="n">
        <v>1857359.8789</v>
      </c>
      <c r="AJ11" s="6" t="n">
        <v>-4344765.9707</v>
      </c>
      <c r="AK11" s="6" t="n">
        <v>-1297465.25</v>
      </c>
      <c r="AL11" s="6"/>
      <c r="AM11" s="6"/>
    </row>
    <row r="12">
      <c r="A12" t="str">
        <f>M12</f>
      </c>
      <c r="M12"/>
      <c r="N12" s="6" t="n">
        <v>6506864798.1198</v>
      </c>
      <c r="O12" s="6" t="n">
        <v>7416723406.8457</v>
      </c>
      <c r="P12" s="6" t="n">
        <v>10537765390.0724</v>
      </c>
      <c r="Q12" s="6" t="n">
        <v>16089576403.6387</v>
      </c>
      <c r="R12" s="6" t="n">
        <v>20031622020.085</v>
      </c>
      <c r="S12" s="6" t="n">
        <v>22108737508.3491</v>
      </c>
      <c r="T12" s="6" t="n">
        <v>24155210279.3871</v>
      </c>
      <c r="U12" s="6" t="n">
        <v>24467257589.8133</v>
      </c>
      <c r="V12" s="6" t="n">
        <v>27349689532.5768</v>
      </c>
      <c r="W12" s="6" t="n">
        <v>30564830166.7121</v>
      </c>
      <c r="X12" s="6" t="n">
        <v>32956706433.4392</v>
      </c>
      <c r="Y12" s="6" t="n">
        <v>36731584926.8917</v>
      </c>
      <c r="Z12" s="6" t="n">
        <v>33605960716.49</v>
      </c>
      <c r="AA12" s="6" t="n">
        <v>30602338392.6875</v>
      </c>
      <c r="AB12" s="6" t="n">
        <v>25610686507.261</v>
      </c>
      <c r="AC12" s="6" t="n">
        <v>22958225595.9535</v>
      </c>
      <c r="AD12" s="6" t="n">
        <v>23666336140.6707</v>
      </c>
      <c r="AE12" s="6" t="n">
        <v>26023425249.5567</v>
      </c>
      <c r="AF12" s="6" t="n">
        <v>28292395569.0449</v>
      </c>
      <c r="AG12" s="6" t="n">
        <v>29466315306.5376</v>
      </c>
      <c r="AH12" s="6" t="n">
        <v>29534488459.7603</v>
      </c>
      <c r="AI12" s="6" t="n">
        <v>28718819735.5635</v>
      </c>
      <c r="AJ12" s="6" t="n">
        <v>30747297973.7056</v>
      </c>
      <c r="AK12" s="6" t="n">
        <v>21457353721.8733</v>
      </c>
      <c r="AL12" s="6"/>
      <c r="AM12" s="6"/>
    </row>
    <row r="13">
      <c r="A13" t="str">
        <f>M13</f>
      </c>
      <c r="M13" t="s">
        <v>113</v>
      </c>
      <c r="N13" s="6" t="str">
        <f>Sum(N2:N12)</f>
      </c>
      <c r="O13" s="6" t="str">
        <f>Sum(O2:O12)</f>
      </c>
      <c r="P13" s="6" t="str">
        <f>Sum(P2:P12)</f>
      </c>
      <c r="Q13" s="6" t="str">
        <f>Sum(Q2:Q12)</f>
      </c>
      <c r="R13" s="6" t="str">
        <f>Sum(R2:R12)</f>
      </c>
      <c r="S13" s="6" t="str">
        <f>Sum(S2:S12)</f>
      </c>
      <c r="T13" s="6" t="str">
        <f>Sum(T2:T12)</f>
      </c>
      <c r="U13" s="6" t="str">
        <f>Sum(U2:U12)</f>
      </c>
      <c r="V13" s="6" t="str">
        <f>Sum(V2:V12)</f>
      </c>
      <c r="W13" s="6" t="str">
        <f>Sum(W2:W12)</f>
      </c>
      <c r="X13" s="6" t="str">
        <f>Sum(X2:X12)</f>
      </c>
      <c r="Y13" s="6" t="str">
        <f>Sum(Y2:Y12)</f>
      </c>
      <c r="Z13" s="6" t="str">
        <f>Sum(Z2:Z12)</f>
      </c>
      <c r="AA13" s="6" t="str">
        <f>Sum(AA2:AA12)</f>
      </c>
      <c r="AB13" s="6" t="str">
        <f>Sum(AB2:AB12)</f>
      </c>
      <c r="AC13" s="6" t="str">
        <f>Sum(AC2:AC12)</f>
      </c>
      <c r="AD13" s="6" t="str">
        <f>Sum(AD2:AD12)</f>
      </c>
      <c r="AE13" s="6" t="str">
        <f>Sum(AE2:AE12)</f>
      </c>
      <c r="AF13" s="6" t="str">
        <f>Sum(AF2:AF12)</f>
      </c>
      <c r="AG13" s="6" t="str">
        <f>Sum(AG2:AG12)</f>
      </c>
      <c r="AH13" s="6" t="str">
        <f>Sum(AH2:AH12)</f>
      </c>
      <c r="AI13" s="6" t="str">
        <f>Sum(AI2:AI12)</f>
      </c>
      <c r="AJ13" s="6" t="str">
        <f>Sum(AJ2:AJ12)</f>
      </c>
      <c r="AK13" s="6" t="str">
        <f>Sum(AK2:AK12)</f>
      </c>
      <c r="AL13" s="6"/>
      <c r="AM13" s="6"/>
    </row>
    <row r="14">
      <c r="M14" t="str">
        <f>Sum(A2:A12)</f>
      </c>
    </row>
    <row r="15">
      <c r="M15" t="str">
        <f>Sum(B2:B12)</f>
      </c>
      <c r="N15" t="s">
        <v>11</v>
      </c>
      <c r="O15" t="s">
        <v>12</v>
      </c>
      <c r="P15" t="s">
        <v>13</v>
      </c>
      <c r="Q15" t="s">
        <v>14</v>
      </c>
      <c r="R15" t="s">
        <v>15</v>
      </c>
      <c r="S15" t="s">
        <v>16</v>
      </c>
      <c r="T15" t="s">
        <v>17</v>
      </c>
      <c r="U15" t="s">
        <v>18</v>
      </c>
      <c r="V15" t="s">
        <v>19</v>
      </c>
      <c r="W15" t="s">
        <v>20</v>
      </c>
      <c r="X15" t="s">
        <v>21</v>
      </c>
      <c r="Y15" t="s">
        <v>22</v>
      </c>
      <c r="Z15" t="s">
        <v>23</v>
      </c>
      <c r="AA15" t="s">
        <v>24</v>
      </c>
      <c r="AB15" t="s">
        <v>25</v>
      </c>
      <c r="AC15" t="s">
        <v>26</v>
      </c>
      <c r="AD15" t="s">
        <v>27</v>
      </c>
      <c r="AE15" t="s">
        <v>28</v>
      </c>
      <c r="AF15" t="s">
        <v>29</v>
      </c>
      <c r="AG15" t="s">
        <v>30</v>
      </c>
      <c r="AH15" t="s">
        <v>31</v>
      </c>
      <c r="AI15" t="s">
        <v>32</v>
      </c>
      <c r="AJ15" t="s">
        <v>33</v>
      </c>
      <c r="AK15" t="s">
        <v>34</v>
      </c>
    </row>
    <row r="16">
      <c r="A16" t="str">
        <f>M16</f>
      </c>
      <c r="B16" t="str">
        <f>AC16</f>
      </c>
      <c r="C16" t="str">
        <f>AI16</f>
      </c>
      <c r="D16" t="str">
        <f>AJ16</f>
      </c>
      <c r="E16" t="str">
        <f>AK16</f>
      </c>
      <c r="F16" t="str">
        <f>AI16&amp;"-"&amp;AJ16</f>
      </c>
      <c r="G16" t="str">
        <f>AC16&amp;"-"&amp;AJ16</f>
      </c>
      <c r="H16" t="str">
        <f>AK16&amp;"/"&amp;AJ16</f>
      </c>
      <c r="I16" t="str">
        <f>"Share "&amp;AJ16</f>
      </c>
      <c r="J16" t="str">
        <f>"Share "&amp;AK16</f>
      </c>
      <c r="M16" t="s">
        <v>68</v>
      </c>
      <c r="N16" s="8" t="s">
        <v>11</v>
      </c>
      <c r="O16" s="8" t="s">
        <v>12</v>
      </c>
      <c r="P16" s="8" t="s">
        <v>13</v>
      </c>
      <c r="Q16" s="8" t="s">
        <v>14</v>
      </c>
      <c r="R16" s="8" t="s">
        <v>15</v>
      </c>
      <c r="S16" s="8" t="s">
        <v>16</v>
      </c>
      <c r="T16" s="8" t="s">
        <v>17</v>
      </c>
      <c r="U16" s="8" t="s">
        <v>18</v>
      </c>
      <c r="V16" s="8" t="s">
        <v>19</v>
      </c>
      <c r="W16" s="8" t="s">
        <v>20</v>
      </c>
      <c r="X16" s="8" t="s">
        <v>21</v>
      </c>
      <c r="Y16" s="8" t="s">
        <v>22</v>
      </c>
      <c r="Z16" s="8" t="s">
        <v>23</v>
      </c>
      <c r="AA16" s="8" t="s">
        <v>24</v>
      </c>
      <c r="AB16" s="8" t="s">
        <v>25</v>
      </c>
      <c r="AC16" s="8" t="s">
        <v>26</v>
      </c>
      <c r="AD16" s="8" t="s">
        <v>27</v>
      </c>
      <c r="AE16" s="8" t="s">
        <v>28</v>
      </c>
      <c r="AF16" s="8" t="s">
        <v>29</v>
      </c>
      <c r="AG16" s="8" t="s">
        <v>30</v>
      </c>
      <c r="AH16" s="8" t="s">
        <v>31</v>
      </c>
      <c r="AI16" s="8" t="s">
        <v>32</v>
      </c>
      <c r="AJ16" s="8" t="s">
        <v>33</v>
      </c>
      <c r="AK16" s="8" t="s">
        <v>34</v>
      </c>
      <c r="AL16" s="8"/>
      <c r="AM16" s="8"/>
    </row>
    <row r="17">
      <c r="A17" t="str">
        <f>M17</f>
      </c>
      <c r="B17" s="6" t="str">
        <f>AC17</f>
      </c>
      <c r="C17" s="6" t="str">
        <f>AI17</f>
      </c>
      <c r="D17" s="6" t="str">
        <f>AJ17</f>
      </c>
      <c r="E17" s="6" t="str">
        <f>AK17</f>
      </c>
      <c r="F17" s="7" t="str">
        <f>AJ17/AI17-1</f>
      </c>
      <c r="G17" s="7" t="str">
        <f>AJ17/AC17-1</f>
      </c>
      <c r="H17" s="7" t="str">
        <f>AK17/AJ17</f>
      </c>
      <c r="I17" s="7" t="str">
        <f>AJ17/Sum(AJ$16:AJ$27)</f>
      </c>
      <c r="J17" s="7" t="str">
        <f>AK17/Sum(AK16:AK$27)</f>
      </c>
      <c r="M17" t="s">
        <v>69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 t="n">
        <v>48258380.4856683</v>
      </c>
      <c r="AE17" s="6" t="n">
        <v>48820637.9309467</v>
      </c>
      <c r="AF17" s="6" t="n">
        <v>87400686.5041747</v>
      </c>
      <c r="AG17" s="6" t="n">
        <v>-2526542.02385402</v>
      </c>
      <c r="AH17" s="6" t="n">
        <v>3129153.82354371</v>
      </c>
      <c r="AI17" s="6" t="n">
        <v>740751.387280894</v>
      </c>
      <c r="AJ17" s="6" t="n">
        <v>-904173.8437</v>
      </c>
      <c r="AK17" s="6" t="n">
        <v>0</v>
      </c>
      <c r="AL17" s="6"/>
      <c r="AM17" s="6"/>
    </row>
    <row r="18">
      <c r="A18" t="str">
        <f>M18</f>
      </c>
      <c r="B18" s="6" t="str">
        <f>AC18</f>
      </c>
      <c r="C18" s="6" t="str">
        <f>AI18</f>
      </c>
      <c r="D18" s="6" t="str">
        <f>AJ18</f>
      </c>
      <c r="E18" s="6" t="str">
        <f>AK18</f>
      </c>
      <c r="F18" s="7" t="str">
        <f>AJ18/AI18-1</f>
      </c>
      <c r="G18" s="7" t="str">
        <f>AJ18/AC18-1</f>
      </c>
      <c r="H18" s="7" t="str">
        <f>AK18/AJ18</f>
      </c>
      <c r="I18" s="7" t="str">
        <f>AJ18/Sum(AJ$16:AJ$27)</f>
      </c>
      <c r="J18" s="7" t="str">
        <f>AK18/Sum(AK16:AK$27)</f>
      </c>
      <c r="M18" t="s">
        <v>70</v>
      </c>
      <c r="N18" s="6"/>
      <c r="O18" s="6"/>
      <c r="P18" s="6"/>
      <c r="Q18" s="6"/>
      <c r="R18" s="6" t="n">
        <v>10341807.131199</v>
      </c>
      <c r="S18" s="6" t="n">
        <v>41068681.969369</v>
      </c>
      <c r="T18" s="6" t="n">
        <v>40806448.3374342</v>
      </c>
      <c r="U18" s="6" t="n">
        <v>1858836.36208365</v>
      </c>
      <c r="V18" s="6" t="n">
        <v>3268675.97652613</v>
      </c>
      <c r="W18" s="6" t="n">
        <v>-567126.078652373</v>
      </c>
      <c r="X18" s="6" t="n">
        <v>-758906.72061264</v>
      </c>
      <c r="Y18" s="6" t="n">
        <v>-3207340.22732886</v>
      </c>
      <c r="Z18" s="6" t="n">
        <v>-3099183.89350868</v>
      </c>
      <c r="AA18" s="6" t="n">
        <v>-431756.65020185</v>
      </c>
      <c r="AB18" s="6" t="n">
        <v>-359514.633266181</v>
      </c>
      <c r="AC18" s="6" t="n">
        <v>-208987.086872235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>
      <c r="A19" t="str">
        <f>M19</f>
      </c>
      <c r="B19" s="6" t="str">
        <f>AC19</f>
      </c>
      <c r="C19" s="6" t="str">
        <f>AI19</f>
      </c>
      <c r="D19" s="6" t="str">
        <f>AJ19</f>
      </c>
      <c r="E19" s="6" t="str">
        <f>AK19</f>
      </c>
      <c r="F19" s="7" t="str">
        <f>AJ19/AI19-1</f>
      </c>
      <c r="G19" s="7" t="str">
        <f>AJ19/AC19-1</f>
      </c>
      <c r="H19" s="7" t="str">
        <f>AK19/AJ19</f>
      </c>
      <c r="I19" s="7" t="str">
        <f>AJ19/Sum(AJ$16:AJ$27)</f>
      </c>
      <c r="J19" s="7" t="str">
        <f>AK19/Sum(AK16:AK$27)</f>
      </c>
      <c r="M19" t="s">
        <v>71</v>
      </c>
      <c r="N19" s="6"/>
      <c r="O19" s="6"/>
      <c r="P19" s="6" t="n">
        <v>280123.05629883</v>
      </c>
      <c r="Q19" s="6"/>
      <c r="R19" s="6" t="n">
        <v>83932478.775269</v>
      </c>
      <c r="S19" s="6" t="n">
        <v>86575314.439869</v>
      </c>
      <c r="T19" s="6" t="n">
        <v>61287467.3753812</v>
      </c>
      <c r="U19" s="6" t="n">
        <v>18648447.9469066</v>
      </c>
      <c r="V19" s="6" t="n">
        <v>8392388.78133873</v>
      </c>
      <c r="W19" s="6" t="n">
        <v>0</v>
      </c>
      <c r="X19" s="6"/>
      <c r="Y19" s="6"/>
      <c r="Z19" s="6" t="n">
        <v>-96495.9875503386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>
      <c r="A20" t="str">
        <f>M20</f>
      </c>
      <c r="B20" s="6" t="str">
        <f>AC20</f>
      </c>
      <c r="C20" s="6" t="str">
        <f>AI20</f>
      </c>
      <c r="D20" s="6" t="str">
        <f>AJ20</f>
      </c>
      <c r="E20" s="6" t="str">
        <f>AK20</f>
      </c>
      <c r="F20" s="7" t="str">
        <f>AJ20/AI20-1</f>
      </c>
      <c r="G20" s="7" t="str">
        <f>AJ20/AC20-1</f>
      </c>
      <c r="H20" s="7" t="str">
        <f>AK20/AJ20</f>
      </c>
      <c r="I20" s="7" t="str">
        <f>AJ20/Sum(AJ$16:AJ$27)</f>
      </c>
      <c r="J20" s="7" t="str">
        <f>AK20/Sum(AK16:AK$27)</f>
      </c>
      <c r="M20" t="s">
        <v>72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 t="n">
        <v>12361165.6754113</v>
      </c>
      <c r="AI20" s="6" t="n">
        <v>3724267.61113675</v>
      </c>
      <c r="AJ20" s="6" t="n">
        <v>67001.7405</v>
      </c>
      <c r="AK20" s="6" t="n">
        <v>78585.0226305214</v>
      </c>
      <c r="AL20" s="6"/>
      <c r="AM20" s="6"/>
    </row>
    <row r="21">
      <c r="A21" t="str">
        <f>M21</f>
      </c>
      <c r="B21" s="6" t="str">
        <f>AC21</f>
      </c>
      <c r="C21" s="6" t="str">
        <f>AI21</f>
      </c>
      <c r="D21" s="6" t="str">
        <f>AJ21</f>
      </c>
      <c r="E21" s="6" t="str">
        <f>AK21</f>
      </c>
      <c r="F21" s="7" t="str">
        <f>AJ21/AI21-1</f>
      </c>
      <c r="G21" s="7" t="str">
        <f>AJ21/AC21-1</f>
      </c>
      <c r="H21" s="7" t="str">
        <f>AK21/AJ21</f>
      </c>
      <c r="I21" s="7" t="str">
        <f>AJ21/Sum(AJ$16:AJ$27)</f>
      </c>
      <c r="J21" s="7" t="str">
        <f>AK21/Sum(AK16:AK$27)</f>
      </c>
      <c r="M21" t="s">
        <v>78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 t="n">
        <v>44839428.6103321</v>
      </c>
      <c r="AL21" s="6"/>
      <c r="AM21" s="6"/>
    </row>
    <row r="22">
      <c r="A22" t="str">
        <f>M22</f>
      </c>
      <c r="B22" s="6" t="str">
        <f>AC22</f>
      </c>
      <c r="C22" s="6" t="str">
        <f>AI22</f>
      </c>
      <c r="D22" s="6" t="str">
        <f>AJ22</f>
      </c>
      <c r="E22" s="6" t="str">
        <f>AK22</f>
      </c>
      <c r="F22" s="7" t="str">
        <f>AJ22/AI22-1</f>
      </c>
      <c r="G22" s="7" t="str">
        <f>AJ22/AC22-1</f>
      </c>
      <c r="H22" s="7" t="str">
        <f>AK22/AJ22</f>
      </c>
      <c r="I22" s="7" t="str">
        <f>AJ22/Sum(AJ$16:AJ$27)</f>
      </c>
      <c r="J22" s="7" t="str">
        <f>AK22/Sum(AK16:AK$27)</f>
      </c>
      <c r="M22" t="s">
        <v>73</v>
      </c>
      <c r="N22" s="6"/>
      <c r="O22" s="6"/>
      <c r="P22" s="6"/>
      <c r="Q22" s="6"/>
      <c r="R22" s="6"/>
      <c r="S22" s="6"/>
      <c r="T22" s="6"/>
      <c r="U22" s="6" t="n">
        <v>15759450.9253865</v>
      </c>
      <c r="V22" s="6" t="n">
        <v>48959985.6938615</v>
      </c>
      <c r="W22" s="6" t="n">
        <v>43814873.884338</v>
      </c>
      <c r="X22" s="6" t="n">
        <v>0</v>
      </c>
      <c r="Y22" s="6"/>
      <c r="Z22" s="6" t="n">
        <v>-27053.2910422782</v>
      </c>
      <c r="AA22" s="6" t="n">
        <v>8135444.42139555</v>
      </c>
      <c r="AB22" s="6" t="n">
        <v>25871489.3448722</v>
      </c>
      <c r="AC22" s="6"/>
      <c r="AD22" s="6" t="n">
        <v>14663268.5091786</v>
      </c>
      <c r="AE22" s="6" t="n">
        <v>59528106.7824505</v>
      </c>
      <c r="AF22" s="6" t="n">
        <v>40171253.1981615</v>
      </c>
      <c r="AG22" s="6" t="n">
        <v>124481881.180061</v>
      </c>
      <c r="AH22" s="6" t="n">
        <v>25291646.8177342</v>
      </c>
      <c r="AI22" s="6" t="n">
        <v>94267813.9667044</v>
      </c>
      <c r="AJ22" s="6" t="n">
        <v>0</v>
      </c>
      <c r="AK22" s="6" t="n">
        <v>-188945.46199847</v>
      </c>
      <c r="AL22" s="6"/>
      <c r="AM22" s="6"/>
    </row>
    <row r="23">
      <c r="A23" t="str">
        <f>M23</f>
      </c>
      <c r="B23" s="6" t="str">
        <f>AC23</f>
      </c>
      <c r="C23" s="6" t="str">
        <f>AI23</f>
      </c>
      <c r="D23" s="6" t="str">
        <f>AJ23</f>
      </c>
      <c r="E23" s="6" t="str">
        <f>AK23</f>
      </c>
      <c r="F23" s="7" t="str">
        <f>AJ23/AI23-1</f>
      </c>
      <c r="G23" s="7" t="str">
        <f>AJ23/AC23-1</f>
      </c>
      <c r="H23" s="7" t="str">
        <f>AK23/AJ23</f>
      </c>
      <c r="I23" s="7" t="str">
        <f>AJ23/Sum(AJ$16:AJ$27)</f>
      </c>
      <c r="J23" s="7" t="str">
        <f>AK23/Sum(AK16:AK$27)</f>
      </c>
      <c r="M23" t="s">
        <v>74</v>
      </c>
      <c r="N23" s="6" t="n">
        <v>50851.8718563851</v>
      </c>
      <c r="O23" s="6" t="n">
        <v>5829121.92158018</v>
      </c>
      <c r="P23" s="6" t="n">
        <v>11135018.2092311</v>
      </c>
      <c r="Q23" s="6" t="n">
        <v>24032967.9254339</v>
      </c>
      <c r="R23" s="6" t="n">
        <v>21985265.7735097</v>
      </c>
      <c r="S23" s="6" t="n">
        <v>22928365.1330981</v>
      </c>
      <c r="T23" s="6" t="n">
        <v>14818655.784005</v>
      </c>
      <c r="U23" s="6" t="n">
        <v>5411242.6499147</v>
      </c>
      <c r="V23" s="6" t="n">
        <v>2851215.20270469</v>
      </c>
      <c r="W23" s="6" t="n">
        <v>51632336.2633245</v>
      </c>
      <c r="X23" s="6" t="n">
        <v>1247813.47274049</v>
      </c>
      <c r="Y23" s="6" t="n">
        <v>349880.743712982</v>
      </c>
      <c r="Z23" s="6" t="n">
        <v>16535.3265459851</v>
      </c>
      <c r="AA23" s="6" t="n">
        <v>-193569.462153836</v>
      </c>
      <c r="AB23" s="6" t="n">
        <v>-142340.669038914</v>
      </c>
      <c r="AC23" s="6" t="n">
        <v>-1018974.62000613</v>
      </c>
      <c r="AD23" s="6"/>
      <c r="AE23" s="6" t="n">
        <v>94737.9279358814</v>
      </c>
      <c r="AF23" s="6"/>
      <c r="AG23" s="6" t="n">
        <v>0</v>
      </c>
      <c r="AH23" s="6"/>
      <c r="AI23" s="6" t="n">
        <v>0</v>
      </c>
      <c r="AJ23" s="6"/>
      <c r="AK23" s="6" t="n">
        <v>2738911.6887132</v>
      </c>
      <c r="AL23" s="6"/>
      <c r="AM23" s="6"/>
    </row>
    <row r="24">
      <c r="A24" t="str">
        <f>M24</f>
      </c>
      <c r="B24" s="6" t="str">
        <f>AC24</f>
      </c>
      <c r="C24" s="6" t="str">
        <f>AI24</f>
      </c>
      <c r="D24" s="6" t="str">
        <f>AJ24</f>
      </c>
      <c r="E24" s="6" t="str">
        <f>AK24</f>
      </c>
      <c r="F24" s="7" t="str">
        <f>AJ24/AI24-1</f>
      </c>
      <c r="G24" s="7" t="str">
        <f>AJ24/AC24-1</f>
      </c>
      <c r="H24" s="7" t="str">
        <f>AK24/AJ24</f>
      </c>
      <c r="I24" s="7" t="str">
        <f>AJ24/Sum(AJ$16:AJ$27)</f>
      </c>
      <c r="J24" s="7" t="str">
        <f>AK24/Sum(AK16:AK$27)</f>
      </c>
      <c r="M24" t="s">
        <v>75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 t="n">
        <v>276754114.355995</v>
      </c>
      <c r="AA24" s="6"/>
      <c r="AB24" s="6"/>
      <c r="AC24" s="6" t="n">
        <v>16079427.0532597</v>
      </c>
      <c r="AD24" s="6" t="n">
        <v>50732802.6822838</v>
      </c>
      <c r="AE24" s="6" t="n">
        <v>40828748.8015233</v>
      </c>
      <c r="AF24" s="6" t="n">
        <v>136724473.389785</v>
      </c>
      <c r="AG24" s="6" t="n">
        <v>48366494.2000214</v>
      </c>
      <c r="AH24" s="6" t="n">
        <v>17501380.936179</v>
      </c>
      <c r="AI24" s="6"/>
      <c r="AJ24" s="6"/>
      <c r="AK24" s="6"/>
      <c r="AL24" s="6"/>
      <c r="AM24" s="6"/>
    </row>
    <row r="25">
      <c r="A25" t="str">
        <f>M25</f>
      </c>
      <c r="B25" s="6" t="str">
        <f>AC25</f>
      </c>
      <c r="C25" s="6" t="str">
        <f>AI25</f>
      </c>
      <c r="D25" s="6" t="str">
        <f>AJ25</f>
      </c>
      <c r="E25" s="6" t="str">
        <f>AK25</f>
      </c>
      <c r="F25" s="7" t="str">
        <f>AJ25/AI25-1</f>
      </c>
      <c r="G25" s="7" t="str">
        <f>AJ25/AC25-1</f>
      </c>
      <c r="H25" s="7" t="str">
        <f>AK25/AJ25</f>
      </c>
      <c r="I25" s="7" t="str">
        <f>AJ25/Sum(AJ$16:AJ$27)</f>
      </c>
      <c r="J25" s="7" t="str">
        <f>AK25/Sum(AK16:AK$27)</f>
      </c>
      <c r="M25" t="s">
        <v>76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n">
        <v>321520.77640198</v>
      </c>
      <c r="AG25" s="6" t="n">
        <v>944628.037818356</v>
      </c>
      <c r="AH25" s="6" t="n">
        <v>348832.516386865</v>
      </c>
      <c r="AI25" s="6" t="n">
        <v>-56120.9496048862</v>
      </c>
      <c r="AJ25" s="6" t="n">
        <v>507467.4062</v>
      </c>
      <c r="AK25" s="6" t="n">
        <v>363997.159039038</v>
      </c>
      <c r="AL25" s="6"/>
      <c r="AM25" s="6"/>
    </row>
    <row r="26">
      <c r="A26" t="str">
        <f>M26</f>
      </c>
      <c r="B26" s="6" t="str">
        <f>AC26</f>
      </c>
      <c r="C26" s="6" t="str">
        <f>AI26</f>
      </c>
      <c r="D26" s="6" t="str">
        <f>AJ26</f>
      </c>
      <c r="E26" s="6" t="str">
        <f>AK26</f>
      </c>
      <c r="F26" s="7" t="str">
        <f>AJ26/AI26-1</f>
      </c>
      <c r="G26" s="7" t="str">
        <f>AJ26/AC26-1</f>
      </c>
      <c r="H26" s="7" t="str">
        <f>AK26/AJ26</f>
      </c>
      <c r="I26" s="7" t="str">
        <f>AJ26/Sum(AJ$16:AJ$27)</f>
      </c>
      <c r="J26" s="7" t="str">
        <f>AK26/Sum(AK16:AK$27)</f>
      </c>
      <c r="M26" t="s">
        <v>77</v>
      </c>
      <c r="N26" s="6"/>
      <c r="O26" s="6"/>
      <c r="P26" s="6"/>
      <c r="Q26" s="6"/>
      <c r="R26" s="6"/>
      <c r="S26" s="6"/>
      <c r="T26" s="6"/>
      <c r="U26" s="6"/>
      <c r="V26" s="6" t="n">
        <v>94186300.8525872</v>
      </c>
      <c r="W26" s="6" t="n">
        <v>114698503.554794</v>
      </c>
      <c r="X26" s="6" t="n">
        <v>92549838.4752825</v>
      </c>
      <c r="Y26" s="6" t="n">
        <v>81192350.5332182</v>
      </c>
      <c r="Z26" s="6" t="n">
        <v>51593619.6090872</v>
      </c>
      <c r="AA26" s="6" t="n">
        <v>57550361.4975665</v>
      </c>
      <c r="AB26" s="6" t="n">
        <v>31498210.3320955</v>
      </c>
      <c r="AC26" s="6" t="n">
        <v>-7896064.69637381</v>
      </c>
      <c r="AD26" s="6" t="n">
        <v>79989102.8947598</v>
      </c>
      <c r="AE26" s="6" t="n">
        <v>77862773.6745531</v>
      </c>
      <c r="AF26" s="6" t="n">
        <v>89689055.6107462</v>
      </c>
      <c r="AG26" s="6" t="n">
        <v>-2687064.69472875</v>
      </c>
      <c r="AH26" s="6" t="n">
        <v>8181653.64335241</v>
      </c>
      <c r="AI26" s="6" t="n">
        <v>1986051.87781786</v>
      </c>
      <c r="AJ26" s="6" t="n">
        <v>-4344765.9707</v>
      </c>
      <c r="AK26" s="6" t="n">
        <v>-1237520.25282364</v>
      </c>
      <c r="AL26" s="6"/>
      <c r="AM26" s="6"/>
    </row>
    <row r="27">
      <c r="A27" t="str">
        <f>M27</f>
      </c>
      <c r="B27" s="6" t="str">
        <f>AC27</f>
      </c>
      <c r="C27" s="6" t="str">
        <f>AI27</f>
      </c>
      <c r="D27" s="6" t="str">
        <f>AJ27</f>
      </c>
      <c r="E27" s="6" t="str">
        <f>AK27</f>
      </c>
      <c r="F27" s="7" t="str">
        <f>AJ27/AI27-1</f>
      </c>
      <c r="G27" s="7" t="str">
        <f>AJ27/AC27-1</f>
      </c>
      <c r="H27" s="7" t="str">
        <f>AK27/AJ27</f>
      </c>
      <c r="I27" s="7" t="str">
        <f>AJ27/Sum(AJ$16:AJ$27)</f>
      </c>
      <c r="J27" s="7" t="str">
        <f>AK27/Sum(AK16:AK$27)</f>
      </c>
      <c r="M27"/>
      <c r="N27" s="6" t="n">
        <v>10513336984.1074</v>
      </c>
      <c r="O27" s="6" t="n">
        <v>11699711626.5241</v>
      </c>
      <c r="P27" s="6" t="n">
        <v>16364789685.1245</v>
      </c>
      <c r="Q27" s="6" t="n">
        <v>24517913328.6206</v>
      </c>
      <c r="R27" s="6" t="n">
        <v>29796623674.9218</v>
      </c>
      <c r="S27" s="6" t="n">
        <v>31917382950.5287</v>
      </c>
      <c r="T27" s="6" t="n">
        <v>33772239690.4769</v>
      </c>
      <c r="U27" s="6" t="n">
        <v>33295458699.4035</v>
      </c>
      <c r="V27" s="6" t="n">
        <v>36457567496.7128</v>
      </c>
      <c r="W27" s="6" t="n">
        <v>40333533116.0226</v>
      </c>
      <c r="X27" s="6" t="n">
        <v>43114876787.1683</v>
      </c>
      <c r="Y27" s="6" t="n">
        <v>47103956086.8339</v>
      </c>
      <c r="Z27" s="6" t="n">
        <v>42319986322.2012</v>
      </c>
      <c r="AA27" s="6" t="n">
        <v>37844961917.6853</v>
      </c>
      <c r="AB27" s="6" t="n">
        <v>31070845400.0713</v>
      </c>
      <c r="AC27" s="6" t="n">
        <v>27537187835.4387</v>
      </c>
      <c r="AD27" s="6" t="n">
        <v>28153237406.2895</v>
      </c>
      <c r="AE27" s="6" t="n">
        <v>30414199009.8481</v>
      </c>
      <c r="AF27" s="6" t="n">
        <v>32307411803.0694</v>
      </c>
      <c r="AG27" s="6" t="n">
        <v>33001539373.8951</v>
      </c>
      <c r="AH27" s="6" t="n">
        <v>32642427012.1759</v>
      </c>
      <c r="AI27" s="6" t="n">
        <v>30708677684.1051</v>
      </c>
      <c r="AJ27" s="6" t="n">
        <v>30747297973.7056</v>
      </c>
      <c r="AK27" s="6" t="n">
        <v>20465989206.8932</v>
      </c>
      <c r="AL27" s="6"/>
      <c r="AM27" s="6"/>
    </row>
    <row r="28">
      <c r="A28" t="str">
        <f>M28</f>
      </c>
      <c r="B28" s="6" t="str">
        <f>AC28</f>
      </c>
      <c r="C28" s="6" t="str">
        <f>AI28</f>
      </c>
      <c r="D28" s="6" t="str">
        <f>AJ28</f>
      </c>
      <c r="E28" s="6" t="str">
        <f>AK28</f>
      </c>
      <c r="F28" s="7" t="str">
        <f>AJ28/AI28-1</f>
      </c>
      <c r="G28" s="7" t="str">
        <f>AJ28/AC28-1</f>
      </c>
      <c r="H28" s="7" t="str">
        <f>AK28/AJ28</f>
      </c>
      <c r="I28" s="7" t="str">
        <f>Sum(I$16:I$27)</f>
      </c>
      <c r="J28" s="7" t="str">
        <f>Sum(J$16:J$27)</f>
      </c>
      <c r="M28" t="s">
        <v>113</v>
      </c>
      <c r="N28" s="6" t="str">
        <f>Sum(N17:N27)</f>
      </c>
      <c r="O28" s="6" t="str">
        <f>Sum(O17:O27)</f>
      </c>
      <c r="P28" s="6" t="str">
        <f>Sum(P17:P27)</f>
      </c>
      <c r="Q28" s="6" t="str">
        <f>Sum(Q17:Q27)</f>
      </c>
      <c r="R28" s="6" t="str">
        <f>Sum(R17:R27)</f>
      </c>
      <c r="S28" s="6" t="str">
        <f>Sum(S17:S27)</f>
      </c>
      <c r="T28" s="6" t="str">
        <f>Sum(T17:T27)</f>
      </c>
      <c r="U28" s="6" t="str">
        <f>Sum(U17:U27)</f>
      </c>
      <c r="V28" s="6" t="str">
        <f>Sum(V17:V27)</f>
      </c>
      <c r="W28" s="6" t="str">
        <f>Sum(W17:W27)</f>
      </c>
      <c r="X28" s="6" t="str">
        <f>Sum(X17:X27)</f>
      </c>
      <c r="Y28" s="6" t="str">
        <f>Sum(Y17:Y27)</f>
      </c>
      <c r="Z28" s="6" t="str">
        <f>Sum(Z17:Z27)</f>
      </c>
      <c r="AA28" s="6" t="str">
        <f>Sum(AA17:AA27)</f>
      </c>
      <c r="AB28" s="6" t="str">
        <f>Sum(AB17:AB27)</f>
      </c>
      <c r="AC28" s="6" t="str">
        <f>Sum(AC17:AC27)</f>
      </c>
      <c r="AD28" s="6" t="str">
        <f>Sum(AD17:AD27)</f>
      </c>
      <c r="AE28" s="6" t="str">
        <f>Sum(AE17:AE27)</f>
      </c>
      <c r="AF28" s="6" t="str">
        <f>Sum(AF17:AF27)</f>
      </c>
      <c r="AG28" s="6" t="str">
        <f>Sum(AG17:AG27)</f>
      </c>
      <c r="AH28" s="6" t="str">
        <f>Sum(AH17:AH27)</f>
      </c>
      <c r="AI28" s="6" t="str">
        <f>Sum(AI17:AI27)</f>
      </c>
      <c r="AJ28" s="6" t="str">
        <f>Sum(AJ17:AJ27)</f>
      </c>
      <c r="AK28" s="6" t="str">
        <f>Sum(AK17:AK27)</f>
      </c>
      <c r="AL28" s="6"/>
      <c r="AM28" s="6"/>
    </row>
    <row r="29">
      <c r="M29" t="str">
        <f>Sum(A17:A27)</f>
      </c>
    </row>
    <row r="30">
      <c r="M30" t="str">
        <f>Sum(B17:B27)</f>
      </c>
    </row>
    <row r="31">
      <c r="M31" t="str">
        <f>Sum(C17:C27)</f>
      </c>
    </row>
    <row r="32">
      <c r="M32" t="str">
        <f>Sum(D17:D27)</f>
      </c>
    </row>
    <row r="33">
      <c r="M33" t="str">
        <f>Sum(E17:E27)</f>
      </c>
    </row>
    <row r="34">
      <c r="M34" t="str">
        <f>Sum(F17:F27)</f>
      </c>
    </row>
    <row r="35">
      <c r="M35" t="str">
        <f>Sum(G17:G27)</f>
      </c>
    </row>
    <row r="36">
      <c r="M36" t="str">
        <f>Sum(H17:H27)</f>
      </c>
    </row>
    <row r="37">
      <c r="M37" t="str">
        <f>Sum(I17:I27)</f>
      </c>
    </row>
    <row r="38">
      <c r="M38" t="str">
        <f>Sum(J17:J27)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79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>
      <c r="A2" t="str">
        <f>M2</f>
      </c>
      <c r="M2" t="s">
        <v>80</v>
      </c>
      <c r="N2" s="9" t="n">
        <v>157666542</v>
      </c>
      <c r="O2" s="9" t="n">
        <v>53922171</v>
      </c>
      <c r="P2" s="9" t="n">
        <v>1077012017</v>
      </c>
      <c r="Q2" s="9" t="n">
        <v>1526571867</v>
      </c>
      <c r="R2" s="9" t="n">
        <v>970540574</v>
      </c>
      <c r="S2" s="9" t="n">
        <v>1192162866.5</v>
      </c>
      <c r="T2" s="9" t="n">
        <v>1298520070</v>
      </c>
      <c r="U2" s="9" t="n">
        <v>1401573968.8075</v>
      </c>
      <c r="V2" s="9" t="n">
        <v>1960040484.6516</v>
      </c>
      <c r="W2" s="9" t="n">
        <v>1877749064.1075</v>
      </c>
      <c r="X2" s="9" t="n">
        <v>2240560536.6933</v>
      </c>
      <c r="Y2" s="9" t="n">
        <v>2326387948.1153</v>
      </c>
      <c r="Z2" s="9" t="n">
        <v>2325265867.2322</v>
      </c>
      <c r="AA2" s="9" t="n">
        <v>790863508.64</v>
      </c>
      <c r="AB2" s="9" t="n">
        <v>539845091.7693</v>
      </c>
      <c r="AC2" s="9" t="n">
        <v>565300302.8534</v>
      </c>
      <c r="AD2" s="9" t="n">
        <v>600635159.1998</v>
      </c>
      <c r="AE2" s="9" t="n">
        <v>622068103.265</v>
      </c>
      <c r="AF2" s="9" t="n">
        <v>886941134.4691</v>
      </c>
      <c r="AG2" s="9" t="n">
        <v>1020213968.2478</v>
      </c>
      <c r="AH2" s="9" t="n">
        <v>914856931.8201</v>
      </c>
      <c r="AI2" s="9" t="n">
        <v>762693558.0488</v>
      </c>
      <c r="AJ2" s="9" t="n">
        <v>1218146836.1483</v>
      </c>
      <c r="AK2" s="9" t="n">
        <v>1047702344.8335</v>
      </c>
      <c r="AL2" s="9"/>
      <c r="AM2" s="9"/>
    </row>
    <row r="3">
      <c r="A3" t="str">
        <f>M3</f>
      </c>
      <c r="M3" t="s">
        <v>81</v>
      </c>
      <c r="N3" s="9" t="n">
        <v>1771412045</v>
      </c>
      <c r="O3" s="9" t="n">
        <v>2807394803</v>
      </c>
      <c r="P3" s="9" t="n">
        <v>4693823556.8438</v>
      </c>
      <c r="Q3" s="9" t="n">
        <v>6244128525</v>
      </c>
      <c r="R3" s="9" t="n">
        <v>5562373830.8594</v>
      </c>
      <c r="S3" s="9" t="n">
        <v>6851785667.7622</v>
      </c>
      <c r="T3" s="9" t="n">
        <v>8161602251.7754</v>
      </c>
      <c r="U3" s="9" t="n">
        <v>9113185480.4584</v>
      </c>
      <c r="V3" s="9" t="n">
        <v>9088868938.8139</v>
      </c>
      <c r="W3" s="9" t="n">
        <v>11633194686.5047</v>
      </c>
      <c r="X3" s="9" t="n">
        <v>10214380985.2299</v>
      </c>
      <c r="Y3" s="9" t="n">
        <v>10951623286.2086</v>
      </c>
      <c r="Z3" s="9" t="n">
        <v>10980324627.5289</v>
      </c>
      <c r="AA3" s="9" t="n">
        <v>10746412259.3245</v>
      </c>
      <c r="AB3" s="9" t="n">
        <v>11401595600.9497</v>
      </c>
      <c r="AC3" s="9" t="n">
        <v>10450546063.386</v>
      </c>
      <c r="AD3" s="9" t="n">
        <v>11520621257.8358</v>
      </c>
      <c r="AE3" s="9" t="n">
        <v>11903324241.7286</v>
      </c>
      <c r="AF3" s="9" t="n">
        <v>12010888715.878</v>
      </c>
      <c r="AG3" s="9" t="n">
        <v>12189004031.1667</v>
      </c>
      <c r="AH3" s="9" t="n">
        <v>12558994534.363</v>
      </c>
      <c r="AI3" s="9" t="n">
        <v>13087068407.5412</v>
      </c>
      <c r="AJ3" s="9" t="n">
        <v>14069475681.8469</v>
      </c>
      <c r="AK3" s="9" t="n">
        <v>11067239093.8898</v>
      </c>
      <c r="AL3" s="9"/>
      <c r="AM3" s="9"/>
    </row>
    <row r="4">
      <c r="A4" t="str">
        <f>M4</f>
      </c>
      <c r="M4" t="s">
        <v>82</v>
      </c>
      <c r="N4" s="9" t="n">
        <v>945566197.319</v>
      </c>
      <c r="O4" s="9" t="n">
        <v>859695398.3496</v>
      </c>
      <c r="P4" s="9" t="n">
        <v>1081261546.8503</v>
      </c>
      <c r="Q4" s="9" t="n">
        <v>3129004873.6284</v>
      </c>
      <c r="R4" s="9" t="n">
        <v>7758806911.9708</v>
      </c>
      <c r="S4" s="9" t="n">
        <v>6851944994.7723</v>
      </c>
      <c r="T4" s="9" t="n">
        <v>7351020026.4999</v>
      </c>
      <c r="U4" s="9" t="n">
        <v>6807444321.1756</v>
      </c>
      <c r="V4" s="9" t="n">
        <v>8312865970.1097</v>
      </c>
      <c r="W4" s="9" t="n">
        <v>8472848973.8873</v>
      </c>
      <c r="X4" s="9" t="n">
        <v>10488339081.6815</v>
      </c>
      <c r="Y4" s="9" t="n">
        <v>10724733288.2016</v>
      </c>
      <c r="Z4" s="9" t="n">
        <v>7706353786.752</v>
      </c>
      <c r="AA4" s="9" t="n">
        <v>7658317476.5707</v>
      </c>
      <c r="AB4" s="9" t="n">
        <v>3848113534.8216</v>
      </c>
      <c r="AC4" s="9" t="n">
        <v>3685939429.1051</v>
      </c>
      <c r="AD4" s="9" t="n">
        <v>4177829304.8784</v>
      </c>
      <c r="AE4" s="9" t="n">
        <v>5181670113.9833</v>
      </c>
      <c r="AF4" s="9" t="n">
        <v>6104624529.8168</v>
      </c>
      <c r="AG4" s="9" t="n">
        <v>6348723536.139</v>
      </c>
      <c r="AH4" s="9" t="n">
        <v>6269701946.831</v>
      </c>
      <c r="AI4" s="9" t="n">
        <v>6144942651.0601</v>
      </c>
      <c r="AJ4" s="9" t="n">
        <v>6447208732.0781</v>
      </c>
      <c r="AK4" s="9" t="n">
        <v>3277566524.8262</v>
      </c>
      <c r="AL4" s="9"/>
      <c r="AM4" s="9"/>
    </row>
    <row r="5">
      <c r="A5" t="str">
        <f>M5</f>
      </c>
      <c r="M5" t="s">
        <v>83</v>
      </c>
      <c r="N5" s="9" t="n">
        <v>104950958</v>
      </c>
      <c r="O5" s="9" t="n">
        <v>178509288</v>
      </c>
      <c r="P5" s="9" t="n">
        <v>183036032</v>
      </c>
      <c r="Q5" s="9" t="n">
        <v>169658998</v>
      </c>
      <c r="R5" s="9" t="n">
        <v>287102567.9375</v>
      </c>
      <c r="S5" s="9" t="n">
        <v>494805433.7071</v>
      </c>
      <c r="T5" s="9" t="n">
        <v>769069370.4823</v>
      </c>
      <c r="U5" s="9" t="n">
        <v>665138441.6697</v>
      </c>
      <c r="V5" s="9" t="n">
        <v>1541984418.0794</v>
      </c>
      <c r="W5" s="9" t="n">
        <v>1514972966.7288</v>
      </c>
      <c r="X5" s="9" t="n">
        <v>1456966121.4979</v>
      </c>
      <c r="Y5" s="9" t="n">
        <v>1539351281.7228</v>
      </c>
      <c r="Z5" s="9" t="n">
        <v>1585386006.0677</v>
      </c>
      <c r="AA5" s="9" t="n">
        <v>1403398737.18</v>
      </c>
      <c r="AB5" s="9" t="n">
        <v>1192453089.984</v>
      </c>
      <c r="AC5" s="9" t="n">
        <v>1236919044.051</v>
      </c>
      <c r="AD5" s="9" t="n">
        <v>1339033143.193</v>
      </c>
      <c r="AE5" s="9" t="n">
        <v>1486909092.7281</v>
      </c>
      <c r="AF5" s="9" t="n">
        <v>1655916103.5404</v>
      </c>
      <c r="AG5" s="9" t="n">
        <v>1572041174.8409</v>
      </c>
      <c r="AH5" s="9" t="n">
        <v>1284088569.3544</v>
      </c>
      <c r="AI5" s="9" t="n">
        <v>1120662325.7936</v>
      </c>
      <c r="AJ5" s="9" t="n">
        <v>1144841742.5125</v>
      </c>
      <c r="AK5" s="9" t="n">
        <v>804431109.9329</v>
      </c>
      <c r="AL5" s="9"/>
      <c r="AM5" s="9"/>
    </row>
    <row r="6">
      <c r="A6" t="str">
        <f>M6</f>
      </c>
      <c r="M6" t="s">
        <v>84</v>
      </c>
      <c r="N6" s="9" t="n">
        <v>985350461</v>
      </c>
      <c r="O6" s="9" t="n">
        <v>613218049</v>
      </c>
      <c r="P6" s="9" t="n">
        <v>707505452</v>
      </c>
      <c r="Q6" s="9" t="n">
        <v>1078969634</v>
      </c>
      <c r="R6" s="9" t="n">
        <v>916346855</v>
      </c>
      <c r="S6" s="9" t="n">
        <v>958419120</v>
      </c>
      <c r="T6" s="9" t="n">
        <v>1475139793.1399</v>
      </c>
      <c r="U6" s="9" t="n">
        <v>1307823996.5728</v>
      </c>
      <c r="V6" s="9" t="n">
        <v>849064371.1449</v>
      </c>
      <c r="W6" s="9" t="n">
        <v>1095105202.278</v>
      </c>
      <c r="X6" s="9" t="n">
        <v>869355646.2834</v>
      </c>
      <c r="Y6" s="9" t="n">
        <v>1110700830.0167</v>
      </c>
      <c r="Z6" s="9" t="n">
        <v>1082577140.3067</v>
      </c>
      <c r="AA6" s="9" t="n">
        <v>1199486788.47</v>
      </c>
      <c r="AB6" s="9" t="n">
        <v>1079789667.4401</v>
      </c>
      <c r="AC6" s="9" t="n">
        <v>944997652.4876</v>
      </c>
      <c r="AD6" s="9" t="n">
        <v>1120812981.7657</v>
      </c>
      <c r="AE6" s="9" t="n">
        <v>1235867158.2196</v>
      </c>
      <c r="AF6" s="9" t="n">
        <v>1218705838.8429</v>
      </c>
      <c r="AG6" s="9" t="n">
        <v>1506735061.82</v>
      </c>
      <c r="AH6" s="9" t="n">
        <v>1459443062.2991</v>
      </c>
      <c r="AI6" s="9" t="n">
        <v>1208073818.2716</v>
      </c>
      <c r="AJ6" s="9" t="n">
        <v>1506603367.1423</v>
      </c>
      <c r="AK6" s="9" t="n">
        <v>1132008654.1123</v>
      </c>
      <c r="AL6" s="9"/>
      <c r="AM6" s="9"/>
    </row>
    <row r="7">
      <c r="A7" t="str">
        <f>M7</f>
      </c>
      <c r="M7" t="s">
        <v>85</v>
      </c>
      <c r="N7" s="9" t="n">
        <v>249382900</v>
      </c>
      <c r="O7" s="9" t="n">
        <v>281791736.2363</v>
      </c>
      <c r="P7" s="9" t="n">
        <v>331441697.0351</v>
      </c>
      <c r="Q7" s="9" t="n">
        <v>247696495.0303</v>
      </c>
      <c r="R7" s="9" t="n">
        <v>253803489.4995</v>
      </c>
      <c r="S7" s="9" t="n">
        <v>314212922.7942</v>
      </c>
      <c r="T7" s="9" t="n">
        <v>355503769.5461</v>
      </c>
      <c r="U7" s="9" t="n">
        <v>405959336.1681</v>
      </c>
      <c r="V7" s="9" t="n">
        <v>426781305.4115</v>
      </c>
      <c r="W7" s="9" t="n">
        <v>558752070.1546</v>
      </c>
      <c r="X7" s="9" t="n">
        <v>961943369.4091</v>
      </c>
      <c r="Y7" s="9" t="n">
        <v>1018032984.3252</v>
      </c>
      <c r="Z7" s="9" t="n">
        <v>962046685.5802</v>
      </c>
      <c r="AA7" s="9" t="n">
        <v>1149452763.2638</v>
      </c>
      <c r="AB7" s="9" t="n">
        <v>1423182579.5383</v>
      </c>
      <c r="AC7" s="9" t="n">
        <v>971574702.1364</v>
      </c>
      <c r="AD7" s="9" t="n">
        <v>553955807.4868</v>
      </c>
      <c r="AE7" s="9" t="n">
        <v>467589395.8309</v>
      </c>
      <c r="AF7" s="9" t="n">
        <v>569279828.731</v>
      </c>
      <c r="AG7" s="9" t="n">
        <v>466189669.0752</v>
      </c>
      <c r="AH7" s="9" t="n">
        <v>621493861.1073</v>
      </c>
      <c r="AI7" s="9" t="n">
        <v>478474409.5015</v>
      </c>
      <c r="AJ7" s="9" t="n">
        <v>462246367.8425</v>
      </c>
      <c r="AK7" s="9" t="n">
        <v>264292841.6068</v>
      </c>
      <c r="AL7" s="9"/>
      <c r="AM7" s="9"/>
    </row>
    <row r="8">
      <c r="A8" t="str">
        <f>M8</f>
      </c>
      <c r="M8" t="s">
        <v>86</v>
      </c>
      <c r="N8" s="9" t="n">
        <v>1627255657.8008</v>
      </c>
      <c r="O8" s="9" t="n">
        <v>1898827067.2598</v>
      </c>
      <c r="P8" s="9" t="n">
        <v>1886354652.7495</v>
      </c>
      <c r="Q8" s="9" t="n">
        <v>2537178976.98</v>
      </c>
      <c r="R8" s="9" t="n">
        <v>2425575931.767</v>
      </c>
      <c r="S8" s="9" t="n">
        <v>3219381097.827</v>
      </c>
      <c r="T8" s="9" t="n">
        <v>3018703057.8261</v>
      </c>
      <c r="U8" s="9" t="n">
        <v>3275164004.2858</v>
      </c>
      <c r="V8" s="9" t="n">
        <v>3316484211.2066</v>
      </c>
      <c r="W8" s="9" t="n">
        <v>3680062600.9893</v>
      </c>
      <c r="X8" s="9" t="n">
        <v>4670974501.4231</v>
      </c>
      <c r="Y8" s="9" t="n">
        <v>5506379839.627</v>
      </c>
      <c r="Z8" s="9" t="n">
        <v>5150421738.1294</v>
      </c>
      <c r="AA8" s="9" t="n">
        <v>3938741486.0769</v>
      </c>
      <c r="AB8" s="9" t="n">
        <v>3966588961.8685</v>
      </c>
      <c r="AC8" s="9" t="n">
        <v>3326678880.4293</v>
      </c>
      <c r="AD8" s="9" t="n">
        <v>3113440224.8223</v>
      </c>
      <c r="AE8" s="9" t="n">
        <v>3330151914.5088</v>
      </c>
      <c r="AF8" s="9" t="n">
        <v>3734846689.801</v>
      </c>
      <c r="AG8" s="9" t="n">
        <v>4218193315.8866</v>
      </c>
      <c r="AH8" s="9" t="n">
        <v>4125438027.6542</v>
      </c>
      <c r="AI8" s="9" t="n">
        <v>4117357296.2824</v>
      </c>
      <c r="AJ8" s="9" t="n">
        <v>4236507697.277</v>
      </c>
      <c r="AK8" s="9" t="n">
        <v>2608077430.9024</v>
      </c>
      <c r="AL8" s="9"/>
      <c r="AM8" s="9"/>
    </row>
    <row r="9">
      <c r="A9" t="str">
        <f>M9</f>
      </c>
      <c r="M9" t="s">
        <v>87</v>
      </c>
      <c r="N9" s="9" t="n">
        <v>656052195</v>
      </c>
      <c r="O9" s="9" t="n">
        <v>690606774</v>
      </c>
      <c r="P9" s="9" t="n">
        <v>362199176</v>
      </c>
      <c r="Q9" s="9" t="n">
        <v>1011449245</v>
      </c>
      <c r="R9" s="9" t="n">
        <v>1188819122</v>
      </c>
      <c r="S9" s="9" t="n">
        <v>1612204799</v>
      </c>
      <c r="T9" s="9" t="n">
        <v>1549581767</v>
      </c>
      <c r="U9" s="9" t="n">
        <v>1516482913.0875</v>
      </c>
      <c r="V9" s="9" t="n">
        <v>1940894595.8459</v>
      </c>
      <c r="W9" s="9" t="n">
        <v>1882528561.7655</v>
      </c>
      <c r="X9" s="9" t="n">
        <v>2098304690.5294</v>
      </c>
      <c r="Y9" s="9" t="n">
        <v>2147633935.7632</v>
      </c>
      <c r="Z9" s="9" t="n">
        <v>1686362698.1324</v>
      </c>
      <c r="AA9" s="9" t="n">
        <v>2274776332.99</v>
      </c>
      <c r="AB9" s="9" t="n">
        <v>1402879606.8992</v>
      </c>
      <c r="AC9" s="9" t="n">
        <v>1088304427.2411</v>
      </c>
      <c r="AD9" s="9" t="n">
        <v>962200979.4378</v>
      </c>
      <c r="AE9" s="9" t="n">
        <v>1124731712.4093</v>
      </c>
      <c r="AF9" s="9" t="n">
        <v>1328496804.9759</v>
      </c>
      <c r="AG9" s="9" t="n">
        <v>1378455743.1226</v>
      </c>
      <c r="AH9" s="9" t="n">
        <v>1517712492.4542</v>
      </c>
      <c r="AI9" s="9" t="n">
        <v>1119840806.0943</v>
      </c>
      <c r="AJ9" s="9" t="n">
        <v>869796473.8498</v>
      </c>
      <c r="AK9" s="9" t="n">
        <v>811154495.8101</v>
      </c>
      <c r="AL9" s="9"/>
      <c r="AM9" s="9"/>
    </row>
    <row r="10">
      <c r="A10" t="str">
        <f>M10</f>
      </c>
      <c r="M10" t="s">
        <v>88</v>
      </c>
      <c r="N10" s="9" t="n">
        <v>9259315</v>
      </c>
      <c r="O10" s="9" t="n">
        <v>36453338</v>
      </c>
      <c r="P10" s="9" t="n">
        <v>222481802</v>
      </c>
      <c r="Q10" s="9" t="n">
        <v>160689126</v>
      </c>
      <c r="R10" s="9" t="n">
        <v>746411505</v>
      </c>
      <c r="S10" s="9" t="n">
        <v>718120035</v>
      </c>
      <c r="T10" s="9" t="n">
        <v>259690560</v>
      </c>
      <c r="U10" s="9" t="n">
        <v>5112302</v>
      </c>
      <c r="V10" s="9" t="n">
        <v>30977331.2073</v>
      </c>
      <c r="W10" s="9" t="n">
        <v>8435103.3047</v>
      </c>
      <c r="X10" s="9" t="n">
        <v>26999658.55</v>
      </c>
      <c r="Y10" s="9" t="n">
        <v>1467826947.8608</v>
      </c>
      <c r="Z10" s="9" t="n">
        <v>2385414445.1545</v>
      </c>
      <c r="AA10" s="9" t="n">
        <v>1493498495.12</v>
      </c>
      <c r="AB10" s="9" t="n">
        <v>803112687.06</v>
      </c>
      <c r="AC10" s="9" t="n">
        <v>693763931.0289</v>
      </c>
      <c r="AD10" s="9" t="n">
        <v>440589039.1839</v>
      </c>
      <c r="AE10" s="9" t="n">
        <v>865457968.4768</v>
      </c>
      <c r="AF10" s="9" t="n">
        <v>1092971272.8175</v>
      </c>
      <c r="AG10" s="9" t="n">
        <v>917279471.3826</v>
      </c>
      <c r="AH10" s="9" t="n">
        <v>843211413.5711</v>
      </c>
      <c r="AI10" s="9" t="n">
        <v>773846490.7522</v>
      </c>
      <c r="AJ10" s="9" t="n">
        <v>787796604.3405</v>
      </c>
      <c r="AK10" s="9" t="n">
        <v>493732699.9925</v>
      </c>
      <c r="AL10" s="9"/>
      <c r="AM10" s="9"/>
    </row>
    <row r="11">
      <c r="A11" t="str">
        <f>M11</f>
      </c>
      <c r="M11" t="s">
        <v>113</v>
      </c>
      <c r="N11" s="9" t="str">
        <f>Sum(N2:N10)</f>
      </c>
      <c r="O11" s="9" t="str">
        <f>Sum(O2:O10)</f>
      </c>
      <c r="P11" s="9" t="str">
        <f>Sum(P2:P10)</f>
      </c>
      <c r="Q11" s="9" t="str">
        <f>Sum(Q2:Q10)</f>
      </c>
      <c r="R11" s="9" t="str">
        <f>Sum(R2:R10)</f>
      </c>
      <c r="S11" s="9" t="str">
        <f>Sum(S2:S10)</f>
      </c>
      <c r="T11" s="9" t="str">
        <f>Sum(T2:T10)</f>
      </c>
      <c r="U11" s="9" t="str">
        <f>Sum(U2:U10)</f>
      </c>
      <c r="V11" s="9" t="str">
        <f>Sum(V2:V10)</f>
      </c>
      <c r="W11" s="9" t="str">
        <f>Sum(W2:W10)</f>
      </c>
      <c r="X11" s="9" t="str">
        <f>Sum(X2:X10)</f>
      </c>
      <c r="Y11" s="9" t="str">
        <f>Sum(Y2:Y10)</f>
      </c>
      <c r="Z11" s="9" t="str">
        <f>Sum(Z2:Z10)</f>
      </c>
      <c r="AA11" s="9" t="str">
        <f>Sum(AA2:AA10)</f>
      </c>
      <c r="AB11" s="9" t="str">
        <f>Sum(AB2:AB10)</f>
      </c>
      <c r="AC11" s="9" t="str">
        <f>Sum(AC2:AC10)</f>
      </c>
      <c r="AD11" s="9" t="str">
        <f>Sum(AD2:AD10)</f>
      </c>
      <c r="AE11" s="9" t="str">
        <f>Sum(AE2:AE10)</f>
      </c>
      <c r="AF11" s="9" t="str">
        <f>Sum(AF2:AF10)</f>
      </c>
      <c r="AG11" s="9" t="str">
        <f>Sum(AG2:AG10)</f>
      </c>
      <c r="AH11" s="9" t="str">
        <f>Sum(AH2:AH10)</f>
      </c>
      <c r="AI11" s="9" t="str">
        <f>Sum(AI2:AI10)</f>
      </c>
      <c r="AJ11" s="9" t="str">
        <f>Sum(AJ2:AJ10)</f>
      </c>
      <c r="AK11" s="9" t="str">
        <f>Sum(AK2:AK10)</f>
      </c>
      <c r="AL11" s="9"/>
      <c r="AM11" s="9"/>
    </row>
    <row r="14">
      <c r="A14" t="str">
        <f>M14</f>
      </c>
      <c r="B14" t="str">
        <f>AC14</f>
      </c>
      <c r="C14" t="str">
        <f>AI14</f>
      </c>
      <c r="D14" t="str">
        <f>AJ14</f>
      </c>
      <c r="E14" t="str">
        <f>AK14</f>
      </c>
      <c r="F14" t="str">
        <f>AI14&amp;"-"&amp;AJ14</f>
      </c>
      <c r="G14" t="str">
        <f>AC14&amp;"-"&amp;AJ14</f>
      </c>
      <c r="H14" t="str">
        <f>AK14&amp;"/"&amp;AJ14</f>
      </c>
      <c r="I14" t="str">
        <f>"Share "&amp;AJ14</f>
      </c>
      <c r="J14" t="str">
        <f>"Share "&amp;AK14</f>
      </c>
      <c r="M14" t="s">
        <v>79</v>
      </c>
      <c r="N14" t="s">
        <v>11</v>
      </c>
      <c r="O14" t="s">
        <v>12</v>
      </c>
      <c r="P14" t="s">
        <v>13</v>
      </c>
      <c r="Q14" t="s">
        <v>14</v>
      </c>
      <c r="R14" t="s">
        <v>15</v>
      </c>
      <c r="S14" t="s">
        <v>16</v>
      </c>
      <c r="T14" t="s">
        <v>17</v>
      </c>
      <c r="U14" t="s">
        <v>18</v>
      </c>
      <c r="V14" t="s">
        <v>19</v>
      </c>
      <c r="W14" t="s">
        <v>20</v>
      </c>
      <c r="X14" t="s">
        <v>21</v>
      </c>
      <c r="Y14" t="s">
        <v>22</v>
      </c>
      <c r="Z14" t="s">
        <v>23</v>
      </c>
      <c r="AA14" t="s">
        <v>24</v>
      </c>
      <c r="AB14" t="s">
        <v>25</v>
      </c>
      <c r="AC14" t="s">
        <v>26</v>
      </c>
      <c r="AD14" t="s">
        <v>27</v>
      </c>
      <c r="AE14" t="s">
        <v>28</v>
      </c>
      <c r="AF14" t="s">
        <v>29</v>
      </c>
      <c r="AG14" t="s">
        <v>30</v>
      </c>
      <c r="AH14" t="s">
        <v>31</v>
      </c>
      <c r="AI14" t="s">
        <v>32</v>
      </c>
      <c r="AJ14" t="s">
        <v>33</v>
      </c>
      <c r="AK14" t="s">
        <v>34</v>
      </c>
    </row>
    <row r="15">
      <c r="A15" t="str">
        <f>M15</f>
      </c>
      <c r="B15" s="9" t="str">
        <f>AC15</f>
      </c>
      <c r="C15" s="9" t="str">
        <f>AI15</f>
      </c>
      <c r="D15" s="9" t="str">
        <f>AJ15</f>
      </c>
      <c r="E15" s="9" t="str">
        <f>AK15</f>
      </c>
      <c r="F15" s="7" t="str">
        <f>AJ15/AI15-1</f>
      </c>
      <c r="G15" s="7" t="str">
        <f>AJ15/AC15-1</f>
      </c>
      <c r="H15" s="7" t="str">
        <f>AK15/AJ15</f>
      </c>
      <c r="I15" s="7" t="str">
        <f>AJ15/Sum(AJ$14:AJ$23)</f>
      </c>
      <c r="J15" s="7" t="str">
        <f>AK15/Sum(AK14:AK$23)</f>
      </c>
      <c r="M15" t="s">
        <v>80</v>
      </c>
      <c r="N15" s="9" t="n">
        <v>254746569.752593</v>
      </c>
      <c r="O15" s="9" t="n">
        <v>85060992.0809259</v>
      </c>
      <c r="P15" s="9" t="n">
        <v>1672562872.121</v>
      </c>
      <c r="Q15" s="9" t="n">
        <v>2326248733.09605</v>
      </c>
      <c r="R15" s="9" t="n">
        <v>1443659041.47576</v>
      </c>
      <c r="S15" s="9" t="n">
        <v>1721071532.69657</v>
      </c>
      <c r="T15" s="9" t="n">
        <v>1815506076.73069</v>
      </c>
      <c r="U15" s="9" t="n">
        <v>1907285604.90646</v>
      </c>
      <c r="V15" s="9" t="n">
        <v>2612764879.11718</v>
      </c>
      <c r="W15" s="9" t="n">
        <v>2477888921.60258</v>
      </c>
      <c r="X15" s="9" t="n">
        <v>2931163393.67297</v>
      </c>
      <c r="Y15" s="9" t="n">
        <v>2983320103.58573</v>
      </c>
      <c r="Z15" s="9" t="n">
        <v>2928207306.04681</v>
      </c>
      <c r="AA15" s="9" t="n">
        <v>978036350.768531</v>
      </c>
      <c r="AB15" s="9" t="n">
        <v>654939233.339009</v>
      </c>
      <c r="AC15" s="9" t="n">
        <v>678048072.924599</v>
      </c>
      <c r="AD15" s="9" t="n">
        <v>714509594.176549</v>
      </c>
      <c r="AE15" s="9" t="n">
        <v>727025858.777093</v>
      </c>
      <c r="AF15" s="9" t="n">
        <v>1012808279.39951</v>
      </c>
      <c r="AG15" s="9" t="n">
        <v>1142614239.0955</v>
      </c>
      <c r="AH15" s="9" t="n">
        <v>1011128080.45442</v>
      </c>
      <c r="AI15" s="9" t="n">
        <v>815538760.350255</v>
      </c>
      <c r="AJ15" s="9" t="n">
        <v>1218146836.1483</v>
      </c>
      <c r="AK15" s="9" t="n">
        <v>999296798.632776</v>
      </c>
      <c r="AL15" s="9"/>
      <c r="AM15" s="9"/>
    </row>
    <row r="16">
      <c r="A16" t="str">
        <f>M16</f>
      </c>
      <c r="B16" s="9" t="str">
        <f>AC16</f>
      </c>
      <c r="C16" s="9" t="str">
        <f>AI16</f>
      </c>
      <c r="D16" s="9" t="str">
        <f>AJ16</f>
      </c>
      <c r="E16" s="9" t="str">
        <f>AK16</f>
      </c>
      <c r="F16" s="7" t="str">
        <f>AJ16/AI16-1</f>
      </c>
      <c r="G16" s="7" t="str">
        <f>AJ16/AC16-1</f>
      </c>
      <c r="H16" s="7" t="str">
        <f>AK16/AJ16</f>
      </c>
      <c r="I16" s="7" t="str">
        <f>AJ16/Sum(AJ$14:AJ$23)</f>
      </c>
      <c r="J16" s="7" t="str">
        <f>AK16/Sum(AK14:AK$23)</f>
      </c>
      <c r="M16" t="s">
        <v>81</v>
      </c>
      <c r="N16" s="9" t="n">
        <v>2862123671.62956</v>
      </c>
      <c r="O16" s="9" t="n">
        <v>4428601124.12788</v>
      </c>
      <c r="P16" s="9" t="n">
        <v>7289347644.72907</v>
      </c>
      <c r="Q16" s="9" t="n">
        <v>9515042419.27061</v>
      </c>
      <c r="R16" s="9" t="n">
        <v>8273916091.82567</v>
      </c>
      <c r="S16" s="9" t="n">
        <v>9891612624.66137</v>
      </c>
      <c r="T16" s="9" t="n">
        <v>11411019995.9844</v>
      </c>
      <c r="U16" s="9" t="n">
        <v>12401377214.8676</v>
      </c>
      <c r="V16" s="9" t="n">
        <v>12115605641.9177</v>
      </c>
      <c r="W16" s="9" t="n">
        <v>15351233446.2203</v>
      </c>
      <c r="X16" s="9" t="n">
        <v>13362736307.5499</v>
      </c>
      <c r="Y16" s="9" t="n">
        <v>14044174336.0616</v>
      </c>
      <c r="Z16" s="9" t="n">
        <v>13827522800.8089</v>
      </c>
      <c r="AA16" s="9" t="n">
        <v>13289754445.7931</v>
      </c>
      <c r="AB16" s="9" t="n">
        <v>13832398211.2234</v>
      </c>
      <c r="AC16" s="9" t="n">
        <v>12534882050.3396</v>
      </c>
      <c r="AD16" s="9" t="n">
        <v>13704816132.583</v>
      </c>
      <c r="AE16" s="9" t="n">
        <v>13911699512.8399</v>
      </c>
      <c r="AF16" s="9" t="n">
        <v>13715371924.5065</v>
      </c>
      <c r="AG16" s="9" t="n">
        <v>13651380984.6413</v>
      </c>
      <c r="AH16" s="9" t="n">
        <v>13880587875.8595</v>
      </c>
      <c r="AI16" s="9" t="n">
        <v>13993839902.1095</v>
      </c>
      <c r="AJ16" s="9" t="n">
        <v>14069475681.8469</v>
      </c>
      <c r="AK16" s="9" t="n">
        <v>10555914712.5753</v>
      </c>
      <c r="AL16" s="9"/>
      <c r="AM16" s="9"/>
    </row>
    <row r="17">
      <c r="A17" t="str">
        <f>M17</f>
      </c>
      <c r="B17" s="9" t="str">
        <f>AC17</f>
      </c>
      <c r="C17" s="9" t="str">
        <f>AI17</f>
      </c>
      <c r="D17" s="9" t="str">
        <f>AJ17</f>
      </c>
      <c r="E17" s="9" t="str">
        <f>AK17</f>
      </c>
      <c r="F17" s="7" t="str">
        <f>AJ17/AI17-1</f>
      </c>
      <c r="G17" s="7" t="str">
        <f>AJ17/AC17-1</f>
      </c>
      <c r="H17" s="7" t="str">
        <f>AK17/AJ17</f>
      </c>
      <c r="I17" s="7" t="str">
        <f>AJ17/Sum(AJ$14:AJ$23)</f>
      </c>
      <c r="J17" s="7" t="str">
        <f>AK17/Sum(AK14:AK$23)</f>
      </c>
      <c r="M17" t="s">
        <v>82</v>
      </c>
      <c r="N17" s="9" t="n">
        <v>1527779719.05427</v>
      </c>
      <c r="O17" s="9" t="n">
        <v>1356149838.08838</v>
      </c>
      <c r="P17" s="9" t="n">
        <v>1679162246.81635</v>
      </c>
      <c r="Q17" s="9" t="n">
        <v>4768097578.94577</v>
      </c>
      <c r="R17" s="9" t="n">
        <v>11541064896.8203</v>
      </c>
      <c r="S17" s="9" t="n">
        <v>9891842637.84932</v>
      </c>
      <c r="T17" s="9" t="n">
        <v>10277716792.0705</v>
      </c>
      <c r="U17" s="9" t="n">
        <v>9263685577.02835</v>
      </c>
      <c r="V17" s="9" t="n">
        <v>11081181445.7861</v>
      </c>
      <c r="W17" s="9" t="n">
        <v>11180822298.4183</v>
      </c>
      <c r="X17" s="9" t="n">
        <v>13721135882.3744</v>
      </c>
      <c r="Y17" s="9" t="n">
        <v>13753214484.3716</v>
      </c>
      <c r="Z17" s="9" t="n">
        <v>9704611321.80515</v>
      </c>
      <c r="AA17" s="9" t="n">
        <v>9470803490.08941</v>
      </c>
      <c r="AB17" s="9" t="n">
        <v>4668525409.831</v>
      </c>
      <c r="AC17" s="9" t="n">
        <v>4421091080.62806</v>
      </c>
      <c r="AD17" s="9" t="n">
        <v>4969904068.12761</v>
      </c>
      <c r="AE17" s="9" t="n">
        <v>6055941696.3282</v>
      </c>
      <c r="AF17" s="9" t="n">
        <v>6970940940.88293</v>
      </c>
      <c r="AG17" s="9" t="n">
        <v>7110412264.72522</v>
      </c>
      <c r="AH17" s="9" t="n">
        <v>6929467847.94894</v>
      </c>
      <c r="AI17" s="9" t="n">
        <v>6570710948.29978</v>
      </c>
      <c r="AJ17" s="9" t="n">
        <v>6447208732.0781</v>
      </c>
      <c r="AK17" s="9" t="n">
        <v>3126137639.87068</v>
      </c>
      <c r="AL17" s="9"/>
      <c r="AM17" s="9"/>
    </row>
    <row r="18">
      <c r="A18" t="str">
        <f>M18</f>
      </c>
      <c r="B18" s="9" t="str">
        <f>AC18</f>
      </c>
      <c r="C18" s="9" t="str">
        <f>AI18</f>
      </c>
      <c r="D18" s="9" t="str">
        <f>AJ18</f>
      </c>
      <c r="E18" s="9" t="str">
        <f>AK18</f>
      </c>
      <c r="F18" s="7" t="str">
        <f>AJ18/AI18-1</f>
      </c>
      <c r="G18" s="7" t="str">
        <f>AJ18/AC18-1</f>
      </c>
      <c r="H18" s="7" t="str">
        <f>AK18/AJ18</f>
      </c>
      <c r="I18" s="7" t="str">
        <f>AJ18/Sum(AJ$14:AJ$23)</f>
      </c>
      <c r="J18" s="7" t="str">
        <f>AK18/Sum(AK14:AK$23)</f>
      </c>
      <c r="M18" t="s">
        <v>83</v>
      </c>
      <c r="N18" s="9" t="n">
        <v>169572416.592662</v>
      </c>
      <c r="O18" s="9" t="n">
        <v>281594321.062105</v>
      </c>
      <c r="P18" s="9" t="n">
        <v>284248705.261708</v>
      </c>
      <c r="Q18" s="9" t="n">
        <v>258532885.14444</v>
      </c>
      <c r="R18" s="9" t="n">
        <v>427059135.019614</v>
      </c>
      <c r="S18" s="9" t="n">
        <v>714328192.990123</v>
      </c>
      <c r="T18" s="9" t="n">
        <v>1075262637.67187</v>
      </c>
      <c r="U18" s="9" t="n">
        <v>905131661.474778</v>
      </c>
      <c r="V18" s="9" t="n">
        <v>2055489548.9416</v>
      </c>
      <c r="W18" s="9" t="n">
        <v>1999167408.75541</v>
      </c>
      <c r="X18" s="9" t="n">
        <v>1906043461.54335</v>
      </c>
      <c r="Y18" s="9" t="n">
        <v>1974037747.64418</v>
      </c>
      <c r="Z18" s="9" t="n">
        <v>1996476597.06013</v>
      </c>
      <c r="AA18" s="9" t="n">
        <v>1735539653.28989</v>
      </c>
      <c r="AB18" s="9" t="n">
        <v>1446682250.99026</v>
      </c>
      <c r="AC18" s="9" t="n">
        <v>1483619538.05642</v>
      </c>
      <c r="AD18" s="9" t="n">
        <v>1592900470.57255</v>
      </c>
      <c r="AE18" s="9" t="n">
        <v>1737786191.56045</v>
      </c>
      <c r="AF18" s="9" t="n">
        <v>1890909638.16959</v>
      </c>
      <c r="AG18" s="9" t="n">
        <v>1760646968.89284</v>
      </c>
      <c r="AH18" s="9" t="n">
        <v>1419214267.39553</v>
      </c>
      <c r="AI18" s="9" t="n">
        <v>1198310323.07011</v>
      </c>
      <c r="AJ18" s="9" t="n">
        <v>1144841742.5125</v>
      </c>
      <c r="AK18" s="9" t="n">
        <v>767265089.021355</v>
      </c>
      <c r="AL18" s="9"/>
      <c r="AM18" s="9"/>
    </row>
    <row r="19">
      <c r="A19" t="str">
        <f>M19</f>
      </c>
      <c r="B19" s="9" t="str">
        <f>AC19</f>
      </c>
      <c r="C19" s="9" t="str">
        <f>AI19</f>
      </c>
      <c r="D19" s="9" t="str">
        <f>AJ19</f>
      </c>
      <c r="E19" s="9" t="str">
        <f>AK19</f>
      </c>
      <c r="F19" s="7" t="str">
        <f>AJ19/AI19-1</f>
      </c>
      <c r="G19" s="7" t="str">
        <f>AJ19/AC19-1</f>
      </c>
      <c r="H19" s="7" t="str">
        <f>AK19/AJ19</f>
      </c>
      <c r="I19" s="7" t="str">
        <f>AJ19/Sum(AJ$14:AJ$23)</f>
      </c>
      <c r="J19" s="7" t="str">
        <f>AK19/Sum(AK14:AK$23)</f>
      </c>
      <c r="M19" t="s">
        <v>84</v>
      </c>
      <c r="N19" s="9" t="n">
        <v>1592060349.39161</v>
      </c>
      <c r="O19" s="9" t="n">
        <v>967337454.010705</v>
      </c>
      <c r="P19" s="9" t="n">
        <v>1098731798.8657</v>
      </c>
      <c r="Q19" s="9" t="n">
        <v>1644175291.31736</v>
      </c>
      <c r="R19" s="9" t="n">
        <v>1363047004.71866</v>
      </c>
      <c r="S19" s="9" t="n">
        <v>1383626273.03331</v>
      </c>
      <c r="T19" s="9" t="n">
        <v>2062444255.07627</v>
      </c>
      <c r="U19" s="9" t="n">
        <v>1779709054.19771</v>
      </c>
      <c r="V19" s="9" t="n">
        <v>1131816197.88401</v>
      </c>
      <c r="W19" s="9" t="n">
        <v>1445107389.79054</v>
      </c>
      <c r="X19" s="9" t="n">
        <v>1137315151.60468</v>
      </c>
      <c r="Y19" s="9" t="n">
        <v>1424343741.95527</v>
      </c>
      <c r="Z19" s="9" t="n">
        <v>1363289392.52811</v>
      </c>
      <c r="AA19" s="9" t="n">
        <v>1483368076.25331</v>
      </c>
      <c r="AB19" s="9" t="n">
        <v>1309999160.394</v>
      </c>
      <c r="AC19" s="9" t="n">
        <v>1133475135.16839</v>
      </c>
      <c r="AD19" s="9" t="n">
        <v>1333307943.23817</v>
      </c>
      <c r="AE19" s="9" t="n">
        <v>1444387483.17601</v>
      </c>
      <c r="AF19" s="9" t="n">
        <v>1391654209.91715</v>
      </c>
      <c r="AG19" s="9" t="n">
        <v>1687505748.56058</v>
      </c>
      <c r="AH19" s="9" t="n">
        <v>1613021458.09745</v>
      </c>
      <c r="AI19" s="9" t="n">
        <v>1291778347.63065</v>
      </c>
      <c r="AJ19" s="9" t="n">
        <v>1506603367.1423</v>
      </c>
      <c r="AK19" s="9" t="n">
        <v>1079708019.79907</v>
      </c>
      <c r="AL19" s="9"/>
      <c r="AM19" s="9"/>
    </row>
    <row r="20">
      <c r="A20" t="str">
        <f>M20</f>
      </c>
      <c r="B20" s="9" t="str">
        <f>AC20</f>
      </c>
      <c r="C20" s="9" t="str">
        <f>AI20</f>
      </c>
      <c r="D20" s="9" t="str">
        <f>AJ20</f>
      </c>
      <c r="E20" s="9" t="str">
        <f>AK20</f>
      </c>
      <c r="F20" s="7" t="str">
        <f>AJ20/AI20-1</f>
      </c>
      <c r="G20" s="7" t="str">
        <f>AJ20/AC20-1</f>
      </c>
      <c r="H20" s="7" t="str">
        <f>AK20/AJ20</f>
      </c>
      <c r="I20" s="7" t="str">
        <f>AJ20/Sum(AJ$14:AJ$23)</f>
      </c>
      <c r="J20" s="7" t="str">
        <f>AK20/Sum(AK14:AK$23)</f>
      </c>
      <c r="M20" t="s">
        <v>85</v>
      </c>
      <c r="N20" s="9" t="n">
        <v>402935445.42858</v>
      </c>
      <c r="O20" s="9" t="n">
        <v>444520022.097521</v>
      </c>
      <c r="P20" s="9" t="n">
        <v>514717633.585776</v>
      </c>
      <c r="Q20" s="9" t="n">
        <v>377449414.739258</v>
      </c>
      <c r="R20" s="9" t="n">
        <v>377527444.178805</v>
      </c>
      <c r="S20" s="9" t="n">
        <v>453614964.718819</v>
      </c>
      <c r="T20" s="9" t="n">
        <v>497042185.810505</v>
      </c>
      <c r="U20" s="9" t="n">
        <v>552436343.19891</v>
      </c>
      <c r="V20" s="9" t="n">
        <v>568906211.159794</v>
      </c>
      <c r="W20" s="9" t="n">
        <v>737332581.346092</v>
      </c>
      <c r="X20" s="9" t="n">
        <v>1258440977.16711</v>
      </c>
      <c r="Y20" s="9" t="n">
        <v>1305508082.05108</v>
      </c>
      <c r="Z20" s="9" t="n">
        <v>1211505390.91999</v>
      </c>
      <c r="AA20" s="9" t="n">
        <v>1421492550.46115</v>
      </c>
      <c r="AB20" s="9" t="n">
        <v>1726602912.12312</v>
      </c>
      <c r="AC20" s="9" t="n">
        <v>1165352912.70969</v>
      </c>
      <c r="AD20" s="9" t="n">
        <v>658980302.995336</v>
      </c>
      <c r="AE20" s="9" t="n">
        <v>546482901.590285</v>
      </c>
      <c r="AF20" s="9" t="n">
        <v>650067181.943268</v>
      </c>
      <c r="AG20" s="9" t="n">
        <v>522120820.321057</v>
      </c>
      <c r="AH20" s="9" t="n">
        <v>686894172.125271</v>
      </c>
      <c r="AI20" s="9" t="n">
        <v>511626750.568681</v>
      </c>
      <c r="AJ20" s="9" t="n">
        <v>462246367.8425</v>
      </c>
      <c r="AK20" s="9" t="n">
        <v>252082084.020921</v>
      </c>
      <c r="AL20" s="9"/>
      <c r="AM20" s="9"/>
    </row>
    <row r="21">
      <c r="A21" t="str">
        <f>M21</f>
      </c>
      <c r="B21" s="9" t="str">
        <f>AC21</f>
      </c>
      <c r="C21" s="9" t="str">
        <f>AI21</f>
      </c>
      <c r="D21" s="9" t="str">
        <f>AJ21</f>
      </c>
      <c r="E21" s="9" t="str">
        <f>AK21</f>
      </c>
      <c r="F21" s="7" t="str">
        <f>AJ21/AI21-1</f>
      </c>
      <c r="G21" s="7" t="str">
        <f>AJ21/AC21-1</f>
      </c>
      <c r="H21" s="7" t="str">
        <f>AK21/AJ21</f>
      </c>
      <c r="I21" s="7" t="str">
        <f>AJ21/Sum(AJ$14:AJ$23)</f>
      </c>
      <c r="J21" s="7" t="str">
        <f>AK21/Sum(AK14:AK$23)</f>
      </c>
      <c r="M21" t="s">
        <v>86</v>
      </c>
      <c r="N21" s="9" t="n">
        <v>2629205864.96565</v>
      </c>
      <c r="O21" s="9" t="n">
        <v>2995356291.0372</v>
      </c>
      <c r="P21" s="9" t="n">
        <v>2929444338.63407</v>
      </c>
      <c r="Q21" s="9" t="n">
        <v>3866250589.58829</v>
      </c>
      <c r="R21" s="9" t="n">
        <v>3607994058.66098</v>
      </c>
      <c r="S21" s="9" t="n">
        <v>4647674672.70504</v>
      </c>
      <c r="T21" s="9" t="n">
        <v>4220553745.71822</v>
      </c>
      <c r="U21" s="9" t="n">
        <v>4456898671.13966</v>
      </c>
      <c r="V21" s="9" t="n">
        <v>4420925759.97352</v>
      </c>
      <c r="W21" s="9" t="n">
        <v>4856232669.2622</v>
      </c>
      <c r="X21" s="9" t="n">
        <v>6110698303.89742</v>
      </c>
      <c r="Y21" s="9" t="n">
        <v>7061287300.27459</v>
      </c>
      <c r="Z21" s="9" t="n">
        <v>6485926093.58884</v>
      </c>
      <c r="AA21" s="9" t="n">
        <v>4870919327.518</v>
      </c>
      <c r="AB21" s="9" t="n">
        <v>4812259615.33298</v>
      </c>
      <c r="AC21" s="9" t="n">
        <v>3990176889.57263</v>
      </c>
      <c r="AD21" s="9" t="n">
        <v>3703717435.5468</v>
      </c>
      <c r="AE21" s="9" t="n">
        <v>3892028128.10442</v>
      </c>
      <c r="AF21" s="9" t="n">
        <v>4264864377.93025</v>
      </c>
      <c r="AG21" s="9" t="n">
        <v>4724271472.45137</v>
      </c>
      <c r="AH21" s="9" t="n">
        <v>4559561270.01937</v>
      </c>
      <c r="AI21" s="9" t="n">
        <v>4402639080.78581</v>
      </c>
      <c r="AJ21" s="9" t="n">
        <v>4236507697.277</v>
      </c>
      <c r="AK21" s="9" t="n">
        <v>2487580027.03654</v>
      </c>
      <c r="AL21" s="9"/>
      <c r="AM21" s="9"/>
    </row>
    <row r="22">
      <c r="A22" t="str">
        <f>M22</f>
      </c>
      <c r="B22" s="9" t="str">
        <f>AC22</f>
      </c>
      <c r="C22" s="9" t="str">
        <f>AI22</f>
      </c>
      <c r="D22" s="9" t="str">
        <f>AJ22</f>
      </c>
      <c r="E22" s="9" t="str">
        <f>AK22</f>
      </c>
      <c r="F22" s="7" t="str">
        <f>AJ22/AI22-1</f>
      </c>
      <c r="G22" s="7" t="str">
        <f>AJ22/AC22-1</f>
      </c>
      <c r="H22" s="7" t="str">
        <f>AK22/AJ22</f>
      </c>
      <c r="I22" s="7" t="str">
        <f>AJ22/Sum(AJ$14:AJ$23)</f>
      </c>
      <c r="J22" s="7" t="str">
        <f>AK22/Sum(AK14:AK$23)</f>
      </c>
      <c r="M22" t="s">
        <v>87</v>
      </c>
      <c r="N22" s="9" t="n">
        <v>1060003245.67852</v>
      </c>
      <c r="O22" s="9" t="n">
        <v>1089416398.57653</v>
      </c>
      <c r="P22" s="9" t="n">
        <v>562482947.75565</v>
      </c>
      <c r="Q22" s="9" t="n">
        <v>1541285134.11953</v>
      </c>
      <c r="R22" s="9" t="n">
        <v>1768343869.52129</v>
      </c>
      <c r="S22" s="9" t="n">
        <v>2327467045.32228</v>
      </c>
      <c r="T22" s="9" t="n">
        <v>2166524168.07048</v>
      </c>
      <c r="U22" s="9" t="n">
        <v>2063655643.29031</v>
      </c>
      <c r="V22" s="9" t="n">
        <v>2587243107.37688</v>
      </c>
      <c r="W22" s="9" t="n">
        <v>2484195975.3639</v>
      </c>
      <c r="X22" s="9" t="n">
        <v>2745060352.94594</v>
      </c>
      <c r="Y22" s="9" t="n">
        <v>2754089016.36373</v>
      </c>
      <c r="Z22" s="9" t="n">
        <v>2123636545.35294</v>
      </c>
      <c r="AA22" s="9" t="n">
        <v>2813145276.30443</v>
      </c>
      <c r="AB22" s="9" t="n">
        <v>1701971377.00779</v>
      </c>
      <c r="AC22" s="9" t="n">
        <v>1305364097.49192</v>
      </c>
      <c r="AD22" s="9" t="n">
        <v>1144624687.38978</v>
      </c>
      <c r="AE22" s="9" t="n">
        <v>1314500831.68765</v>
      </c>
      <c r="AF22" s="9" t="n">
        <v>1517025776.50858</v>
      </c>
      <c r="AG22" s="9" t="n">
        <v>1543836106.0278</v>
      </c>
      <c r="AH22" s="9" t="n">
        <v>1677422628.39266</v>
      </c>
      <c r="AI22" s="9" t="n">
        <v>1197431882.24666</v>
      </c>
      <c r="AJ22" s="9" t="n">
        <v>869796473.8498</v>
      </c>
      <c r="AK22" s="9" t="n">
        <v>773677843.575347</v>
      </c>
      <c r="AL22" s="9"/>
      <c r="AM22" s="9"/>
    </row>
    <row r="23">
      <c r="A23" t="str">
        <f>M23</f>
      </c>
      <c r="B23" s="9" t="str">
        <f>AC23</f>
      </c>
      <c r="C23" s="9" t="str">
        <f>AI23</f>
      </c>
      <c r="D23" s="9" t="str">
        <f>AJ23</f>
      </c>
      <c r="E23" s="9" t="str">
        <f>AK23</f>
      </c>
      <c r="F23" s="7" t="str">
        <f>AJ23/AI23-1</f>
      </c>
      <c r="G23" s="7" t="str">
        <f>AJ23/AC23-1</f>
      </c>
      <c r="H23" s="7" t="str">
        <f>AK23/AJ23</f>
      </c>
      <c r="I23" s="7" t="str">
        <f>AJ23/Sum(AJ$14:AJ$23)</f>
      </c>
      <c r="J23" s="7" t="str">
        <f>AK23/Sum(AK14:AK$23)</f>
      </c>
      <c r="M23" t="s">
        <v>88</v>
      </c>
      <c r="N23" s="9" t="n">
        <v>14960553.4857784</v>
      </c>
      <c r="O23" s="9" t="n">
        <v>57504307.3644293</v>
      </c>
      <c r="P23" s="9" t="n">
        <v>345506638.620704</v>
      </c>
      <c r="Q23" s="9" t="n">
        <v>244864250.324751</v>
      </c>
      <c r="R23" s="9" t="n">
        <v>1110271684.38069</v>
      </c>
      <c r="S23" s="9" t="n">
        <v>1036717368.09424</v>
      </c>
      <c r="T23" s="9" t="n">
        <v>363082404.840762</v>
      </c>
      <c r="U23" s="9" t="n">
        <v>6956907.18402154</v>
      </c>
      <c r="V23" s="9" t="n">
        <v>41293271.0630212</v>
      </c>
      <c r="W23" s="9" t="n">
        <v>11131012.8870834</v>
      </c>
      <c r="X23" s="9" t="n">
        <v>35321701.6399957</v>
      </c>
      <c r="Y23" s="9" t="n">
        <v>1882316165.57574</v>
      </c>
      <c r="Z23" s="9" t="n">
        <v>3003952410.20991</v>
      </c>
      <c r="AA23" s="9" t="n">
        <v>1846963227.01414</v>
      </c>
      <c r="AB23" s="9" t="n">
        <v>974335074.204374</v>
      </c>
      <c r="AC23" s="9" t="n">
        <v>832133459.197404</v>
      </c>
      <c r="AD23" s="9" t="n">
        <v>524120326.231527</v>
      </c>
      <c r="AE23" s="9" t="n">
        <v>1011481410.90154</v>
      </c>
      <c r="AF23" s="9" t="n">
        <v>1248076463.29087</v>
      </c>
      <c r="AG23" s="9" t="n">
        <v>1027330165.87867</v>
      </c>
      <c r="AH23" s="9" t="n">
        <v>931943245.295391</v>
      </c>
      <c r="AI23" s="9" t="n">
        <v>827464452.937026</v>
      </c>
      <c r="AJ23" s="9" t="n">
        <v>787796604.3405</v>
      </c>
      <c r="AK23" s="9" t="n">
        <v>470921449.127071</v>
      </c>
      <c r="AL23" s="9"/>
      <c r="AM23" s="9"/>
    </row>
    <row r="24">
      <c r="A24" t="str">
        <f>M24</f>
      </c>
      <c r="B24" s="9" t="str">
        <f>AC24</f>
      </c>
      <c r="C24" s="9" t="str">
        <f>AI24</f>
      </c>
      <c r="D24" s="9" t="str">
        <f>AJ24</f>
      </c>
      <c r="E24" s="9" t="str">
        <f>AK24</f>
      </c>
      <c r="F24" s="7" t="str">
        <f>AJ24/AI24-1</f>
      </c>
      <c r="G24" s="7" t="str">
        <f>AJ24/AC24-1</f>
      </c>
      <c r="H24" s="7" t="str">
        <f>AK24/AJ24</f>
      </c>
      <c r="I24" s="7" t="str">
        <f>Sum(I$14:I$23)</f>
      </c>
      <c r="J24" s="7" t="str">
        <f>Sum(J$14:J$23)</f>
      </c>
      <c r="M24" t="s">
        <v>113</v>
      </c>
      <c r="N24" s="9" t="str">
        <f>Sum(N15:N23)</f>
      </c>
      <c r="O24" s="9" t="str">
        <f>Sum(O15:O23)</f>
      </c>
      <c r="P24" s="9" t="str">
        <f>Sum(P15:P23)</f>
      </c>
      <c r="Q24" s="9" t="str">
        <f>Sum(Q15:Q23)</f>
      </c>
      <c r="R24" s="9" t="str">
        <f>Sum(R15:R23)</f>
      </c>
      <c r="S24" s="9" t="str">
        <f>Sum(S15:S23)</f>
      </c>
      <c r="T24" s="9" t="str">
        <f>Sum(T15:T23)</f>
      </c>
      <c r="U24" s="9" t="str">
        <f>Sum(U15:U23)</f>
      </c>
      <c r="V24" s="9" t="str">
        <f>Sum(V15:V23)</f>
      </c>
      <c r="W24" s="9" t="str">
        <f>Sum(W15:W23)</f>
      </c>
      <c r="X24" s="9" t="str">
        <f>Sum(X15:X23)</f>
      </c>
      <c r="Y24" s="9" t="str">
        <f>Sum(Y15:Y23)</f>
      </c>
      <c r="Z24" s="9" t="str">
        <f>Sum(Z15:Z23)</f>
      </c>
      <c r="AA24" s="9" t="str">
        <f>Sum(AA15:AA23)</f>
      </c>
      <c r="AB24" s="9" t="str">
        <f>Sum(AB15:AB23)</f>
      </c>
      <c r="AC24" s="9" t="str">
        <f>Sum(AC15:AC23)</f>
      </c>
      <c r="AD24" s="9" t="str">
        <f>Sum(AD15:AD23)</f>
      </c>
      <c r="AE24" s="9" t="str">
        <f>Sum(AE15:AE23)</f>
      </c>
      <c r="AF24" s="9" t="str">
        <f>Sum(AF15:AF23)</f>
      </c>
      <c r="AG24" s="9" t="str">
        <f>Sum(AG15:AG23)</f>
      </c>
      <c r="AH24" s="9" t="str">
        <f>Sum(AH15:AH23)</f>
      </c>
      <c r="AI24" s="9" t="str">
        <f>Sum(AI15:AI23)</f>
      </c>
      <c r="AJ24" s="9" t="str">
        <f>Sum(AJ15:AJ23)</f>
      </c>
      <c r="AK24" s="9" t="str">
        <f>Sum(AK15:AK23)</f>
      </c>
      <c r="AL24" s="9"/>
      <c r="AM24" s="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M1" t="s">
        <v>89</v>
      </c>
      <c r="N1" t="s">
        <v>90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>
      <c r="M2" t="s">
        <v>69</v>
      </c>
      <c r="N2" t="n">
        <v>2044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 t="n">
        <v>48258380.4856683</v>
      </c>
      <c r="AF2" s="10" t="n">
        <v>48820637.9309467</v>
      </c>
      <c r="AG2" s="10" t="n">
        <v>87400686.5041747</v>
      </c>
      <c r="AH2" s="10" t="n">
        <v>-2526542.02385402</v>
      </c>
      <c r="AI2" s="10" t="n">
        <v>3129153.82354371</v>
      </c>
      <c r="AJ2" s="10" t="n">
        <v>740751.387280894</v>
      </c>
      <c r="AK2" s="10" t="n">
        <v>-904173.8437</v>
      </c>
      <c r="AL2" s="10" t="n">
        <v>0</v>
      </c>
      <c r="AM2" s="10"/>
    </row>
    <row r="3">
      <c r="M3" t="s">
        <v>91</v>
      </c>
      <c r="N3" t="n">
        <v>1885</v>
      </c>
      <c r="O3" s="10"/>
      <c r="P3" s="10"/>
      <c r="Q3" s="10" t="n">
        <v>10714799.6295065</v>
      </c>
      <c r="R3" s="10" t="n">
        <v>8987074.30341784</v>
      </c>
      <c r="S3" s="10" t="n">
        <v>2540986.56322735</v>
      </c>
      <c r="T3" s="10" t="n">
        <v>7421131.55899306</v>
      </c>
      <c r="U3" s="10" t="n">
        <v>733181.880382928</v>
      </c>
      <c r="V3" s="10" t="n">
        <v>381028.744296803</v>
      </c>
      <c r="W3" s="10" t="n">
        <v>233277.760039115</v>
      </c>
      <c r="X3" s="10" t="n">
        <v>-59184.1561273992</v>
      </c>
      <c r="Y3" s="10" t="n">
        <v>-95781.890925083</v>
      </c>
      <c r="Z3" s="10" t="n">
        <v>-25259.9546251127</v>
      </c>
      <c r="AA3" s="10" t="n">
        <v>-10846.8926487904</v>
      </c>
      <c r="AB3" s="10" t="n">
        <v>-35837.7759872103</v>
      </c>
      <c r="AC3" s="10" t="n">
        <v>-35085.9542009089</v>
      </c>
      <c r="AD3" s="10"/>
      <c r="AE3" s="10"/>
      <c r="AF3" s="10"/>
      <c r="AG3" s="10"/>
      <c r="AH3" s="10" t="n">
        <v>0</v>
      </c>
      <c r="AI3" s="10"/>
      <c r="AJ3" s="10" t="n">
        <v>0</v>
      </c>
      <c r="AK3" s="10"/>
      <c r="AL3" s="10"/>
      <c r="AM3" s="10"/>
    </row>
    <row r="4">
      <c r="M4" t="s">
        <v>92</v>
      </c>
      <c r="N4" t="n">
        <v>2038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 t="n">
        <v>2733089.70340513</v>
      </c>
      <c r="AM4" s="10"/>
    </row>
    <row r="5">
      <c r="M5" t="s">
        <v>93</v>
      </c>
      <c r="N5" t="n">
        <v>2058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 t="n">
        <v>-1018974.62000613</v>
      </c>
      <c r="AE5" s="10"/>
      <c r="AF5" s="10"/>
      <c r="AG5" s="10"/>
      <c r="AH5" s="10"/>
      <c r="AI5" s="10"/>
      <c r="AJ5" s="10"/>
      <c r="AK5" s="10"/>
      <c r="AL5" s="10"/>
      <c r="AM5" s="10"/>
    </row>
    <row r="6">
      <c r="M6" t="s">
        <v>70</v>
      </c>
      <c r="N6" t="n">
        <v>1344</v>
      </c>
      <c r="O6" s="10"/>
      <c r="P6" s="10"/>
      <c r="Q6" s="10"/>
      <c r="R6" s="10"/>
      <c r="S6" s="10" t="n">
        <v>10341807.131199</v>
      </c>
      <c r="T6" s="10" t="n">
        <v>41068681.969369</v>
      </c>
      <c r="U6" s="10" t="n">
        <v>40806448.3374342</v>
      </c>
      <c r="V6" s="10" t="n">
        <v>1858836.36208365</v>
      </c>
      <c r="W6" s="10" t="n">
        <v>3268675.97652613</v>
      </c>
      <c r="X6" s="10" t="n">
        <v>-567126.078652373</v>
      </c>
      <c r="Y6" s="10" t="n">
        <v>-758906.72061264</v>
      </c>
      <c r="Z6" s="10" t="n">
        <v>-3207340.22732886</v>
      </c>
      <c r="AA6" s="10" t="n">
        <v>-3099183.89350868</v>
      </c>
      <c r="AB6" s="10" t="n">
        <v>-431756.65020185</v>
      </c>
      <c r="AC6" s="10" t="n">
        <v>-359514.633266181</v>
      </c>
      <c r="AD6" s="10" t="n">
        <v>-208987.086872235</v>
      </c>
      <c r="AE6" s="10"/>
      <c r="AF6" s="10"/>
      <c r="AG6" s="10"/>
      <c r="AH6" s="10"/>
      <c r="AI6" s="10"/>
      <c r="AJ6" s="10"/>
      <c r="AK6" s="10"/>
      <c r="AL6" s="10"/>
      <c r="AM6" s="10"/>
    </row>
    <row r="7">
      <c r="M7" t="s">
        <v>94</v>
      </c>
      <c r="N7" t="n">
        <v>1977</v>
      </c>
      <c r="O7" s="10"/>
      <c r="P7" s="10"/>
      <c r="Q7" s="10"/>
      <c r="R7" s="10"/>
      <c r="S7" s="10"/>
      <c r="T7" s="10" t="n">
        <v>390023.530026999</v>
      </c>
      <c r="U7" s="10"/>
      <c r="V7" s="10"/>
      <c r="W7" s="10"/>
      <c r="X7" s="10" t="n">
        <v>0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>
      <c r="M8" t="s">
        <v>95</v>
      </c>
      <c r="N8" t="n">
        <v>1967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n">
        <v>2152.00520166304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>
      <c r="M9" t="s">
        <v>96</v>
      </c>
      <c r="N9" t="n">
        <v>1931</v>
      </c>
      <c r="O9" s="10"/>
      <c r="P9" s="10"/>
      <c r="Q9" s="10"/>
      <c r="R9" s="10" t="n">
        <v>15011075.4398843</v>
      </c>
      <c r="S9" s="10" t="n">
        <v>17523092.5587731</v>
      </c>
      <c r="T9" s="10" t="n">
        <v>15117210.0440781</v>
      </c>
      <c r="U9" s="10" t="n">
        <v>12850003.7312722</v>
      </c>
      <c r="V9" s="10" t="n">
        <v>2511848.64673886</v>
      </c>
      <c r="W9" s="10" t="n">
        <v>0</v>
      </c>
      <c r="X9" s="10"/>
      <c r="Y9" s="10" t="n">
        <v>0</v>
      </c>
      <c r="Z9" s="10" t="n">
        <v>0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>
      <c r="M10" t="s">
        <v>97</v>
      </c>
      <c r="N10" t="n">
        <v>1968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9811.7078706526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>
      <c r="M11" t="s">
        <v>98</v>
      </c>
      <c r="N11" t="n">
        <v>1959</v>
      </c>
      <c r="O11" s="10"/>
      <c r="P11" s="10"/>
      <c r="Q11" s="10"/>
      <c r="R11" s="10"/>
      <c r="S11" s="10"/>
      <c r="T11" s="10"/>
      <c r="U11" s="10" t="n">
        <v>120396.182462881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>
      <c r="M12" t="s">
        <v>71</v>
      </c>
      <c r="N12" t="n">
        <v>1970</v>
      </c>
      <c r="O12" s="10"/>
      <c r="P12" s="10"/>
      <c r="Q12" s="10" t="n">
        <v>280123.05629883</v>
      </c>
      <c r="R12" s="10"/>
      <c r="S12" s="10" t="n">
        <v>83932478.775269</v>
      </c>
      <c r="T12" s="10" t="n">
        <v>86575314.439869</v>
      </c>
      <c r="U12" s="10" t="n">
        <v>61287467.3753812</v>
      </c>
      <c r="V12" s="10" t="n">
        <v>18648447.9469066</v>
      </c>
      <c r="W12" s="10" t="n">
        <v>8392388.78133873</v>
      </c>
      <c r="X12" s="10" t="n">
        <v>0</v>
      </c>
      <c r="Y12" s="10"/>
      <c r="Z12" s="10"/>
      <c r="AA12" s="10" t="n">
        <v>-96495.9875503386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>
      <c r="M13" t="s">
        <v>72</v>
      </c>
      <c r="N13" t="n">
        <v>2237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 t="n">
        <v>12361165.6754113</v>
      </c>
      <c r="AJ13" s="10" t="n">
        <v>3724267.61113675</v>
      </c>
      <c r="AK13" s="10" t="n">
        <v>67001.7405</v>
      </c>
      <c r="AL13" s="10" t="n">
        <v>78585.0226305214</v>
      </c>
      <c r="AM13" s="10"/>
    </row>
    <row r="14">
      <c r="M14" t="s">
        <v>99</v>
      </c>
      <c r="N14" t="n">
        <v>632</v>
      </c>
      <c r="O14" s="10"/>
      <c r="P14" s="10"/>
      <c r="Q14" s="10"/>
      <c r="R14" s="10"/>
      <c r="S14" s="10"/>
      <c r="T14" s="10"/>
      <c r="U14" s="10"/>
      <c r="V14" s="10"/>
      <c r="W14" s="10" t="n">
        <v>0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>
      <c r="M15" t="s">
        <v>100</v>
      </c>
      <c r="N15" t="n">
        <v>1988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 t="n">
        <v>9301.49906137866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>
      <c r="M16" t="s">
        <v>78</v>
      </c>
      <c r="N16" t="n">
        <v>2036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 t="n">
        <v>44839428.6103321</v>
      </c>
      <c r="AM16" s="10"/>
    </row>
    <row r="17">
      <c r="M17" t="s">
        <v>73</v>
      </c>
      <c r="N17" t="n">
        <v>1805</v>
      </c>
      <c r="O17" s="10"/>
      <c r="P17" s="10"/>
      <c r="Q17" s="10"/>
      <c r="R17" s="10"/>
      <c r="S17" s="10"/>
      <c r="T17" s="10"/>
      <c r="U17" s="10"/>
      <c r="V17" s="10" t="n">
        <v>15759450.9253865</v>
      </c>
      <c r="W17" s="10" t="n">
        <v>48959985.6938615</v>
      </c>
      <c r="X17" s="10" t="n">
        <v>43814873.884338</v>
      </c>
      <c r="Y17" s="10" t="n">
        <v>0</v>
      </c>
      <c r="Z17" s="10"/>
      <c r="AA17" s="10" t="n">
        <v>-27053.2910422782</v>
      </c>
      <c r="AB17" s="10" t="n">
        <v>8135444.42139555</v>
      </c>
      <c r="AC17" s="10" t="n">
        <v>25871489.3448722</v>
      </c>
      <c r="AD17" s="10"/>
      <c r="AE17" s="10" t="n">
        <v>14663268.5091786</v>
      </c>
      <c r="AF17" s="10" t="n">
        <v>59528106.7824505</v>
      </c>
      <c r="AG17" s="10" t="n">
        <v>40171253.1981615</v>
      </c>
      <c r="AH17" s="10" t="n">
        <v>124481881.180061</v>
      </c>
      <c r="AI17" s="10" t="n">
        <v>25291646.8177342</v>
      </c>
      <c r="AJ17" s="10" t="n">
        <v>94267813.9667044</v>
      </c>
      <c r="AK17" s="10" t="n">
        <v>0</v>
      </c>
      <c r="AL17" s="10" t="n">
        <v>-188945.46199847</v>
      </c>
      <c r="AM17" s="10"/>
    </row>
    <row r="18">
      <c r="M18" t="s">
        <v>101</v>
      </c>
      <c r="N18" t="n">
        <v>662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 t="n">
        <v>420.606199919748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>
      <c r="M19" t="s">
        <v>102</v>
      </c>
      <c r="N19" t="n">
        <v>1987</v>
      </c>
      <c r="O19" s="10"/>
      <c r="P19" s="10"/>
      <c r="Q19" s="10"/>
      <c r="R19" s="10"/>
      <c r="S19" s="10"/>
      <c r="T19" s="10"/>
      <c r="U19" s="10" t="n">
        <v>934516.085453299</v>
      </c>
      <c r="V19" s="10" t="n">
        <v>2518365.25887904</v>
      </c>
      <c r="W19" s="10" t="n">
        <v>2612836.79125023</v>
      </c>
      <c r="X19" s="10" t="n">
        <v>2436162.90574537</v>
      </c>
      <c r="Y19" s="10" t="n">
        <v>1290170.26933022</v>
      </c>
      <c r="Z19" s="10" t="n">
        <v>350571.999002085</v>
      </c>
      <c r="AA19" s="10" t="n">
        <v>26961.6129948557</v>
      </c>
      <c r="AB19" s="10" t="n">
        <v>-157731.686166626</v>
      </c>
      <c r="AC19" s="10" t="n">
        <v>-121085.177268616</v>
      </c>
      <c r="AD19" s="10"/>
      <c r="AE19" s="10"/>
      <c r="AF19" s="10"/>
      <c r="AG19" s="10"/>
      <c r="AH19" s="10"/>
      <c r="AI19" s="10"/>
      <c r="AJ19" s="10"/>
      <c r="AK19" s="10"/>
      <c r="AL19" s="10" t="n">
        <v>5821.98530807319</v>
      </c>
      <c r="AM19" s="10"/>
    </row>
    <row r="20">
      <c r="M20" t="s">
        <v>103</v>
      </c>
      <c r="N20" t="n">
        <v>664</v>
      </c>
      <c r="O20" s="10"/>
      <c r="P20" s="10"/>
      <c r="Q20" s="10"/>
      <c r="R20" s="10"/>
      <c r="S20" s="10"/>
      <c r="T20" s="10"/>
      <c r="U20" s="10"/>
      <c r="V20" s="10"/>
      <c r="W20" s="10"/>
      <c r="X20" s="10" t="n">
        <v>89862.529029402</v>
      </c>
      <c r="Y20" s="10" t="n">
        <v>0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>
      <c r="M21" t="s">
        <v>104</v>
      </c>
      <c r="N21" t="n">
        <v>2004</v>
      </c>
      <c r="O21" s="10"/>
      <c r="P21" s="10"/>
      <c r="Q21" s="10"/>
      <c r="R21" s="10"/>
      <c r="S21" s="10"/>
      <c r="T21" s="10"/>
      <c r="U21" s="10"/>
      <c r="V21" s="10"/>
      <c r="W21" s="10"/>
      <c r="X21" s="10" t="n">
        <v>55376.1830962185</v>
      </c>
      <c r="Y21" s="10" t="n">
        <v>34311.8874033209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>
      <c r="M22" t="s">
        <v>105</v>
      </c>
      <c r="N22" t="n">
        <v>1965</v>
      </c>
      <c r="O22" s="10"/>
      <c r="P22" s="10"/>
      <c r="Q22" s="10"/>
      <c r="R22" s="10"/>
      <c r="S22" s="10" t="n">
        <v>1921186.65150925</v>
      </c>
      <c r="T22" s="10"/>
      <c r="U22" s="10" t="n">
        <v>7966.57199546515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>
      <c r="M23" t="s">
        <v>75</v>
      </c>
      <c r="N23" t="n">
        <v>2258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 t="n">
        <v>276754114.355995</v>
      </c>
      <c r="AB23" s="10"/>
      <c r="AC23" s="10"/>
      <c r="AD23" s="10" t="n">
        <v>16079427.0532597</v>
      </c>
      <c r="AE23" s="10" t="n">
        <v>50732802.6822838</v>
      </c>
      <c r="AF23" s="10" t="n">
        <v>40828748.8015233</v>
      </c>
      <c r="AG23" s="10" t="n">
        <v>136724473.389785</v>
      </c>
      <c r="AH23" s="10" t="n">
        <v>48366494.2000214</v>
      </c>
      <c r="AI23" s="10" t="n">
        <v>17501380.936179</v>
      </c>
      <c r="AJ23" s="10"/>
      <c r="AK23" s="10"/>
      <c r="AL23" s="10"/>
      <c r="AM23" s="10"/>
    </row>
    <row r="24">
      <c r="M24" t="s">
        <v>106</v>
      </c>
      <c r="N24" t="n">
        <v>1979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 t="n">
        <v>13830.4624306104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>
      <c r="M25" t="s">
        <v>107</v>
      </c>
      <c r="N25" t="n">
        <v>1328</v>
      </c>
      <c r="O25" s="10"/>
      <c r="P25" s="10"/>
      <c r="Q25" s="10"/>
      <c r="R25" s="10"/>
      <c r="S25" s="10"/>
      <c r="T25" s="10"/>
      <c r="U25" s="10"/>
      <c r="V25" s="10"/>
      <c r="W25" s="10" t="n">
        <v>219.947602322594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>
      <c r="M26" t="s">
        <v>108</v>
      </c>
      <c r="N26" t="n">
        <v>583</v>
      </c>
      <c r="O26" s="10"/>
      <c r="P26" s="10" t="n">
        <v>40411.8093674151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>
      <c r="M27" t="s">
        <v>109</v>
      </c>
      <c r="N27" t="n">
        <v>2259</v>
      </c>
      <c r="O27" s="10"/>
      <c r="P27" s="10"/>
      <c r="Q27" s="10"/>
      <c r="R27" s="10"/>
      <c r="S27" s="10"/>
      <c r="T27" s="10"/>
      <c r="U27" s="10"/>
      <c r="V27" s="10"/>
      <c r="W27" s="10"/>
      <c r="X27" s="10" t="n">
        <v>49102064.0058973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>
      <c r="M28" t="s">
        <v>110</v>
      </c>
      <c r="N28" t="n">
        <v>120</v>
      </c>
      <c r="O28" s="10" t="n">
        <v>50851.8718563851</v>
      </c>
      <c r="P28" s="10" t="n">
        <v>5788710.11221276</v>
      </c>
      <c r="Q28" s="10" t="n">
        <v>420218.579724624</v>
      </c>
      <c r="R28" s="10" t="n">
        <v>34818.1821318154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>
      <c r="M29" t="s">
        <v>111</v>
      </c>
      <c r="N29" t="n">
        <v>1961</v>
      </c>
      <c r="O29" s="10"/>
      <c r="P29" s="10"/>
      <c r="Q29" s="10"/>
      <c r="R29" s="10"/>
      <c r="S29" s="10"/>
      <c r="T29" s="10" t="n">
        <v>0</v>
      </c>
      <c r="U29" s="10" t="n">
        <v>172591.332438178</v>
      </c>
      <c r="V29" s="10"/>
      <c r="W29" s="10" t="n">
        <v>4880.70381302536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>
      <c r="M30" t="s">
        <v>76</v>
      </c>
      <c r="N30" t="n">
        <v>2202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 t="n">
        <v>321520.77640198</v>
      </c>
      <c r="AH30" s="10" t="n">
        <v>944628.037818356</v>
      </c>
      <c r="AI30" s="10" t="n">
        <v>348832.516386865</v>
      </c>
      <c r="AJ30" s="10" t="n">
        <v>-56120.9496048862</v>
      </c>
      <c r="AK30" s="10" t="n">
        <v>507467.4062</v>
      </c>
      <c r="AL30" s="10" t="n">
        <v>363997.159039038</v>
      </c>
      <c r="AM30" s="10"/>
    </row>
    <row r="31">
      <c r="M31" t="s">
        <v>112</v>
      </c>
      <c r="N31" t="n">
        <v>1952</v>
      </c>
      <c r="O31" s="10"/>
      <c r="P31" s="10"/>
      <c r="Q31" s="10"/>
      <c r="R31" s="10"/>
      <c r="S31" s="10"/>
      <c r="T31" s="10"/>
      <c r="U31" s="10"/>
      <c r="V31" s="10"/>
      <c r="W31" s="10"/>
      <c r="X31" s="10" t="n">
        <v>8054.79568353659</v>
      </c>
      <c r="Y31" s="10"/>
      <c r="Z31" s="10" t="n">
        <v>22416.6941343464</v>
      </c>
      <c r="AA31" s="10"/>
      <c r="AB31" s="10"/>
      <c r="AC31" s="10"/>
      <c r="AD31" s="10"/>
      <c r="AE31" s="10"/>
      <c r="AF31" s="10" t="n">
        <v>94737.9279358814</v>
      </c>
      <c r="AG31" s="10"/>
      <c r="AH31" s="10"/>
      <c r="AI31" s="10"/>
      <c r="AJ31" s="10"/>
      <c r="AK31" s="10"/>
      <c r="AL31" s="10"/>
      <c r="AM31" s="10"/>
    </row>
    <row r="32">
      <c r="M32" t="s">
        <v>77</v>
      </c>
      <c r="N32" t="n">
        <v>2015</v>
      </c>
      <c r="O32" s="10"/>
      <c r="P32" s="10"/>
      <c r="Q32" s="10"/>
      <c r="R32" s="10"/>
      <c r="S32" s="10"/>
      <c r="T32" s="10"/>
      <c r="U32" s="10"/>
      <c r="V32" s="10"/>
      <c r="W32" s="10" t="n">
        <v>94186300.8525872</v>
      </c>
      <c r="X32" s="10" t="n">
        <v>114698503.554794</v>
      </c>
      <c r="Y32" s="10" t="n">
        <v>92549838.4752825</v>
      </c>
      <c r="Z32" s="10" t="n">
        <v>81192350.5332182</v>
      </c>
      <c r="AA32" s="10" t="n">
        <v>51593619.6090872</v>
      </c>
      <c r="AB32" s="10" t="n">
        <v>57550361.4975665</v>
      </c>
      <c r="AC32" s="10" t="n">
        <v>31498210.3320955</v>
      </c>
      <c r="AD32" s="10" t="n">
        <v>-7896064.69637381</v>
      </c>
      <c r="AE32" s="10" t="n">
        <v>79989102.8947598</v>
      </c>
      <c r="AF32" s="10" t="n">
        <v>77862773.6745531</v>
      </c>
      <c r="AG32" s="10" t="n">
        <v>89689055.6107462</v>
      </c>
      <c r="AH32" s="10" t="n">
        <v>-2687064.69472875</v>
      </c>
      <c r="AI32" s="10" t="n">
        <v>8181653.64335241</v>
      </c>
      <c r="AJ32" s="10" t="n">
        <v>1986051.87781786</v>
      </c>
      <c r="AK32" s="10" t="n">
        <v>-4344765.9707</v>
      </c>
      <c r="AL32" s="10" t="n">
        <v>-1237520.25282364</v>
      </c>
      <c r="AM32" s="10"/>
    </row>
    <row r="33">
      <c r="M33"/>
      <c r="N33"/>
      <c r="O33" s="10" t="n">
        <v>10513336984.1074</v>
      </c>
      <c r="P33" s="10" t="n">
        <v>11699711626.5241</v>
      </c>
      <c r="Q33" s="10" t="n">
        <v>16364789685.1245</v>
      </c>
      <c r="R33" s="10" t="n">
        <v>24517913328.6206</v>
      </c>
      <c r="S33" s="10" t="n">
        <v>29796623674.9218</v>
      </c>
      <c r="T33" s="10" t="n">
        <v>31917382950.5287</v>
      </c>
      <c r="U33" s="10" t="n">
        <v>33772239690.4769</v>
      </c>
      <c r="V33" s="10" t="n">
        <v>33295458699.4035</v>
      </c>
      <c r="W33" s="10" t="n">
        <v>36457567496.7128</v>
      </c>
      <c r="X33" s="10" t="n">
        <v>40333533116.0226</v>
      </c>
      <c r="Y33" s="10" t="n">
        <v>43114876787.1683</v>
      </c>
      <c r="Z33" s="10" t="n">
        <v>47103956086.8339</v>
      </c>
      <c r="AA33" s="10" t="n">
        <v>42319986322.2012</v>
      </c>
      <c r="AB33" s="10" t="n">
        <v>37844961917.6853</v>
      </c>
      <c r="AC33" s="10" t="n">
        <v>31070845400.0713</v>
      </c>
      <c r="AD33" s="10" t="n">
        <v>27537187835.4387</v>
      </c>
      <c r="AE33" s="10" t="n">
        <v>28153237406.2895</v>
      </c>
      <c r="AF33" s="10" t="n">
        <v>30414199009.8481</v>
      </c>
      <c r="AG33" s="10" t="n">
        <v>32307411803.0694</v>
      </c>
      <c r="AH33" s="10" t="n">
        <v>33001539373.8951</v>
      </c>
      <c r="AI33" s="10" t="n">
        <v>32642427012.1759</v>
      </c>
      <c r="AJ33" s="10" t="n">
        <v>30708677684.1051</v>
      </c>
      <c r="AK33" s="10" t="n">
        <v>30747297973.7056</v>
      </c>
      <c r="AL33" s="10" t="n">
        <v>20465989206.8932</v>
      </c>
      <c r="AM33" s="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O1</f>
      </c>
      <c r="B1" t="str">
        <f>P1</f>
      </c>
      <c r="C1" t="str">
        <f>AF1</f>
      </c>
      <c r="D1" t="str">
        <f>AL1</f>
      </c>
      <c r="E1" t="str">
        <f>AM1</f>
      </c>
      <c r="F1" t="str">
        <f>AN1</f>
      </c>
      <c r="G1" t="str">
        <f>AL1&amp;"-"&amp;AM1</f>
      </c>
      <c r="H1" t="str">
        <f>AF1&amp;"-"&amp;AM1</f>
      </c>
      <c r="I1" t="str">
        <f>AN1&amp;"/"&amp;AM1</f>
      </c>
      <c r="J1" t="str">
        <f>"Share "&amp;AM1</f>
      </c>
      <c r="K1" t="str">
        <f>"Share "&amp;AN1</f>
      </c>
      <c r="O1" t="s">
        <v>89</v>
      </c>
      <c r="P1" t="s">
        <v>90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>
      <c r="A2" t="str">
        <f>O2</f>
      </c>
      <c r="B2" t="str">
        <f>P2</f>
      </c>
      <c r="C2" s="11" t="str">
        <f>AF2</f>
      </c>
      <c r="D2" s="11" t="str">
        <f>AL2</f>
      </c>
      <c r="E2" s="11" t="str">
        <f>AM2</f>
      </c>
      <c r="F2" s="11" t="str">
        <f>AN2</f>
      </c>
      <c r="G2" s="7" t="str">
        <f>AM2/AL2-1</f>
      </c>
      <c r="H2" s="7" t="str">
        <f>AM2/AF2-1</f>
      </c>
      <c r="I2" s="7" t="str">
        <f>AN2/AM2</f>
      </c>
      <c r="J2" s="7" t="str">
        <f>AM2/Sum(AM$1:AM$33)</f>
      </c>
      <c r="K2" s="7" t="str">
        <f>AN2/Sum(AN1:AN$33)</f>
      </c>
      <c r="O2" t="s">
        <v>69</v>
      </c>
      <c r="P2" t="n">
        <v>2044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 t="n">
        <v>48258380.4856683</v>
      </c>
      <c r="AH2" s="11" t="n">
        <v>48820637.9309467</v>
      </c>
      <c r="AI2" s="11" t="n">
        <v>87400686.5041747</v>
      </c>
      <c r="AJ2" s="11" t="n">
        <v>-2526542.02385402</v>
      </c>
      <c r="AK2" s="11" t="n">
        <v>3129153.82354371</v>
      </c>
      <c r="AL2" s="11" t="n">
        <v>740751.387280894</v>
      </c>
      <c r="AM2" s="11" t="n">
        <v>-904173.8437</v>
      </c>
      <c r="AN2" s="11" t="n">
        <v>0</v>
      </c>
      <c r="AO2" s="11"/>
    </row>
    <row r="3">
      <c r="A3" t="str">
        <f>O3</f>
      </c>
      <c r="B3" t="str">
        <f>P3</f>
      </c>
      <c r="C3" s="11" t="str">
        <f>AF3</f>
      </c>
      <c r="D3" s="11" t="str">
        <f>AL3</f>
      </c>
      <c r="E3" s="11" t="str">
        <f>AM3</f>
      </c>
      <c r="F3" s="11" t="str">
        <f>AN3</f>
      </c>
      <c r="G3" s="7" t="str">
        <f>AM3/AL3-1</f>
      </c>
      <c r="H3" s="7" t="str">
        <f>AM3/AF3-1</f>
      </c>
      <c r="I3" s="7" t="str">
        <f>AN3/AM3</f>
      </c>
      <c r="J3" s="7" t="str">
        <f>AM3/Sum(AM$1:AM$33)</f>
      </c>
      <c r="K3" s="7" t="str">
        <f>AN3/Sum(AN1:AN$33)</f>
      </c>
      <c r="O3" t="s">
        <v>91</v>
      </c>
      <c r="P3" t="n">
        <v>1885</v>
      </c>
      <c r="Q3" s="11"/>
      <c r="R3" s="11"/>
      <c r="S3" s="11" t="n">
        <v>10714799.6295065</v>
      </c>
      <c r="T3" s="11" t="n">
        <v>8987074.30341784</v>
      </c>
      <c r="U3" s="11" t="n">
        <v>2540986.56322735</v>
      </c>
      <c r="V3" s="11" t="n">
        <v>7421131.55899306</v>
      </c>
      <c r="W3" s="11" t="n">
        <v>733181.880382928</v>
      </c>
      <c r="X3" s="11" t="n">
        <v>381028.744296803</v>
      </c>
      <c r="Y3" s="11" t="n">
        <v>233277.760039115</v>
      </c>
      <c r="Z3" s="11" t="n">
        <v>-59184.1561273992</v>
      </c>
      <c r="AA3" s="11" t="n">
        <v>-95781.890925083</v>
      </c>
      <c r="AB3" s="11" t="n">
        <v>-25259.9546251127</v>
      </c>
      <c r="AC3" s="11" t="n">
        <v>-10846.8926487904</v>
      </c>
      <c r="AD3" s="11" t="n">
        <v>-35837.7759872103</v>
      </c>
      <c r="AE3" s="11" t="n">
        <v>-35085.9542009089</v>
      </c>
      <c r="AF3" s="11"/>
      <c r="AG3" s="11"/>
      <c r="AH3" s="11"/>
      <c r="AI3" s="11"/>
      <c r="AJ3" s="11" t="n">
        <v>0</v>
      </c>
      <c r="AK3" s="11"/>
      <c r="AL3" s="11" t="n">
        <v>0</v>
      </c>
      <c r="AM3" s="11"/>
      <c r="AN3" s="11"/>
      <c r="AO3" s="11"/>
    </row>
    <row r="4">
      <c r="A4" t="str">
        <f>O4</f>
      </c>
      <c r="B4" t="str">
        <f>P4</f>
      </c>
      <c r="C4" s="11" t="str">
        <f>AF4</f>
      </c>
      <c r="D4" s="11" t="str">
        <f>AL4</f>
      </c>
      <c r="E4" s="11" t="str">
        <f>AM4</f>
      </c>
      <c r="F4" s="11" t="str">
        <f>AN4</f>
      </c>
      <c r="G4" s="7" t="str">
        <f>AM4/AL4-1</f>
      </c>
      <c r="H4" s="7" t="str">
        <f>AM4/AF4-1</f>
      </c>
      <c r="I4" s="7" t="str">
        <f>AN4/AM4</f>
      </c>
      <c r="J4" s="7" t="str">
        <f>AM4/Sum(AM$1:AM$33)</f>
      </c>
      <c r="K4" s="7" t="str">
        <f>AN4/Sum(AN1:AN$33)</f>
      </c>
      <c r="O4" t="s">
        <v>92</v>
      </c>
      <c r="P4" t="n">
        <v>2038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n">
        <v>2733089.70340513</v>
      </c>
      <c r="AO4" s="11"/>
    </row>
    <row r="5">
      <c r="A5" t="str">
        <f>O5</f>
      </c>
      <c r="B5" t="str">
        <f>P5</f>
      </c>
      <c r="C5" s="11" t="str">
        <f>AF5</f>
      </c>
      <c r="D5" s="11" t="str">
        <f>AL5</f>
      </c>
      <c r="E5" s="11" t="str">
        <f>AM5</f>
      </c>
      <c r="F5" s="11" t="str">
        <f>AN5</f>
      </c>
      <c r="G5" s="7" t="str">
        <f>AM5/AL5-1</f>
      </c>
      <c r="H5" s="7" t="str">
        <f>AM5/AF5-1</f>
      </c>
      <c r="I5" s="7" t="str">
        <f>AN5/AM5</f>
      </c>
      <c r="J5" s="7" t="str">
        <f>AM5/Sum(AM$1:AM$33)</f>
      </c>
      <c r="K5" s="7" t="str">
        <f>AN5/Sum(AN1:AN$33)</f>
      </c>
      <c r="O5" t="s">
        <v>93</v>
      </c>
      <c r="P5" t="n">
        <v>2058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 t="n">
        <v>-1018974.62000613</v>
      </c>
      <c r="AG5" s="11"/>
      <c r="AH5" s="11"/>
      <c r="AI5" s="11"/>
      <c r="AJ5" s="11"/>
      <c r="AK5" s="11"/>
      <c r="AL5" s="11"/>
      <c r="AM5" s="11"/>
      <c r="AN5" s="11"/>
      <c r="AO5" s="11"/>
    </row>
    <row r="6">
      <c r="A6" t="str">
        <f>O6</f>
      </c>
      <c r="B6" t="str">
        <f>P6</f>
      </c>
      <c r="C6" s="11" t="str">
        <f>AF6</f>
      </c>
      <c r="D6" s="11" t="str">
        <f>AL6</f>
      </c>
      <c r="E6" s="11" t="str">
        <f>AM6</f>
      </c>
      <c r="F6" s="11" t="str">
        <f>AN6</f>
      </c>
      <c r="G6" s="7" t="str">
        <f>AM6/AL6-1</f>
      </c>
      <c r="H6" s="7" t="str">
        <f>AM6/AF6-1</f>
      </c>
      <c r="I6" s="7" t="str">
        <f>AN6/AM6</f>
      </c>
      <c r="J6" s="7" t="str">
        <f>AM6/Sum(AM$1:AM$33)</f>
      </c>
      <c r="K6" s="7" t="str">
        <f>AN6/Sum(AN1:AN$33)</f>
      </c>
      <c r="O6" t="s">
        <v>70</v>
      </c>
      <c r="P6" t="n">
        <v>1344</v>
      </c>
      <c r="Q6" s="11"/>
      <c r="R6" s="11"/>
      <c r="S6" s="11"/>
      <c r="T6" s="11"/>
      <c r="U6" s="11" t="n">
        <v>10341807.131199</v>
      </c>
      <c r="V6" s="11" t="n">
        <v>41068681.969369</v>
      </c>
      <c r="W6" s="11" t="n">
        <v>40806448.3374342</v>
      </c>
      <c r="X6" s="11" t="n">
        <v>1858836.36208365</v>
      </c>
      <c r="Y6" s="11" t="n">
        <v>3268675.97652613</v>
      </c>
      <c r="Z6" s="11" t="n">
        <v>-567126.078652373</v>
      </c>
      <c r="AA6" s="11" t="n">
        <v>-758906.72061264</v>
      </c>
      <c r="AB6" s="11" t="n">
        <v>-3207340.22732886</v>
      </c>
      <c r="AC6" s="11" t="n">
        <v>-3099183.89350868</v>
      </c>
      <c r="AD6" s="11" t="n">
        <v>-431756.65020185</v>
      </c>
      <c r="AE6" s="11" t="n">
        <v>-359514.633266181</v>
      </c>
      <c r="AF6" s="11" t="n">
        <v>-208987.086872235</v>
      </c>
      <c r="AG6" s="11"/>
      <c r="AH6" s="11"/>
      <c r="AI6" s="11"/>
      <c r="AJ6" s="11"/>
      <c r="AK6" s="11"/>
      <c r="AL6" s="11"/>
      <c r="AM6" s="11"/>
      <c r="AN6" s="11"/>
      <c r="AO6" s="11"/>
    </row>
    <row r="7">
      <c r="A7" t="str">
        <f>O7</f>
      </c>
      <c r="B7" t="str">
        <f>P7</f>
      </c>
      <c r="C7" s="11" t="str">
        <f>AF7</f>
      </c>
      <c r="D7" s="11" t="str">
        <f>AL7</f>
      </c>
      <c r="E7" s="11" t="str">
        <f>AM7</f>
      </c>
      <c r="F7" s="11" t="str">
        <f>AN7</f>
      </c>
      <c r="G7" s="7" t="str">
        <f>AM7/AL7-1</f>
      </c>
      <c r="H7" s="7" t="str">
        <f>AM7/AF7-1</f>
      </c>
      <c r="I7" s="7" t="str">
        <f>AN7/AM7</f>
      </c>
      <c r="J7" s="7" t="str">
        <f>AM7/Sum(AM$1:AM$33)</f>
      </c>
      <c r="K7" s="7" t="str">
        <f>AN7/Sum(AN1:AN$33)</f>
      </c>
      <c r="O7" t="s">
        <v>94</v>
      </c>
      <c r="P7" t="n">
        <v>1977</v>
      </c>
      <c r="Q7" s="11"/>
      <c r="R7" s="11"/>
      <c r="S7" s="11"/>
      <c r="T7" s="11"/>
      <c r="U7" s="11"/>
      <c r="V7" s="11" t="n">
        <v>390023.530026999</v>
      </c>
      <c r="W7" s="11"/>
      <c r="X7" s="11"/>
      <c r="Y7" s="11"/>
      <c r="Z7" s="11" t="n">
        <v>0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>
      <c r="A8" t="str">
        <f>O8</f>
      </c>
      <c r="B8" t="str">
        <f>P8</f>
      </c>
      <c r="C8" s="11" t="str">
        <f>AF8</f>
      </c>
      <c r="D8" s="11" t="str">
        <f>AL8</f>
      </c>
      <c r="E8" s="11" t="str">
        <f>AM8</f>
      </c>
      <c r="F8" s="11" t="str">
        <f>AN8</f>
      </c>
      <c r="G8" s="7" t="str">
        <f>AM8/AL8-1</f>
      </c>
      <c r="H8" s="7" t="str">
        <f>AM8/AF8-1</f>
      </c>
      <c r="I8" s="7" t="str">
        <f>AN8/AM8</f>
      </c>
      <c r="J8" s="7" t="str">
        <f>AM8/Sum(AM$1:AM$33)</f>
      </c>
      <c r="K8" s="7" t="str">
        <f>AN8/Sum(AN1:AN$33)</f>
      </c>
      <c r="O8" t="s">
        <v>95</v>
      </c>
      <c r="P8" t="n">
        <v>1967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 t="n">
        <v>2152.00520166304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>
      <c r="A9" t="str">
        <f>O9</f>
      </c>
      <c r="B9" t="str">
        <f>P9</f>
      </c>
      <c r="C9" s="11" t="str">
        <f>AF9</f>
      </c>
      <c r="D9" s="11" t="str">
        <f>AL9</f>
      </c>
      <c r="E9" s="11" t="str">
        <f>AM9</f>
      </c>
      <c r="F9" s="11" t="str">
        <f>AN9</f>
      </c>
      <c r="G9" s="7" t="str">
        <f>AM9/AL9-1</f>
      </c>
      <c r="H9" s="7" t="str">
        <f>AM9/AF9-1</f>
      </c>
      <c r="I9" s="7" t="str">
        <f>AN9/AM9</f>
      </c>
      <c r="J9" s="7" t="str">
        <f>AM9/Sum(AM$1:AM$33)</f>
      </c>
      <c r="K9" s="7" t="str">
        <f>AN9/Sum(AN1:AN$33)</f>
      </c>
      <c r="O9" t="s">
        <v>96</v>
      </c>
      <c r="P9" t="n">
        <v>1931</v>
      </c>
      <c r="Q9" s="11"/>
      <c r="R9" s="11"/>
      <c r="S9" s="11"/>
      <c r="T9" s="11" t="n">
        <v>15011075.4398843</v>
      </c>
      <c r="U9" s="11" t="n">
        <v>17523092.5587731</v>
      </c>
      <c r="V9" s="11" t="n">
        <v>15117210.0440781</v>
      </c>
      <c r="W9" s="11" t="n">
        <v>12850003.7312722</v>
      </c>
      <c r="X9" s="11" t="n">
        <v>2511848.64673886</v>
      </c>
      <c r="Y9" s="11" t="n">
        <v>0</v>
      </c>
      <c r="Z9" s="11"/>
      <c r="AA9" s="11" t="n">
        <v>0</v>
      </c>
      <c r="AB9" s="11" t="n">
        <v>0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>
      <c r="A10" t="str">
        <f>O10</f>
      </c>
      <c r="B10" t="str">
        <f>P10</f>
      </c>
      <c r="C10" s="11" t="str">
        <f>AF10</f>
      </c>
      <c r="D10" s="11" t="str">
        <f>AL10</f>
      </c>
      <c r="E10" s="11" t="str">
        <f>AM10</f>
      </c>
      <c r="F10" s="11" t="str">
        <f>AN10</f>
      </c>
      <c r="G10" s="7" t="str">
        <f>AM10/AL10-1</f>
      </c>
      <c r="H10" s="7" t="str">
        <f>AM10/AF10-1</f>
      </c>
      <c r="I10" s="7" t="str">
        <f>AN10/AM10</f>
      </c>
      <c r="J10" s="7" t="str">
        <f>AM10/Sum(AM$1:AM$33)</f>
      </c>
      <c r="K10" s="7" t="str">
        <f>AN10/Sum(AN1:AN$33)</f>
      </c>
      <c r="O10" t="s">
        <v>97</v>
      </c>
      <c r="P10" t="n">
        <v>1968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 t="n">
        <v>9811.7078706526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>
      <c r="A11" t="str">
        <f>O11</f>
      </c>
      <c r="B11" t="str">
        <f>P11</f>
      </c>
      <c r="C11" s="11" t="str">
        <f>AF11</f>
      </c>
      <c r="D11" s="11" t="str">
        <f>AL11</f>
      </c>
      <c r="E11" s="11" t="str">
        <f>AM11</f>
      </c>
      <c r="F11" s="11" t="str">
        <f>AN11</f>
      </c>
      <c r="G11" s="7" t="str">
        <f>AM11/AL11-1</f>
      </c>
      <c r="H11" s="7" t="str">
        <f>AM11/AF11-1</f>
      </c>
      <c r="I11" s="7" t="str">
        <f>AN11/AM11</f>
      </c>
      <c r="J11" s="7" t="str">
        <f>AM11/Sum(AM$1:AM$33)</f>
      </c>
      <c r="K11" s="7" t="str">
        <f>AN11/Sum(AN1:AN$33)</f>
      </c>
      <c r="O11" t="s">
        <v>98</v>
      </c>
      <c r="P11" t="n">
        <v>1959</v>
      </c>
      <c r="Q11" s="11"/>
      <c r="R11" s="11"/>
      <c r="S11" s="11"/>
      <c r="T11" s="11"/>
      <c r="U11" s="11"/>
      <c r="V11" s="11"/>
      <c r="W11" s="11" t="n">
        <v>120396.182462881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>
      <c r="A12" t="str">
        <f>O12</f>
      </c>
      <c r="B12" t="str">
        <f>P12</f>
      </c>
      <c r="C12" s="11" t="str">
        <f>AF12</f>
      </c>
      <c r="D12" s="11" t="str">
        <f>AL12</f>
      </c>
      <c r="E12" s="11" t="str">
        <f>AM12</f>
      </c>
      <c r="F12" s="11" t="str">
        <f>AN12</f>
      </c>
      <c r="G12" s="7" t="str">
        <f>AM12/AL12-1</f>
      </c>
      <c r="H12" s="7" t="str">
        <f>AM12/AF12-1</f>
      </c>
      <c r="I12" s="7" t="str">
        <f>AN12/AM12</f>
      </c>
      <c r="J12" s="7" t="str">
        <f>AM12/Sum(AM$1:AM$33)</f>
      </c>
      <c r="K12" s="7" t="str">
        <f>AN12/Sum(AN1:AN$33)</f>
      </c>
      <c r="O12" t="s">
        <v>71</v>
      </c>
      <c r="P12" t="n">
        <v>1970</v>
      </c>
      <c r="Q12" s="11"/>
      <c r="R12" s="11"/>
      <c r="S12" s="11" t="n">
        <v>280123.05629883</v>
      </c>
      <c r="T12" s="11"/>
      <c r="U12" s="11" t="n">
        <v>83932478.775269</v>
      </c>
      <c r="V12" s="11" t="n">
        <v>86575314.439869</v>
      </c>
      <c r="W12" s="11" t="n">
        <v>61287467.3753812</v>
      </c>
      <c r="X12" s="11" t="n">
        <v>18648447.9469066</v>
      </c>
      <c r="Y12" s="11" t="n">
        <v>8392388.78133873</v>
      </c>
      <c r="Z12" s="11" t="n">
        <v>0</v>
      </c>
      <c r="AA12" s="11"/>
      <c r="AB12" s="11"/>
      <c r="AC12" s="11" t="n">
        <v>-96495.9875503386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>
      <c r="A13" t="str">
        <f>O13</f>
      </c>
      <c r="B13" t="str">
        <f>P13</f>
      </c>
      <c r="C13" s="11" t="str">
        <f>AF13</f>
      </c>
      <c r="D13" s="11" t="str">
        <f>AL13</f>
      </c>
      <c r="E13" s="11" t="str">
        <f>AM13</f>
      </c>
      <c r="F13" s="11" t="str">
        <f>AN13</f>
      </c>
      <c r="G13" s="7" t="str">
        <f>AM13/AL13-1</f>
      </c>
      <c r="H13" s="7" t="str">
        <f>AM13/AF13-1</f>
      </c>
      <c r="I13" s="7" t="str">
        <f>AN13/AM13</f>
      </c>
      <c r="J13" s="7" t="str">
        <f>AM13/Sum(AM$1:AM$33)</f>
      </c>
      <c r="K13" s="7" t="str">
        <f>AN13/Sum(AN1:AN$33)</f>
      </c>
      <c r="O13" t="s">
        <v>72</v>
      </c>
      <c r="P13" t="n">
        <v>2237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 t="n">
        <v>12361165.6754113</v>
      </c>
      <c r="AL13" s="11" t="n">
        <v>3724267.61113675</v>
      </c>
      <c r="AM13" s="11" t="n">
        <v>67001.7405</v>
      </c>
      <c r="AN13" s="11" t="n">
        <v>78585.0226305214</v>
      </c>
      <c r="AO13" s="11"/>
    </row>
    <row r="14">
      <c r="A14" t="str">
        <f>O14</f>
      </c>
      <c r="B14" t="str">
        <f>P14</f>
      </c>
      <c r="C14" s="11" t="str">
        <f>AF14</f>
      </c>
      <c r="D14" s="11" t="str">
        <f>AL14</f>
      </c>
      <c r="E14" s="11" t="str">
        <f>AM14</f>
      </c>
      <c r="F14" s="11" t="str">
        <f>AN14</f>
      </c>
      <c r="G14" s="7" t="str">
        <f>AM14/AL14-1</f>
      </c>
      <c r="H14" s="7" t="str">
        <f>AM14/AF14-1</f>
      </c>
      <c r="I14" s="7" t="str">
        <f>AN14/AM14</f>
      </c>
      <c r="J14" s="7" t="str">
        <f>AM14/Sum(AM$1:AM$33)</f>
      </c>
      <c r="K14" s="7" t="str">
        <f>AN14/Sum(AN1:AN$33)</f>
      </c>
      <c r="O14" t="s">
        <v>99</v>
      </c>
      <c r="P14" t="n">
        <v>632</v>
      </c>
      <c r="Q14" s="11"/>
      <c r="R14" s="11"/>
      <c r="S14" s="11"/>
      <c r="T14" s="11"/>
      <c r="U14" s="11"/>
      <c r="V14" s="11"/>
      <c r="W14" s="11"/>
      <c r="X14" s="11"/>
      <c r="Y14" s="11" t="n">
        <v>0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>
      <c r="A15" t="str">
        <f>O15</f>
      </c>
      <c r="B15" t="str">
        <f>P15</f>
      </c>
      <c r="C15" s="11" t="str">
        <f>AF15</f>
      </c>
      <c r="D15" s="11" t="str">
        <f>AL15</f>
      </c>
      <c r="E15" s="11" t="str">
        <f>AM15</f>
      </c>
      <c r="F15" s="11" t="str">
        <f>AN15</f>
      </c>
      <c r="G15" s="7" t="str">
        <f>AM15/AL15-1</f>
      </c>
      <c r="H15" s="7" t="str">
        <f>AM15/AF15-1</f>
      </c>
      <c r="I15" s="7" t="str">
        <f>AN15/AM15</f>
      </c>
      <c r="J15" s="7" t="str">
        <f>AM15/Sum(AM$1:AM$33)</f>
      </c>
      <c r="K15" s="7" t="str">
        <f>AN15/Sum(AN1:AN$33)</f>
      </c>
      <c r="O15" t="s">
        <v>100</v>
      </c>
      <c r="P15" t="n">
        <v>1988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 t="n">
        <v>9301.49906137866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>
      <c r="A16" t="str">
        <f>O16</f>
      </c>
      <c r="B16" t="str">
        <f>P16</f>
      </c>
      <c r="C16" s="11" t="str">
        <f>AF16</f>
      </c>
      <c r="D16" s="11" t="str">
        <f>AL16</f>
      </c>
      <c r="E16" s="11" t="str">
        <f>AM16</f>
      </c>
      <c r="F16" s="11" t="str">
        <f>AN16</f>
      </c>
      <c r="G16" s="7" t="str">
        <f>AM16/AL16-1</f>
      </c>
      <c r="H16" s="7" t="str">
        <f>AM16/AF16-1</f>
      </c>
      <c r="I16" s="7" t="str">
        <f>AN16/AM16</f>
      </c>
      <c r="J16" s="7" t="str">
        <f>AM16/Sum(AM$1:AM$33)</f>
      </c>
      <c r="K16" s="7" t="str">
        <f>AN16/Sum(AN1:AN$33)</f>
      </c>
      <c r="O16" t="s">
        <v>78</v>
      </c>
      <c r="P16" t="n">
        <v>2036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n">
        <v>44839428.6103321</v>
      </c>
      <c r="AO16" s="11"/>
    </row>
    <row r="17">
      <c r="A17" t="str">
        <f>O17</f>
      </c>
      <c r="B17" t="str">
        <f>P17</f>
      </c>
      <c r="C17" s="11" t="str">
        <f>AF17</f>
      </c>
      <c r="D17" s="11" t="str">
        <f>AL17</f>
      </c>
      <c r="E17" s="11" t="str">
        <f>AM17</f>
      </c>
      <c r="F17" s="11" t="str">
        <f>AN17</f>
      </c>
      <c r="G17" s="7" t="str">
        <f>AM17/AL17-1</f>
      </c>
      <c r="H17" s="7" t="str">
        <f>AM17/AF17-1</f>
      </c>
      <c r="I17" s="7" t="str">
        <f>AN17/AM17</f>
      </c>
      <c r="J17" s="7" t="str">
        <f>AM17/Sum(AM$1:AM$33)</f>
      </c>
      <c r="K17" s="7" t="str">
        <f>AN17/Sum(AN1:AN$33)</f>
      </c>
      <c r="O17" t="s">
        <v>73</v>
      </c>
      <c r="P17" t="n">
        <v>1805</v>
      </c>
      <c r="Q17" s="11"/>
      <c r="R17" s="11"/>
      <c r="S17" s="11"/>
      <c r="T17" s="11"/>
      <c r="U17" s="11"/>
      <c r="V17" s="11"/>
      <c r="W17" s="11"/>
      <c r="X17" s="11" t="n">
        <v>15759450.9253865</v>
      </c>
      <c r="Y17" s="11" t="n">
        <v>48959985.6938615</v>
      </c>
      <c r="Z17" s="11" t="n">
        <v>43814873.884338</v>
      </c>
      <c r="AA17" s="11" t="n">
        <v>0</v>
      </c>
      <c r="AB17" s="11"/>
      <c r="AC17" s="11" t="n">
        <v>-27053.2910422782</v>
      </c>
      <c r="AD17" s="11" t="n">
        <v>8135444.42139555</v>
      </c>
      <c r="AE17" s="11" t="n">
        <v>25871489.3448722</v>
      </c>
      <c r="AF17" s="11"/>
      <c r="AG17" s="11" t="n">
        <v>14663268.5091786</v>
      </c>
      <c r="AH17" s="11" t="n">
        <v>59528106.7824505</v>
      </c>
      <c r="AI17" s="11" t="n">
        <v>40171253.1981615</v>
      </c>
      <c r="AJ17" s="11" t="n">
        <v>124481881.180061</v>
      </c>
      <c r="AK17" s="11" t="n">
        <v>25291646.8177342</v>
      </c>
      <c r="AL17" s="11" t="n">
        <v>94267813.9667044</v>
      </c>
      <c r="AM17" s="11" t="n">
        <v>0</v>
      </c>
      <c r="AN17" s="11" t="n">
        <v>-188945.46199847</v>
      </c>
      <c r="AO17" s="11"/>
    </row>
    <row r="18">
      <c r="A18" t="str">
        <f>O18</f>
      </c>
      <c r="B18" t="str">
        <f>P18</f>
      </c>
      <c r="C18" s="11" t="str">
        <f>AF18</f>
      </c>
      <c r="D18" s="11" t="str">
        <f>AL18</f>
      </c>
      <c r="E18" s="11" t="str">
        <f>AM18</f>
      </c>
      <c r="F18" s="11" t="str">
        <f>AN18</f>
      </c>
      <c r="G18" s="7" t="str">
        <f>AM18/AL18-1</f>
      </c>
      <c r="H18" s="7" t="str">
        <f>AM18/AF18-1</f>
      </c>
      <c r="I18" s="7" t="str">
        <f>AN18/AM18</f>
      </c>
      <c r="J18" s="7" t="str">
        <f>AM18/Sum(AM$1:AM$33)</f>
      </c>
      <c r="K18" s="7" t="str">
        <f>AN18/Sum(AN1:AN$33)</f>
      </c>
      <c r="O18" t="s">
        <v>101</v>
      </c>
      <c r="P18" t="n">
        <v>662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 t="n">
        <v>420.606199919748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>
      <c r="A19" t="str">
        <f>O19</f>
      </c>
      <c r="B19" t="str">
        <f>P19</f>
      </c>
      <c r="C19" s="11" t="str">
        <f>AF19</f>
      </c>
      <c r="D19" s="11" t="str">
        <f>AL19</f>
      </c>
      <c r="E19" s="11" t="str">
        <f>AM19</f>
      </c>
      <c r="F19" s="11" t="str">
        <f>AN19</f>
      </c>
      <c r="G19" s="7" t="str">
        <f>AM19/AL19-1</f>
      </c>
      <c r="H19" s="7" t="str">
        <f>AM19/AF19-1</f>
      </c>
      <c r="I19" s="7" t="str">
        <f>AN19/AM19</f>
      </c>
      <c r="J19" s="7" t="str">
        <f>AM19/Sum(AM$1:AM$33)</f>
      </c>
      <c r="K19" s="7" t="str">
        <f>AN19/Sum(AN1:AN$33)</f>
      </c>
      <c r="O19" t="s">
        <v>102</v>
      </c>
      <c r="P19" t="n">
        <v>1987</v>
      </c>
      <c r="Q19" s="11"/>
      <c r="R19" s="11"/>
      <c r="S19" s="11"/>
      <c r="T19" s="11"/>
      <c r="U19" s="11"/>
      <c r="V19" s="11"/>
      <c r="W19" s="11" t="n">
        <v>934516.085453299</v>
      </c>
      <c r="X19" s="11" t="n">
        <v>2518365.25887904</v>
      </c>
      <c r="Y19" s="11" t="n">
        <v>2612836.79125023</v>
      </c>
      <c r="Z19" s="11" t="n">
        <v>2436162.90574537</v>
      </c>
      <c r="AA19" s="11" t="n">
        <v>1290170.26933022</v>
      </c>
      <c r="AB19" s="11" t="n">
        <v>350571.999002085</v>
      </c>
      <c r="AC19" s="11" t="n">
        <v>26961.6129948557</v>
      </c>
      <c r="AD19" s="11" t="n">
        <v>-157731.686166626</v>
      </c>
      <c r="AE19" s="11" t="n">
        <v>-121085.177268616</v>
      </c>
      <c r="AF19" s="11"/>
      <c r="AG19" s="11"/>
      <c r="AH19" s="11"/>
      <c r="AI19" s="11"/>
      <c r="AJ19" s="11"/>
      <c r="AK19" s="11"/>
      <c r="AL19" s="11"/>
      <c r="AM19" s="11"/>
      <c r="AN19" s="11" t="n">
        <v>5821.98530807319</v>
      </c>
      <c r="AO19" s="11"/>
    </row>
    <row r="20">
      <c r="A20" t="str">
        <f>O20</f>
      </c>
      <c r="B20" t="str">
        <f>P20</f>
      </c>
      <c r="C20" s="11" t="str">
        <f>AF20</f>
      </c>
      <c r="D20" s="11" t="str">
        <f>AL20</f>
      </c>
      <c r="E20" s="11" t="str">
        <f>AM20</f>
      </c>
      <c r="F20" s="11" t="str">
        <f>AN20</f>
      </c>
      <c r="G20" s="7" t="str">
        <f>AM20/AL20-1</f>
      </c>
      <c r="H20" s="7" t="str">
        <f>AM20/AF20-1</f>
      </c>
      <c r="I20" s="7" t="str">
        <f>AN20/AM20</f>
      </c>
      <c r="J20" s="7" t="str">
        <f>AM20/Sum(AM$1:AM$33)</f>
      </c>
      <c r="K20" s="7" t="str">
        <f>AN20/Sum(AN1:AN$33)</f>
      </c>
      <c r="O20" t="s">
        <v>103</v>
      </c>
      <c r="P20" t="n">
        <v>664</v>
      </c>
      <c r="Q20" s="11"/>
      <c r="R20" s="11"/>
      <c r="S20" s="11"/>
      <c r="T20" s="11"/>
      <c r="U20" s="11"/>
      <c r="V20" s="11"/>
      <c r="W20" s="11"/>
      <c r="X20" s="11"/>
      <c r="Y20" s="11"/>
      <c r="Z20" s="11" t="n">
        <v>89862.529029402</v>
      </c>
      <c r="AA20" s="11" t="n">
        <v>0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>
      <c r="A21" t="str">
        <f>O21</f>
      </c>
      <c r="B21" t="str">
        <f>P21</f>
      </c>
      <c r="C21" s="11" t="str">
        <f>AF21</f>
      </c>
      <c r="D21" s="11" t="str">
        <f>AL21</f>
      </c>
      <c r="E21" s="11" t="str">
        <f>AM21</f>
      </c>
      <c r="F21" s="11" t="str">
        <f>AN21</f>
      </c>
      <c r="G21" s="7" t="str">
        <f>AM21/AL21-1</f>
      </c>
      <c r="H21" s="7" t="str">
        <f>AM21/AF21-1</f>
      </c>
      <c r="I21" s="7" t="str">
        <f>AN21/AM21</f>
      </c>
      <c r="J21" s="7" t="str">
        <f>AM21/Sum(AM$1:AM$33)</f>
      </c>
      <c r="K21" s="7" t="str">
        <f>AN21/Sum(AN1:AN$33)</f>
      </c>
      <c r="O21" t="s">
        <v>104</v>
      </c>
      <c r="P21" t="n">
        <v>2004</v>
      </c>
      <c r="Q21" s="11"/>
      <c r="R21" s="11"/>
      <c r="S21" s="11"/>
      <c r="T21" s="11"/>
      <c r="U21" s="11"/>
      <c r="V21" s="11"/>
      <c r="W21" s="11"/>
      <c r="X21" s="11"/>
      <c r="Y21" s="11"/>
      <c r="Z21" s="11" t="n">
        <v>55376.1830962185</v>
      </c>
      <c r="AA21" s="11" t="n">
        <v>34311.8874033209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>
      <c r="A22" t="str">
        <f>O22</f>
      </c>
      <c r="B22" t="str">
        <f>P22</f>
      </c>
      <c r="C22" s="11" t="str">
        <f>AF22</f>
      </c>
      <c r="D22" s="11" t="str">
        <f>AL22</f>
      </c>
      <c r="E22" s="11" t="str">
        <f>AM22</f>
      </c>
      <c r="F22" s="11" t="str">
        <f>AN22</f>
      </c>
      <c r="G22" s="7" t="str">
        <f>AM22/AL22-1</f>
      </c>
      <c r="H22" s="7" t="str">
        <f>AM22/AF22-1</f>
      </c>
      <c r="I22" s="7" t="str">
        <f>AN22/AM22</f>
      </c>
      <c r="J22" s="7" t="str">
        <f>AM22/Sum(AM$1:AM$33)</f>
      </c>
      <c r="K22" s="7" t="str">
        <f>AN22/Sum(AN1:AN$33)</f>
      </c>
      <c r="O22" t="s">
        <v>105</v>
      </c>
      <c r="P22" t="n">
        <v>1965</v>
      </c>
      <c r="Q22" s="11"/>
      <c r="R22" s="11"/>
      <c r="S22" s="11"/>
      <c r="T22" s="11"/>
      <c r="U22" s="11" t="n">
        <v>1921186.65150925</v>
      </c>
      <c r="V22" s="11"/>
      <c r="W22" s="11" t="n">
        <v>7966.57199546515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>
      <c r="A23" t="str">
        <f>O23</f>
      </c>
      <c r="B23" t="str">
        <f>P23</f>
      </c>
      <c r="C23" s="11" t="str">
        <f>AF23</f>
      </c>
      <c r="D23" s="11" t="str">
        <f>AL23</f>
      </c>
      <c r="E23" s="11" t="str">
        <f>AM23</f>
      </c>
      <c r="F23" s="11" t="str">
        <f>AN23</f>
      </c>
      <c r="G23" s="7" t="str">
        <f>AM23/AL23-1</f>
      </c>
      <c r="H23" s="7" t="str">
        <f>AM23/AF23-1</f>
      </c>
      <c r="I23" s="7" t="str">
        <f>AN23/AM23</f>
      </c>
      <c r="J23" s="7" t="str">
        <f>AM23/Sum(AM$1:AM$33)</f>
      </c>
      <c r="K23" s="7" t="str">
        <f>AN23/Sum(AN1:AN$33)</f>
      </c>
      <c r="O23" t="s">
        <v>75</v>
      </c>
      <c r="P23" t="n">
        <v>2258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 t="n">
        <v>276754114.355995</v>
      </c>
      <c r="AD23" s="11"/>
      <c r="AE23" s="11"/>
      <c r="AF23" s="11" t="n">
        <v>16079427.0532597</v>
      </c>
      <c r="AG23" s="11" t="n">
        <v>50732802.6822838</v>
      </c>
      <c r="AH23" s="11" t="n">
        <v>40828748.8015233</v>
      </c>
      <c r="AI23" s="11" t="n">
        <v>136724473.389785</v>
      </c>
      <c r="AJ23" s="11" t="n">
        <v>48366494.2000214</v>
      </c>
      <c r="AK23" s="11" t="n">
        <v>17501380.936179</v>
      </c>
      <c r="AL23" s="11"/>
      <c r="AM23" s="11"/>
      <c r="AN23" s="11"/>
      <c r="AO23" s="11"/>
    </row>
    <row r="24">
      <c r="A24" t="str">
        <f>O24</f>
      </c>
      <c r="B24" t="str">
        <f>P24</f>
      </c>
      <c r="C24" s="11" t="str">
        <f>AF24</f>
      </c>
      <c r="D24" s="11" t="str">
        <f>AL24</f>
      </c>
      <c r="E24" s="11" t="str">
        <f>AM24</f>
      </c>
      <c r="F24" s="11" t="str">
        <f>AN24</f>
      </c>
      <c r="G24" s="7" t="str">
        <f>AM24/AL24-1</f>
      </c>
      <c r="H24" s="7" t="str">
        <f>AM24/AF24-1</f>
      </c>
      <c r="I24" s="7" t="str">
        <f>AN24/AM24</f>
      </c>
      <c r="J24" s="7" t="str">
        <f>AM24/Sum(AM$1:AM$33)</f>
      </c>
      <c r="K24" s="7" t="str">
        <f>AN24/Sum(AN1:AN$33)</f>
      </c>
      <c r="O24" t="s">
        <v>106</v>
      </c>
      <c r="P24" t="n">
        <v>1979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 t="n">
        <v>13830.4624306104</v>
      </c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>
      <c r="A25" t="str">
        <f>O25</f>
      </c>
      <c r="B25" t="str">
        <f>P25</f>
      </c>
      <c r="C25" s="11" t="str">
        <f>AF25</f>
      </c>
      <c r="D25" s="11" t="str">
        <f>AL25</f>
      </c>
      <c r="E25" s="11" t="str">
        <f>AM25</f>
      </c>
      <c r="F25" s="11" t="str">
        <f>AN25</f>
      </c>
      <c r="G25" s="7" t="str">
        <f>AM25/AL25-1</f>
      </c>
      <c r="H25" s="7" t="str">
        <f>AM25/AF25-1</f>
      </c>
      <c r="I25" s="7" t="str">
        <f>AN25/AM25</f>
      </c>
      <c r="J25" s="7" t="str">
        <f>AM25/Sum(AM$1:AM$33)</f>
      </c>
      <c r="K25" s="7" t="str">
        <f>AN25/Sum(AN1:AN$33)</f>
      </c>
      <c r="O25" t="s">
        <v>107</v>
      </c>
      <c r="P25" t="n">
        <v>1328</v>
      </c>
      <c r="Q25" s="11"/>
      <c r="R25" s="11"/>
      <c r="S25" s="11"/>
      <c r="T25" s="11"/>
      <c r="U25" s="11"/>
      <c r="V25" s="11"/>
      <c r="W25" s="11"/>
      <c r="X25" s="11"/>
      <c r="Y25" s="11" t="n">
        <v>219.947602322594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>
      <c r="A26" t="str">
        <f>O26</f>
      </c>
      <c r="B26" t="str">
        <f>P26</f>
      </c>
      <c r="C26" s="11" t="str">
        <f>AF26</f>
      </c>
      <c r="D26" s="11" t="str">
        <f>AL26</f>
      </c>
      <c r="E26" s="11" t="str">
        <f>AM26</f>
      </c>
      <c r="F26" s="11" t="str">
        <f>AN26</f>
      </c>
      <c r="G26" s="7" t="str">
        <f>AM26/AL26-1</f>
      </c>
      <c r="H26" s="7" t="str">
        <f>AM26/AF26-1</f>
      </c>
      <c r="I26" s="7" t="str">
        <f>AN26/AM26</f>
      </c>
      <c r="J26" s="7" t="str">
        <f>AM26/Sum(AM$1:AM$33)</f>
      </c>
      <c r="K26" s="7" t="str">
        <f>AN26/Sum(AN1:AN$33)</f>
      </c>
      <c r="O26" t="s">
        <v>108</v>
      </c>
      <c r="P26" t="n">
        <v>583</v>
      </c>
      <c r="Q26" s="11"/>
      <c r="R26" s="11" t="n">
        <v>40411.8093674151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>
      <c r="A27" t="str">
        <f>O27</f>
      </c>
      <c r="B27" t="str">
        <f>P27</f>
      </c>
      <c r="C27" s="11" t="str">
        <f>AF27</f>
      </c>
      <c r="D27" s="11" t="str">
        <f>AL27</f>
      </c>
      <c r="E27" s="11" t="str">
        <f>AM27</f>
      </c>
      <c r="F27" s="11" t="str">
        <f>AN27</f>
      </c>
      <c r="G27" s="7" t="str">
        <f>AM27/AL27-1</f>
      </c>
      <c r="H27" s="7" t="str">
        <f>AM27/AF27-1</f>
      </c>
      <c r="I27" s="7" t="str">
        <f>AN27/AM27</f>
      </c>
      <c r="J27" s="7" t="str">
        <f>AM27/Sum(AM$1:AM$33)</f>
      </c>
      <c r="K27" s="7" t="str">
        <f>AN27/Sum(AN1:AN$33)</f>
      </c>
      <c r="O27" t="s">
        <v>109</v>
      </c>
      <c r="P27" t="n">
        <v>2259</v>
      </c>
      <c r="Q27" s="11"/>
      <c r="R27" s="11"/>
      <c r="S27" s="11"/>
      <c r="T27" s="11"/>
      <c r="U27" s="11"/>
      <c r="V27" s="11"/>
      <c r="W27" s="11"/>
      <c r="X27" s="11"/>
      <c r="Y27" s="11"/>
      <c r="Z27" s="11" t="n">
        <v>49102064.0058973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>
      <c r="A28" t="str">
        <f>O28</f>
      </c>
      <c r="B28" t="str">
        <f>P28</f>
      </c>
      <c r="C28" s="11" t="str">
        <f>AF28</f>
      </c>
      <c r="D28" s="11" t="str">
        <f>AL28</f>
      </c>
      <c r="E28" s="11" t="str">
        <f>AM28</f>
      </c>
      <c r="F28" s="11" t="str">
        <f>AN28</f>
      </c>
      <c r="G28" s="7" t="str">
        <f>AM28/AL28-1</f>
      </c>
      <c r="H28" s="7" t="str">
        <f>AM28/AF28-1</f>
      </c>
      <c r="I28" s="7" t="str">
        <f>AN28/AM28</f>
      </c>
      <c r="J28" s="7" t="str">
        <f>AM28/Sum(AM$1:AM$33)</f>
      </c>
      <c r="K28" s="7" t="str">
        <f>AN28/Sum(AN1:AN$33)</f>
      </c>
      <c r="O28" t="s">
        <v>110</v>
      </c>
      <c r="P28" t="n">
        <v>120</v>
      </c>
      <c r="Q28" s="11" t="n">
        <v>50851.8718563851</v>
      </c>
      <c r="R28" s="11" t="n">
        <v>5788710.11221276</v>
      </c>
      <c r="S28" s="11" t="n">
        <v>420218.579724624</v>
      </c>
      <c r="T28" s="11" t="n">
        <v>34818.1821318154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>
      <c r="A29" t="str">
        <f>O29</f>
      </c>
      <c r="B29" t="str">
        <f>P29</f>
      </c>
      <c r="C29" s="11" t="str">
        <f>AF29</f>
      </c>
      <c r="D29" s="11" t="str">
        <f>AL29</f>
      </c>
      <c r="E29" s="11" t="str">
        <f>AM29</f>
      </c>
      <c r="F29" s="11" t="str">
        <f>AN29</f>
      </c>
      <c r="G29" s="7" t="str">
        <f>AM29/AL29-1</f>
      </c>
      <c r="H29" s="7" t="str">
        <f>AM29/AF29-1</f>
      </c>
      <c r="I29" s="7" t="str">
        <f>AN29/AM29</f>
      </c>
      <c r="J29" s="7" t="str">
        <f>AM29/Sum(AM$1:AM$33)</f>
      </c>
      <c r="K29" s="7" t="str">
        <f>AN29/Sum(AN1:AN$33)</f>
      </c>
      <c r="O29" t="s">
        <v>111</v>
      </c>
      <c r="P29" t="n">
        <v>1961</v>
      </c>
      <c r="Q29" s="11"/>
      <c r="R29" s="11"/>
      <c r="S29" s="11"/>
      <c r="T29" s="11"/>
      <c r="U29" s="11"/>
      <c r="V29" s="11" t="n">
        <v>0</v>
      </c>
      <c r="W29" s="11" t="n">
        <v>172591.332438178</v>
      </c>
      <c r="X29" s="11"/>
      <c r="Y29" s="11" t="n">
        <v>4880.70381302536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>
      <c r="A30" t="str">
        <f>O30</f>
      </c>
      <c r="B30" t="str">
        <f>P30</f>
      </c>
      <c r="C30" s="11" t="str">
        <f>AF30</f>
      </c>
      <c r="D30" s="11" t="str">
        <f>AL30</f>
      </c>
      <c r="E30" s="11" t="str">
        <f>AM30</f>
      </c>
      <c r="F30" s="11" t="str">
        <f>AN30</f>
      </c>
      <c r="G30" s="7" t="str">
        <f>AM30/AL30-1</f>
      </c>
      <c r="H30" s="7" t="str">
        <f>AM30/AF30-1</f>
      </c>
      <c r="I30" s="7" t="str">
        <f>AN30/AM30</f>
      </c>
      <c r="J30" s="7" t="str">
        <f>AM30/Sum(AM$1:AM$33)</f>
      </c>
      <c r="K30" s="7" t="str">
        <f>AN30/Sum(AN1:AN$33)</f>
      </c>
      <c r="O30" t="s">
        <v>76</v>
      </c>
      <c r="P30" t="n">
        <v>2202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 t="n">
        <v>321520.77640198</v>
      </c>
      <c r="AJ30" s="11" t="n">
        <v>944628.037818356</v>
      </c>
      <c r="AK30" s="11" t="n">
        <v>348832.516386865</v>
      </c>
      <c r="AL30" s="11" t="n">
        <v>-56120.9496048862</v>
      </c>
      <c r="AM30" s="11" t="n">
        <v>507467.4062</v>
      </c>
      <c r="AN30" s="11" t="n">
        <v>363997.159039038</v>
      </c>
      <c r="AO30" s="11"/>
    </row>
    <row r="31">
      <c r="A31" t="str">
        <f>O31</f>
      </c>
      <c r="B31" t="str">
        <f>P31</f>
      </c>
      <c r="C31" s="11" t="str">
        <f>AF31</f>
      </c>
      <c r="D31" s="11" t="str">
        <f>AL31</f>
      </c>
      <c r="E31" s="11" t="str">
        <f>AM31</f>
      </c>
      <c r="F31" s="11" t="str">
        <f>AN31</f>
      </c>
      <c r="G31" s="7" t="str">
        <f>AM31/AL31-1</f>
      </c>
      <c r="H31" s="7" t="str">
        <f>AM31/AF31-1</f>
      </c>
      <c r="I31" s="7" t="str">
        <f>AN31/AM31</f>
      </c>
      <c r="J31" s="7" t="str">
        <f>AM31/Sum(AM$1:AM$33)</f>
      </c>
      <c r="K31" s="7" t="str">
        <f>AN31/Sum(AN1:AN$33)</f>
      </c>
      <c r="O31" t="s">
        <v>112</v>
      </c>
      <c r="P31" t="n">
        <v>1952</v>
      </c>
      <c r="Q31" s="11"/>
      <c r="R31" s="11"/>
      <c r="S31" s="11"/>
      <c r="T31" s="11"/>
      <c r="U31" s="11"/>
      <c r="V31" s="11"/>
      <c r="W31" s="11"/>
      <c r="X31" s="11"/>
      <c r="Y31" s="11"/>
      <c r="Z31" s="11" t="n">
        <v>8054.79568353659</v>
      </c>
      <c r="AA31" s="11"/>
      <c r="AB31" s="11" t="n">
        <v>22416.6941343464</v>
      </c>
      <c r="AC31" s="11"/>
      <c r="AD31" s="11"/>
      <c r="AE31" s="11"/>
      <c r="AF31" s="11"/>
      <c r="AG31" s="11"/>
      <c r="AH31" s="11" t="n">
        <v>94737.9279358814</v>
      </c>
      <c r="AI31" s="11"/>
      <c r="AJ31" s="11"/>
      <c r="AK31" s="11"/>
      <c r="AL31" s="11"/>
      <c r="AM31" s="11"/>
      <c r="AN31" s="11"/>
      <c r="AO31" s="11"/>
    </row>
    <row r="32">
      <c r="A32" t="str">
        <f>O32</f>
      </c>
      <c r="B32" t="str">
        <f>P32</f>
      </c>
      <c r="C32" s="11" t="str">
        <f>AF32</f>
      </c>
      <c r="D32" s="11" t="str">
        <f>AL32</f>
      </c>
      <c r="E32" s="11" t="str">
        <f>AM32</f>
      </c>
      <c r="F32" s="11" t="str">
        <f>AN32</f>
      </c>
      <c r="G32" s="7" t="str">
        <f>AM32/AL32-1</f>
      </c>
      <c r="H32" s="7" t="str">
        <f>AM32/AF32-1</f>
      </c>
      <c r="I32" s="7" t="str">
        <f>AN32/AM32</f>
      </c>
      <c r="J32" s="7" t="str">
        <f>AM32/Sum(AM$1:AM$33)</f>
      </c>
      <c r="K32" s="7" t="str">
        <f>AN32/Sum(AN1:AN$33)</f>
      </c>
      <c r="O32" t="s">
        <v>77</v>
      </c>
      <c r="P32" t="n">
        <v>2015</v>
      </c>
      <c r="Q32" s="11"/>
      <c r="R32" s="11"/>
      <c r="S32" s="11"/>
      <c r="T32" s="11"/>
      <c r="U32" s="11"/>
      <c r="V32" s="11"/>
      <c r="W32" s="11"/>
      <c r="X32" s="11"/>
      <c r="Y32" s="11" t="n">
        <v>94186300.8525872</v>
      </c>
      <c r="Z32" s="11" t="n">
        <v>114698503.554794</v>
      </c>
      <c r="AA32" s="11" t="n">
        <v>92549838.4752825</v>
      </c>
      <c r="AB32" s="11" t="n">
        <v>81192350.5332182</v>
      </c>
      <c r="AC32" s="11" t="n">
        <v>51593619.6090872</v>
      </c>
      <c r="AD32" s="11" t="n">
        <v>57550361.4975665</v>
      </c>
      <c r="AE32" s="11" t="n">
        <v>31498210.3320955</v>
      </c>
      <c r="AF32" s="11" t="n">
        <v>-7896064.69637381</v>
      </c>
      <c r="AG32" s="11" t="n">
        <v>79989102.8947598</v>
      </c>
      <c r="AH32" s="11" t="n">
        <v>77862773.6745531</v>
      </c>
      <c r="AI32" s="11" t="n">
        <v>89689055.6107462</v>
      </c>
      <c r="AJ32" s="11" t="n">
        <v>-2687064.69472875</v>
      </c>
      <c r="AK32" s="11" t="n">
        <v>8181653.64335241</v>
      </c>
      <c r="AL32" s="11" t="n">
        <v>1986051.87781786</v>
      </c>
      <c r="AM32" s="11" t="n">
        <v>-4344765.9707</v>
      </c>
      <c r="AN32" s="11" t="n">
        <v>-1237520.25282364</v>
      </c>
      <c r="AO32" s="11"/>
    </row>
    <row r="33">
      <c r="A33" t="str">
        <f>O33</f>
      </c>
      <c r="B33" t="str">
        <f>P33</f>
      </c>
      <c r="C33" s="11" t="str">
        <f>AF33</f>
      </c>
      <c r="D33" s="11" t="str">
        <f>AL33</f>
      </c>
      <c r="E33" s="11" t="str">
        <f>AM33</f>
      </c>
      <c r="F33" s="11" t="str">
        <f>AN33</f>
      </c>
      <c r="G33" s="7" t="str">
        <f>AM33/AL33-1</f>
      </c>
      <c r="H33" s="7" t="str">
        <f>AM33/AF33-1</f>
      </c>
      <c r="I33" s="7" t="str">
        <f>AN33/AM33</f>
      </c>
      <c r="J33" s="7" t="str">
        <f>AM33/Sum(AM$1:AM$33)</f>
      </c>
      <c r="K33" s="7" t="str">
        <f>AN33/Sum(AN1:AN$33)</f>
      </c>
      <c r="O33"/>
      <c r="P33"/>
      <c r="Q33" s="11" t="n">
        <v>10513336984.1074</v>
      </c>
      <c r="R33" s="11" t="n">
        <v>11699711626.5241</v>
      </c>
      <c r="S33" s="11" t="n">
        <v>16364789685.1245</v>
      </c>
      <c r="T33" s="11" t="n">
        <v>24517913328.6206</v>
      </c>
      <c r="U33" s="11" t="n">
        <v>29796623674.9218</v>
      </c>
      <c r="V33" s="11" t="n">
        <v>31917382950.5287</v>
      </c>
      <c r="W33" s="11" t="n">
        <v>33772239690.4769</v>
      </c>
      <c r="X33" s="11" t="n">
        <v>33295458699.4035</v>
      </c>
      <c r="Y33" s="11" t="n">
        <v>36457567496.7128</v>
      </c>
      <c r="Z33" s="11" t="n">
        <v>40333533116.0226</v>
      </c>
      <c r="AA33" s="11" t="n">
        <v>43114876787.1683</v>
      </c>
      <c r="AB33" s="11" t="n">
        <v>47103956086.8339</v>
      </c>
      <c r="AC33" s="11" t="n">
        <v>42319986322.2012</v>
      </c>
      <c r="AD33" s="11" t="n">
        <v>37844961917.6853</v>
      </c>
      <c r="AE33" s="11" t="n">
        <v>31070845400.0713</v>
      </c>
      <c r="AF33" s="11" t="n">
        <v>27537187835.4387</v>
      </c>
      <c r="AG33" s="11" t="n">
        <v>28153237406.2895</v>
      </c>
      <c r="AH33" s="11" t="n">
        <v>30414199009.8481</v>
      </c>
      <c r="AI33" s="11" t="n">
        <v>32307411803.0694</v>
      </c>
      <c r="AJ33" s="11" t="n">
        <v>33001539373.8951</v>
      </c>
      <c r="AK33" s="11" t="n">
        <v>32642427012.1759</v>
      </c>
      <c r="AL33" s="11" t="n">
        <v>30708677684.1051</v>
      </c>
      <c r="AM33" s="11" t="n">
        <v>30747297973.7056</v>
      </c>
      <c r="AN33" s="11" t="n">
        <v>20465989206.8932</v>
      </c>
      <c r="AO33" s="11"/>
    </row>
    <row r="34">
      <c r="A34" t="str">
        <f>O34</f>
      </c>
      <c r="B34" t="str">
        <f>P34</f>
      </c>
      <c r="C34" s="11" t="str">
        <f>AF34</f>
      </c>
      <c r="D34" s="11" t="str">
        <f>AL34</f>
      </c>
      <c r="E34" s="11" t="str">
        <f>AM34</f>
      </c>
      <c r="F34" s="11" t="str">
        <f>AN34</f>
      </c>
      <c r="G34" s="7" t="str">
        <f>AM34/AL34-1</f>
      </c>
      <c r="H34" s="7" t="str">
        <f>AM34/AF34-1</f>
      </c>
      <c r="I34" s="7" t="str">
        <f>AN34/AM34</f>
      </c>
      <c r="J34" s="7" t="str">
        <f>Sum(J$1:J$33)</f>
      </c>
      <c r="K34" s="7" t="str">
        <f>Sum(K$1:K$33)</f>
      </c>
      <c r="O34" t="s">
        <v>113</v>
      </c>
      <c r="P34" t="s">
        <v>114</v>
      </c>
      <c r="Q34" s="11" t="str">
        <f>Sum(Q2:Q33)</f>
      </c>
      <c r="R34" s="11" t="str">
        <f>Sum(R2:R33)</f>
      </c>
      <c r="S34" s="11" t="str">
        <f>Sum(S2:S33)</f>
      </c>
      <c r="T34" s="11" t="str">
        <f>Sum(T2:T33)</f>
      </c>
      <c r="U34" s="11" t="str">
        <f>Sum(U2:U33)</f>
      </c>
      <c r="V34" s="11" t="str">
        <f>Sum(V2:V33)</f>
      </c>
      <c r="W34" s="11" t="str">
        <f>Sum(W2:W33)</f>
      </c>
      <c r="X34" s="11" t="str">
        <f>Sum(X2:X33)</f>
      </c>
      <c r="Y34" s="11" t="str">
        <f>Sum(Y2:Y33)</f>
      </c>
      <c r="Z34" s="11" t="str">
        <f>Sum(Z2:Z33)</f>
      </c>
      <c r="AA34" s="11" t="str">
        <f>Sum(AA2:AA33)</f>
      </c>
      <c r="AB34" s="11" t="str">
        <f>Sum(AB2:AB33)</f>
      </c>
      <c r="AC34" s="11" t="str">
        <f>Sum(AC2:AC33)</f>
      </c>
      <c r="AD34" s="11" t="str">
        <f>Sum(AD2:AD33)</f>
      </c>
      <c r="AE34" s="11" t="str">
        <f>Sum(AE2:AE33)</f>
      </c>
      <c r="AF34" s="11" t="str">
        <f>Sum(AF2:AF33)</f>
      </c>
      <c r="AG34" s="11" t="str">
        <f>Sum(AG2:AG33)</f>
      </c>
      <c r="AH34" s="11" t="str">
        <f>Sum(AH2:AH33)</f>
      </c>
      <c r="AI34" s="11" t="str">
        <f>Sum(AI2:AI33)</f>
      </c>
      <c r="AJ34" s="11" t="str">
        <f>Sum(AJ2:AJ33)</f>
      </c>
      <c r="AK34" s="11" t="str">
        <f>Sum(AK2:AK33)</f>
      </c>
      <c r="AL34" s="11" t="str">
        <f>Sum(AL2:AL33)</f>
      </c>
      <c r="AM34" s="11" t="str">
        <f>Sum(AM2:AM33)</f>
      </c>
      <c r="AN34" s="11"/>
      <c r="AO34" s="11"/>
    </row>
    <row r="35">
      <c r="P35" t="str">
        <f>Sum(A2:A33)</f>
      </c>
    </row>
    <row r="36">
      <c r="P36" t="str">
        <f>Sum(B2:B33)</f>
      </c>
    </row>
    <row r="37">
      <c r="P37" t="str">
        <f>Sum(C2:C33)</f>
      </c>
    </row>
    <row r="38">
      <c r="P38" t="str">
        <f>Sum(D2:D33)</f>
      </c>
    </row>
    <row r="39">
      <c r="P39" t="str">
        <f>Sum(E2:E33)</f>
      </c>
    </row>
    <row r="40">
      <c r="P40" t="str">
        <f>Sum(F2:F33)</f>
      </c>
    </row>
    <row r="41">
      <c r="P41" t="str">
        <f>Sum(G2:G33)</f>
      </c>
    </row>
    <row r="42">
      <c r="P42" t="str">
        <f>Sum(H2:H33)</f>
      </c>
    </row>
    <row r="43">
      <c r="P43" t="str">
        <f>Sum(I2:I33)</f>
      </c>
    </row>
    <row r="44">
      <c r="P44" t="str">
        <f>Sum(J2:J33)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K1</f>
      </c>
      <c r="K1" t="s">
        <v>115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</row>
    <row r="2">
      <c r="A2" t="str">
        <f>K2</f>
      </c>
      <c r="K2" t="s">
        <v>116</v>
      </c>
      <c r="L2" s="12" t="n">
        <v>141238000</v>
      </c>
      <c r="M2" s="12" t="n">
        <v>140737000</v>
      </c>
      <c r="N2" s="12" t="n">
        <v>145944037</v>
      </c>
      <c r="O2" s="12" t="n">
        <v>161247134</v>
      </c>
      <c r="P2" s="12" t="n">
        <v>175168720</v>
      </c>
      <c r="Q2" s="12" t="n">
        <v>159019352</v>
      </c>
      <c r="R2" s="12" t="n">
        <v>149251598</v>
      </c>
      <c r="S2" s="12" t="n">
        <v>283735049</v>
      </c>
      <c r="T2" s="12" t="n">
        <v>258846743</v>
      </c>
      <c r="U2" s="12" t="n">
        <v>178164216</v>
      </c>
      <c r="V2" s="12" t="n">
        <v>488027620</v>
      </c>
      <c r="W2" s="12" t="n">
        <v>528536066</v>
      </c>
      <c r="X2" s="12" t="n">
        <v>667782816</v>
      </c>
      <c r="Y2" s="12" t="n">
        <v>520121469</v>
      </c>
      <c r="Z2" s="12" t="n">
        <v>572378287.625</v>
      </c>
      <c r="AA2" s="12" t="n">
        <v>650053252.0508</v>
      </c>
      <c r="AB2" s="12" t="n">
        <v>1228277880.2832</v>
      </c>
      <c r="AC2" s="12" t="n">
        <v>910999923.9186</v>
      </c>
      <c r="AD2" s="12" t="n">
        <v>1718034838.4951</v>
      </c>
      <c r="AE2" s="12" t="n">
        <v>1868721322.6032</v>
      </c>
      <c r="AF2" s="12" t="n">
        <v>1817517214.963</v>
      </c>
      <c r="AG2" s="12" t="n">
        <v>2232596957.0904</v>
      </c>
      <c r="AH2" s="12" t="n">
        <v>2170201652.036</v>
      </c>
      <c r="AI2" s="12" t="n">
        <v>2065306324.4219</v>
      </c>
      <c r="AJ2" s="12" t="n">
        <v>1671669136.7268</v>
      </c>
      <c r="AK2" s="12" t="n">
        <v>1747254906.1796</v>
      </c>
      <c r="AL2" s="12" t="n">
        <v>1902654331.7804</v>
      </c>
      <c r="AM2" s="12" t="n">
        <v>2079974238.9616</v>
      </c>
      <c r="AN2" s="12" t="n">
        <v>2127662568.702</v>
      </c>
      <c r="AO2" s="12" t="n">
        <v>2082688518.6835</v>
      </c>
      <c r="AP2" s="12" t="n">
        <v>1732764099.2398</v>
      </c>
      <c r="AQ2" s="12" t="n">
        <v>1432366876.1672</v>
      </c>
      <c r="AR2" s="12" t="n">
        <v>1425218725.8614</v>
      </c>
      <c r="AS2" s="12" t="n">
        <v>967366958.7047</v>
      </c>
      <c r="AT2" s="12"/>
      <c r="AU2" s="12"/>
    </row>
    <row r="3">
      <c r="A3" t="str">
        <f>K3</f>
      </c>
      <c r="K3" t="s">
        <v>117</v>
      </c>
      <c r="L3" s="12" t="n">
        <v>1583719000</v>
      </c>
      <c r="M3" s="12" t="n">
        <v>1418982823</v>
      </c>
      <c r="N3" s="12" t="n">
        <v>1029614886</v>
      </c>
      <c r="O3" s="12" t="n">
        <v>900565175</v>
      </c>
      <c r="P3" s="12" t="n">
        <v>1436399778</v>
      </c>
      <c r="Q3" s="12" t="n">
        <v>2281820057</v>
      </c>
      <c r="R3" s="12" t="n">
        <v>2247773594</v>
      </c>
      <c r="S3" s="12" t="n">
        <v>2596599780</v>
      </c>
      <c r="T3" s="12" t="n">
        <v>3008778454</v>
      </c>
      <c r="U3" s="12" t="n">
        <v>3464140633</v>
      </c>
      <c r="V3" s="12" t="n">
        <v>2866465970</v>
      </c>
      <c r="W3" s="12" t="n">
        <v>3309853609</v>
      </c>
      <c r="X3" s="12" t="n">
        <v>4683334309.4099</v>
      </c>
      <c r="Y3" s="12" t="n">
        <v>8982048817.7393</v>
      </c>
      <c r="Z3" s="12" t="n">
        <v>12697767911.7305</v>
      </c>
      <c r="AA3" s="12" t="n">
        <v>14245674433.2286</v>
      </c>
      <c r="AB3" s="12" t="n">
        <v>15406758186.7128</v>
      </c>
      <c r="AC3" s="12" t="n">
        <v>15276635935.7573</v>
      </c>
      <c r="AD3" s="12" t="n">
        <v>17015413716.9367</v>
      </c>
      <c r="AE3" s="12" t="n">
        <v>18952174180.1707</v>
      </c>
      <c r="AF3" s="12" t="n">
        <v>20195473389.5471</v>
      </c>
      <c r="AG3" s="12" t="n">
        <v>22506227694.3625</v>
      </c>
      <c r="AH3" s="12" t="n">
        <v>18867199921.4325</v>
      </c>
      <c r="AI3" s="12" t="n">
        <v>18142594165.6277</v>
      </c>
      <c r="AJ3" s="12" t="n">
        <v>16445813414.3549</v>
      </c>
      <c r="AK3" s="12" t="n">
        <v>14299107476.1951</v>
      </c>
      <c r="AL3" s="12" t="n">
        <v>14344507038.6432</v>
      </c>
      <c r="AM3" s="12" t="n">
        <v>15364810373.5781</v>
      </c>
      <c r="AN3" s="12" t="n">
        <v>17022293813.3266</v>
      </c>
      <c r="AO3" s="12" t="n">
        <v>17390072678.8066</v>
      </c>
      <c r="AP3" s="12" t="n">
        <v>17321128979.4071</v>
      </c>
      <c r="AQ3" s="12" t="n">
        <v>17004742255.4605</v>
      </c>
      <c r="AR3" s="12" t="n">
        <v>18427324555.0046</v>
      </c>
      <c r="AS3" s="12" t="n">
        <v>12354284463.6264</v>
      </c>
      <c r="AT3" s="12"/>
      <c r="AU3" s="12"/>
    </row>
    <row r="4">
      <c r="A4" t="str">
        <f>K4</f>
      </c>
      <c r="K4" t="s">
        <v>118</v>
      </c>
      <c r="L4" s="12" t="n">
        <v>2047616000</v>
      </c>
      <c r="M4" s="12" t="n">
        <v>3411952633</v>
      </c>
      <c r="N4" s="12" t="n">
        <v>2325017887</v>
      </c>
      <c r="O4" s="12" t="n">
        <v>1495732884</v>
      </c>
      <c r="P4" s="12" t="n">
        <v>1712634779</v>
      </c>
      <c r="Q4" s="12" t="n">
        <v>1878099221</v>
      </c>
      <c r="R4" s="12" t="n">
        <v>2025760699</v>
      </c>
      <c r="S4" s="12" t="n">
        <v>2114864737</v>
      </c>
      <c r="T4" s="12" t="n">
        <v>2184017911</v>
      </c>
      <c r="U4" s="12" t="n">
        <v>3060971974</v>
      </c>
      <c r="V4" s="12" t="n">
        <v>2170781172.319</v>
      </c>
      <c r="W4" s="12" t="n">
        <v>2722438491.8457</v>
      </c>
      <c r="X4" s="12" t="n">
        <v>4034159280.185</v>
      </c>
      <c r="Y4" s="12" t="n">
        <v>5392311737.8901</v>
      </c>
      <c r="Z4" s="12" t="n">
        <v>5437398907.6321</v>
      </c>
      <c r="AA4" s="12" t="n">
        <v>5312871011.129</v>
      </c>
      <c r="AB4" s="12" t="n">
        <v>5655213708.228</v>
      </c>
      <c r="AC4" s="12" t="n">
        <v>6132316741.3603</v>
      </c>
      <c r="AD4" s="12" t="n">
        <v>6325843336.3922</v>
      </c>
      <c r="AE4" s="12" t="n">
        <v>7271404899.9204</v>
      </c>
      <c r="AF4" s="12" t="n">
        <v>8041397291.1267</v>
      </c>
      <c r="AG4" s="12" t="n">
        <v>8233919510.6886</v>
      </c>
      <c r="AH4" s="12" t="n">
        <v>9021880393.5701</v>
      </c>
      <c r="AI4" s="12" t="n">
        <v>7134375137.8183</v>
      </c>
      <c r="AJ4" s="12" t="n">
        <v>4145260726.5415</v>
      </c>
      <c r="AK4" s="12" t="n">
        <v>3866686724.6687</v>
      </c>
      <c r="AL4" s="12" t="n">
        <v>4346428884.8483</v>
      </c>
      <c r="AM4" s="12" t="n">
        <v>4936495345.9404</v>
      </c>
      <c r="AN4" s="12" t="n">
        <v>5251283412.9508</v>
      </c>
      <c r="AO4" s="12" t="n">
        <v>5456062400.4051</v>
      </c>
      <c r="AP4" s="12" t="n">
        <v>5823992665.3208</v>
      </c>
      <c r="AQ4" s="12" t="n">
        <v>6133700083.78</v>
      </c>
      <c r="AR4" s="12" t="n">
        <v>6293133635.5944</v>
      </c>
      <c r="AS4" s="12" t="n">
        <v>3985141867.5752</v>
      </c>
      <c r="AT4" s="12"/>
      <c r="AU4" s="12"/>
    </row>
    <row r="5">
      <c r="A5" t="str">
        <f>K5</f>
      </c>
      <c r="K5" t="s">
        <v>119</v>
      </c>
      <c r="L5" s="12" t="n">
        <v>544734184</v>
      </c>
      <c r="M5" s="12" t="n">
        <v>646260776</v>
      </c>
      <c r="N5" s="12" t="n">
        <v>680712151</v>
      </c>
      <c r="O5" s="12" t="n">
        <v>479035384</v>
      </c>
      <c r="P5" s="12" t="n">
        <v>649896894</v>
      </c>
      <c r="Q5" s="12" t="n">
        <v>917145180</v>
      </c>
      <c r="R5" s="12" t="n">
        <v>619334426</v>
      </c>
      <c r="S5" s="12" t="n">
        <v>758964844</v>
      </c>
      <c r="T5" s="12" t="n">
        <v>592309383</v>
      </c>
      <c r="U5" s="12" t="n">
        <v>629753259</v>
      </c>
      <c r="V5" s="12" t="n">
        <v>980500739.8008</v>
      </c>
      <c r="W5" s="12" t="n">
        <v>858394340</v>
      </c>
      <c r="X5" s="12" t="n">
        <v>1157104695.8438</v>
      </c>
      <c r="Y5" s="12" t="n">
        <v>1210387732.0093</v>
      </c>
      <c r="Z5" s="12" t="n">
        <v>1397259747.5589</v>
      </c>
      <c r="AA5" s="12" t="n">
        <v>1987944726.0499</v>
      </c>
      <c r="AB5" s="12" t="n">
        <v>1858813835.0993</v>
      </c>
      <c r="AC5" s="12" t="n">
        <v>2037887352.1461</v>
      </c>
      <c r="AD5" s="12" t="n">
        <v>2301449690.6886</v>
      </c>
      <c r="AE5" s="12" t="n">
        <v>2432100579.7296</v>
      </c>
      <c r="AF5" s="12" t="n">
        <v>2627747418.7459</v>
      </c>
      <c r="AG5" s="12" t="n">
        <v>3367233545.157</v>
      </c>
      <c r="AH5" s="12" t="n">
        <v>3355340123.6756</v>
      </c>
      <c r="AI5" s="12" t="n">
        <v>3051423415.679</v>
      </c>
      <c r="AJ5" s="12" t="n">
        <v>3232852735.6688</v>
      </c>
      <c r="AK5" s="12" t="n">
        <v>3004320607.4266</v>
      </c>
      <c r="AL5" s="12" t="n">
        <v>3087702412.0289</v>
      </c>
      <c r="AM5" s="12" t="n">
        <v>3736676936.2606</v>
      </c>
      <c r="AN5" s="12" t="n">
        <v>4159554018.4283</v>
      </c>
      <c r="AO5" s="12" t="n">
        <v>4675985333.0776</v>
      </c>
      <c r="AP5" s="12" t="n">
        <v>4732510565.1442</v>
      </c>
      <c r="AQ5" s="12" t="n">
        <v>4211874812.7242</v>
      </c>
      <c r="AR5" s="12" t="n">
        <v>4593511224.9132</v>
      </c>
      <c r="AS5" s="12" t="n">
        <v>2542874453.6663</v>
      </c>
      <c r="AT5" s="12"/>
      <c r="AU5" s="12"/>
    </row>
    <row r="6">
      <c r="A6" t="str">
        <f>K6</f>
      </c>
      <c r="K6" t="s">
        <v>120</v>
      </c>
      <c r="L6" s="12" t="n">
        <v>67883000</v>
      </c>
      <c r="M6" s="12" t="n">
        <v>23881753</v>
      </c>
      <c r="N6" s="12" t="n">
        <v>30055313</v>
      </c>
      <c r="O6" s="12" t="n">
        <v>39242983</v>
      </c>
      <c r="P6" s="12" t="n">
        <v>40603242</v>
      </c>
      <c r="Q6" s="12" t="n">
        <v>36853623</v>
      </c>
      <c r="R6" s="12" t="n">
        <v>41048635</v>
      </c>
      <c r="S6" s="12" t="n">
        <v>39056206</v>
      </c>
      <c r="T6" s="12" t="n">
        <v>24808306</v>
      </c>
      <c r="U6" s="12" t="n">
        <v>5988384</v>
      </c>
      <c r="V6" s="12" t="n">
        <v>1120769</v>
      </c>
      <c r="W6" s="12" t="n">
        <v>1196118</v>
      </c>
      <c r="X6" s="12" t="n">
        <v>2734831.04</v>
      </c>
      <c r="Y6" s="12" t="n">
        <v>477984</v>
      </c>
      <c r="Z6" s="12" t="n">
        <v>4975933.4877</v>
      </c>
      <c r="AA6" s="12" t="n">
        <v>16493514.9045</v>
      </c>
      <c r="AB6" s="12" t="n">
        <v>89767055.9464</v>
      </c>
      <c r="AC6" s="12" t="n">
        <v>140044811.0431</v>
      </c>
      <c r="AD6" s="12" t="n">
        <v>107220043.9582</v>
      </c>
      <c r="AE6" s="12" t="n">
        <v>199248247.2965</v>
      </c>
      <c r="AF6" s="12" t="n">
        <v>345689276.9149</v>
      </c>
      <c r="AG6" s="12" t="n">
        <v>452692634.5427</v>
      </c>
      <c r="AH6" s="12" t="n">
        <v>449530904.1698</v>
      </c>
      <c r="AI6" s="12" t="n">
        <v>261248804.089</v>
      </c>
      <c r="AJ6" s="12" t="n">
        <v>161964807.0387</v>
      </c>
      <c r="AK6" s="12" t="n">
        <v>46654718.2488</v>
      </c>
      <c r="AL6" s="12" t="n">
        <v>147825230.5027</v>
      </c>
      <c r="AM6" s="12" t="n">
        <v>99812806.4097</v>
      </c>
      <c r="AN6" s="12" t="n">
        <v>41877105.4649</v>
      </c>
      <c r="AO6" s="12" t="n">
        <v>12027040.7086</v>
      </c>
      <c r="AP6" s="12" t="n">
        <v>-15455469.6575</v>
      </c>
      <c r="AQ6" s="12" t="n">
        <v>30275735.2138</v>
      </c>
      <c r="AR6" s="12" t="n">
        <v>3435361.6643</v>
      </c>
      <c r="AS6" s="12" t="n">
        <v>15328237.4178</v>
      </c>
      <c r="AT6" s="12"/>
      <c r="AU6" s="12"/>
    </row>
    <row r="7">
      <c r="A7" t="str">
        <f>K7</f>
      </c>
      <c r="K7" t="s">
        <v>113</v>
      </c>
      <c r="L7" s="12" t="str">
        <f>Sum(L2:L6)</f>
      </c>
      <c r="M7" s="12" t="str">
        <f>Sum(M2:M6)</f>
      </c>
      <c r="N7" s="12" t="str">
        <f>Sum(N2:N6)</f>
      </c>
      <c r="O7" s="12" t="str">
        <f>Sum(O2:O6)</f>
      </c>
      <c r="P7" s="12" t="str">
        <f>Sum(P2:P6)</f>
      </c>
      <c r="Q7" s="12" t="str">
        <f>Sum(Q2:Q6)</f>
      </c>
      <c r="R7" s="12" t="str">
        <f>Sum(R2:R6)</f>
      </c>
      <c r="S7" s="12" t="str">
        <f>Sum(S2:S6)</f>
      </c>
      <c r="T7" s="12" t="str">
        <f>Sum(T2:T6)</f>
      </c>
      <c r="U7" s="12" t="str">
        <f>Sum(U2:U6)</f>
      </c>
      <c r="V7" s="12" t="str">
        <f>Sum(V2:V6)</f>
      </c>
      <c r="W7" s="12" t="str">
        <f>Sum(W2:W6)</f>
      </c>
      <c r="X7" s="12" t="str">
        <f>Sum(X2:X6)</f>
      </c>
      <c r="Y7" s="12" t="str">
        <f>Sum(Y2:Y6)</f>
      </c>
      <c r="Z7" s="12" t="str">
        <f>Sum(Z2:Z6)</f>
      </c>
      <c r="AA7" s="12" t="str">
        <f>Sum(AA2:AA6)</f>
      </c>
      <c r="AB7" s="12" t="str">
        <f>Sum(AB2:AB6)</f>
      </c>
      <c r="AC7" s="12" t="str">
        <f>Sum(AC2:AC6)</f>
      </c>
      <c r="AD7" s="12" t="str">
        <f>Sum(AD2:AD6)</f>
      </c>
      <c r="AE7" s="12" t="str">
        <f>Sum(AE2:AE6)</f>
      </c>
      <c r="AF7" s="12" t="str">
        <f>Sum(AF2:AF6)</f>
      </c>
      <c r="AG7" s="12" t="str">
        <f>Sum(AG2:AG6)</f>
      </c>
      <c r="AH7" s="12" t="str">
        <f>Sum(AH2:AH6)</f>
      </c>
      <c r="AI7" s="12" t="str">
        <f>Sum(AI2:AI6)</f>
      </c>
      <c r="AJ7" s="12" t="str">
        <f>Sum(AJ2:AJ6)</f>
      </c>
      <c r="AK7" s="12" t="str">
        <f>Sum(AK2:AK6)</f>
      </c>
      <c r="AL7" s="12" t="str">
        <f>Sum(AL2:AL6)</f>
      </c>
      <c r="AM7" s="12" t="str">
        <f>Sum(AM2:AM6)</f>
      </c>
      <c r="AN7" s="12" t="str">
        <f>Sum(AN2:AN6)</f>
      </c>
      <c r="AO7" s="12" t="str">
        <f>Sum(AO2:AO6)</f>
      </c>
      <c r="AP7" s="12" t="str">
        <f>Sum(AP2:AP6)</f>
      </c>
      <c r="AQ7" s="12" t="str">
        <f>Sum(AQ2:AQ6)</f>
      </c>
      <c r="AR7" s="12" t="str">
        <f>Sum(AR2:AR6)</f>
      </c>
      <c r="AS7" s="12" t="str">
        <f>Sum(AS2:AS6)</f>
      </c>
      <c r="AT7" s="12"/>
      <c r="AU7" s="12"/>
    </row>
    <row r="10">
      <c r="A10" t="str">
        <f>K10</f>
      </c>
      <c r="K10" t="s">
        <v>115</v>
      </c>
      <c r="L10" t="s">
        <v>1</v>
      </c>
      <c r="M10" t="s">
        <v>2</v>
      </c>
      <c r="N10" t="s">
        <v>3</v>
      </c>
      <c r="O10" t="s">
        <v>4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E10" t="s">
        <v>20</v>
      </c>
      <c r="AF10" t="s">
        <v>21</v>
      </c>
      <c r="AG10" t="s">
        <v>22</v>
      </c>
      <c r="AH10" t="s">
        <v>23</v>
      </c>
      <c r="AI10" t="s">
        <v>24</v>
      </c>
      <c r="AJ10" t="s">
        <v>25</v>
      </c>
      <c r="AK10" t="s">
        <v>26</v>
      </c>
      <c r="AL10" t="s">
        <v>27</v>
      </c>
      <c r="AM10" t="s">
        <v>28</v>
      </c>
      <c r="AN10" t="s">
        <v>29</v>
      </c>
      <c r="AO10" t="s">
        <v>30</v>
      </c>
      <c r="AP10" t="s">
        <v>31</v>
      </c>
      <c r="AQ10" t="s">
        <v>32</v>
      </c>
      <c r="AR10" t="s">
        <v>33</v>
      </c>
      <c r="AS10" t="s">
        <v>34</v>
      </c>
    </row>
    <row r="11">
      <c r="A11" t="str">
        <f>K11</f>
      </c>
      <c r="K11" t="s">
        <v>116</v>
      </c>
      <c r="L11" s="12" t="n">
        <v>280714983.396072</v>
      </c>
      <c r="M11" s="12" t="n">
        <v>270085498.697798</v>
      </c>
      <c r="N11" s="12" t="n">
        <v>273249071.696877</v>
      </c>
      <c r="O11" s="12" t="n">
        <v>294971696.683685</v>
      </c>
      <c r="P11" s="12" t="n">
        <v>313605301.385884</v>
      </c>
      <c r="Q11" s="12" t="n">
        <v>278787512.089052</v>
      </c>
      <c r="R11" s="12" t="n">
        <v>256835935.303595</v>
      </c>
      <c r="S11" s="12" t="n">
        <v>479736233.934074</v>
      </c>
      <c r="T11" s="12" t="n">
        <v>432257927.872132</v>
      </c>
      <c r="U11" s="12" t="n">
        <v>293860114.363111</v>
      </c>
      <c r="V11" s="12" t="n">
        <v>788520890.75133</v>
      </c>
      <c r="W11" s="12" t="n">
        <v>833753561.67521</v>
      </c>
      <c r="X11" s="12" t="n">
        <v>1037043902.06633</v>
      </c>
      <c r="Y11" s="12" t="n">
        <v>792581033.669281</v>
      </c>
      <c r="Z11" s="12" t="n">
        <v>851400871.030708</v>
      </c>
      <c r="AA11" s="12" t="n">
        <v>938452436.558475</v>
      </c>
      <c r="AB11" s="12" t="n">
        <v>1717298028.02974</v>
      </c>
      <c r="AC11" s="12" t="n">
        <v>1239704132.37567</v>
      </c>
      <c r="AD11" s="12" t="n">
        <v>2290167535.96171</v>
      </c>
      <c r="AE11" s="12" t="n">
        <v>2465975859.7946</v>
      </c>
      <c r="AF11" s="12" t="n">
        <v>2377726395.07987</v>
      </c>
      <c r="AG11" s="12" t="n">
        <v>2863044141.32136</v>
      </c>
      <c r="AH11" s="12" t="n">
        <v>2732934939.88749</v>
      </c>
      <c r="AI11" s="12" t="n">
        <v>2554100219.17731</v>
      </c>
      <c r="AJ11" s="12" t="n">
        <v>2028066420.34306</v>
      </c>
      <c r="AK11" s="12" t="n">
        <v>2095740646.27799</v>
      </c>
      <c r="AL11" s="12" t="n">
        <v>2263378614.51505</v>
      </c>
      <c r="AM11" s="12" t="n">
        <v>2430915601.32781</v>
      </c>
      <c r="AN11" s="12" t="n">
        <v>2429602350.82534</v>
      </c>
      <c r="AO11" s="12" t="n">
        <v>2332559277.86951</v>
      </c>
      <c r="AP11" s="12" t="n">
        <v>1915104292.92917</v>
      </c>
      <c r="AQ11" s="12" t="n">
        <v>1531612132.06605</v>
      </c>
      <c r="AR11" s="12" t="n">
        <v>1425218725.8614</v>
      </c>
      <c r="AS11" s="12" t="n">
        <v>922673037.531816</v>
      </c>
      <c r="AT11" s="12"/>
      <c r="AU11" s="12"/>
    </row>
    <row r="12">
      <c r="A12" t="str">
        <f>K12</f>
      </c>
      <c r="K12" t="s">
        <v>117</v>
      </c>
      <c r="L12" s="12" t="n">
        <v>3147691505.04144</v>
      </c>
      <c r="M12" s="12" t="n">
        <v>2723140918.12078</v>
      </c>
      <c r="N12" s="12" t="n">
        <v>1927734202.69843</v>
      </c>
      <c r="O12" s="12" t="n">
        <v>1647416800.87157</v>
      </c>
      <c r="P12" s="12" t="n">
        <v>2571592606.77538</v>
      </c>
      <c r="Q12" s="12" t="n">
        <v>4000412080.19719</v>
      </c>
      <c r="R12" s="12" t="n">
        <v>3868025810.7904</v>
      </c>
      <c r="S12" s="12" t="n">
        <v>4390303573.28624</v>
      </c>
      <c r="T12" s="12" t="n">
        <v>5024472492.40589</v>
      </c>
      <c r="U12" s="12" t="n">
        <v>5713676884.38221</v>
      </c>
      <c r="V12" s="12" t="n">
        <v>4631435204.36974</v>
      </c>
      <c r="W12" s="12" t="n">
        <v>5221218404.28445</v>
      </c>
      <c r="X12" s="12" t="n">
        <v>7273058201.77252</v>
      </c>
      <c r="Y12" s="12" t="n">
        <v>13687190321.3666</v>
      </c>
      <c r="Z12" s="12" t="n">
        <v>18887667289.1478</v>
      </c>
      <c r="AA12" s="12" t="n">
        <v>20565834937.5312</v>
      </c>
      <c r="AB12" s="12" t="n">
        <v>21540724519.3348</v>
      </c>
      <c r="AC12" s="12" t="n">
        <v>20788705027.4322</v>
      </c>
      <c r="AD12" s="12" t="n">
        <v>22681814845.8618</v>
      </c>
      <c r="AE12" s="12" t="n">
        <v>25009402661.3979</v>
      </c>
      <c r="AF12" s="12" t="n">
        <v>26420278027.7033</v>
      </c>
      <c r="AG12" s="12" t="n">
        <v>28861601346.7853</v>
      </c>
      <c r="AH12" s="12" t="n">
        <v>23759464856.5266</v>
      </c>
      <c r="AI12" s="12" t="n">
        <v>22436383013.4715</v>
      </c>
      <c r="AJ12" s="12" t="n">
        <v>19952035488.4266</v>
      </c>
      <c r="AK12" s="12" t="n">
        <v>17151029673.6744</v>
      </c>
      <c r="AL12" s="12" t="n">
        <v>17064082489.7735</v>
      </c>
      <c r="AM12" s="12" t="n">
        <v>17957221079.4405</v>
      </c>
      <c r="AN12" s="12" t="n">
        <v>19437953025.8543</v>
      </c>
      <c r="AO12" s="12" t="n">
        <v>19476448353.1201</v>
      </c>
      <c r="AP12" s="12" t="n">
        <v>19143845651.8088</v>
      </c>
      <c r="AQ12" s="12" t="n">
        <v>18182959948.6489</v>
      </c>
      <c r="AR12" s="12" t="n">
        <v>18427324555.0046</v>
      </c>
      <c r="AS12" s="12" t="n">
        <v>11783496500.4898</v>
      </c>
      <c r="AT12" s="12"/>
      <c r="AU12" s="12"/>
    </row>
    <row r="13">
      <c r="A13" t="str">
        <f>K13</f>
      </c>
      <c r="K13" t="s">
        <v>118</v>
      </c>
      <c r="L13" s="12" t="n">
        <v>4069701436.16825</v>
      </c>
      <c r="M13" s="12" t="n">
        <v>6547808525.24262</v>
      </c>
      <c r="N13" s="12" t="n">
        <v>4353099944.06544</v>
      </c>
      <c r="O13" s="12" t="n">
        <v>2736165633.67297</v>
      </c>
      <c r="P13" s="12" t="n">
        <v>3066137299.12648</v>
      </c>
      <c r="Q13" s="12" t="n">
        <v>3292621952.57202</v>
      </c>
      <c r="R13" s="12" t="n">
        <v>3485980390.16594</v>
      </c>
      <c r="S13" s="12" t="n">
        <v>3575791033.86821</v>
      </c>
      <c r="T13" s="12" t="n">
        <v>3647173789.79917</v>
      </c>
      <c r="U13" s="12" t="n">
        <v>5048699422.00917</v>
      </c>
      <c r="V13" s="12" t="n">
        <v>3507396371.58896</v>
      </c>
      <c r="W13" s="12" t="n">
        <v>4294584485.40017</v>
      </c>
      <c r="X13" s="12" t="n">
        <v>6264911556.93371</v>
      </c>
      <c r="Y13" s="12" t="n">
        <v>8217011344.10188</v>
      </c>
      <c r="Z13" s="12" t="n">
        <v>8088018476.92098</v>
      </c>
      <c r="AA13" s="12" t="n">
        <v>7669951238.27988</v>
      </c>
      <c r="AB13" s="12" t="n">
        <v>7906750992.68863</v>
      </c>
      <c r="AC13" s="12" t="n">
        <v>8344960527.10991</v>
      </c>
      <c r="AD13" s="12" t="n">
        <v>8432448936.41104</v>
      </c>
      <c r="AE13" s="12" t="n">
        <v>9595389496.07379</v>
      </c>
      <c r="AF13" s="12" t="n">
        <v>10519978812.319</v>
      </c>
      <c r="AG13" s="12" t="n">
        <v>10559037510.2505</v>
      </c>
      <c r="AH13" s="12" t="n">
        <v>11361253977.4551</v>
      </c>
      <c r="AI13" s="12" t="n">
        <v>8822860264.22516</v>
      </c>
      <c r="AJ13" s="12" t="n">
        <v>5029023924.86989</v>
      </c>
      <c r="AK13" s="12" t="n">
        <v>4637887984.54731</v>
      </c>
      <c r="AL13" s="12" t="n">
        <v>5170468446.71497</v>
      </c>
      <c r="AM13" s="12" t="n">
        <v>5769400085.60856</v>
      </c>
      <c r="AN13" s="12" t="n">
        <v>5996500907.91362</v>
      </c>
      <c r="AO13" s="12" t="n">
        <v>6110654021.72793</v>
      </c>
      <c r="AP13" s="12" t="n">
        <v>6436856211.55075</v>
      </c>
      <c r="AQ13" s="12" t="n">
        <v>6558689410.57207</v>
      </c>
      <c r="AR13" s="12" t="n">
        <v>6293133635.5944</v>
      </c>
      <c r="AS13" s="12" t="n">
        <v>3801021855.11307</v>
      </c>
      <c r="AT13" s="12"/>
      <c r="AU13" s="12"/>
    </row>
    <row r="14">
      <c r="A14" t="str">
        <f>K14</f>
      </c>
      <c r="K14" t="s">
        <v>119</v>
      </c>
      <c r="L14" s="12" t="n">
        <v>1082676386.07763</v>
      </c>
      <c r="M14" s="12" t="n">
        <v>1240225839.50763</v>
      </c>
      <c r="N14" s="12" t="n">
        <v>1274488270.82626</v>
      </c>
      <c r="O14" s="12" t="n">
        <v>876306303.775919</v>
      </c>
      <c r="P14" s="12" t="n">
        <v>1163513162.12518</v>
      </c>
      <c r="Q14" s="12" t="n">
        <v>1607908847.19909</v>
      </c>
      <c r="R14" s="12" t="n">
        <v>1065766388.42704</v>
      </c>
      <c r="S14" s="12" t="n">
        <v>1283249768.51528</v>
      </c>
      <c r="T14" s="12" t="n">
        <v>989119753.207793</v>
      </c>
      <c r="U14" s="12" t="n">
        <v>1038701086.36339</v>
      </c>
      <c r="V14" s="12" t="n">
        <v>1584224509.11706</v>
      </c>
      <c r="W14" s="12" t="n">
        <v>1354097448.28434</v>
      </c>
      <c r="X14" s="12" t="n">
        <v>1796944066.43301</v>
      </c>
      <c r="Y14" s="12" t="n">
        <v>1844435227.06529</v>
      </c>
      <c r="Z14" s="12" t="n">
        <v>2078394991.29847</v>
      </c>
      <c r="AA14" s="12" t="n">
        <v>2869905759.28894</v>
      </c>
      <c r="AB14" s="12" t="n">
        <v>2598872278.60394</v>
      </c>
      <c r="AC14" s="12" t="n">
        <v>2773191638.59487</v>
      </c>
      <c r="AD14" s="12" t="n">
        <v>3067868735.35171</v>
      </c>
      <c r="AE14" s="12" t="n">
        <v>3209414504.80743</v>
      </c>
      <c r="AF14" s="12" t="n">
        <v>3437692004.07949</v>
      </c>
      <c r="AG14" s="12" t="n">
        <v>4318082689.89419</v>
      </c>
      <c r="AH14" s="12" t="n">
        <v>4225379816.93848</v>
      </c>
      <c r="AI14" s="12" t="n">
        <v>3773600614.41251</v>
      </c>
      <c r="AJ14" s="12" t="n">
        <v>3922091956.52309</v>
      </c>
      <c r="AK14" s="12" t="n">
        <v>3603525043.29286</v>
      </c>
      <c r="AL14" s="12" t="n">
        <v>3673099990.17696</v>
      </c>
      <c r="AM14" s="12" t="n">
        <v>4367143636.36183</v>
      </c>
      <c r="AN14" s="12" t="n">
        <v>4749842559.72679</v>
      </c>
      <c r="AO14" s="12" t="n">
        <v>5236987131.78023</v>
      </c>
      <c r="AP14" s="12" t="n">
        <v>5230516550.76218</v>
      </c>
      <c r="AQ14" s="12" t="n">
        <v>4503705488.62008</v>
      </c>
      <c r="AR14" s="12" t="n">
        <v>4593511224.9132</v>
      </c>
      <c r="AS14" s="12" t="n">
        <v>2425389533.01439</v>
      </c>
      <c r="AT14" s="12"/>
      <c r="AU14" s="12"/>
    </row>
    <row r="15">
      <c r="A15" t="str">
        <f>K15</f>
      </c>
      <c r="K15" t="s">
        <v>120</v>
      </c>
      <c r="L15" s="12" t="n">
        <v>134919605.331961</v>
      </c>
      <c r="M15" s="12" t="n">
        <v>45830983.8122358</v>
      </c>
      <c r="N15" s="12" t="n">
        <v>56272161.2038803</v>
      </c>
      <c r="O15" s="12" t="n">
        <v>71787752.0752648</v>
      </c>
      <c r="P15" s="12" t="n">
        <v>72692156.1375455</v>
      </c>
      <c r="Q15" s="12" t="n">
        <v>64610563.0441625</v>
      </c>
      <c r="R15" s="12" t="n">
        <v>70637532.223681</v>
      </c>
      <c r="S15" s="12" t="n">
        <v>66035821.9551275</v>
      </c>
      <c r="T15" s="12" t="n">
        <v>41428324.8121758</v>
      </c>
      <c r="U15" s="12" t="n">
        <v>9877108.02201843</v>
      </c>
      <c r="V15" s="12" t="n">
        <v>1810860.15214974</v>
      </c>
      <c r="W15" s="12" t="n">
        <v>1886848.80150417</v>
      </c>
      <c r="X15" s="12" t="n">
        <v>4247099.18443561</v>
      </c>
      <c r="Y15" s="12" t="n">
        <v>728370.343038806</v>
      </c>
      <c r="Z15" s="12" t="n">
        <v>7401598.20386871</v>
      </c>
      <c r="AA15" s="12" t="n">
        <v>23810940.4125125</v>
      </c>
      <c r="AB15" s="12" t="n">
        <v>125506443.316592</v>
      </c>
      <c r="AC15" s="12" t="n">
        <v>190575351.775126</v>
      </c>
      <c r="AD15" s="12" t="n">
        <v>142926009.63351</v>
      </c>
      <c r="AE15" s="12" t="n">
        <v>262929181.572722</v>
      </c>
      <c r="AF15" s="12" t="n">
        <v>452240293.214151</v>
      </c>
      <c r="AG15" s="12" t="n">
        <v>580525289.632171</v>
      </c>
      <c r="AH15" s="12" t="n">
        <v>566094267.513018</v>
      </c>
      <c r="AI15" s="12" t="n">
        <v>323078286.20546</v>
      </c>
      <c r="AJ15" s="12" t="n">
        <v>196495454.283315</v>
      </c>
      <c r="AK15" s="12" t="n">
        <v>55959888.2961198</v>
      </c>
      <c r="AL15" s="12" t="n">
        <v>175851419.680885</v>
      </c>
      <c r="AM15" s="12" t="n">
        <v>116653612.226844</v>
      </c>
      <c r="AN15" s="12" t="n">
        <v>47819948.2286103</v>
      </c>
      <c r="AO15" s="12" t="n">
        <v>13469986.0965731</v>
      </c>
      <c r="AP15" s="12" t="n">
        <v>-17081861.4624462</v>
      </c>
      <c r="AQ15" s="12" t="n">
        <v>32373468.091329</v>
      </c>
      <c r="AR15" s="12" t="n">
        <v>3435361.6643</v>
      </c>
      <c r="AS15" s="12" t="n">
        <v>14620048.0086975</v>
      </c>
      <c r="AT15" s="12"/>
      <c r="AU15" s="12"/>
    </row>
    <row r="16">
      <c r="A16" t="str">
        <f>K16</f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../output/AcqTrends/Platform//Other_Services/DoD_Other_Services_Contracts.xlsx</dc:creator>
  <cp:lastModifiedBy>../output/AcqTrends/Platform//Other_Services/DoD_Other_Services_Contracts.xlsx</cp:lastModifiedBy>
  <dcterms:created xsi:type="dcterms:W3CDTF">2023-11-12T22:34:59Z</dcterms:created>
</coreProperties>
</file>