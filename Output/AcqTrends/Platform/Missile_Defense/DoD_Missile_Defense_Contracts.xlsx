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<sst xmlns="http://schemas.openxmlformats.org/spreadsheetml/2006/main" count="162" uniqueCount="162">
  <si>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</si>
  <si>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</si>
  <si>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</si>
  <si>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</si>
  <si>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</si>
  <si>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</si>
  <si>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</si>
  <si>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</si>
  <si>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</si>
  <si>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</si>
  <si>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</si>
  <si>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</si>
  <si>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</si>
  <si>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</si>
  <si>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</si>
  <si>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</si>
  <si>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</si>
  <si>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</si>
  <si>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</si>
  <si>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</si>
  <si>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</si>
  <si>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</si>
  <si>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</si>
  <si>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</si>
  <si>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</si>
  <si>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</si>
  <si>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</si>
  <si>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</si>
  <si>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</si>
  <si>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</si>
  <si>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</si>
  <si>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</si>
  <si>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</si>
  <si>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</si>
  <si>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</si>
  <si>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</si>
  <si>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</si>
  <si>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</si>
  <si>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</si>
  <si>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</si>
  <si>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</si>
  <si>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</si>
  <si>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</si>
  <si>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</si>
  <si>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MDA</t>
  </si>
  <si>
    <t xml:space="preserve">Navy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</si>
  <si>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</si>
  <si>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</si>
  <si>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</si>
  <si>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</si>
  <si>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</si>
  <si>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</si>
  <si>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</si>
  <si>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</si>
  <si>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</si>
  <si>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</si>
  <si>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</si>
  <si>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</si>
  <si>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</si>
  <si>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</si>
  <si>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</si>
  <si>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</si>
  <si>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</si>
  <si>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</si>
  <si>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</si>
  <si>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</si>
  <si>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</si>
  <si>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</si>
  <si>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</si>
  <si>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</si>
  <si>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</si>
  <si>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</si>
  <si>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BALLISTIC MISSILE DEFENSE</t>
  </si>
  <si>
    <t xml:space="preserve">BMDS</t>
  </si>
  <si>
    <t xml:space="preserve">LTAMDS</t>
  </si>
  <si>
    <t xml:space="preserve">MISSILE DEFENSE AGENCY SU</t>
  </si>
  <si>
    <t xml:space="preserve">Other Labeled Project</t>
  </si>
  <si>
    <t xml:space="preserve">PAC-3 MSE</t>
  </si>
  <si>
    <t xml:space="preserve">PATRIOT</t>
  </si>
  <si>
    <t xml:space="preserve">PATRIOT MISSILE SYS</t>
  </si>
  <si>
    <t xml:space="preserve">PATRIOT/MEADS</t>
  </si>
  <si>
    <t xml:space="preserve">THAAD-THEATER HIGH ALT AI</t>
  </si>
  <si>
    <t xml:space="preserve">TopPStext</t>
  </si>
  <si>
    <t xml:space="preserve">DEFENSE AIRCRAFT
(ADVANCED)</t>
  </si>
  <si>
    <t xml:space="preserve">ENGINEERING AND
TECHNICAL SERVICES</t>
  </si>
  <si>
    <t xml:space="preserve">GUIDED MISSILE
COMPONENTS</t>
  </si>
  <si>
    <t xml:space="preserve">GUIDED MISSILES</t>
  </si>
  <si>
    <t xml:space="preserve">OTHER DEFENSE
(ADVANCED)</t>
  </si>
  <si>
    <t xml:space="preserve">Other Labeled PSC</t>
  </si>
  <si>
    <t xml:space="preserve">R&amp;D- DEFENSE
SYSTEM:
MISSILE/SPACE
SYSTEMS (ADVANCED
DEVELOPMENT)</t>
  </si>
  <si>
    <t xml:space="preserve">R&amp;D- DEFENSE
SYSTEM:
MISSILE/SPACE
SYSTEMS (APPLIED
RESEARCH/EXPLORATORY
DEVELOPMENT)</t>
  </si>
  <si>
    <t xml:space="preserve">R&amp;D- DEFENSE
SYSTEM:
MISSILE/SPACE
SYSTEMS
(ENGINEERING
DEVELOPMENT)</t>
  </si>
  <si>
    <t xml:space="preserve">RADAR EQUIPMENT,
EXCEPT AIRBORNE</t>
  </si>
  <si>
    <t xml:space="preserve">Project.Name</t>
  </si>
  <si>
    <t xml:space="preserve">ProjectID</t>
  </si>
  <si>
    <t xml:space="preserve">AEGIS</t>
  </si>
  <si>
    <t xml:space="preserve">AGM-84 HARPOON</t>
  </si>
  <si>
    <t xml:space="preserve">AIM-7 SPARROW</t>
  </si>
  <si>
    <t xml:space="preserve">AIR DEFENSE TARGETS</t>
  </si>
  <si>
    <t xml:space="preserve">AMDR</t>
  </si>
  <si>
    <t xml:space="preserve">AN/ALQ-147 COUNTERMEASURE</t>
  </si>
  <si>
    <t xml:space="preserve">AN/APG-59 RADAR</t>
  </si>
  <si>
    <t xml:space="preserve">AN/APN-59 WEATHER RADAR</t>
  </si>
  <si>
    <t xml:space="preserve">AN/APQ-109 RADAR</t>
  </si>
  <si>
    <t xml:space="preserve">AN/BPS-15 RADAR</t>
  </si>
  <si>
    <t xml:space="preserve">AN/FPS-108 PHASED ARRAY R</t>
  </si>
  <si>
    <t xml:space="preserve">AN/FPS-117 RADAR SEEK IGL</t>
  </si>
  <si>
    <t xml:space="preserve">AN/MPS-T1 RADAR CONTROL V</t>
  </si>
  <si>
    <t xml:space="preserve">AN/PPS-5 RADAR PORTABLE</t>
  </si>
  <si>
    <t xml:space="preserve">AN/SPG-55 RADAR ANTENNA</t>
  </si>
  <si>
    <t xml:space="preserve">AN/SPS-48 AIR SEARCH RADA</t>
  </si>
  <si>
    <t xml:space="preserve">AN/SPS-52 RADAR</t>
  </si>
  <si>
    <t xml:space="preserve">AN/SWG-1A HSCLLS</t>
  </si>
  <si>
    <t xml:space="preserve">AN/TPS-59 RADAR SYS</t>
  </si>
  <si>
    <t xml:space="preserve">AN/TPS-63 RADAR SET</t>
  </si>
  <si>
    <t xml:space="preserve">AN/TSQ-73 AIR DEF MSL SYS</t>
  </si>
  <si>
    <t xml:space="preserve">AN/USP-1 RADAR</t>
  </si>
  <si>
    <t xml:space="preserve">APS</t>
  </si>
  <si>
    <t xml:space="preserve">AVENGER (FAADS LOS-R)</t>
  </si>
  <si>
    <t xml:space="preserve">BMTC</t>
  </si>
  <si>
    <t xml:space="preserve">BQM-74E SSAT</t>
  </si>
  <si>
    <t xml:space="preserve">CG-47 AEGIS</t>
  </si>
  <si>
    <t xml:space="preserve">COBRA DANE</t>
  </si>
  <si>
    <t xml:space="preserve">COBRA JUDY REPLACEMENT</t>
  </si>
  <si>
    <t xml:space="preserve">CORPS SAM</t>
  </si>
  <si>
    <t xml:space="preserve">DEFENSE SUPPORT PROGRAM</t>
  </si>
  <si>
    <t xml:space="preserve">FAADS C21 (SHORAD)</t>
  </si>
  <si>
    <t xml:space="preserve">GBI - GROUND BASED INTERC</t>
  </si>
  <si>
    <t xml:space="preserve">GBR - GROUND BASED RADAR</t>
  </si>
  <si>
    <t xml:space="preserve">GBR -GROUND BASED RADAR</t>
  </si>
  <si>
    <t xml:space="preserve">GPALS (SDS)</t>
  </si>
  <si>
    <t xml:space="preserve">IAMD</t>
  </si>
  <si>
    <t xml:space="preserve">IMPROVED RADAR SIMULATOR</t>
  </si>
  <si>
    <t xml:space="preserve">IMPROVED TARGET ACQ SYS</t>
  </si>
  <si>
    <t xml:space="preserve">JLENS</t>
  </si>
  <si>
    <t xml:space="preserve">M-77 DRAGON</t>
  </si>
  <si>
    <t xml:space="preserve">MK-23 TAS</t>
  </si>
  <si>
    <t xml:space="preserve">MK-56 MOD 2 ROCKET MTR</t>
  </si>
  <si>
    <t xml:space="preserve">NAVY AREA TBMD</t>
  </si>
  <si>
    <t xml:space="preserve">NCES</t>
  </si>
  <si>
    <t xml:space="preserve">NMD</t>
  </si>
  <si>
    <t xml:space="preserve">NTW</t>
  </si>
  <si>
    <t xml:space="preserve">OTH-B RADAR</t>
  </si>
  <si>
    <t xml:space="preserve">PATRIOT PAC-3</t>
  </si>
  <si>
    <t xml:space="preserve">PHOENIX (AIM-54C)</t>
  </si>
  <si>
    <t xml:space="preserve">RIM 7-H-2 NATO SEA SPARRO</t>
  </si>
  <si>
    <t xml:space="preserve">RIM-85</t>
  </si>
  <si>
    <t xml:space="preserve">SM-6</t>
  </si>
  <si>
    <t xml:space="preserve">STINGER</t>
  </si>
  <si>
    <t xml:space="preserve">STINGER (RMP)  MANPORTABL</t>
  </si>
  <si>
    <t xml:space="preserve">THAAD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</si>
  <si>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</si>
  <si>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</si>
  <si>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</si>
  <si>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</si>
  <si>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</si>
  <si>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</si>
  <si>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</si>
  <si>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Unlabeled</t>
  </si>
  <si>
    <t xml:space="preserve">Firm Fixed-Price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</si>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</sst>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206" formatCode="0.00,,,&quot;B&quot;"/>
    <numFmt numFmtId="191" formatCode="0.00,,,&quot;B&quot;"/>
    <numFmt numFmtId="205" formatCode="0.00,,,&quot;B&quot;"/>
    <numFmt numFmtId="204" formatCode="0.00,,,&quot;B&quot;"/>
    <numFmt numFmtId="203" formatCode="0.00,,,&quot;B&quot;"/>
    <numFmt numFmtId="184" formatCode="0.00,,,&quot;B&quot;"/>
    <numFmt numFmtId="186" formatCode="0.00,,,&quot;B&quot;"/>
    <numFmt numFmtId="175" formatCode="0.00,,,&quot;B&quot;"/>
    <numFmt numFmtId="187" formatCode="0.00,,,&quot;B&quot;"/>
    <numFmt numFmtId="195" formatCode="0.00,,,&quot;B&quot;"/>
    <numFmt numFmtId="207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206" fontId="1" fillId="0" borderId="0" xfId="0" applyFont="1" applyNumberFormat="1"/>
    <xf numFmtId="191" fontId="1" fillId="0" borderId="0" xfId="0" applyFont="1" applyNumberFormat="1"/>
    <xf numFmtId="205" fontId="1" fillId="0" borderId="0" xfId="0" applyFont="1" applyNumberFormat="1"/>
    <xf numFmtId="204" fontId="1" fillId="0" borderId="0" xfId="0" applyFont="1" applyNumberFormat="1"/>
    <xf numFmtId="203" fontId="1" fillId="0" borderId="0" xfId="0" applyFont="1" applyNumberFormat="1"/>
    <xf numFmtId="10" fontId="1" fillId="0" borderId="0" xfId="0" applyFont="1" applyNumberFormat="1"/>
    <xf numFmtId="184" fontId="1" fillId="0" borderId="0" xfId="0" applyFont="1" applyNumberFormat="1"/>
    <xf numFmtId="186" fontId="1" fillId="0" borderId="0" xfId="0" applyFont="1" applyNumberFormat="1"/>
    <xf numFmtId="175" fontId="1" fillId="0" borderId="0" xfId="0" applyFont="1" applyNumberFormat="1"/>
    <xf numFmtId="187" fontId="1" fillId="0" borderId="0" xfId="0" applyFont="1" applyNumberFormat="1"/>
    <xf numFmtId="195" fontId="1" fillId="0" borderId="0" xfId="0" applyFont="1" applyNumberFormat="1"/>
    <xf numFmtId="207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160</v>
      </c>
      <c r="AW1" t="s">
        <v>161</v>
      </c>
    </row>
    <row r="2">
      <c r="A2" t="str">
        <f>M2</f>
      </c>
      <c r="M2" t="s">
        <v>35</v>
      </c>
      <c r="N2" s="1" t="n">
        <v>2528105000</v>
      </c>
      <c r="O2" s="1" t="n">
        <v>3818241106</v>
      </c>
      <c r="P2" s="1" t="n">
        <v>2162582682</v>
      </c>
      <c r="Q2" s="1" t="n">
        <v>3175655494</v>
      </c>
      <c r="R2" s="1" t="n">
        <v>2130227136</v>
      </c>
      <c r="S2" s="1" t="n">
        <v>1880260328</v>
      </c>
      <c r="T2" s="1" t="n">
        <v>2088331724</v>
      </c>
      <c r="U2" s="1" t="n">
        <v>3044633343</v>
      </c>
      <c r="V2" s="1" t="n">
        <v>2729409572</v>
      </c>
      <c r="W2" s="1" t="n">
        <v>2034707210</v>
      </c>
      <c r="X2" s="1" t="n">
        <v>1129313192</v>
      </c>
      <c r="Y2" s="1" t="n">
        <v>1858297951</v>
      </c>
      <c r="Z2" s="1" t="n">
        <v>3522399672</v>
      </c>
      <c r="AA2" s="1" t="n">
        <v>3340721261</v>
      </c>
      <c r="AB2" s="1" t="n">
        <v>3993688673</v>
      </c>
      <c r="AC2" s="1" t="n">
        <v>4339849491.88</v>
      </c>
      <c r="AD2" s="1" t="n">
        <v>4943980265.0602</v>
      </c>
      <c r="AE2" s="1" t="n">
        <v>5608034857.7656</v>
      </c>
      <c r="AF2" s="1" t="n">
        <v>5590264666.0629</v>
      </c>
      <c r="AG2" s="1" t="n">
        <v>6533950930.0233</v>
      </c>
      <c r="AH2" s="1" t="n">
        <v>6645036446.488</v>
      </c>
      <c r="AI2" s="1" t="n">
        <v>7365649585.3433</v>
      </c>
      <c r="AJ2" s="1" t="n">
        <v>8002523590.813</v>
      </c>
      <c r="AK2" s="1" t="n">
        <v>8275260218.702</v>
      </c>
      <c r="AL2" s="1" t="n">
        <v>5488209829.483</v>
      </c>
      <c r="AM2" s="1" t="n">
        <v>7168594694.63</v>
      </c>
      <c r="AN2" s="1" t="n">
        <v>7366267338.0396</v>
      </c>
      <c r="AO2" s="1" t="n">
        <v>4907501167.9884</v>
      </c>
      <c r="AP2" s="1" t="n">
        <v>10982391186.1999</v>
      </c>
      <c r="AQ2" s="1" t="n">
        <v>10306006374.7818</v>
      </c>
      <c r="AR2" s="1" t="n">
        <v>15531778020.7328</v>
      </c>
      <c r="AS2" s="1" t="n">
        <v>7955818214.696</v>
      </c>
      <c r="AT2" s="1" t="n">
        <v>9227087172.2722</v>
      </c>
      <c r="AU2" s="1" t="n">
        <v>7381927554.0168</v>
      </c>
      <c r="AV2" s="1" t="n">
        <v>7078317570.07</v>
      </c>
      <c r="AW2" s="1" t="n">
        <v>2769615531.51</v>
      </c>
      <c r="AX2" s="1"/>
      <c r="AY2" s="1"/>
    </row>
    <row r="3">
      <c r="A3" t="str">
        <f>M3</f>
      </c>
      <c r="M3" t="s">
        <v>36</v>
      </c>
      <c r="N3" s="1" t="n">
        <v>1416811000</v>
      </c>
      <c r="O3" s="1" t="n">
        <v>2416400771</v>
      </c>
      <c r="P3" s="1" t="n">
        <v>2842890914</v>
      </c>
      <c r="Q3" s="1" t="n">
        <v>2778007246</v>
      </c>
      <c r="R3" s="1" t="n">
        <v>2490935605</v>
      </c>
      <c r="S3" s="1" t="n">
        <v>2100052256</v>
      </c>
      <c r="T3" s="1" t="n">
        <v>2192985952</v>
      </c>
      <c r="U3" s="1" t="n">
        <v>2779652339</v>
      </c>
      <c r="V3" s="1" t="n">
        <v>2864811200</v>
      </c>
      <c r="W3" s="1" t="n">
        <v>2677805952.63</v>
      </c>
      <c r="X3" s="1" t="n">
        <v>2465687039</v>
      </c>
      <c r="Y3" s="1" t="n">
        <v>2059536254.4</v>
      </c>
      <c r="Z3" s="1" t="n">
        <v>1959577035</v>
      </c>
      <c r="AA3" s="1" t="n">
        <v>2269314662</v>
      </c>
      <c r="AB3" s="1" t="n">
        <v>2126372250</v>
      </c>
      <c r="AC3" s="1" t="n">
        <v>2572376430.4375</v>
      </c>
      <c r="AD3" s="1" t="n">
        <v>2834819730.9288</v>
      </c>
      <c r="AE3" s="1" t="n">
        <v>3420051938.7431</v>
      </c>
      <c r="AF3" s="1" t="n">
        <v>4085099587.2522</v>
      </c>
      <c r="AG3" s="1" t="n">
        <v>4718185112.5069</v>
      </c>
      <c r="AH3" s="1" t="n">
        <v>4850566339.9601</v>
      </c>
      <c r="AI3" s="1" t="n">
        <v>3732857487.462</v>
      </c>
      <c r="AJ3" s="1" t="n">
        <v>3524333981.7703</v>
      </c>
      <c r="AK3" s="1" t="n">
        <v>2722187306.6245</v>
      </c>
      <c r="AL3" s="1" t="n">
        <v>2680773286.1057</v>
      </c>
      <c r="AM3" s="1" t="n">
        <v>2415933055.2847</v>
      </c>
      <c r="AN3" s="1" t="n">
        <v>2521019866.7572</v>
      </c>
      <c r="AO3" s="1" t="n">
        <v>2585572803.8472</v>
      </c>
      <c r="AP3" s="1" t="n">
        <v>2394052047.1216</v>
      </c>
      <c r="AQ3" s="1" t="n">
        <v>2878708454.7402</v>
      </c>
      <c r="AR3" s="1" t="n">
        <v>2588288965.6096</v>
      </c>
      <c r="AS3" s="1" t="n">
        <v>3503200323.719</v>
      </c>
      <c r="AT3" s="1" t="n">
        <v>3517714620.7947</v>
      </c>
      <c r="AU3" s="1" t="n">
        <v>4339142163.9228</v>
      </c>
      <c r="AV3" s="1" t="n">
        <v>4255361441.13</v>
      </c>
      <c r="AW3" s="1" t="n">
        <v>1852284764.31</v>
      </c>
      <c r="AX3" s="1"/>
      <c r="AY3" s="1"/>
    </row>
    <row r="4">
      <c r="A4" t="str">
        <f>M4</f>
      </c>
      <c r="M4" t="s">
        <v>37</v>
      </c>
      <c r="N4" s="1" t="n">
        <v>548193000</v>
      </c>
      <c r="O4" s="1" t="n">
        <v>548738177</v>
      </c>
      <c r="P4" s="1" t="n">
        <v>435176721</v>
      </c>
      <c r="Q4" s="1" t="n">
        <v>555859473</v>
      </c>
      <c r="R4" s="1" t="n">
        <v>602089398</v>
      </c>
      <c r="S4" s="1" t="n">
        <v>547658348</v>
      </c>
      <c r="T4" s="1" t="n">
        <v>508961092</v>
      </c>
      <c r="U4" s="1" t="n">
        <v>398726719</v>
      </c>
      <c r="V4" s="1" t="n">
        <v>470577384</v>
      </c>
      <c r="W4" s="1" t="n">
        <v>467183290</v>
      </c>
      <c r="X4" s="1" t="n">
        <v>117992918</v>
      </c>
      <c r="Y4" s="1" t="n">
        <v>92101683</v>
      </c>
      <c r="Z4" s="1" t="n">
        <v>160897633.825</v>
      </c>
      <c r="AA4" s="1" t="n">
        <v>215715055.0938</v>
      </c>
      <c r="AB4" s="1" t="n">
        <v>730822330.5797</v>
      </c>
      <c r="AC4" s="1" t="n">
        <v>329760756.7</v>
      </c>
      <c r="AD4" s="1" t="n">
        <v>359132954.5914</v>
      </c>
      <c r="AE4" s="1" t="n">
        <v>570628673.0872</v>
      </c>
      <c r="AF4" s="1" t="n">
        <v>682080070.7723</v>
      </c>
      <c r="AG4" s="1" t="n">
        <v>995883663.0243</v>
      </c>
      <c r="AH4" s="1" t="n">
        <v>915275560.143</v>
      </c>
      <c r="AI4" s="1" t="n">
        <v>984186044.135</v>
      </c>
      <c r="AJ4" s="1" t="n">
        <v>1149709075.0949</v>
      </c>
      <c r="AK4" s="1" t="n">
        <v>1102294212.8322</v>
      </c>
      <c r="AL4" s="1" t="n">
        <v>1124511017.9191</v>
      </c>
      <c r="AM4" s="1" t="n">
        <v>1091350278.3896</v>
      </c>
      <c r="AN4" s="1" t="n">
        <v>1088147118.3779</v>
      </c>
      <c r="AO4" s="1" t="n">
        <v>1340175265.733</v>
      </c>
      <c r="AP4" s="1" t="n">
        <v>1379295010.7949</v>
      </c>
      <c r="AQ4" s="1" t="n">
        <v>1897190978.617</v>
      </c>
      <c r="AR4" s="1" t="n">
        <v>2258045931.523</v>
      </c>
      <c r="AS4" s="1" t="n">
        <v>2017267051.619</v>
      </c>
      <c r="AT4" s="1" t="n">
        <v>2291087834.4932</v>
      </c>
      <c r="AU4" s="1" t="n">
        <v>2167692081.0711</v>
      </c>
      <c r="AV4" s="1" t="n">
        <v>2693300362.83</v>
      </c>
      <c r="AW4" s="1" t="n">
        <v>1366218272.13</v>
      </c>
      <c r="AX4" s="1"/>
      <c r="AY4" s="1"/>
    </row>
    <row r="5">
      <c r="A5" t="str">
        <f>M5</f>
      </c>
      <c r="M5" t="s">
        <v>151</v>
      </c>
      <c r="N5" s="1" t="str">
        <f>Sum(N2:N4)</f>
      </c>
      <c r="O5" s="1" t="str">
        <f>Sum(O2:O4)</f>
      </c>
      <c r="P5" s="1" t="str">
        <f>Sum(P2:P4)</f>
      </c>
      <c r="Q5" s="1" t="str">
        <f>Sum(Q2:Q4)</f>
      </c>
      <c r="R5" s="1" t="str">
        <f>Sum(R2:R4)</f>
      </c>
      <c r="S5" s="1" t="str">
        <f>Sum(S2:S4)</f>
      </c>
      <c r="T5" s="1" t="str">
        <f>Sum(T2:T4)</f>
      </c>
      <c r="U5" s="1" t="str">
        <f>Sum(U2:U4)</f>
      </c>
      <c r="V5" s="1" t="str">
        <f>Sum(V2:V4)</f>
      </c>
      <c r="W5" s="1" t="str">
        <f>Sum(W2:W4)</f>
      </c>
      <c r="X5" s="1" t="str">
        <f>Sum(X2:X4)</f>
      </c>
      <c r="Y5" s="1" t="str">
        <f>Sum(Y2:Y4)</f>
      </c>
      <c r="Z5" s="1" t="str">
        <f>Sum(Z2:Z4)</f>
      </c>
      <c r="AA5" s="1" t="str">
        <f>Sum(AA2:AA4)</f>
      </c>
      <c r="AB5" s="1" t="str">
        <f>Sum(AB2:AB4)</f>
      </c>
      <c r="AC5" s="1" t="str">
        <f>Sum(AC2:AC4)</f>
      </c>
      <c r="AD5" s="1" t="str">
        <f>Sum(AD2:AD4)</f>
      </c>
      <c r="AE5" s="1" t="str">
        <f>Sum(AE2:AE4)</f>
      </c>
      <c r="AF5" s="1" t="str">
        <f>Sum(AF2:AF4)</f>
      </c>
      <c r="AG5" s="1" t="str">
        <f>Sum(AG2:AG4)</f>
      </c>
      <c r="AH5" s="1" t="str">
        <f>Sum(AH2:AH4)</f>
      </c>
      <c r="AI5" s="1" t="str">
        <f>Sum(AI2:AI4)</f>
      </c>
      <c r="AJ5" s="1" t="str">
        <f>Sum(AJ2:AJ4)</f>
      </c>
      <c r="AK5" s="1" t="str">
        <f>Sum(AK2:AK4)</f>
      </c>
      <c r="AL5" s="1" t="str">
        <f>Sum(AL2:AL4)</f>
      </c>
      <c r="AM5" s="1" t="str">
        <f>Sum(AM2:AM4)</f>
      </c>
      <c r="AN5" s="1" t="str">
        <f>Sum(AN2:AN4)</f>
      </c>
      <c r="AO5" s="1" t="str">
        <f>Sum(AO2:AO4)</f>
      </c>
      <c r="AP5" s="1" t="str">
        <f>Sum(AP2:AP4)</f>
      </c>
      <c r="AQ5" s="1" t="str">
        <f>Sum(AQ2:AQ4)</f>
      </c>
      <c r="AR5" s="1" t="str">
        <f>Sum(AR2:AR4)</f>
      </c>
      <c r="AS5" s="1" t="str">
        <f>Sum(AS2:AS4)</f>
      </c>
      <c r="AT5" s="1" t="str">
        <f>Sum(AT2:AT4)</f>
      </c>
      <c r="AU5" s="1" t="str">
        <f>Sum(AU2:AU4)</f>
      </c>
      <c r="AV5" s="1" t="str">
        <f>Sum(AV2:AV4)</f>
      </c>
      <c r="AW5" s="1" t="str">
        <f>Sum(AW2:AW4)</f>
      </c>
      <c r="AX5" s="1" t="str">
        <f>Sum(AX2:AX4)</f>
      </c>
      <c r="AY5" s="1"/>
    </row>
    <row r="8">
      <c r="A8" t="str">
        <f>M8</f>
      </c>
      <c r="M8" t="s">
        <v>0</v>
      </c>
      <c r="N8" t="s">
        <v>1</v>
      </c>
      <c r="O8" t="s">
        <v>2</v>
      </c>
      <c r="P8" t="s">
        <v>3</v>
      </c>
      <c r="Q8" t="s">
        <v>4</v>
      </c>
      <c r="R8" t="s">
        <v>5</v>
      </c>
      <c r="S8" t="s">
        <v>6</v>
      </c>
      <c r="T8" t="s">
        <v>7</v>
      </c>
      <c r="U8" t="s">
        <v>8</v>
      </c>
      <c r="V8" t="s">
        <v>9</v>
      </c>
      <c r="W8" t="s">
        <v>10</v>
      </c>
      <c r="X8" t="s">
        <v>11</v>
      </c>
      <c r="Y8" t="s">
        <v>12</v>
      </c>
      <c r="Z8" t="s">
        <v>13</v>
      </c>
      <c r="AA8" t="s">
        <v>14</v>
      </c>
      <c r="AB8" t="s">
        <v>15</v>
      </c>
      <c r="AC8" t="s">
        <v>16</v>
      </c>
      <c r="AD8" t="s">
        <v>17</v>
      </c>
      <c r="AE8" t="s">
        <v>18</v>
      </c>
      <c r="AF8" t="s">
        <v>19</v>
      </c>
      <c r="AG8" t="s">
        <v>20</v>
      </c>
      <c r="AH8" t="s">
        <v>21</v>
      </c>
      <c r="AI8" t="s">
        <v>22</v>
      </c>
      <c r="AJ8" t="s">
        <v>23</v>
      </c>
      <c r="AK8" t="s">
        <v>24</v>
      </c>
      <c r="AL8" t="s">
        <v>25</v>
      </c>
      <c r="AM8" t="s">
        <v>26</v>
      </c>
      <c r="AN8" t="s">
        <v>27</v>
      </c>
      <c r="AO8" t="s">
        <v>28</v>
      </c>
      <c r="AP8" t="s">
        <v>29</v>
      </c>
      <c r="AQ8" t="s">
        <v>30</v>
      </c>
      <c r="AR8" t="s">
        <v>31</v>
      </c>
      <c r="AS8" t="s">
        <v>32</v>
      </c>
      <c r="AT8" t="s">
        <v>33</v>
      </c>
      <c r="AU8" t="s">
        <v>34</v>
      </c>
      <c r="AV8" t="s">
        <v>160</v>
      </c>
      <c r="AW8" t="s">
        <v>161</v>
      </c>
    </row>
    <row r="9">
      <c r="A9" t="str">
        <f>M9</f>
      </c>
      <c r="M9" t="s">
        <v>35</v>
      </c>
      <c r="N9" s="1" t="n">
        <v>5228833906.90445</v>
      </c>
      <c r="O9" s="1" t="n">
        <v>7624614621.33572</v>
      </c>
      <c r="P9" s="1" t="n">
        <v>4212998213.09079</v>
      </c>
      <c r="Q9" s="1" t="n">
        <v>6044788181.56825</v>
      </c>
      <c r="R9" s="1" t="n">
        <v>3968210386.40261</v>
      </c>
      <c r="S9" s="1" t="n">
        <v>3429817370.20093</v>
      </c>
      <c r="T9" s="1" t="n">
        <v>3738965290.06333</v>
      </c>
      <c r="U9" s="1" t="n">
        <v>5356080016.17256</v>
      </c>
      <c r="V9" s="1" t="n">
        <v>4742086916.05352</v>
      </c>
      <c r="W9" s="1" t="n">
        <v>3491869942.36257</v>
      </c>
      <c r="X9" s="1" t="n">
        <v>1898571288.92116</v>
      </c>
      <c r="Y9" s="1" t="n">
        <v>3050187316.80062</v>
      </c>
      <c r="Z9" s="1" t="n">
        <v>5692074769.59118</v>
      </c>
      <c r="AA9" s="1" t="n">
        <v>5296815743.24691</v>
      </c>
      <c r="AB9" s="1" t="n">
        <v>6181178855.51223</v>
      </c>
      <c r="AC9" s="1" t="n">
        <v>6518585305.27978</v>
      </c>
      <c r="AD9" s="1" t="n">
        <v>7192368856.0867</v>
      </c>
      <c r="AE9" s="1" t="n">
        <v>7939837801.56953</v>
      </c>
      <c r="AF9" s="1" t="n">
        <v>7753705346.0983</v>
      </c>
      <c r="AG9" s="1" t="n">
        <v>8970862552.81609</v>
      </c>
      <c r="AH9" s="1" t="n">
        <v>9045044588.82114</v>
      </c>
      <c r="AI9" s="1" t="n">
        <v>9828649381.92201</v>
      </c>
      <c r="AJ9" s="1" t="n">
        <v>10488168940.3572</v>
      </c>
      <c r="AK9" s="1" t="n">
        <v>10652335912.1744</v>
      </c>
      <c r="AL9" s="1" t="n">
        <v>6938129389.99405</v>
      </c>
      <c r="AM9" s="1" t="n">
        <v>8969560827.78755</v>
      </c>
      <c r="AN9" s="1" t="n">
        <v>9143789448.23146</v>
      </c>
      <c r="AO9" s="1" t="n">
        <v>5990586676.91423</v>
      </c>
      <c r="AP9" s="1" t="n">
        <v>13115050788.906</v>
      </c>
      <c r="AQ9" s="1" t="n">
        <v>12083893945.6986</v>
      </c>
      <c r="AR9" s="1" t="n">
        <v>17976335855.7856</v>
      </c>
      <c r="AS9" s="1" t="n">
        <v>8901619885.11931</v>
      </c>
      <c r="AT9" s="1" t="n">
        <v>9649194989.57562</v>
      </c>
      <c r="AU9" s="1" t="n">
        <v>7381927554.0168</v>
      </c>
      <c r="AV9" s="1" t="n">
        <v>6894201117.74979</v>
      </c>
      <c r="AW9" s="1" t="n">
        <v>2639654652.90477</v>
      </c>
      <c r="AX9" s="1"/>
      <c r="AY9" s="1"/>
    </row>
    <row r="10">
      <c r="A10" t="str">
        <f>M10</f>
      </c>
      <c r="M10" t="s">
        <v>36</v>
      </c>
      <c r="N10" s="1" t="n">
        <v>2930364599.75959</v>
      </c>
      <c r="O10" s="1" t="n">
        <v>4825291053.6796</v>
      </c>
      <c r="P10" s="1" t="n">
        <v>5538328980.61377</v>
      </c>
      <c r="Q10" s="1" t="n">
        <v>5287873763.59274</v>
      </c>
      <c r="R10" s="1" t="n">
        <v>4640142063.99682</v>
      </c>
      <c r="S10" s="1" t="n">
        <v>3830743859.61222</v>
      </c>
      <c r="T10" s="1" t="n">
        <v>3926339030.28545</v>
      </c>
      <c r="U10" s="1" t="n">
        <v>4889928824.78106</v>
      </c>
      <c r="V10" s="1" t="n">
        <v>4977334236.62354</v>
      </c>
      <c r="W10" s="1" t="n">
        <v>4595526113.78827</v>
      </c>
      <c r="X10" s="1" t="n">
        <v>4145247441.42936</v>
      </c>
      <c r="Y10" s="1" t="n">
        <v>3380497383.79222</v>
      </c>
      <c r="Z10" s="1" t="n">
        <v>3166608005.51931</v>
      </c>
      <c r="AA10" s="1" t="n">
        <v>3598067809.00499</v>
      </c>
      <c r="AB10" s="1" t="n">
        <v>3291064543.79048</v>
      </c>
      <c r="AC10" s="1" t="n">
        <v>3863787265.08186</v>
      </c>
      <c r="AD10" s="1" t="n">
        <v>4124019120.67586</v>
      </c>
      <c r="AE10" s="1" t="n">
        <v>4842098588.05742</v>
      </c>
      <c r="AF10" s="1" t="n">
        <v>5666039159.34612</v>
      </c>
      <c r="AG10" s="1" t="n">
        <v>6477886136.02147</v>
      </c>
      <c r="AH10" s="1" t="n">
        <v>6602460224.1515</v>
      </c>
      <c r="AI10" s="1" t="n">
        <v>4981087820.13641</v>
      </c>
      <c r="AJ10" s="1" t="n">
        <v>4619019211.0753</v>
      </c>
      <c r="AK10" s="1" t="n">
        <v>3504137977.49672</v>
      </c>
      <c r="AL10" s="1" t="n">
        <v>3389001605.64615</v>
      </c>
      <c r="AM10" s="1" t="n">
        <v>3022887946.42995</v>
      </c>
      <c r="AN10" s="1" t="n">
        <v>3129356266.69384</v>
      </c>
      <c r="AO10" s="1" t="n">
        <v>3156208722.26258</v>
      </c>
      <c r="AP10" s="1" t="n">
        <v>2858950628.9612</v>
      </c>
      <c r="AQ10" s="1" t="n">
        <v>3375314006.47936</v>
      </c>
      <c r="AR10" s="1" t="n">
        <v>2995661647.72079</v>
      </c>
      <c r="AS10" s="1" t="n">
        <v>3919666943.31578</v>
      </c>
      <c r="AT10" s="1" t="n">
        <v>3678638085.888</v>
      </c>
      <c r="AU10" s="1" t="n">
        <v>4339142163.9228</v>
      </c>
      <c r="AV10" s="1" t="n">
        <v>4144673831.52147</v>
      </c>
      <c r="AW10" s="1" t="n">
        <v>1765368528.94878</v>
      </c>
      <c r="AX10" s="1"/>
      <c r="AY10" s="1"/>
    </row>
    <row r="11">
      <c r="A11" t="str">
        <f>M11</f>
      </c>
      <c r="M11" t="s">
        <v>37</v>
      </c>
      <c r="N11" s="1" t="n">
        <v>1133817680.01237</v>
      </c>
      <c r="O11" s="1" t="n">
        <v>1095770804.27548</v>
      </c>
      <c r="P11" s="1" t="n">
        <v>847782035.439286</v>
      </c>
      <c r="Q11" s="1" t="n">
        <v>1058065895.16764</v>
      </c>
      <c r="R11" s="1" t="n">
        <v>1121578709.75806</v>
      </c>
      <c r="S11" s="1" t="n">
        <v>998993643.025982</v>
      </c>
      <c r="T11" s="1" t="n">
        <v>911247880.358652</v>
      </c>
      <c r="U11" s="1" t="n">
        <v>701434941.734444</v>
      </c>
      <c r="V11" s="1" t="n">
        <v>817582996.172292</v>
      </c>
      <c r="W11" s="1" t="n">
        <v>801758248.020882</v>
      </c>
      <c r="X11" s="1" t="n">
        <v>198366554.1125</v>
      </c>
      <c r="Y11" s="1" t="n">
        <v>151174565.516481</v>
      </c>
      <c r="Z11" s="1" t="n">
        <v>260004953.231838</v>
      </c>
      <c r="AA11" s="1" t="n">
        <v>342022818.01092</v>
      </c>
      <c r="AB11" s="1" t="n">
        <v>1131120602.22813</v>
      </c>
      <c r="AC11" s="1" t="n">
        <v>495310638.515111</v>
      </c>
      <c r="AD11" s="1" t="n">
        <v>522456915.140241</v>
      </c>
      <c r="AE11" s="1" t="n">
        <v>807894248.903148</v>
      </c>
      <c r="AF11" s="1" t="n">
        <v>946046065.282087</v>
      </c>
      <c r="AG11" s="1" t="n">
        <v>1367309849.01262</v>
      </c>
      <c r="AH11" s="1" t="n">
        <v>1245848434.27414</v>
      </c>
      <c r="AI11" s="1" t="n">
        <v>1313288046.39746</v>
      </c>
      <c r="AJ11" s="1" t="n">
        <v>1506817552.61555</v>
      </c>
      <c r="AK11" s="1" t="n">
        <v>1418929183.95456</v>
      </c>
      <c r="AL11" s="1" t="n">
        <v>1421593413.00761</v>
      </c>
      <c r="AM11" s="1" t="n">
        <v>1365530222.23049</v>
      </c>
      <c r="AN11" s="1" t="n">
        <v>1350723192.97541</v>
      </c>
      <c r="AO11" s="1" t="n">
        <v>1635951947.19454</v>
      </c>
      <c r="AP11" s="1" t="n">
        <v>1647138934.75133</v>
      </c>
      <c r="AQ11" s="1" t="n">
        <v>2224475101.86305</v>
      </c>
      <c r="AR11" s="1" t="n">
        <v>2613441422.39631</v>
      </c>
      <c r="AS11" s="1" t="n">
        <v>2257083308.80633</v>
      </c>
      <c r="AT11" s="1" t="n">
        <v>2395897301.12255</v>
      </c>
      <c r="AU11" s="1" t="n">
        <v>2167692081.0711</v>
      </c>
      <c r="AV11" s="1" t="n">
        <v>2623244039.00331</v>
      </c>
      <c r="AW11" s="1" t="n">
        <v>1302110122.46356</v>
      </c>
      <c r="AX11" s="1"/>
      <c r="AY11" s="1"/>
    </row>
    <row r="12">
      <c r="A12" t="str">
        <f>M12</f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38</v>
      </c>
      <c r="N1" t="s">
        <v>39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160</v>
      </c>
      <c r="AX1" t="s">
        <v>161</v>
      </c>
    </row>
    <row r="2">
      <c r="A2" t="str">
        <f>M2</f>
      </c>
      <c r="B2" t="str">
        <f>N2</f>
      </c>
      <c r="M2" t="s">
        <v>40</v>
      </c>
      <c r="N2" t="s">
        <v>40</v>
      </c>
      <c r="O2" s="12" t="n">
        <v>1115655000</v>
      </c>
      <c r="P2" s="12" t="n">
        <v>1856254000</v>
      </c>
      <c r="Q2" s="12" t="n">
        <v>1174474880</v>
      </c>
      <c r="R2" s="12" t="n">
        <v>1568028954</v>
      </c>
      <c r="S2" s="12" t="n">
        <v>1363717424</v>
      </c>
      <c r="T2" s="12" t="n">
        <v>996995349</v>
      </c>
      <c r="U2" s="12" t="n">
        <v>1013765798</v>
      </c>
      <c r="V2" s="12" t="n">
        <v>1066163633</v>
      </c>
      <c r="W2" s="12" t="n">
        <v>856496514</v>
      </c>
      <c r="X2" s="12" t="n">
        <v>615289977</v>
      </c>
      <c r="Y2" s="12" t="n">
        <v>365671303</v>
      </c>
      <c r="Z2" s="12" t="n">
        <v>372557428</v>
      </c>
      <c r="AA2" s="12" t="n">
        <v>493699839</v>
      </c>
      <c r="AB2" s="12" t="n">
        <v>385294281</v>
      </c>
      <c r="AC2" s="12" t="n">
        <v>284076604</v>
      </c>
      <c r="AD2" s="12" t="n">
        <v>406527737</v>
      </c>
      <c r="AE2" s="12" t="n">
        <v>514368923.2969</v>
      </c>
      <c r="AF2" s="12" t="n">
        <v>597273208.8856</v>
      </c>
      <c r="AG2" s="12" t="n">
        <v>626681983.8943</v>
      </c>
      <c r="AH2" s="12" t="n">
        <v>995195105.7429</v>
      </c>
      <c r="AI2" s="12" t="n">
        <v>776620018.2946</v>
      </c>
      <c r="AJ2" s="12" t="n">
        <v>692588786.6646</v>
      </c>
      <c r="AK2" s="12" t="n">
        <v>669537970.6962</v>
      </c>
      <c r="AL2" s="12" t="n">
        <v>634651794.3</v>
      </c>
      <c r="AM2" s="12" t="n">
        <v>248363932.03</v>
      </c>
      <c r="AN2" s="12" t="n">
        <v>1156908715.17</v>
      </c>
      <c r="AO2" s="12" t="n">
        <v>1048003514.4983</v>
      </c>
      <c r="AP2" s="12" t="n">
        <v>199326729.9779</v>
      </c>
      <c r="AQ2" s="12" t="n">
        <v>1465823877.6687</v>
      </c>
      <c r="AR2" s="12" t="n">
        <v>442464629.1049</v>
      </c>
      <c r="AS2" s="12" t="n">
        <v>1278036656.8173</v>
      </c>
      <c r="AT2" s="12" t="n">
        <v>1495956974.8826</v>
      </c>
      <c r="AU2" s="12" t="n">
        <v>1308585792.3237</v>
      </c>
      <c r="AV2" s="12" t="n">
        <v>1360798527.3256</v>
      </c>
      <c r="AW2" s="12" t="n">
        <v>1478977209.95</v>
      </c>
      <c r="AX2" s="12" t="n">
        <v>108744592.04</v>
      </c>
      <c r="AY2" s="12"/>
    </row>
    <row r="3">
      <c r="A3" t="str">
        <f>M3</f>
      </c>
      <c r="B3" t="str">
        <f>N3</f>
      </c>
      <c r="M3" t="s">
        <v>41</v>
      </c>
      <c r="N3" t="s">
        <v>41</v>
      </c>
      <c r="O3" s="12" t="n">
        <v>1120025000</v>
      </c>
      <c r="P3" s="12" t="n">
        <v>2981127000</v>
      </c>
      <c r="Q3" s="12" t="n">
        <v>2223992743</v>
      </c>
      <c r="R3" s="12" t="n">
        <v>2959858750</v>
      </c>
      <c r="S3" s="12" t="n">
        <v>2358517153</v>
      </c>
      <c r="T3" s="12" t="n">
        <v>2017408518</v>
      </c>
      <c r="U3" s="12" t="n">
        <v>2230964453</v>
      </c>
      <c r="V3" s="12" t="n">
        <v>3073986159</v>
      </c>
      <c r="W3" s="12" t="n">
        <v>2877613852</v>
      </c>
      <c r="X3" s="12" t="n">
        <v>2379267979</v>
      </c>
      <c r="Y3" s="12" t="n">
        <v>1354702863</v>
      </c>
      <c r="Z3" s="12" t="n">
        <v>1490995427.4</v>
      </c>
      <c r="AA3" s="12" t="n">
        <v>2090283132</v>
      </c>
      <c r="AB3" s="12" t="n">
        <v>1997872448</v>
      </c>
      <c r="AC3" s="12" t="n">
        <v>1838114930</v>
      </c>
      <c r="AD3" s="12" t="n">
        <v>1722646752</v>
      </c>
      <c r="AE3" s="12" t="n">
        <v>2393886882.91</v>
      </c>
      <c r="AF3" s="12" t="n">
        <v>2049531599.6261</v>
      </c>
      <c r="AG3" s="12" t="n">
        <v>2640295511.5117</v>
      </c>
      <c r="AH3" s="12" t="n">
        <v>3865414824.9638</v>
      </c>
      <c r="AI3" s="12" t="n">
        <v>4406562411.1806</v>
      </c>
      <c r="AJ3" s="12" t="n">
        <v>4606138568.5741</v>
      </c>
      <c r="AK3" s="12" t="n">
        <v>3991826385.0534</v>
      </c>
      <c r="AL3" s="12" t="n">
        <v>2793951304.9646</v>
      </c>
      <c r="AM3" s="12" t="n">
        <v>2251323747.6617</v>
      </c>
      <c r="AN3" s="12" t="n">
        <v>4456914414.9631</v>
      </c>
      <c r="AO3" s="12" t="n">
        <v>2917984105.9196</v>
      </c>
      <c r="AP3" s="12" t="n">
        <v>2710491353.1743</v>
      </c>
      <c r="AQ3" s="12" t="n">
        <v>4667739676.9956</v>
      </c>
      <c r="AR3" s="12" t="n">
        <v>5397572682.8034</v>
      </c>
      <c r="AS3" s="12" t="n">
        <v>5899425613.3359</v>
      </c>
      <c r="AT3" s="12" t="n">
        <v>2417855774.7764</v>
      </c>
      <c r="AU3" s="12" t="n">
        <v>3326330296.493</v>
      </c>
      <c r="AV3" s="12" t="n">
        <v>4930294728.3096</v>
      </c>
      <c r="AW3" s="12" t="n">
        <v>3612203476.75</v>
      </c>
      <c r="AX3" s="12" t="n">
        <v>1259163144.43</v>
      </c>
      <c r="AY3" s="12"/>
    </row>
    <row r="4">
      <c r="A4" t="str">
        <f>M4</f>
      </c>
      <c r="B4" t="str">
        <f>N4</f>
      </c>
      <c r="M4" t="s">
        <v>42</v>
      </c>
      <c r="N4" t="s">
        <v>43</v>
      </c>
      <c r="O4" s="12"/>
      <c r="P4" s="12" t="n">
        <v>2928000</v>
      </c>
      <c r="Q4" s="12" t="n">
        <v>5067810</v>
      </c>
      <c r="R4" s="12" t="n">
        <v>1907682</v>
      </c>
      <c r="S4" s="12"/>
      <c r="T4" s="12"/>
      <c r="U4" s="12"/>
      <c r="V4" s="12"/>
      <c r="W4" s="12"/>
      <c r="X4" s="12"/>
      <c r="Y4" s="12" t="n">
        <v>601127</v>
      </c>
      <c r="Z4" s="12" t="n">
        <v>1886957</v>
      </c>
      <c r="AA4" s="12" t="n">
        <v>2291396</v>
      </c>
      <c r="AB4" s="12" t="n">
        <v>39045</v>
      </c>
      <c r="AC4" s="12" t="n">
        <v>0</v>
      </c>
      <c r="AD4" s="12"/>
      <c r="AE4" s="12"/>
      <c r="AF4" s="12"/>
      <c r="AG4" s="12"/>
      <c r="AH4" s="12" t="n">
        <v>18069560.8305</v>
      </c>
      <c r="AI4" s="12" t="n">
        <v>34796704.5093</v>
      </c>
      <c r="AJ4" s="12" t="n">
        <v>61753314.1957</v>
      </c>
      <c r="AK4" s="12" t="n">
        <v>42583975.1672</v>
      </c>
      <c r="AL4" s="12" t="n">
        <v>15405066.44</v>
      </c>
      <c r="AM4" s="12" t="n">
        <v>19458021.21</v>
      </c>
      <c r="AN4" s="12" t="n">
        <v>19904780.16</v>
      </c>
      <c r="AO4" s="12" t="n">
        <v>20195001.0637</v>
      </c>
      <c r="AP4" s="12" t="n">
        <v>25436188.2019</v>
      </c>
      <c r="AQ4" s="12" t="n">
        <v>82680492.1639</v>
      </c>
      <c r="AR4" s="12" t="n">
        <v>63555238.6255</v>
      </c>
      <c r="AS4" s="12" t="n">
        <v>8978308.1457</v>
      </c>
      <c r="AT4" s="12" t="n">
        <v>-67114.7813</v>
      </c>
      <c r="AU4" s="12" t="n">
        <v>-273230</v>
      </c>
      <c r="AV4" s="12" t="n">
        <v>0</v>
      </c>
      <c r="AW4" s="12" t="n">
        <v>227098.22</v>
      </c>
      <c r="AX4" s="12"/>
      <c r="AY4" s="12"/>
    </row>
    <row r="5">
      <c r="A5" t="str">
        <f>M5</f>
      </c>
      <c r="B5" t="str">
        <f>N5</f>
      </c>
      <c r="M5" t="s">
        <v>44</v>
      </c>
      <c r="N5" t="s">
        <v>43</v>
      </c>
      <c r="O5" s="12" t="n">
        <v>74831000</v>
      </c>
      <c r="P5" s="12" t="n">
        <v>68100000</v>
      </c>
      <c r="Q5" s="12" t="n">
        <v>1661000</v>
      </c>
      <c r="R5" s="12"/>
      <c r="S5" s="12" t="n">
        <v>343747860</v>
      </c>
      <c r="T5" s="12" t="n">
        <v>251594273</v>
      </c>
      <c r="U5" s="12" t="n">
        <v>310476090</v>
      </c>
      <c r="V5" s="12" t="n">
        <v>431242526</v>
      </c>
      <c r="W5" s="12" t="n">
        <v>747389215</v>
      </c>
      <c r="X5" s="12" t="n">
        <v>945575248.63</v>
      </c>
      <c r="Y5" s="12" t="n">
        <v>1373879916</v>
      </c>
      <c r="Z5" s="12" t="n">
        <v>1673010916</v>
      </c>
      <c r="AA5" s="12" t="n">
        <v>2485964875.825</v>
      </c>
      <c r="AB5" s="12" t="n">
        <v>2671495076.0938</v>
      </c>
      <c r="AC5" s="12" t="n">
        <v>3382922964.5797</v>
      </c>
      <c r="AD5" s="12" t="n">
        <v>3841746261.1375</v>
      </c>
      <c r="AE5" s="12" t="n">
        <v>3492627141.4845</v>
      </c>
      <c r="AF5" s="12" t="n">
        <v>4929029621.6667</v>
      </c>
      <c r="AG5" s="12" t="n">
        <v>5760262873.5729</v>
      </c>
      <c r="AH5" s="12" t="n">
        <v>5673422751.5254</v>
      </c>
      <c r="AI5" s="12" t="n">
        <v>5356951769.0357</v>
      </c>
      <c r="AJ5" s="12" t="n">
        <v>5382146529.484</v>
      </c>
      <c r="AK5" s="12" t="n">
        <v>6877002431.1045</v>
      </c>
      <c r="AL5" s="12" t="n">
        <v>7706159819.8678</v>
      </c>
      <c r="AM5" s="12" t="n">
        <v>6050847486.8864</v>
      </c>
      <c r="AN5" s="12" t="n">
        <v>4690777698.051</v>
      </c>
      <c r="AO5" s="12" t="n">
        <v>6589241607.8602</v>
      </c>
      <c r="AP5" s="12" t="n">
        <v>5412284919.1813</v>
      </c>
      <c r="AQ5" s="12" t="n">
        <v>8292286171.334</v>
      </c>
      <c r="AR5" s="12" t="n">
        <v>8818804834.6125</v>
      </c>
      <c r="AS5" s="12" t="n">
        <v>12327842101.7369</v>
      </c>
      <c r="AT5" s="12" t="n">
        <v>8817318506.7272</v>
      </c>
      <c r="AU5" s="12" t="n">
        <v>9841769591.9764</v>
      </c>
      <c r="AV5" s="12" t="n">
        <v>7078919042.8608</v>
      </c>
      <c r="AW5" s="12" t="n">
        <v>8459332539.52</v>
      </c>
      <c r="AX5" s="12" t="n">
        <v>4080439773.84</v>
      </c>
      <c r="AY5" s="12"/>
    </row>
    <row r="6">
      <c r="A6" t="str">
        <f>M6</f>
      </c>
      <c r="B6" t="str">
        <f>N6</f>
      </c>
      <c r="M6" t="s">
        <v>45</v>
      </c>
      <c r="N6" t="s">
        <v>45</v>
      </c>
      <c r="O6" s="12" t="n">
        <v>1537947000</v>
      </c>
      <c r="P6" s="12" t="n">
        <v>1178364054</v>
      </c>
      <c r="Q6" s="12" t="n">
        <v>1143131913</v>
      </c>
      <c r="R6" s="12" t="n">
        <v>1324178812</v>
      </c>
      <c r="S6" s="12" t="n">
        <v>1155397737</v>
      </c>
      <c r="T6" s="12" t="n">
        <v>1261613903</v>
      </c>
      <c r="U6" s="12" t="n">
        <v>1232932704</v>
      </c>
      <c r="V6" s="12" t="n">
        <v>1648126889</v>
      </c>
      <c r="W6" s="12" t="n">
        <v>1581953225</v>
      </c>
      <c r="X6" s="12" t="n">
        <v>1234527060</v>
      </c>
      <c r="Y6" s="12" t="n">
        <v>617147940</v>
      </c>
      <c r="Z6" s="12" t="n">
        <v>471485160</v>
      </c>
      <c r="AA6" s="12" t="n">
        <v>570635098</v>
      </c>
      <c r="AB6" s="12" t="n">
        <v>771050128</v>
      </c>
      <c r="AC6" s="12" t="n">
        <v>1345768755</v>
      </c>
      <c r="AD6" s="12" t="n">
        <v>1270847130.88</v>
      </c>
      <c r="AE6" s="12" t="n">
        <v>1737043845.889</v>
      </c>
      <c r="AF6" s="12" t="n">
        <v>2022881039.4175</v>
      </c>
      <c r="AG6" s="12" t="n">
        <v>1330949888.1085</v>
      </c>
      <c r="AH6" s="12" t="n">
        <v>1697050135.4344</v>
      </c>
      <c r="AI6" s="12" t="n">
        <v>1868717023.9371</v>
      </c>
      <c r="AJ6" s="12" t="n">
        <v>1356142160.6198</v>
      </c>
      <c r="AK6" s="12" t="n">
        <v>1107691777.9459</v>
      </c>
      <c r="AL6" s="12" t="n">
        <v>956347031.4801</v>
      </c>
      <c r="AM6" s="12" t="n">
        <v>749167838.79</v>
      </c>
      <c r="AN6" s="12" t="n">
        <v>361203711.3748</v>
      </c>
      <c r="AO6" s="12" t="n">
        <v>404292864.7068</v>
      </c>
      <c r="AP6" s="12" t="n">
        <v>490110729.6058</v>
      </c>
      <c r="AQ6" s="12" t="n">
        <v>256267426.8102</v>
      </c>
      <c r="AR6" s="12" t="n">
        <v>369502208.8166</v>
      </c>
      <c r="AS6" s="12" t="n">
        <v>869546370.9401</v>
      </c>
      <c r="AT6" s="12" t="n">
        <v>748629966.05</v>
      </c>
      <c r="AU6" s="12" t="n">
        <v>555417311.4</v>
      </c>
      <c r="AV6" s="12" t="n">
        <v>518221151.2745</v>
      </c>
      <c r="AW6" s="12" t="n">
        <v>481613754.4</v>
      </c>
      <c r="AX6" s="12" t="n">
        <v>537347628.09</v>
      </c>
      <c r="AY6" s="12"/>
    </row>
    <row r="7">
      <c r="A7" t="str">
        <f>M7</f>
      </c>
      <c r="B7" t="str">
        <f>N7</f>
      </c>
      <c r="M7" t="s">
        <v>43</v>
      </c>
      <c r="N7" t="s">
        <v>43</v>
      </c>
      <c r="O7" s="12" t="n">
        <v>644651000</v>
      </c>
      <c r="P7" s="12" t="n">
        <v>696607000</v>
      </c>
      <c r="Q7" s="12" t="n">
        <v>892321971</v>
      </c>
      <c r="R7" s="12" t="n">
        <v>655548015</v>
      </c>
      <c r="S7" s="12" t="n">
        <v>1871965</v>
      </c>
      <c r="T7" s="12" t="n">
        <v>358889</v>
      </c>
      <c r="U7" s="12" t="n">
        <v>2139723</v>
      </c>
      <c r="V7" s="12" t="n">
        <v>3493194</v>
      </c>
      <c r="W7" s="12" t="n">
        <v>1345350</v>
      </c>
      <c r="X7" s="12" t="n">
        <v>5036188</v>
      </c>
      <c r="Y7" s="12" t="n">
        <v>990000</v>
      </c>
      <c r="Z7" s="12"/>
      <c r="AA7" s="12"/>
      <c r="AB7" s="12"/>
      <c r="AC7" s="12"/>
      <c r="AD7" s="12" t="n">
        <v>218798</v>
      </c>
      <c r="AE7" s="12" t="n">
        <v>6157</v>
      </c>
      <c r="AF7" s="12"/>
      <c r="AG7" s="12" t="n">
        <v>-745933</v>
      </c>
      <c r="AH7" s="12" t="n">
        <v>-1132672.9425</v>
      </c>
      <c r="AI7" s="12" t="n">
        <v>-32769580.3662</v>
      </c>
      <c r="AJ7" s="12" t="n">
        <v>-16076242.5979</v>
      </c>
      <c r="AK7" s="12" t="n">
        <v>-12075892.289</v>
      </c>
      <c r="AL7" s="12" t="n">
        <v>-6773278.8938</v>
      </c>
      <c r="AM7" s="12" t="n">
        <v>-25666893.0703</v>
      </c>
      <c r="AN7" s="12" t="n">
        <v>-9831291.4146</v>
      </c>
      <c r="AO7" s="12" t="n">
        <v>-4282770.8739</v>
      </c>
      <c r="AP7" s="12" t="n">
        <v>-4400682.5726</v>
      </c>
      <c r="AQ7" s="12" t="n">
        <v>-9059400.856</v>
      </c>
      <c r="AR7" s="12" t="n">
        <v>-9993785.8239</v>
      </c>
      <c r="AS7" s="12" t="n">
        <v>-5716133.1105</v>
      </c>
      <c r="AT7" s="12" t="n">
        <v>-3408517.6209</v>
      </c>
      <c r="AU7" s="12" t="n">
        <v>4059865.367</v>
      </c>
      <c r="AV7" s="12" t="n">
        <v>528349.2402</v>
      </c>
      <c r="AW7" s="12" t="n">
        <v>-5374704.81</v>
      </c>
      <c r="AX7" s="12" t="n">
        <v>2423429.55</v>
      </c>
      <c r="AY7" s="12"/>
    </row>
    <row r="8">
      <c r="A8" t="str">
        <f>M8</f>
      </c>
      <c r="B8" t="str">
        <f>N8</f>
      </c>
      <c r="M8" t="s">
        <v>151</v>
      </c>
      <c r="N8" t="s">
        <v>152</v>
      </c>
      <c r="O8" s="12" t="str">
        <f>Sum(O2:O7)</f>
      </c>
      <c r="P8" s="12" t="str">
        <f>Sum(P2:P7)</f>
      </c>
      <c r="Q8" s="12" t="str">
        <f>Sum(Q2:Q7)</f>
      </c>
      <c r="R8" s="12" t="str">
        <f>Sum(R2:R7)</f>
      </c>
      <c r="S8" s="12" t="str">
        <f>Sum(S2:S7)</f>
      </c>
      <c r="T8" s="12" t="str">
        <f>Sum(T2:T7)</f>
      </c>
      <c r="U8" s="12" t="str">
        <f>Sum(U2:U7)</f>
      </c>
      <c r="V8" s="12" t="str">
        <f>Sum(V2:V7)</f>
      </c>
      <c r="W8" s="12" t="str">
        <f>Sum(W2:W7)</f>
      </c>
      <c r="X8" s="12" t="str">
        <f>Sum(X2:X7)</f>
      </c>
      <c r="Y8" s="12" t="str">
        <f>Sum(Y2:Y7)</f>
      </c>
      <c r="Z8" s="12" t="str">
        <f>Sum(Z2:Z7)</f>
      </c>
      <c r="AA8" s="12" t="str">
        <f>Sum(AA2:AA7)</f>
      </c>
      <c r="AB8" s="12" t="str">
        <f>Sum(AB2:AB7)</f>
      </c>
      <c r="AC8" s="12" t="str">
        <f>Sum(AC2:AC7)</f>
      </c>
      <c r="AD8" s="12" t="str">
        <f>Sum(AD2:AD7)</f>
      </c>
      <c r="AE8" s="12" t="str">
        <f>Sum(AE2:AE7)</f>
      </c>
      <c r="AF8" s="12" t="str">
        <f>Sum(AF2:AF7)</f>
      </c>
      <c r="AG8" s="12" t="str">
        <f>Sum(AG2:AG7)</f>
      </c>
      <c r="AH8" s="12" t="str">
        <f>Sum(AH2:AH7)</f>
      </c>
      <c r="AI8" s="12" t="str">
        <f>Sum(AI2:AI7)</f>
      </c>
      <c r="AJ8" s="12" t="str">
        <f>Sum(AJ2:AJ7)</f>
      </c>
      <c r="AK8" s="12" t="str">
        <f>Sum(AK2:AK7)</f>
      </c>
      <c r="AL8" s="12" t="str">
        <f>Sum(AL2:AL7)</f>
      </c>
      <c r="AM8" s="12" t="str">
        <f>Sum(AM2:AM7)</f>
      </c>
      <c r="AN8" s="12" t="str">
        <f>Sum(AN2:AN7)</f>
      </c>
      <c r="AO8" s="12" t="str">
        <f>Sum(AO2:AO7)</f>
      </c>
      <c r="AP8" s="12" t="str">
        <f>Sum(AP2:AP7)</f>
      </c>
      <c r="AQ8" s="12" t="str">
        <f>Sum(AQ2:AQ7)</f>
      </c>
      <c r="AR8" s="12" t="str">
        <f>Sum(AR2:AR7)</f>
      </c>
      <c r="AS8" s="12" t="str">
        <f>Sum(AS2:AS7)</f>
      </c>
      <c r="AT8" s="12" t="str">
        <f>Sum(AT2:AT7)</f>
      </c>
      <c r="AU8" s="12" t="str">
        <f>Sum(AU2:AU7)</f>
      </c>
      <c r="AV8" s="12" t="str">
        <f>Sum(AV2:AV7)</f>
      </c>
      <c r="AW8" s="12" t="str">
        <f>Sum(AW2:AW7)</f>
      </c>
      <c r="AX8" s="12" t="str">
        <f>Sum(AX2:AX7)</f>
      </c>
      <c r="AY8" s="12"/>
    </row>
    <row r="11">
      <c r="A11" t="str">
        <f>M11</f>
      </c>
      <c r="B11" t="str">
        <f>N11</f>
      </c>
      <c r="M11" t="s">
        <v>38</v>
      </c>
      <c r="N11" t="s">
        <v>39</v>
      </c>
      <c r="O11" t="s">
        <v>1</v>
      </c>
      <c r="P11" t="s">
        <v>2</v>
      </c>
      <c r="Q11" t="s">
        <v>3</v>
      </c>
      <c r="R11" t="s">
        <v>4</v>
      </c>
      <c r="S11" t="s">
        <v>5</v>
      </c>
      <c r="T11" t="s">
        <v>6</v>
      </c>
      <c r="U11" t="s">
        <v>7</v>
      </c>
      <c r="V11" t="s">
        <v>8</v>
      </c>
      <c r="W11" t="s">
        <v>9</v>
      </c>
      <c r="X11" t="s">
        <v>10</v>
      </c>
      <c r="Y11" t="s">
        <v>11</v>
      </c>
      <c r="Z11" t="s">
        <v>12</v>
      </c>
      <c r="AA11" t="s">
        <v>13</v>
      </c>
      <c r="AB11" t="s">
        <v>14</v>
      </c>
      <c r="AC11" t="s">
        <v>15</v>
      </c>
      <c r="AD11" t="s">
        <v>16</v>
      </c>
      <c r="AE11" t="s">
        <v>17</v>
      </c>
      <c r="AF11" t="s">
        <v>18</v>
      </c>
      <c r="AG11" t="s">
        <v>19</v>
      </c>
      <c r="AH11" t="s">
        <v>20</v>
      </c>
      <c r="AI11" t="s">
        <v>21</v>
      </c>
      <c r="AJ11" t="s">
        <v>22</v>
      </c>
      <c r="AK11" t="s">
        <v>23</v>
      </c>
      <c r="AL11" t="s">
        <v>24</v>
      </c>
      <c r="AM11" t="s">
        <v>25</v>
      </c>
      <c r="AN11" t="s">
        <v>26</v>
      </c>
      <c r="AO11" t="s">
        <v>27</v>
      </c>
      <c r="AP11" t="s">
        <v>28</v>
      </c>
      <c r="AQ11" t="s">
        <v>29</v>
      </c>
      <c r="AR11" t="s">
        <v>30</v>
      </c>
      <c r="AS11" t="s">
        <v>31</v>
      </c>
      <c r="AT11" t="s">
        <v>32</v>
      </c>
      <c r="AU11" t="s">
        <v>33</v>
      </c>
      <c r="AV11" t="s">
        <v>34</v>
      </c>
      <c r="AW11" t="s">
        <v>160</v>
      </c>
      <c r="AX11" t="s">
        <v>161</v>
      </c>
    </row>
    <row r="12">
      <c r="A12" t="str">
        <f>M12</f>
      </c>
      <c r="B12" t="str">
        <f>N12</f>
      </c>
      <c r="M12" t="s">
        <v>40</v>
      </c>
      <c r="N12" t="s">
        <v>40</v>
      </c>
      <c r="O12" s="12" t="n">
        <v>2307489084.6731</v>
      </c>
      <c r="P12" s="12" t="n">
        <v>3706738520.80019</v>
      </c>
      <c r="Q12" s="12" t="n">
        <v>2288033013.46331</v>
      </c>
      <c r="R12" s="12" t="n">
        <v>2984707537.51604</v>
      </c>
      <c r="S12" s="12" t="n">
        <v>2540347719.06831</v>
      </c>
      <c r="T12" s="12" t="n">
        <v>1818637512.62944</v>
      </c>
      <c r="U12" s="12" t="n">
        <v>1815054135.0371</v>
      </c>
      <c r="V12" s="12" t="n">
        <v>1875581419.94677</v>
      </c>
      <c r="W12" s="12" t="n">
        <v>1488080409.16655</v>
      </c>
      <c r="X12" s="12" t="n">
        <v>1055932060.37898</v>
      </c>
      <c r="Y12" s="12" t="n">
        <v>614756864.59367</v>
      </c>
      <c r="Z12" s="12" t="n">
        <v>611511163.241583</v>
      </c>
      <c r="AA12" s="12" t="n">
        <v>797801686.066909</v>
      </c>
      <c r="AB12" s="12" t="n">
        <v>610895867.670476</v>
      </c>
      <c r="AC12" s="12" t="n">
        <v>439675808.948696</v>
      </c>
      <c r="AD12" s="12" t="n">
        <v>610616966.683995</v>
      </c>
      <c r="AE12" s="12" t="n">
        <v>748290006.455846</v>
      </c>
      <c r="AF12" s="12" t="n">
        <v>845617497.403372</v>
      </c>
      <c r="AG12" s="12" t="n">
        <v>869208836.984615</v>
      </c>
      <c r="AH12" s="12" t="n">
        <v>1366364486.42919</v>
      </c>
      <c r="AI12" s="12" t="n">
        <v>1057114246.19173</v>
      </c>
      <c r="AJ12" s="12" t="n">
        <v>924183572.827388</v>
      </c>
      <c r="AK12" s="12" t="n">
        <v>877501611.704994</v>
      </c>
      <c r="AL12" s="12" t="n">
        <v>816956074.066299</v>
      </c>
      <c r="AM12" s="12" t="n">
        <v>313978719.795805</v>
      </c>
      <c r="AN12" s="12" t="n">
        <v>1447558905.88824</v>
      </c>
      <c r="AO12" s="12" t="n">
        <v>1300892709.67585</v>
      </c>
      <c r="AP12" s="12" t="n">
        <v>243318139.330764</v>
      </c>
      <c r="AQ12" s="12" t="n">
        <v>1750470756.07476</v>
      </c>
      <c r="AR12" s="12" t="n">
        <v>518794134.060459</v>
      </c>
      <c r="AS12" s="12" t="n">
        <v>1479187775.42954</v>
      </c>
      <c r="AT12" s="12" t="n">
        <v>1673798972.71908</v>
      </c>
      <c r="AU12" s="12" t="n">
        <v>1368449136.21969</v>
      </c>
      <c r="AV12" s="12" t="n">
        <v>1360798527.3256</v>
      </c>
      <c r="AW12" s="12" t="n">
        <v>1440507046.0639</v>
      </c>
      <c r="AX12" s="12" t="n">
        <v>103641882.814008</v>
      </c>
      <c r="AY12" s="12"/>
    </row>
    <row r="13">
      <c r="A13" t="str">
        <f>M13</f>
      </c>
      <c r="B13" t="str">
        <f>N13</f>
      </c>
      <c r="M13" t="s">
        <v>41</v>
      </c>
      <c r="N13" t="s">
        <v>41</v>
      </c>
      <c r="O13" s="12" t="n">
        <v>2316527476.73877</v>
      </c>
      <c r="P13" s="12" t="n">
        <v>5952988269.0071</v>
      </c>
      <c r="Q13" s="12" t="n">
        <v>4332633165.97015</v>
      </c>
      <c r="R13" s="12" t="n">
        <v>5634023975.49593</v>
      </c>
      <c r="S13" s="12" t="n">
        <v>4393471524.64558</v>
      </c>
      <c r="T13" s="12" t="n">
        <v>3679991900.47673</v>
      </c>
      <c r="U13" s="12" t="n">
        <v>3994336032.56995</v>
      </c>
      <c r="V13" s="12" t="n">
        <v>5407717114.46469</v>
      </c>
      <c r="W13" s="12" t="n">
        <v>4999577614.51845</v>
      </c>
      <c r="X13" s="12" t="n">
        <v>4083189119.23246</v>
      </c>
      <c r="Y13" s="12" t="n">
        <v>2277490406.49752</v>
      </c>
      <c r="Z13" s="12" t="n">
        <v>2447301488.77143</v>
      </c>
      <c r="AA13" s="12" t="n">
        <v>3377824490.37181</v>
      </c>
      <c r="AB13" s="12" t="n">
        <v>3167687876.00016</v>
      </c>
      <c r="AC13" s="12" t="n">
        <v>2844918086.91302</v>
      </c>
      <c r="AD13" s="12" t="n">
        <v>2587467566.51017</v>
      </c>
      <c r="AE13" s="12" t="n">
        <v>3482561931.5911</v>
      </c>
      <c r="AF13" s="12" t="n">
        <v>2901720278.66214</v>
      </c>
      <c r="AG13" s="12" t="n">
        <v>3662093772.97795</v>
      </c>
      <c r="AH13" s="12" t="n">
        <v>5307065430.35582</v>
      </c>
      <c r="AI13" s="12" t="n">
        <v>5998094038.08718</v>
      </c>
      <c r="AJ13" s="12" t="n">
        <v>6146385389.43649</v>
      </c>
      <c r="AK13" s="12" t="n">
        <v>5231718348.83174</v>
      </c>
      <c r="AL13" s="12" t="n">
        <v>3596516246.76151</v>
      </c>
      <c r="AM13" s="12" t="n">
        <v>2846096622.64218</v>
      </c>
      <c r="AN13" s="12" t="n">
        <v>5576625078.16227</v>
      </c>
      <c r="AO13" s="12" t="n">
        <v>3622110229.42802</v>
      </c>
      <c r="AP13" s="12" t="n">
        <v>3308696795.45547</v>
      </c>
      <c r="AQ13" s="12" t="n">
        <v>5574163394.40839</v>
      </c>
      <c r="AR13" s="12" t="n">
        <v>6328707114.21205</v>
      </c>
      <c r="AS13" s="12" t="n">
        <v>6827940499.79259</v>
      </c>
      <c r="AT13" s="12" t="n">
        <v>2705294724.34943</v>
      </c>
      <c r="AU13" s="12" t="n">
        <v>3478498580.46697</v>
      </c>
      <c r="AV13" s="12" t="n">
        <v>4930294728.3096</v>
      </c>
      <c r="AW13" s="12" t="n">
        <v>3518245261.02793</v>
      </c>
      <c r="AX13" s="12" t="n">
        <v>1200078427.90683</v>
      </c>
      <c r="AY13" s="12"/>
    </row>
    <row r="14">
      <c r="A14" t="str">
        <f>M14</f>
      </c>
      <c r="B14" t="str">
        <f>N14</f>
      </c>
      <c r="M14" t="s">
        <v>42</v>
      </c>
      <c r="N14" t="s">
        <v>43</v>
      </c>
      <c r="O14" s="12"/>
      <c r="P14" s="12" t="n">
        <v>5846899.39464263</v>
      </c>
      <c r="Q14" s="12" t="n">
        <v>9872766.7857481</v>
      </c>
      <c r="R14" s="12" t="n">
        <v>3631229.40431601</v>
      </c>
      <c r="S14" s="12"/>
      <c r="T14" s="12"/>
      <c r="U14" s="12"/>
      <c r="V14" s="12"/>
      <c r="W14" s="12"/>
      <c r="X14" s="12"/>
      <c r="Y14" s="12" t="n">
        <v>1010598.71723814</v>
      </c>
      <c r="Z14" s="12" t="n">
        <v>3097227.92604432</v>
      </c>
      <c r="AA14" s="12" t="n">
        <v>3702815.85659373</v>
      </c>
      <c r="AB14" s="12" t="n">
        <v>61907.0417844944</v>
      </c>
      <c r="AC14" s="12" t="n">
        <v>0</v>
      </c>
      <c r="AD14" s="12"/>
      <c r="AE14" s="12"/>
      <c r="AF14" s="12"/>
      <c r="AG14" s="12"/>
      <c r="AH14" s="12" t="n">
        <v>24808809.912441</v>
      </c>
      <c r="AI14" s="12" t="n">
        <v>47364336.7294088</v>
      </c>
      <c r="AJ14" s="12" t="n">
        <v>82403006.8724636</v>
      </c>
      <c r="AK14" s="12" t="n">
        <v>55810885.2335408</v>
      </c>
      <c r="AL14" s="12" t="n">
        <v>19830185.1701751</v>
      </c>
      <c r="AM14" s="12" t="n">
        <v>24598598.272061</v>
      </c>
      <c r="AN14" s="12" t="n">
        <v>24905458.3240145</v>
      </c>
      <c r="AO14" s="12" t="n">
        <v>25068169.4213975</v>
      </c>
      <c r="AP14" s="12" t="n">
        <v>31049954.944024</v>
      </c>
      <c r="AQ14" s="12" t="n">
        <v>98736134.5627407</v>
      </c>
      <c r="AR14" s="12" t="n">
        <v>74519143.0429686</v>
      </c>
      <c r="AS14" s="12" t="n">
        <v>10391410.5924251</v>
      </c>
      <c r="AT14" s="12" t="n">
        <v>-75093.5046130063</v>
      </c>
      <c r="AU14" s="12" t="n">
        <v>-285729.342074972</v>
      </c>
      <c r="AV14" s="12" t="n">
        <v>0</v>
      </c>
      <c r="AW14" s="12" t="n">
        <v>221191.093316191</v>
      </c>
      <c r="AX14" s="12"/>
      <c r="AY14" s="12"/>
    </row>
    <row r="15">
      <c r="A15" t="str">
        <f>M15</f>
      </c>
      <c r="B15" t="str">
        <f>N15</f>
      </c>
      <c r="M15" t="s">
        <v>44</v>
      </c>
      <c r="N15" t="s">
        <v>43</v>
      </c>
      <c r="O15" s="12" t="n">
        <v>154771605.644373</v>
      </c>
      <c r="P15" s="12" t="n">
        <v>135988336.330315</v>
      </c>
      <c r="Q15" s="12" t="n">
        <v>3235848.54821463</v>
      </c>
      <c r="R15" s="12"/>
      <c r="S15" s="12" t="n">
        <v>640337269.816692</v>
      </c>
      <c r="T15" s="12" t="n">
        <v>458937730.551573</v>
      </c>
      <c r="U15" s="12" t="n">
        <v>555878795.769603</v>
      </c>
      <c r="V15" s="12" t="n">
        <v>758636333.318371</v>
      </c>
      <c r="W15" s="12" t="n">
        <v>1298516959.129</v>
      </c>
      <c r="X15" s="12" t="n">
        <v>1622752292.1753</v>
      </c>
      <c r="Y15" s="12" t="n">
        <v>2309730357.72614</v>
      </c>
      <c r="Z15" s="12" t="n">
        <v>2746059464.84853</v>
      </c>
      <c r="AA15" s="12" t="n">
        <v>4017232360.15943</v>
      </c>
      <c r="AB15" s="12" t="n">
        <v>4235737157.19836</v>
      </c>
      <c r="AC15" s="12" t="n">
        <v>5235874303.33651</v>
      </c>
      <c r="AD15" s="12" t="n">
        <v>5770419174.97836</v>
      </c>
      <c r="AE15" s="12" t="n">
        <v>5080979561.31918</v>
      </c>
      <c r="AF15" s="12" t="n">
        <v>6978504361.64336</v>
      </c>
      <c r="AG15" s="12" t="n">
        <v>7989493110.92442</v>
      </c>
      <c r="AH15" s="12" t="n">
        <v>7789390562.16214</v>
      </c>
      <c r="AI15" s="12" t="n">
        <v>7291738427.81566</v>
      </c>
      <c r="AJ15" s="12" t="n">
        <v>7181882676.80957</v>
      </c>
      <c r="AK15" s="12" t="n">
        <v>9013052255.60019</v>
      </c>
      <c r="AL15" s="12" t="n">
        <v>9919760928.92085</v>
      </c>
      <c r="AM15" s="12" t="n">
        <v>7649409204.00139</v>
      </c>
      <c r="AN15" s="12" t="n">
        <v>5869241836.73204</v>
      </c>
      <c r="AO15" s="12" t="n">
        <v>8179262999.95439</v>
      </c>
      <c r="AP15" s="12" t="n">
        <v>6606776202.11377</v>
      </c>
      <c r="AQ15" s="12" t="n">
        <v>9902556961.3514</v>
      </c>
      <c r="AR15" s="12" t="n">
        <v>10340135497.105</v>
      </c>
      <c r="AS15" s="12" t="n">
        <v>14268130133.0793</v>
      </c>
      <c r="AT15" s="12" t="n">
        <v>9865536847.97993</v>
      </c>
      <c r="AU15" s="12" t="n">
        <v>10291997036.8147</v>
      </c>
      <c r="AV15" s="12" t="n">
        <v>7078919042.8608</v>
      </c>
      <c r="AW15" s="12" t="n">
        <v>8239294051.45341</v>
      </c>
      <c r="AX15" s="12" t="n">
        <v>3888970043.81042</v>
      </c>
      <c r="AY15" s="12"/>
    </row>
    <row r="16">
      <c r="A16" t="str">
        <f>M16</f>
      </c>
      <c r="B16" t="str">
        <f>N16</f>
      </c>
      <c r="M16" t="s">
        <v>45</v>
      </c>
      <c r="N16" t="s">
        <v>45</v>
      </c>
      <c r="O16" s="12" t="n">
        <v>3180908000.50709</v>
      </c>
      <c r="P16" s="12" t="n">
        <v>2353065599.04414</v>
      </c>
      <c r="Q16" s="12" t="n">
        <v>2226972752.01617</v>
      </c>
      <c r="R16" s="12" t="n">
        <v>2520544324.84378</v>
      </c>
      <c r="S16" s="12" t="n">
        <v>2152287529.76953</v>
      </c>
      <c r="T16" s="12" t="n">
        <v>2301333073.17028</v>
      </c>
      <c r="U16" s="12" t="n">
        <v>2207452260.7022</v>
      </c>
      <c r="V16" s="12" t="n">
        <v>2899363732.77429</v>
      </c>
      <c r="W16" s="12" t="n">
        <v>2748491749.65859</v>
      </c>
      <c r="X16" s="12" t="n">
        <v>2118637960.61706</v>
      </c>
      <c r="Y16" s="12" t="n">
        <v>1037532695.27098</v>
      </c>
      <c r="Z16" s="12" t="n">
        <v>773889921.321724</v>
      </c>
      <c r="AA16" s="12" t="n">
        <v>922126375.887588</v>
      </c>
      <c r="AB16" s="12" t="n">
        <v>1222523562.35205</v>
      </c>
      <c r="AC16" s="12" t="n">
        <v>2082895802.33262</v>
      </c>
      <c r="AD16" s="12" t="n">
        <v>1908850859.48515</v>
      </c>
      <c r="AE16" s="12" t="n">
        <v>2527004435.4995</v>
      </c>
      <c r="AF16" s="12" t="n">
        <v>2863988500.82124</v>
      </c>
      <c r="AG16" s="12" t="n">
        <v>1846029460.01192</v>
      </c>
      <c r="AH16" s="12" t="n">
        <v>2329984365.24311</v>
      </c>
      <c r="AI16" s="12" t="n">
        <v>2543647268.38082</v>
      </c>
      <c r="AJ16" s="12" t="n">
        <v>1809622580.37598</v>
      </c>
      <c r="AK16" s="12" t="n">
        <v>1451749359.9492</v>
      </c>
      <c r="AL16" s="12" t="n">
        <v>1231058547.8525</v>
      </c>
      <c r="AM16" s="12" t="n">
        <v>947089043.940011</v>
      </c>
      <c r="AN16" s="12" t="n">
        <v>451948924.218836</v>
      </c>
      <c r="AO16" s="12" t="n">
        <v>501851027.210361</v>
      </c>
      <c r="AP16" s="12" t="n">
        <v>598278167.744729</v>
      </c>
      <c r="AQ16" s="12" t="n">
        <v>306031743.103568</v>
      </c>
      <c r="AR16" s="12" t="n">
        <v>433244977.896272</v>
      </c>
      <c r="AS16" s="12" t="n">
        <v>1006404906.46551</v>
      </c>
      <c r="AT16" s="12" t="n">
        <v>837628413.891746</v>
      </c>
      <c r="AU16" s="12" t="n">
        <v>580825762.044328</v>
      </c>
      <c r="AV16" s="12" t="n">
        <v>518221151.2745</v>
      </c>
      <c r="AW16" s="12" t="n">
        <v>469086340.226936</v>
      </c>
      <c r="AX16" s="12" t="n">
        <v>512133236.753547</v>
      </c>
      <c r="AY16" s="12"/>
    </row>
    <row r="17">
      <c r="A17" t="str">
        <f>M17</f>
      </c>
      <c r="B17" t="str">
        <f>N17</f>
      </c>
      <c r="M17" t="s">
        <v>43</v>
      </c>
      <c r="N17" t="s">
        <v>43</v>
      </c>
      <c r="O17" s="12" t="n">
        <v>1333320019.11308</v>
      </c>
      <c r="P17" s="12" t="n">
        <v>1391048854.71442</v>
      </c>
      <c r="Q17" s="12" t="n">
        <v>1738361682.36025</v>
      </c>
      <c r="R17" s="12" t="n">
        <v>1247820773.06857</v>
      </c>
      <c r="S17" s="12" t="n">
        <v>3487116.85737448</v>
      </c>
      <c r="T17" s="12" t="n">
        <v>654656.011108501</v>
      </c>
      <c r="U17" s="12" t="n">
        <v>3830976.62857234</v>
      </c>
      <c r="V17" s="12" t="n">
        <v>6145182.18393363</v>
      </c>
      <c r="W17" s="12" t="n">
        <v>2337416.37677257</v>
      </c>
      <c r="X17" s="12" t="n">
        <v>8642871.76791745</v>
      </c>
      <c r="Y17" s="12" t="n">
        <v>1664361.657463</v>
      </c>
      <c r="Z17" s="12"/>
      <c r="AA17" s="12"/>
      <c r="AB17" s="12"/>
      <c r="AC17" s="12"/>
      <c r="AD17" s="12" t="n">
        <v>328641.219077568</v>
      </c>
      <c r="AE17" s="12" t="n">
        <v>8957.03717910909</v>
      </c>
      <c r="AF17" s="12"/>
      <c r="AG17" s="12" t="n">
        <v>-1034610.17240254</v>
      </c>
      <c r="AH17" s="12" t="n">
        <v>-1555116.25252212</v>
      </c>
      <c r="AI17" s="12" t="n">
        <v>-44605069.958027</v>
      </c>
      <c r="AJ17" s="12" t="n">
        <v>-21451977.8659975</v>
      </c>
      <c r="AK17" s="12" t="n">
        <v>-15826757.2716672</v>
      </c>
      <c r="AL17" s="12" t="n">
        <v>-8718909.145665</v>
      </c>
      <c r="AM17" s="12" t="n">
        <v>-32447780.0036407</v>
      </c>
      <c r="AN17" s="12" t="n">
        <v>-12301206.8774118</v>
      </c>
      <c r="AO17" s="12" t="n">
        <v>-5316227.78930825</v>
      </c>
      <c r="AP17" s="12" t="n">
        <v>-5371913.21740476</v>
      </c>
      <c r="AQ17" s="12" t="n">
        <v>-10818636.8823573</v>
      </c>
      <c r="AR17" s="12" t="n">
        <v>-11717812.2757168</v>
      </c>
      <c r="AS17" s="12" t="n">
        <v>-6615799.45667265</v>
      </c>
      <c r="AT17" s="12" t="n">
        <v>-3813728.19415814</v>
      </c>
      <c r="AU17" s="12" t="n">
        <v>4245590.38255636</v>
      </c>
      <c r="AV17" s="12" t="n">
        <v>528349.2402</v>
      </c>
      <c r="AW17" s="12" t="n">
        <v>-5234901.5909314</v>
      </c>
      <c r="AX17" s="12" t="n">
        <v>2309713.03231996</v>
      </c>
      <c r="AY17" s="12"/>
    </row>
    <row r="18">
      <c r="A18" t="str">
        <f>M18</f>
      </c>
      <c r="B18" t="str">
        <f>N18</f>
      </c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46</v>
      </c>
      <c r="N1" t="s">
        <v>46</v>
      </c>
      <c r="O1" t="s">
        <v>47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160</v>
      </c>
      <c r="AY1" t="s">
        <v>161</v>
      </c>
    </row>
    <row r="2">
      <c r="A2" t="str">
        <f>N2</f>
      </c>
      <c r="B2" t="str">
        <f>O2</f>
      </c>
      <c r="M2" t="s">
        <v>48</v>
      </c>
      <c r="N2" t="s">
        <v>53</v>
      </c>
      <c r="O2" t="s">
        <v>53</v>
      </c>
      <c r="P2" s="3"/>
      <c r="Q2" s="3"/>
      <c r="R2" s="3"/>
      <c r="S2" s="3"/>
      <c r="T2" s="3"/>
      <c r="U2" s="3"/>
      <c r="V2" s="3"/>
      <c r="W2" s="3" t="n">
        <v>37607939</v>
      </c>
      <c r="X2" s="3" t="n">
        <v>33436467</v>
      </c>
      <c r="Y2" s="3" t="n">
        <v>17546909</v>
      </c>
      <c r="Z2" s="3" t="n">
        <v>34540739</v>
      </c>
      <c r="AA2" s="3" t="n">
        <v>175750668</v>
      </c>
      <c r="AB2" s="3" t="n">
        <v>265505426</v>
      </c>
      <c r="AC2" s="3" t="n">
        <v>136993508</v>
      </c>
      <c r="AD2" s="3" t="n">
        <v>49636908</v>
      </c>
      <c r="AE2" s="3" t="n">
        <v>172858767</v>
      </c>
      <c r="AF2" s="3" t="n">
        <v>116115807</v>
      </c>
      <c r="AG2" s="3" t="n">
        <v>138330862.16</v>
      </c>
      <c r="AH2" s="3" t="n">
        <v>262939971.3675</v>
      </c>
      <c r="AI2" s="3" t="n">
        <v>417836164.93</v>
      </c>
      <c r="AJ2" s="3" t="n">
        <v>1161486370.1515</v>
      </c>
      <c r="AK2" s="3" t="n">
        <v>1438078330.2172</v>
      </c>
      <c r="AL2" s="3" t="n">
        <v>1477921987.5472</v>
      </c>
      <c r="AM2" s="3" t="n">
        <v>3944824746.52</v>
      </c>
      <c r="AN2" s="3" t="n">
        <v>2586115385.23</v>
      </c>
      <c r="AO2" s="3" t="n">
        <v>4092221938.26</v>
      </c>
      <c r="AP2" s="3" t="n">
        <v>3412118108.7306</v>
      </c>
      <c r="AQ2" s="3" t="n">
        <v>1356936330.7396</v>
      </c>
      <c r="AR2" s="3" t="n">
        <v>9194739724.7792</v>
      </c>
      <c r="AS2" s="3" t="n">
        <v>9753417157.7155</v>
      </c>
      <c r="AT2" s="3" t="n">
        <v>7338610707.7273</v>
      </c>
      <c r="AU2" s="3" t="n">
        <v>7259955604.8145</v>
      </c>
      <c r="AV2" s="3" t="n">
        <v>8318967058.2984</v>
      </c>
      <c r="AW2" s="3" t="n">
        <v>5576575597.6423</v>
      </c>
      <c r="AX2" s="3" t="n">
        <v>6331853418.8</v>
      </c>
      <c r="AY2" s="3" t="n">
        <v>1784939403.73</v>
      </c>
      <c r="AZ2" s="3"/>
    </row>
    <row r="3">
      <c r="A3" t="str">
        <f>N3</f>
      </c>
      <c r="B3" t="str">
        <f>O3</f>
      </c>
      <c r="M3" t="s">
        <v>50</v>
      </c>
      <c r="N3"/>
      <c r="O3" t="s">
        <v>59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 t="n">
        <v>8050613</v>
      </c>
      <c r="AD3" s="3" t="n">
        <v>69113097</v>
      </c>
      <c r="AE3" s="3" t="n">
        <v>117706104</v>
      </c>
      <c r="AF3" s="3" t="n">
        <v>236927162.5508</v>
      </c>
      <c r="AG3" s="3" t="n">
        <v>1673143153.6878</v>
      </c>
      <c r="AH3" s="3" t="n">
        <v>3355844226.8011</v>
      </c>
      <c r="AI3" s="3" t="n">
        <v>2309458964.6827</v>
      </c>
      <c r="AJ3" s="3" t="n">
        <v>6685018.014</v>
      </c>
      <c r="AK3" s="3" t="n">
        <v>2689783.0686</v>
      </c>
      <c r="AL3" s="3" t="n">
        <v>-730085.4561</v>
      </c>
      <c r="AM3" s="3" t="n">
        <v>-1703738.82</v>
      </c>
      <c r="AN3" s="3" t="n">
        <v>-1213561.52</v>
      </c>
      <c r="AO3" s="3" t="n">
        <v>188650</v>
      </c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</row>
    <row r="4">
      <c r="A4" t="str">
        <f>N4</f>
      </c>
      <c r="B4" t="str">
        <f>O4</f>
      </c>
      <c r="M4" t="s">
        <v>50</v>
      </c>
      <c r="N4"/>
      <c r="O4" t="s">
        <v>49</v>
      </c>
      <c r="P4" s="3"/>
      <c r="Q4" s="3"/>
      <c r="R4" s="3"/>
      <c r="S4" s="3"/>
      <c r="T4" s="3"/>
      <c r="U4" s="3"/>
      <c r="V4" s="3" t="n">
        <v>224000</v>
      </c>
      <c r="W4" s="3" t="n">
        <v>374600569</v>
      </c>
      <c r="X4" s="3" t="n">
        <v>436820355</v>
      </c>
      <c r="Y4" s="3" t="n">
        <v>183441551</v>
      </c>
      <c r="Z4" s="3" t="n">
        <v>489411716</v>
      </c>
      <c r="AA4" s="3" t="n">
        <v>544755059</v>
      </c>
      <c r="AB4" s="3" t="n">
        <v>914653190</v>
      </c>
      <c r="AC4" s="3" t="n">
        <v>993197453.0938</v>
      </c>
      <c r="AD4" s="3" t="n">
        <v>1217795713.6484</v>
      </c>
      <c r="AE4" s="3" t="n">
        <v>965092742.3175</v>
      </c>
      <c r="AF4" s="3" t="n">
        <v>1847671415.1752</v>
      </c>
      <c r="AG4" s="3" t="n">
        <v>1883282707.3331</v>
      </c>
      <c r="AH4" s="3" t="n">
        <v>2567024362.8427</v>
      </c>
      <c r="AI4" s="3" t="n">
        <v>3912078615.1837</v>
      </c>
      <c r="AJ4" s="3" t="n">
        <v>4696653359.7695</v>
      </c>
      <c r="AK4" s="3" t="n">
        <v>4440174910.3155</v>
      </c>
      <c r="AL4" s="3" t="n">
        <v>3266410245.1392</v>
      </c>
      <c r="AM4" s="3" t="n">
        <v>2018835499.4895</v>
      </c>
      <c r="AN4" s="3" t="n">
        <v>1494690109.303</v>
      </c>
      <c r="AO4" s="3" t="n">
        <v>2062034025.6424</v>
      </c>
      <c r="AP4" s="3" t="n">
        <v>3161644042.4993</v>
      </c>
      <c r="AQ4" s="3" t="n">
        <v>759575891.5113</v>
      </c>
      <c r="AR4" s="3" t="n">
        <v>628231451.1567</v>
      </c>
      <c r="AS4" s="3" t="n">
        <v>380755558.6035</v>
      </c>
      <c r="AT4" s="3" t="n">
        <v>6545797994.3935</v>
      </c>
      <c r="AU4" s="3" t="n">
        <v>1395269922.3552</v>
      </c>
      <c r="AV4" s="3" t="n">
        <v>2264448067.3559</v>
      </c>
      <c r="AW4" s="3" t="n">
        <v>4264576361.2496</v>
      </c>
      <c r="AX4" s="3" t="n">
        <v>766317305.72</v>
      </c>
      <c r="AY4" s="3" t="n">
        <v>979784591.01</v>
      </c>
      <c r="AZ4" s="3"/>
    </row>
    <row r="5">
      <c r="A5" t="str">
        <f>N5</f>
      </c>
      <c r="B5" t="str">
        <f>O5</f>
      </c>
      <c r="M5" t="s">
        <v>53</v>
      </c>
      <c r="N5"/>
      <c r="O5" t="s">
        <v>55</v>
      </c>
      <c r="P5" s="3" t="n">
        <v>74831000</v>
      </c>
      <c r="Q5" s="3" t="n">
        <v>68100000</v>
      </c>
      <c r="R5" s="3" t="n">
        <v>1661000</v>
      </c>
      <c r="S5" s="3"/>
      <c r="T5" s="3"/>
      <c r="U5" s="3"/>
      <c r="V5" s="3" t="n">
        <v>9867000</v>
      </c>
      <c r="W5" s="3" t="n">
        <v>490753137</v>
      </c>
      <c r="X5" s="3" t="n">
        <v>623236482</v>
      </c>
      <c r="Y5" s="3" t="n">
        <v>429079233.63</v>
      </c>
      <c r="Z5" s="3" t="n">
        <v>2258472035</v>
      </c>
      <c r="AA5" s="3" t="n">
        <v>2227778718</v>
      </c>
      <c r="AB5" s="3" t="n">
        <v>3165389940</v>
      </c>
      <c r="AC5" s="3" t="n">
        <v>3318772311</v>
      </c>
      <c r="AD5" s="3" t="n">
        <v>3958902160.15</v>
      </c>
      <c r="AE5" s="3" t="n">
        <v>4589192937.7</v>
      </c>
      <c r="AF5" s="3" t="n">
        <v>4197609391.74</v>
      </c>
      <c r="AG5" s="3" t="n">
        <v>4571770918.1769</v>
      </c>
      <c r="AH5" s="3" t="n">
        <v>2616277782.6635</v>
      </c>
      <c r="AI5" s="3" t="n">
        <v>3521011420.5948</v>
      </c>
      <c r="AJ5" s="3" t="n">
        <v>4357976569.7752</v>
      </c>
      <c r="AK5" s="3" t="n">
        <v>3950897292.2757</v>
      </c>
      <c r="AL5" s="3" t="n">
        <v>4343319145.542</v>
      </c>
      <c r="AM5" s="3" t="n">
        <v>3668028035.3616</v>
      </c>
      <c r="AN5" s="3" t="n">
        <v>3971843078.6123</v>
      </c>
      <c r="AO5" s="3" t="n">
        <v>3469738024.3226</v>
      </c>
      <c r="AP5" s="3" t="n">
        <v>2613901831.1015</v>
      </c>
      <c r="AQ5" s="3" t="n">
        <v>3242781255.3691</v>
      </c>
      <c r="AR5" s="3" t="n">
        <v>3033285326.638</v>
      </c>
      <c r="AS5" s="3" t="n">
        <v>3551508970.8017</v>
      </c>
      <c r="AT5" s="3" t="n">
        <v>4703697747.6719</v>
      </c>
      <c r="AU5" s="3" t="n">
        <v>3396055436.7862</v>
      </c>
      <c r="AV5" s="3" t="n">
        <v>3171290139.9578</v>
      </c>
      <c r="AW5" s="3" t="n">
        <v>3418279083.8942</v>
      </c>
      <c r="AX5" s="3" t="n">
        <v>3577737112.74</v>
      </c>
      <c r="AY5" s="3" t="n">
        <v>1644369125.82</v>
      </c>
      <c r="AZ5" s="3"/>
    </row>
    <row r="6">
      <c r="A6" t="str">
        <f>N6</f>
      </c>
      <c r="B6" t="str">
        <f>O6</f>
      </c>
      <c r="M6" t="s">
        <v>54</v>
      </c>
      <c r="N6"/>
      <c r="O6" t="s">
        <v>51</v>
      </c>
      <c r="P6" s="3"/>
      <c r="Q6" s="3"/>
      <c r="R6" s="3"/>
      <c r="S6" s="3"/>
      <c r="T6" s="3"/>
      <c r="U6" s="3"/>
      <c r="V6" s="3" t="n">
        <v>304000</v>
      </c>
      <c r="W6" s="3" t="n">
        <v>0</v>
      </c>
      <c r="X6" s="3" t="n">
        <v>49621767</v>
      </c>
      <c r="Y6" s="3" t="n">
        <v>4278472</v>
      </c>
      <c r="Z6" s="3" t="n">
        <v>131404608</v>
      </c>
      <c r="AA6" s="3" t="n">
        <v>151596110</v>
      </c>
      <c r="AB6" s="3" t="n">
        <v>37819385</v>
      </c>
      <c r="AC6" s="3" t="n">
        <v>21860548</v>
      </c>
      <c r="AD6" s="3" t="n">
        <v>5204924</v>
      </c>
      <c r="AE6" s="3" t="n">
        <v>2071089</v>
      </c>
      <c r="AF6" s="3" t="n">
        <v>3858379</v>
      </c>
      <c r="AG6" s="3" t="n">
        <v>99989</v>
      </c>
      <c r="AH6" s="3" t="n">
        <v>21977975.17</v>
      </c>
      <c r="AI6" s="3" t="n">
        <v>384624.5938</v>
      </c>
      <c r="AJ6" s="3" t="n">
        <v>10385411.1602</v>
      </c>
      <c r="AK6" s="3" t="n">
        <v>9849413.3302</v>
      </c>
      <c r="AL6" s="3" t="n">
        <v>2192612</v>
      </c>
      <c r="AM6" s="3" t="n">
        <v>3724361</v>
      </c>
      <c r="AN6" s="3" t="n">
        <v>-20.89</v>
      </c>
      <c r="AO6" s="3" t="n">
        <v>-22.54</v>
      </c>
      <c r="AP6" s="3"/>
      <c r="AQ6" s="3"/>
      <c r="AR6" s="3" t="n">
        <v>0</v>
      </c>
      <c r="AS6" s="3"/>
      <c r="AT6" s="3"/>
      <c r="AU6" s="3"/>
      <c r="AV6" s="3"/>
      <c r="AW6" s="3"/>
      <c r="AX6" s="3"/>
      <c r="AY6" s="3"/>
      <c r="AZ6" s="3"/>
    </row>
    <row r="7">
      <c r="A7" t="str">
        <f>N7</f>
      </c>
      <c r="B7" t="str">
        <f>O7</f>
      </c>
      <c r="M7" t="s">
        <v>56</v>
      </c>
      <c r="N7"/>
      <c r="O7" t="s">
        <v>52</v>
      </c>
      <c r="P7" s="3"/>
      <c r="Q7" s="3"/>
      <c r="R7" s="3"/>
      <c r="S7" s="3"/>
      <c r="T7" s="3"/>
      <c r="U7" s="3"/>
      <c r="V7" s="3"/>
      <c r="W7" s="3" t="n">
        <v>33535872</v>
      </c>
      <c r="X7" s="3" t="n">
        <v>18436584</v>
      </c>
      <c r="Y7" s="3" t="n">
        <v>30943213</v>
      </c>
      <c r="Z7" s="3" t="n">
        <v>155472987</v>
      </c>
      <c r="AA7" s="3" t="n">
        <v>178015501</v>
      </c>
      <c r="AB7" s="3" t="n">
        <v>208249651.825</v>
      </c>
      <c r="AC7" s="3" t="n">
        <v>251466396</v>
      </c>
      <c r="AD7" s="3" t="n">
        <v>261601277.5938</v>
      </c>
      <c r="AE7" s="3" t="n">
        <v>303921923</v>
      </c>
      <c r="AF7" s="3" t="n">
        <v>363259346.7657</v>
      </c>
      <c r="AG7" s="3" t="n">
        <v>258448775.8967</v>
      </c>
      <c r="AH7" s="3" t="n">
        <v>249640954.3308</v>
      </c>
      <c r="AI7" s="3" t="n">
        <v>400302275.1096</v>
      </c>
      <c r="AJ7" s="3" t="n">
        <v>592848483.5892</v>
      </c>
      <c r="AK7" s="3" t="n">
        <v>503940646.1008</v>
      </c>
      <c r="AL7" s="3" t="n">
        <v>484366937.5465</v>
      </c>
      <c r="AM7" s="3" t="n">
        <v>398255647.0139</v>
      </c>
      <c r="AN7" s="3" t="n">
        <v>189869901.1531</v>
      </c>
      <c r="AO7" s="3" t="n">
        <v>313780988.2443</v>
      </c>
      <c r="AP7" s="3" t="n">
        <v>207913063.4683</v>
      </c>
      <c r="AQ7" s="3" t="n">
        <v>285904919.2223</v>
      </c>
      <c r="AR7" s="3" t="n">
        <v>8390149.2976</v>
      </c>
      <c r="AS7" s="3" t="n">
        <v>2014404.0289</v>
      </c>
      <c r="AT7" s="3" t="n">
        <v>-78349.072</v>
      </c>
      <c r="AU7" s="3" t="n">
        <v>-412285.4933</v>
      </c>
      <c r="AV7" s="3" t="n">
        <v>-10049869.9713</v>
      </c>
      <c r="AW7" s="3" t="n">
        <v>-5192591.6596</v>
      </c>
      <c r="AX7" s="3" t="n">
        <v>-7258383.52</v>
      </c>
      <c r="AY7" s="3" t="n">
        <v>0</v>
      </c>
      <c r="AZ7" s="3"/>
    </row>
    <row r="8">
      <c r="A8" t="str">
        <f>N8</f>
      </c>
      <c r="B8" t="str">
        <f>O8</f>
      </c>
      <c r="M8" t="s">
        <v>58</v>
      </c>
      <c r="N8"/>
      <c r="O8" t="s">
        <v>57</v>
      </c>
      <c r="P8" s="3"/>
      <c r="Q8" s="3"/>
      <c r="R8" s="3"/>
      <c r="S8" s="3"/>
      <c r="T8" s="3"/>
      <c r="U8" s="3"/>
      <c r="V8" s="3"/>
      <c r="W8" s="3" t="n">
        <v>238872658</v>
      </c>
      <c r="X8" s="3" t="n">
        <v>111353373</v>
      </c>
      <c r="Y8" s="3" t="n">
        <v>161293690</v>
      </c>
      <c r="Z8" s="3" t="n">
        <v>174918331</v>
      </c>
      <c r="AA8" s="3" t="n">
        <v>718812210</v>
      </c>
      <c r="AB8" s="3" t="n">
        <v>1017511382</v>
      </c>
      <c r="AC8" s="3" t="n">
        <v>1050564122</v>
      </c>
      <c r="AD8" s="3" t="n">
        <v>1243708582</v>
      </c>
      <c r="AE8" s="3" t="n">
        <v>1071078896</v>
      </c>
      <c r="AF8" s="3" t="n">
        <v>1366468336</v>
      </c>
      <c r="AG8" s="3" t="n">
        <v>1070271076.93</v>
      </c>
      <c r="AH8" s="3" t="n">
        <v>1140354853.96</v>
      </c>
      <c r="AI8" s="3" t="n">
        <v>1623627975.3848</v>
      </c>
      <c r="AJ8" s="3" t="n">
        <v>1584843134.1315</v>
      </c>
      <c r="AK8" s="3" t="n">
        <v>1737118731.3511</v>
      </c>
      <c r="AL8" s="3" t="n">
        <v>3103147699.3477</v>
      </c>
      <c r="AM8" s="3" t="n">
        <v>2066267022.6603</v>
      </c>
      <c r="AN8" s="3" t="n">
        <v>1052899407.1702</v>
      </c>
      <c r="AO8" s="3" t="n">
        <v>739784322.85</v>
      </c>
      <c r="AP8" s="3" t="n">
        <v>1579544248.0312</v>
      </c>
      <c r="AQ8" s="3" t="n">
        <v>3188050840.7263</v>
      </c>
      <c r="AR8" s="3" t="n">
        <v>1891091592.2449</v>
      </c>
      <c r="AS8" s="3" t="n">
        <v>1394209716.9894</v>
      </c>
      <c r="AT8" s="3" t="n">
        <v>1790084817.1447</v>
      </c>
      <c r="AU8" s="3" t="n">
        <v>1425416911.5714</v>
      </c>
      <c r="AV8" s="3" t="n">
        <v>1291234231.9193</v>
      </c>
      <c r="AW8" s="3" t="n">
        <v>634523347.8842</v>
      </c>
      <c r="AX8" s="3" t="n">
        <v>3358329920.29</v>
      </c>
      <c r="AY8" s="3" t="n">
        <v>1579025447.39</v>
      </c>
      <c r="AZ8" s="3"/>
    </row>
    <row r="9">
      <c r="A9" t="str">
        <f>N9</f>
      </c>
      <c r="B9" t="str">
        <f>O9</f>
      </c>
      <c r="M9" t="s">
        <v>58</v>
      </c>
      <c r="N9"/>
      <c r="O9"/>
      <c r="P9" s="3" t="n">
        <v>4418278000</v>
      </c>
      <c r="Q9" s="3" t="n">
        <v>6715280054</v>
      </c>
      <c r="R9" s="3" t="n">
        <v>5438989317</v>
      </c>
      <c r="S9" s="3" t="n">
        <v>6509522213</v>
      </c>
      <c r="T9" s="3" t="n">
        <v>5223252139</v>
      </c>
      <c r="U9" s="3" t="n">
        <v>4527970932</v>
      </c>
      <c r="V9" s="3" t="n">
        <v>4779883768</v>
      </c>
      <c r="W9" s="3" t="n">
        <v>5047642226</v>
      </c>
      <c r="X9" s="3" t="n">
        <v>4791893128</v>
      </c>
      <c r="Y9" s="3" t="n">
        <v>4353113384</v>
      </c>
      <c r="Z9" s="3" t="n">
        <v>468772733</v>
      </c>
      <c r="AA9" s="3" t="n">
        <v>13227622.4</v>
      </c>
      <c r="AB9" s="3" t="n">
        <v>33745366</v>
      </c>
      <c r="AC9" s="3" t="n">
        <v>44846027</v>
      </c>
      <c r="AD9" s="3" t="n">
        <v>44920591.1875</v>
      </c>
      <c r="AE9" s="3" t="n">
        <v>20064220</v>
      </c>
      <c r="AF9" s="3" t="n">
        <v>6023112.3487</v>
      </c>
      <c r="AG9" s="3" t="n">
        <v>3367986.4114</v>
      </c>
      <c r="AH9" s="3" t="n">
        <v>143384196.9518</v>
      </c>
      <c r="AI9" s="3" t="n">
        <v>63319665.0751</v>
      </c>
      <c r="AJ9" s="3" t="n">
        <v>0</v>
      </c>
      <c r="AK9" s="3" t="n">
        <v>-55989.7188</v>
      </c>
      <c r="AL9" s="3" t="n">
        <v>-61893.9883</v>
      </c>
      <c r="AM9" s="3" t="n">
        <v>1510164.9334</v>
      </c>
      <c r="AN9" s="3" t="n">
        <v>-710165.5508</v>
      </c>
      <c r="AO9" s="3" t="n">
        <v>-1869898.475</v>
      </c>
      <c r="AP9" s="3" t="n">
        <v>313029.3438</v>
      </c>
      <c r="AQ9" s="3" t="n">
        <v>0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 t="n">
        <v>0</v>
      </c>
      <c r="AY9" s="3" t="n">
        <v>0</v>
      </c>
      <c r="AZ9" s="3"/>
    </row>
    <row r="10">
      <c r="A10" t="str">
        <f>N10</f>
      </c>
      <c r="B10" t="str">
        <f>O10</f>
      </c>
      <c r="N10" t="s">
        <v>151</v>
      </c>
      <c r="O10" t="s">
        <v>152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 t="str">
        <f>Sum(AW2:AW9)</f>
      </c>
      <c r="AX10" s="3" t="str">
        <f>Sum(AX2:AX9)</f>
      </c>
      <c r="AY10" s="3" t="str">
        <f>Sum(AY2:AY9)</f>
      </c>
      <c r="AZ10" s="3"/>
    </row>
    <row r="13">
      <c r="A13" t="str">
        <f>N13</f>
      </c>
      <c r="B13" t="str">
        <f>O13</f>
      </c>
      <c r="M13" t="s">
        <v>46</v>
      </c>
      <c r="N13" t="s">
        <v>46</v>
      </c>
      <c r="O13" t="s">
        <v>47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160</v>
      </c>
      <c r="AY13" t="s">
        <v>161</v>
      </c>
    </row>
    <row r="14">
      <c r="A14" t="str">
        <f>N14</f>
      </c>
      <c r="B14" t="str">
        <f>O14</f>
      </c>
      <c r="M14" t="s">
        <v>48</v>
      </c>
      <c r="N14" t="s">
        <v>53</v>
      </c>
      <c r="O14" t="s">
        <v>53</v>
      </c>
      <c r="P14" s="3"/>
      <c r="Q14" s="3"/>
      <c r="R14" s="3"/>
      <c r="S14" s="3"/>
      <c r="T14" s="3"/>
      <c r="U14" s="3"/>
      <c r="V14" s="3"/>
      <c r="W14" s="3" t="n">
        <v>66159405.0365547</v>
      </c>
      <c r="X14" s="3" t="n">
        <v>58092649.1598584</v>
      </c>
      <c r="Y14" s="3" t="n">
        <v>30113189.6605759</v>
      </c>
      <c r="Z14" s="3" t="n">
        <v>58068971.3252896</v>
      </c>
      <c r="AA14" s="3" t="n">
        <v>288474976.881055</v>
      </c>
      <c r="AB14" s="3" t="n">
        <v>429047489.567265</v>
      </c>
      <c r="AC14" s="3" t="n">
        <v>217207397.207337</v>
      </c>
      <c r="AD14" s="3" t="n">
        <v>76824868.2619848</v>
      </c>
      <c r="AE14" s="3" t="n">
        <v>259639100.517945</v>
      </c>
      <c r="AF14" s="3" t="n">
        <v>168922137.466502</v>
      </c>
      <c r="AG14" s="3" t="n">
        <v>195848391.880231</v>
      </c>
      <c r="AH14" s="3" t="n">
        <v>364698128.529033</v>
      </c>
      <c r="AI14" s="3" t="n">
        <v>573672934.695495</v>
      </c>
      <c r="AJ14" s="3" t="n">
        <v>1580983955.75855</v>
      </c>
      <c r="AK14" s="3" t="n">
        <v>1918957388.3029</v>
      </c>
      <c r="AL14" s="3" t="n">
        <v>1936975918.92868</v>
      </c>
      <c r="AM14" s="3" t="n">
        <v>5077979085.13147</v>
      </c>
      <c r="AN14" s="3" t="n">
        <v>3269336216.66398</v>
      </c>
      <c r="AO14" s="3" t="n">
        <v>5120310906.05887</v>
      </c>
      <c r="AP14" s="3" t="n">
        <v>4235481571.19065</v>
      </c>
      <c r="AQ14" s="3" t="n">
        <v>1656412179.25203</v>
      </c>
      <c r="AR14" s="3" t="n">
        <v>10980257071.2268</v>
      </c>
      <c r="AS14" s="3" t="n">
        <v>11435977647.9846</v>
      </c>
      <c r="AT14" s="3" t="n">
        <v>8493639982.54889</v>
      </c>
      <c r="AU14" s="3" t="n">
        <v>8123031903.56009</v>
      </c>
      <c r="AV14" s="3" t="n">
        <v>8699531472.79202</v>
      </c>
      <c r="AW14" s="3" t="n">
        <v>5576575597.6423</v>
      </c>
      <c r="AX14" s="3" t="n">
        <v>6167153491.65763</v>
      </c>
      <c r="AY14" s="3" t="n">
        <v>1701183268.43733</v>
      </c>
      <c r="AZ14" s="3"/>
    </row>
    <row r="15">
      <c r="A15" t="str">
        <f>N15</f>
      </c>
      <c r="B15" t="str">
        <f>O15</f>
      </c>
      <c r="M15" t="s">
        <v>50</v>
      </c>
      <c r="N15"/>
      <c r="O15" t="s">
        <v>59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 t="n">
        <v>12764493.158709</v>
      </c>
      <c r="AD15" s="3" t="n">
        <v>106968882.35268</v>
      </c>
      <c r="AE15" s="3" t="n">
        <v>176798131.20518</v>
      </c>
      <c r="AF15" s="3" t="n">
        <v>344675232.046181</v>
      </c>
      <c r="AG15" s="3" t="n">
        <v>2368830721.63724</v>
      </c>
      <c r="AH15" s="3" t="n">
        <v>4654560897.62317</v>
      </c>
      <c r="AI15" s="3" t="n">
        <v>3170798061.6046</v>
      </c>
      <c r="AJ15" s="3" t="n">
        <v>9099466.42138582</v>
      </c>
      <c r="AK15" s="3" t="n">
        <v>3589219.71353427</v>
      </c>
      <c r="AL15" s="3" t="n">
        <v>-956855.611555477</v>
      </c>
      <c r="AM15" s="3" t="n">
        <v>-2193139.27751003</v>
      </c>
      <c r="AN15" s="3" t="n">
        <v>-1534169.9953318</v>
      </c>
      <c r="AO15" s="3" t="n">
        <v>236044.541816499</v>
      </c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</row>
    <row r="16">
      <c r="A16" t="str">
        <f>N16</f>
      </c>
      <c r="B16" t="str">
        <f>O16</f>
      </c>
      <c r="M16" t="s">
        <v>50</v>
      </c>
      <c r="N16"/>
      <c r="O16" t="s">
        <v>49</v>
      </c>
      <c r="P16" s="3"/>
      <c r="Q16" s="3"/>
      <c r="R16" s="3"/>
      <c r="S16" s="3"/>
      <c r="T16" s="3"/>
      <c r="U16" s="3"/>
      <c r="V16" s="3" t="n">
        <v>401051.334588731</v>
      </c>
      <c r="W16" s="3" t="n">
        <v>658992527.386169</v>
      </c>
      <c r="X16" s="3" t="n">
        <v>758933401.333933</v>
      </c>
      <c r="Y16" s="3" t="n">
        <v>314813863.620836</v>
      </c>
      <c r="Z16" s="3" t="n">
        <v>822785954.367242</v>
      </c>
      <c r="AA16" s="3" t="n">
        <v>894154229.051708</v>
      </c>
      <c r="AB16" s="3" t="n">
        <v>1478047589.86052</v>
      </c>
      <c r="AC16" s="3" t="n">
        <v>1574744941.1943</v>
      </c>
      <c r="AD16" s="3" t="n">
        <v>1884827219.11381</v>
      </c>
      <c r="AE16" s="3" t="n">
        <v>1449598512.59214</v>
      </c>
      <c r="AF16" s="3" t="n">
        <v>2687942433.08452</v>
      </c>
      <c r="AG16" s="3" t="n">
        <v>2666345629.07892</v>
      </c>
      <c r="AH16" s="3" t="n">
        <v>3560466581.58601</v>
      </c>
      <c r="AI16" s="3" t="n">
        <v>5371133014.07958</v>
      </c>
      <c r="AJ16" s="3" t="n">
        <v>6392958022.04423</v>
      </c>
      <c r="AK16" s="3" t="n">
        <v>5924925138.2713</v>
      </c>
      <c r="AL16" s="3" t="n">
        <v>4280982378.9664</v>
      </c>
      <c r="AM16" s="3" t="n">
        <v>2598747752.17132</v>
      </c>
      <c r="AN16" s="3" t="n">
        <v>1889569403.95726</v>
      </c>
      <c r="AO16" s="3" t="n">
        <v>2580078859.22497</v>
      </c>
      <c r="AP16" s="3" t="n">
        <v>3924566691.40692</v>
      </c>
      <c r="AQ16" s="3" t="n">
        <v>927214290.945962</v>
      </c>
      <c r="AR16" s="3" t="n">
        <v>750227090.75064</v>
      </c>
      <c r="AS16" s="3" t="n">
        <v>446439641.320069</v>
      </c>
      <c r="AT16" s="3" t="n">
        <v>7576045899.84949</v>
      </c>
      <c r="AU16" s="3" t="n">
        <v>1561142066.19294</v>
      </c>
      <c r="AV16" s="3" t="n">
        <v>2368038855.35462</v>
      </c>
      <c r="AW16" s="3" t="n">
        <v>4264576361.2496</v>
      </c>
      <c r="AX16" s="3" t="n">
        <v>746384373.595374</v>
      </c>
      <c r="AY16" s="3" t="n">
        <v>933809377.17875</v>
      </c>
      <c r="AZ16" s="3"/>
    </row>
    <row r="17">
      <c r="A17" t="str">
        <f>N17</f>
      </c>
      <c r="B17" t="str">
        <f>O17</f>
      </c>
      <c r="M17" t="s">
        <v>53</v>
      </c>
      <c r="N17"/>
      <c r="O17" t="s">
        <v>55</v>
      </c>
      <c r="P17" s="3" t="n">
        <v>154771605.644373</v>
      </c>
      <c r="Q17" s="3" t="n">
        <v>135988336.330315</v>
      </c>
      <c r="R17" s="3" t="n">
        <v>3235848.54821463</v>
      </c>
      <c r="S17" s="3"/>
      <c r="T17" s="3"/>
      <c r="U17" s="3"/>
      <c r="V17" s="3" t="n">
        <v>17665953.2070849</v>
      </c>
      <c r="W17" s="3" t="n">
        <v>863326638.658471</v>
      </c>
      <c r="X17" s="3" t="n">
        <v>1082813512.93635</v>
      </c>
      <c r="Y17" s="3" t="n">
        <v>736365837.522424</v>
      </c>
      <c r="Z17" s="3" t="n">
        <v>3796883090.41053</v>
      </c>
      <c r="AA17" s="3" t="n">
        <v>3656648486.657</v>
      </c>
      <c r="AB17" s="3" t="n">
        <v>5115159519.40837</v>
      </c>
      <c r="AC17" s="3" t="n">
        <v>5262015011.6609</v>
      </c>
      <c r="AD17" s="3" t="n">
        <v>6127338490.05282</v>
      </c>
      <c r="AE17" s="3" t="n">
        <v>6893106708.5983</v>
      </c>
      <c r="AF17" s="3" t="n">
        <v>6106568683.64344</v>
      </c>
      <c r="AG17" s="3" t="n">
        <v>6472698632.74705</v>
      </c>
      <c r="AH17" s="3" t="n">
        <v>3628781147.60228</v>
      </c>
      <c r="AI17" s="3" t="n">
        <v>4834212842.93897</v>
      </c>
      <c r="AJ17" s="3" t="n">
        <v>5931960299.70423</v>
      </c>
      <c r="AK17" s="3" t="n">
        <v>5272037962.14167</v>
      </c>
      <c r="AL17" s="3" t="n">
        <v>5692387462.95333</v>
      </c>
      <c r="AM17" s="3" t="n">
        <v>4721672278.00766</v>
      </c>
      <c r="AN17" s="3" t="n">
        <v>5021156634.37751</v>
      </c>
      <c r="AO17" s="3" t="n">
        <v>4341440350.77928</v>
      </c>
      <c r="AP17" s="3" t="n">
        <v>3244651176.11379</v>
      </c>
      <c r="AQ17" s="3" t="n">
        <v>3958463079.18948</v>
      </c>
      <c r="AR17" s="3" t="n">
        <v>3622315982.1596</v>
      </c>
      <c r="AS17" s="3" t="n">
        <v>4164179235.84621</v>
      </c>
      <c r="AT17" s="3" t="n">
        <v>5444016155.99852</v>
      </c>
      <c r="AU17" s="3" t="n">
        <v>3799784483.66529</v>
      </c>
      <c r="AV17" s="3" t="n">
        <v>3316365864.72564</v>
      </c>
      <c r="AW17" s="3" t="n">
        <v>3418279083.8942</v>
      </c>
      <c r="AX17" s="3" t="n">
        <v>3484675412.97714</v>
      </c>
      <c r="AY17" s="3" t="n">
        <v>1567209081.79527</v>
      </c>
      <c r="AZ17" s="3"/>
    </row>
    <row r="18">
      <c r="A18" t="str">
        <f>N18</f>
      </c>
      <c r="B18" t="str">
        <f>O18</f>
      </c>
      <c r="M18" t="s">
        <v>54</v>
      </c>
      <c r="N18"/>
      <c r="O18" t="s">
        <v>51</v>
      </c>
      <c r="P18" s="3"/>
      <c r="Q18" s="3"/>
      <c r="R18" s="3"/>
      <c r="S18" s="3"/>
      <c r="T18" s="3"/>
      <c r="U18" s="3"/>
      <c r="V18" s="3" t="n">
        <v>544283.954084707</v>
      </c>
      <c r="W18" s="3" t="n">
        <v>0</v>
      </c>
      <c r="X18" s="3" t="n">
        <v>86213052.9826384</v>
      </c>
      <c r="Y18" s="3" t="n">
        <v>7342514.7867048</v>
      </c>
      <c r="Z18" s="3" t="n">
        <v>220913930.473894</v>
      </c>
      <c r="AA18" s="3" t="n">
        <v>248827983.558548</v>
      </c>
      <c r="AB18" s="3" t="n">
        <v>61114804.4531033</v>
      </c>
      <c r="AC18" s="3" t="n">
        <v>34660567.5110243</v>
      </c>
      <c r="AD18" s="3" t="n">
        <v>8055852.32290543</v>
      </c>
      <c r="AE18" s="3" t="n">
        <v>3110838.37045193</v>
      </c>
      <c r="AF18" s="3" t="n">
        <v>5613065.47898225</v>
      </c>
      <c r="AG18" s="3" t="n">
        <v>141564.106157758</v>
      </c>
      <c r="AH18" s="3" t="n">
        <v>30483484.0122268</v>
      </c>
      <c r="AI18" s="3" t="n">
        <v>528074.72880734</v>
      </c>
      <c r="AJ18" s="3" t="n">
        <v>14136341.8806975</v>
      </c>
      <c r="AK18" s="3" t="n">
        <v>13142958.9635647</v>
      </c>
      <c r="AL18" s="3" t="n">
        <v>2873654.14368221</v>
      </c>
      <c r="AM18" s="3" t="n">
        <v>4794186.93572208</v>
      </c>
      <c r="AN18" s="3" t="n">
        <v>-26.4088887743254</v>
      </c>
      <c r="AO18" s="3" t="n">
        <v>-28.2027244767765</v>
      </c>
      <c r="AP18" s="3"/>
      <c r="AQ18" s="3"/>
      <c r="AR18" s="3" t="n">
        <v>0</v>
      </c>
      <c r="AS18" s="3"/>
      <c r="AT18" s="3"/>
      <c r="AU18" s="3"/>
      <c r="AV18" s="3"/>
      <c r="AW18" s="3"/>
      <c r="AX18" s="3"/>
      <c r="AY18" s="3"/>
      <c r="AZ18" s="3"/>
    </row>
    <row r="19">
      <c r="A19" t="str">
        <f>N19</f>
      </c>
      <c r="B19" t="str">
        <f>O19</f>
      </c>
      <c r="M19" t="s">
        <v>56</v>
      </c>
      <c r="N19"/>
      <c r="O19" t="s">
        <v>52</v>
      </c>
      <c r="P19" s="3"/>
      <c r="Q19" s="3"/>
      <c r="R19" s="3"/>
      <c r="S19" s="3"/>
      <c r="T19" s="3"/>
      <c r="U19" s="3"/>
      <c r="V19" s="3"/>
      <c r="W19" s="3" t="n">
        <v>58995876.8786041</v>
      </c>
      <c r="X19" s="3" t="n">
        <v>32031793.4911682</v>
      </c>
      <c r="Y19" s="3" t="n">
        <v>53103303.936699</v>
      </c>
      <c r="Z19" s="3" t="n">
        <v>261377048.822266</v>
      </c>
      <c r="AA19" s="3" t="n">
        <v>292192445.808766</v>
      </c>
      <c r="AB19" s="3" t="n">
        <v>336524159.467736</v>
      </c>
      <c r="AC19" s="3" t="n">
        <v>398707662.557772</v>
      </c>
      <c r="AD19" s="3" t="n">
        <v>404889919.579813</v>
      </c>
      <c r="AE19" s="3" t="n">
        <v>456499928.14888</v>
      </c>
      <c r="AF19" s="3" t="n">
        <v>528459878.940922</v>
      </c>
      <c r="AG19" s="3" t="n">
        <v>365910949.678295</v>
      </c>
      <c r="AH19" s="3" t="n">
        <v>346252372.262552</v>
      </c>
      <c r="AI19" s="3" t="n">
        <v>549599580.414203</v>
      </c>
      <c r="AJ19" s="3" t="n">
        <v>806969384.090194</v>
      </c>
      <c r="AK19" s="3" t="n">
        <v>672453374.60527</v>
      </c>
      <c r="AL19" s="3" t="n">
        <v>634815032.091022</v>
      </c>
      <c r="AM19" s="3" t="n">
        <v>512654927.916918</v>
      </c>
      <c r="AN19" s="3" t="n">
        <v>240031263.817346</v>
      </c>
      <c r="AO19" s="3" t="n">
        <v>392612189.773941</v>
      </c>
      <c r="AP19" s="3" t="n">
        <v>258083665.532137</v>
      </c>
      <c r="AQ19" s="3" t="n">
        <v>349004134.961705</v>
      </c>
      <c r="AR19" s="3" t="n">
        <v>10019424.0306061</v>
      </c>
      <c r="AS19" s="3" t="n">
        <v>2361908.55738055</v>
      </c>
      <c r="AT19" s="3" t="n">
        <v>-90680.4894057245</v>
      </c>
      <c r="AU19" s="3" t="n">
        <v>-461298.718304832</v>
      </c>
      <c r="AV19" s="3" t="n">
        <v>-10509617.299852</v>
      </c>
      <c r="AW19" s="3" t="n">
        <v>-5192591.6596</v>
      </c>
      <c r="AX19" s="3" t="n">
        <v>-7069583.31288119</v>
      </c>
      <c r="AY19" s="3" t="n">
        <v>0</v>
      </c>
      <c r="AZ19" s="3"/>
    </row>
    <row r="20">
      <c r="A20" t="str">
        <f>N20</f>
      </c>
      <c r="B20" t="str">
        <f>O20</f>
      </c>
      <c r="M20" t="s">
        <v>58</v>
      </c>
      <c r="N20"/>
      <c r="O20" t="s">
        <v>57</v>
      </c>
      <c r="P20" s="3"/>
      <c r="Q20" s="3"/>
      <c r="R20" s="3"/>
      <c r="S20" s="3"/>
      <c r="T20" s="3"/>
      <c r="U20" s="3"/>
      <c r="V20" s="3"/>
      <c r="W20" s="3" t="n">
        <v>420221723.205316</v>
      </c>
      <c r="X20" s="3" t="n">
        <v>193465787.831467</v>
      </c>
      <c r="Y20" s="3" t="n">
        <v>276804733.986148</v>
      </c>
      <c r="Z20" s="3" t="n">
        <v>294068043.741233</v>
      </c>
      <c r="AA20" s="3" t="n">
        <v>1179849488.03478</v>
      </c>
      <c r="AB20" s="3" t="n">
        <v>1644262833.45794</v>
      </c>
      <c r="AC20" s="3" t="n">
        <v>1665701549.44153</v>
      </c>
      <c r="AD20" s="3" t="n">
        <v>1924933518.59165</v>
      </c>
      <c r="AE20" s="3" t="n">
        <v>1608792923.65422</v>
      </c>
      <c r="AF20" s="3" t="n">
        <v>1987901200.19934</v>
      </c>
      <c r="AG20" s="3" t="n">
        <v>1515286365.02112</v>
      </c>
      <c r="AH20" s="3" t="n">
        <v>1581673866.22609</v>
      </c>
      <c r="AI20" s="3" t="n">
        <v>2229178572.05765</v>
      </c>
      <c r="AJ20" s="3" t="n">
        <v>2157245777.3475</v>
      </c>
      <c r="AK20" s="3" t="n">
        <v>2317993918.58028</v>
      </c>
      <c r="AL20" s="3" t="n">
        <v>4067009231.31335</v>
      </c>
      <c r="AM20" s="3" t="n">
        <v>2659804021.61642</v>
      </c>
      <c r="AN20" s="3" t="n">
        <v>1331062869.0527</v>
      </c>
      <c r="AO20" s="3" t="n">
        <v>925640347.363673</v>
      </c>
      <c r="AP20" s="3" t="n">
        <v>1960697238.55639</v>
      </c>
      <c r="AQ20" s="3" t="n">
        <v>3891653662.02218</v>
      </c>
      <c r="AR20" s="3" t="n">
        <v>2258320784.45084</v>
      </c>
      <c r="AS20" s="3" t="n">
        <v>1634724620.33278</v>
      </c>
      <c r="AT20" s="3" t="n">
        <v>2071827567.99517</v>
      </c>
      <c r="AU20" s="3" t="n">
        <v>1594872982.54139</v>
      </c>
      <c r="AV20" s="3" t="n">
        <v>1350303801.01374</v>
      </c>
      <c r="AW20" s="3" t="n">
        <v>634523347.8842</v>
      </c>
      <c r="AX20" s="3" t="n">
        <v>3270975293.3573</v>
      </c>
      <c r="AY20" s="3" t="n">
        <v>1504931576.90577</v>
      </c>
      <c r="AZ20" s="3"/>
    </row>
    <row r="21">
      <c r="A21" t="str">
        <f>N21</f>
      </c>
      <c r="B21" t="str">
        <f>O21</f>
      </c>
      <c r="M21" t="s">
        <v>58</v>
      </c>
      <c r="N21"/>
      <c r="O21"/>
      <c r="P21" s="3" t="n">
        <v>9138244581.03204</v>
      </c>
      <c r="Q21" s="3" t="n">
        <v>13409688142.9605</v>
      </c>
      <c r="R21" s="3" t="n">
        <v>10595873380.5956</v>
      </c>
      <c r="S21" s="3" t="n">
        <v>12390727840.3286</v>
      </c>
      <c r="T21" s="3" t="n">
        <v>9729931160.15749</v>
      </c>
      <c r="U21" s="3" t="n">
        <v>8259554872.83913</v>
      </c>
      <c r="V21" s="3" t="n">
        <v>8557940912.21167</v>
      </c>
      <c r="W21" s="3" t="n">
        <v>8879747611.52295</v>
      </c>
      <c r="X21" s="3" t="n">
        <v>8325453951.11393</v>
      </c>
      <c r="Y21" s="3" t="n">
        <v>7470610860.65834</v>
      </c>
      <c r="Z21" s="3" t="n">
        <v>788088245.322564</v>
      </c>
      <c r="AA21" s="3" t="n">
        <v>21711656.1174682</v>
      </c>
      <c r="AB21" s="3" t="n">
        <v>54531332.1273839</v>
      </c>
      <c r="AC21" s="3" t="n">
        <v>71104747.5312476</v>
      </c>
      <c r="AD21" s="3" t="n">
        <v>69525251.2551782</v>
      </c>
      <c r="AE21" s="3" t="n">
        <v>30137065.7896348</v>
      </c>
      <c r="AF21" s="3" t="n">
        <v>8762261.04291976</v>
      </c>
      <c r="AG21" s="3" t="n">
        <v>4768384.38109508</v>
      </c>
      <c r="AH21" s="3" t="n">
        <v>198874092.885153</v>
      </c>
      <c r="AI21" s="3" t="n">
        <v>86935457.330875</v>
      </c>
      <c r="AJ21" s="3" t="n">
        <v>0</v>
      </c>
      <c r="AK21" s="3" t="n">
        <v>-74712.122631063</v>
      </c>
      <c r="AL21" s="3" t="n">
        <v>-81118.7368979614</v>
      </c>
      <c r="AM21" s="3" t="n">
        <v>1943961.1236644</v>
      </c>
      <c r="AN21" s="3" t="n">
        <v>-897782.816775237</v>
      </c>
      <c r="AO21" s="3" t="n">
        <v>-2339673.09183538</v>
      </c>
      <c r="AP21" s="3" t="n">
        <v>388565.100813596</v>
      </c>
      <c r="AQ21" s="3" t="n">
        <v>0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 t="n">
        <v>0</v>
      </c>
      <c r="AY21" s="3" t="n">
        <v>0</v>
      </c>
      <c r="AZ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60</v>
      </c>
      <c r="O1" t="s">
        <v>61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160</v>
      </c>
      <c r="AY1" t="s">
        <v>161</v>
      </c>
    </row>
    <row r="2">
      <c r="A2" t="str">
        <f>N2</f>
      </c>
      <c r="B2" t="str">
        <f>O2</f>
      </c>
      <c r="N2" t="s">
        <v>62</v>
      </c>
      <c r="O2" t="s">
        <v>63</v>
      </c>
      <c r="P2" s="4"/>
      <c r="Q2" s="4"/>
      <c r="R2" s="4"/>
      <c r="S2" s="4"/>
      <c r="T2" s="4"/>
      <c r="U2" s="4"/>
      <c r="V2" s="4" t="n">
        <v>224000</v>
      </c>
      <c r="W2" s="4" t="n">
        <v>1109687442</v>
      </c>
      <c r="X2" s="4" t="n">
        <v>1210702556</v>
      </c>
      <c r="Y2" s="4" t="n">
        <v>704851883.63</v>
      </c>
      <c r="Z2" s="4" t="n">
        <v>3251862381</v>
      </c>
      <c r="AA2" s="4" t="n">
        <v>3518855223</v>
      </c>
      <c r="AB2" s="4" t="n">
        <v>4915249579.2</v>
      </c>
      <c r="AC2" s="4" t="n">
        <v>4849479384</v>
      </c>
      <c r="AD2" s="4" t="n">
        <v>5437731135.15</v>
      </c>
      <c r="AE2" s="4" t="n">
        <v>5984444761.58</v>
      </c>
      <c r="AF2" s="4" t="n">
        <v>6593434751.27</v>
      </c>
      <c r="AG2" s="4" t="n">
        <v>7455784926.57</v>
      </c>
      <c r="AH2" s="4" t="n">
        <v>7800476864.15</v>
      </c>
      <c r="AI2" s="4" t="n">
        <v>8798191743.89</v>
      </c>
      <c r="AJ2" s="4" t="n">
        <v>8447253075.4352</v>
      </c>
      <c r="AK2" s="4" t="n">
        <v>7735536187.7055</v>
      </c>
      <c r="AL2" s="4" t="n">
        <v>8966336789.0336</v>
      </c>
      <c r="AM2" s="4" t="n">
        <v>9101073453.0635</v>
      </c>
      <c r="AN2" s="4" t="n">
        <v>6091575018.4066</v>
      </c>
      <c r="AO2" s="4" t="n">
        <v>7787957864.286</v>
      </c>
      <c r="AP2" s="4" t="n">
        <v>8199776709.5911</v>
      </c>
      <c r="AQ2" s="4" t="n">
        <v>6475900735.2383</v>
      </c>
      <c r="AR2" s="4" t="n">
        <v>12094357103.19</v>
      </c>
      <c r="AS2" s="4" t="n">
        <v>12217420629.34</v>
      </c>
      <c r="AT2" s="4" t="n">
        <v>17599995429.09</v>
      </c>
      <c r="AU2" s="4" t="n">
        <v>10407363452.7</v>
      </c>
      <c r="AV2" s="4" t="n">
        <v>11582883734.54</v>
      </c>
      <c r="AW2" s="4" t="n">
        <v>10420097930.52</v>
      </c>
      <c r="AX2" s="4" t="n">
        <v>10644505986.18</v>
      </c>
      <c r="AY2" s="4" t="n">
        <v>4138381324.25</v>
      </c>
      <c r="AZ2" s="4"/>
    </row>
    <row r="3">
      <c r="A3" t="str">
        <f>N3</f>
      </c>
      <c r="B3" t="str">
        <f>O3</f>
      </c>
      <c r="N3" t="s">
        <v>62</v>
      </c>
      <c r="O3" t="s">
        <v>64</v>
      </c>
      <c r="P3" s="4" t="n">
        <v>74831000</v>
      </c>
      <c r="Q3" s="4" t="n">
        <v>68100000</v>
      </c>
      <c r="R3" s="4" t="n">
        <v>1661000</v>
      </c>
      <c r="S3" s="4"/>
      <c r="T3" s="4"/>
      <c r="U3" s="4"/>
      <c r="V3" s="4"/>
      <c r="W3" s="4" t="n">
        <v>774823</v>
      </c>
      <c r="X3" s="4" t="n">
        <v>3132239</v>
      </c>
      <c r="Y3" s="4" t="n">
        <v>2601102</v>
      </c>
      <c r="Z3" s="4" t="n">
        <v>10227484</v>
      </c>
      <c r="AA3" s="4" t="n">
        <v>12558571.4</v>
      </c>
      <c r="AB3" s="4" t="n">
        <v>24807377</v>
      </c>
      <c r="AC3" s="4" t="n">
        <v>31575619</v>
      </c>
      <c r="AD3" s="4" t="n">
        <v>23444564</v>
      </c>
      <c r="AE3" s="4" t="n">
        <v>12465506</v>
      </c>
      <c r="AF3" s="4" t="n">
        <v>8009184.79</v>
      </c>
      <c r="AG3" s="4" t="n">
        <v>7762929.62</v>
      </c>
      <c r="AH3" s="4" t="n">
        <v>48101078</v>
      </c>
      <c r="AI3" s="4" t="n">
        <v>41447953.43</v>
      </c>
      <c r="AJ3" s="4" t="n">
        <v>3573906.3118</v>
      </c>
      <c r="AK3" s="4" t="n">
        <v>6539820.1623</v>
      </c>
      <c r="AL3" s="4" t="n">
        <v>4092593.4833</v>
      </c>
      <c r="AM3" s="4" t="n">
        <v>4394042.64</v>
      </c>
      <c r="AN3" s="4" t="n">
        <v>4258293.18</v>
      </c>
      <c r="AO3" s="4" t="n">
        <v>3721235.09</v>
      </c>
      <c r="AP3" s="4" t="n">
        <v>2391109.8413</v>
      </c>
      <c r="AQ3" s="4" t="n">
        <v>2492327.6012</v>
      </c>
      <c r="AR3" s="4" t="n">
        <v>4107554.95</v>
      </c>
      <c r="AS3" s="4" t="n">
        <v>2097509.38</v>
      </c>
      <c r="AT3" s="4" t="n">
        <v>1387512.11</v>
      </c>
      <c r="AU3" s="4" t="n">
        <v>1516959.9</v>
      </c>
      <c r="AV3" s="4" t="n">
        <v>305776.96</v>
      </c>
      <c r="AW3" s="4" t="n">
        <v>383503.34</v>
      </c>
      <c r="AX3" s="4" t="n">
        <v>175876.92</v>
      </c>
      <c r="AY3" s="4" t="n">
        <v>3030948.5</v>
      </c>
      <c r="AZ3" s="4"/>
    </row>
    <row r="4">
      <c r="A4" t="str">
        <f>N4</f>
      </c>
      <c r="B4" t="str">
        <f>O4</f>
      </c>
      <c r="N4" t="s">
        <v>65</v>
      </c>
      <c r="O4" t="s">
        <v>66</v>
      </c>
      <c r="P4" s="4"/>
      <c r="Q4" s="4"/>
      <c r="R4" s="4"/>
      <c r="S4" s="4"/>
      <c r="T4" s="4"/>
      <c r="U4" s="4"/>
      <c r="V4" s="4"/>
      <c r="W4" s="4" t="n">
        <v>256990</v>
      </c>
      <c r="X4" s="4" t="n">
        <v>-665855</v>
      </c>
      <c r="Y4" s="4" t="n">
        <v>923430</v>
      </c>
      <c r="Z4" s="4"/>
      <c r="AA4" s="4" t="n">
        <v>1324375</v>
      </c>
      <c r="AB4" s="4" t="n">
        <v>-295030</v>
      </c>
      <c r="AC4" s="4"/>
      <c r="AD4" s="4"/>
      <c r="AE4" s="4" t="n">
        <v>499872</v>
      </c>
      <c r="AF4" s="4"/>
      <c r="AG4" s="4"/>
      <c r="AH4" s="4"/>
      <c r="AI4" s="4"/>
      <c r="AJ4" s="4" t="n">
        <v>344518.3672</v>
      </c>
      <c r="AK4" s="4" t="n">
        <v>24925685.8837</v>
      </c>
      <c r="AL4" s="4" t="n">
        <v>119119932.0552</v>
      </c>
      <c r="AM4" s="4" t="n">
        <v>145346464.62</v>
      </c>
      <c r="AN4" s="4" t="n">
        <v>218094210.68</v>
      </c>
      <c r="AO4" s="4" t="n">
        <v>220320527.27</v>
      </c>
      <c r="AP4" s="4" t="n">
        <v>323336362.3058</v>
      </c>
      <c r="AQ4" s="4" t="n">
        <v>252881989.1743</v>
      </c>
      <c r="AR4" s="4" t="n">
        <v>244734668.0218</v>
      </c>
      <c r="AS4" s="4" t="n">
        <v>244615992.7717</v>
      </c>
      <c r="AT4" s="4" t="n">
        <v>211126715.6115</v>
      </c>
      <c r="AU4" s="4" t="n">
        <v>190252183.5236</v>
      </c>
      <c r="AV4" s="4" t="n">
        <v>159594051.9031</v>
      </c>
      <c r="AW4" s="4" t="n">
        <v>150181620.8418</v>
      </c>
      <c r="AX4" s="4" t="n">
        <v>137350660.34</v>
      </c>
      <c r="AY4" s="4" t="n">
        <v>51948287.3</v>
      </c>
      <c r="AZ4" s="4"/>
    </row>
    <row r="5">
      <c r="A5" t="str">
        <f>N5</f>
      </c>
      <c r="B5" t="str">
        <f>O5</f>
      </c>
      <c r="N5" t="s">
        <v>65</v>
      </c>
      <c r="O5" t="s">
        <v>67</v>
      </c>
      <c r="P5" s="4"/>
      <c r="Q5" s="4"/>
      <c r="R5" s="4"/>
      <c r="S5" s="4"/>
      <c r="T5" s="4"/>
      <c r="U5" s="4"/>
      <c r="V5" s="4" t="n">
        <v>304000</v>
      </c>
      <c r="W5" s="4" t="n">
        <v>731977</v>
      </c>
      <c r="X5" s="4" t="n">
        <v>1763715</v>
      </c>
      <c r="Y5" s="4" t="n">
        <v>3424826</v>
      </c>
      <c r="Z5" s="4" t="n">
        <v>8082321</v>
      </c>
      <c r="AA5" s="4" t="n">
        <v>11000448</v>
      </c>
      <c r="AB5" s="4" t="n">
        <v>34382284.625</v>
      </c>
      <c r="AC5" s="4" t="n">
        <v>62848381.0938</v>
      </c>
      <c r="AD5" s="4" t="n">
        <v>126092472.4297</v>
      </c>
      <c r="AE5" s="4" t="n">
        <v>161058983</v>
      </c>
      <c r="AF5" s="4" t="n">
        <v>218467563.8945</v>
      </c>
      <c r="AG5" s="4" t="n">
        <v>321159938.8342</v>
      </c>
      <c r="AH5" s="4" t="n">
        <v>321805322.4098</v>
      </c>
      <c r="AI5" s="4" t="n">
        <v>328023043.1692</v>
      </c>
      <c r="AJ5" s="4" t="n">
        <v>281055826.7547</v>
      </c>
      <c r="AK5" s="4" t="n">
        <v>168244624.2278</v>
      </c>
      <c r="AL5" s="4" t="n">
        <v>51159615.3689</v>
      </c>
      <c r="AM5" s="4" t="n">
        <v>39641094.2833</v>
      </c>
      <c r="AN5" s="4" t="n">
        <v>32844398.56</v>
      </c>
      <c r="AO5" s="4" t="n">
        <v>35188143.7203</v>
      </c>
      <c r="AP5" s="4" t="n">
        <v>36671326.29</v>
      </c>
      <c r="AQ5" s="4" t="n">
        <v>38227400.2299</v>
      </c>
      <c r="AR5" s="4" t="n">
        <v>27378532.7213</v>
      </c>
      <c r="AS5" s="4" t="n">
        <v>54108455.9005</v>
      </c>
      <c r="AT5" s="4" t="n">
        <v>58038277.8552</v>
      </c>
      <c r="AU5" s="4" t="n">
        <v>39544685.2267</v>
      </c>
      <c r="AV5" s="4" t="n">
        <v>43483546.092</v>
      </c>
      <c r="AW5" s="4" t="n">
        <v>38842949.5142</v>
      </c>
      <c r="AX5" s="4" t="n">
        <v>32581315.03</v>
      </c>
      <c r="AY5" s="4" t="n">
        <v>11308062.76</v>
      </c>
      <c r="AZ5" s="4"/>
    </row>
    <row r="6">
      <c r="A6" t="str">
        <f>N6</f>
      </c>
      <c r="B6" t="str">
        <f>O6</f>
      </c>
      <c r="N6" t="s">
        <v>65</v>
      </c>
      <c r="O6" t="s">
        <v>68</v>
      </c>
      <c r="P6" s="4"/>
      <c r="Q6" s="4"/>
      <c r="R6" s="4"/>
      <c r="S6" s="4"/>
      <c r="T6" s="4"/>
      <c r="U6" s="4"/>
      <c r="V6" s="4"/>
      <c r="W6" s="4" t="n">
        <v>26053028</v>
      </c>
      <c r="X6" s="4" t="n">
        <v>16875593</v>
      </c>
      <c r="Y6" s="4" t="n">
        <v>31951346</v>
      </c>
      <c r="Z6" s="4" t="n">
        <v>183633039</v>
      </c>
      <c r="AA6" s="4" t="n">
        <v>209298561</v>
      </c>
      <c r="AB6" s="4" t="n">
        <v>257477721</v>
      </c>
      <c r="AC6" s="4" t="n">
        <v>297359151</v>
      </c>
      <c r="AD6" s="4" t="n">
        <v>280933913</v>
      </c>
      <c r="AE6" s="4" t="n">
        <v>300881701</v>
      </c>
      <c r="AF6" s="4" t="n">
        <v>325176941</v>
      </c>
      <c r="AG6" s="4" t="n">
        <v>343494797.9365</v>
      </c>
      <c r="AH6" s="4" t="n">
        <v>629066579.9296</v>
      </c>
      <c r="AI6" s="4" t="n">
        <v>671607300.5139</v>
      </c>
      <c r="AJ6" s="4" t="n">
        <v>851461493.5618</v>
      </c>
      <c r="AK6" s="4" t="n">
        <v>967125552.2835</v>
      </c>
      <c r="AL6" s="4" t="n">
        <v>1433294384.6745</v>
      </c>
      <c r="AM6" s="4" t="n">
        <v>896504788.6801</v>
      </c>
      <c r="AN6" s="4" t="n">
        <v>865899581.4527</v>
      </c>
      <c r="AO6" s="4" t="n">
        <v>736626702.7297</v>
      </c>
      <c r="AP6" s="4" t="n">
        <v>486922573.6899</v>
      </c>
      <c r="AQ6" s="4" t="n">
        <v>148397949.2024</v>
      </c>
      <c r="AR6" s="4" t="n">
        <v>132960670.6306</v>
      </c>
      <c r="AS6" s="4" t="n">
        <v>286887458.5015</v>
      </c>
      <c r="AT6" s="4" t="n">
        <v>306678039.3747</v>
      </c>
      <c r="AU6" s="4" t="n">
        <v>329505480.5458</v>
      </c>
      <c r="AV6" s="4" t="n">
        <v>341831736.0086</v>
      </c>
      <c r="AW6" s="4" t="n">
        <v>447545003.1791</v>
      </c>
      <c r="AX6" s="4" t="n">
        <v>292963223.63</v>
      </c>
      <c r="AY6" s="4" t="n">
        <v>19149634.86</v>
      </c>
      <c r="AZ6" s="4"/>
    </row>
    <row r="7">
      <c r="A7" t="str">
        <f>N7</f>
      </c>
      <c r="B7" t="str">
        <f>O7</f>
      </c>
      <c r="N7" t="s">
        <v>65</v>
      </c>
      <c r="O7" t="s">
        <v>69</v>
      </c>
      <c r="P7" s="4"/>
      <c r="Q7" s="4"/>
      <c r="R7" s="4"/>
      <c r="S7" s="4"/>
      <c r="T7" s="4"/>
      <c r="U7" s="4"/>
      <c r="V7" s="4" t="n">
        <v>9867000</v>
      </c>
      <c r="W7" s="4" t="n">
        <v>33076541</v>
      </c>
      <c r="X7" s="4" t="n">
        <v>43663788</v>
      </c>
      <c r="Y7" s="4" t="n">
        <v>86470328</v>
      </c>
      <c r="Z7" s="4" t="n">
        <v>259096373</v>
      </c>
      <c r="AA7" s="4" t="n">
        <v>251929788</v>
      </c>
      <c r="AB7" s="4" t="n">
        <v>405270111</v>
      </c>
      <c r="AC7" s="4" t="n">
        <v>584678521</v>
      </c>
      <c r="AD7" s="4" t="n">
        <v>982872215</v>
      </c>
      <c r="AE7" s="4" t="n">
        <v>782622286.4375</v>
      </c>
      <c r="AF7" s="4" t="n">
        <v>992844509.6259</v>
      </c>
      <c r="AG7" s="4" t="n">
        <v>1470512876.6352</v>
      </c>
      <c r="AH7" s="4" t="n">
        <v>1557994479.598</v>
      </c>
      <c r="AI7" s="4" t="n">
        <v>2408749664.5514</v>
      </c>
      <c r="AJ7" s="4" t="n">
        <v>2827189526.1604</v>
      </c>
      <c r="AK7" s="4" t="n">
        <v>3180411274.7275</v>
      </c>
      <c r="AL7" s="4" t="n">
        <v>2102563333.0627</v>
      </c>
      <c r="AM7" s="4" t="n">
        <v>1912781894.8718</v>
      </c>
      <c r="AN7" s="4" t="n">
        <v>2080822631.2285</v>
      </c>
      <c r="AO7" s="4" t="n">
        <v>1892063555.2083</v>
      </c>
      <c r="AP7" s="4" t="n">
        <v>1926336241.4566</v>
      </c>
      <c r="AQ7" s="4" t="n">
        <v>1915348836.1225</v>
      </c>
      <c r="AR7" s="4" t="n">
        <v>2252199714.6027</v>
      </c>
      <c r="AS7" s="4" t="n">
        <v>2276775762.2453</v>
      </c>
      <c r="AT7" s="4" t="n">
        <v>2200886943.824</v>
      </c>
      <c r="AU7" s="4" t="n">
        <v>2508102828.1379</v>
      </c>
      <c r="AV7" s="4" t="n">
        <v>2907790782.0564</v>
      </c>
      <c r="AW7" s="4" t="n">
        <v>2831710791.6156</v>
      </c>
      <c r="AX7" s="4" t="n">
        <v>2919402311.93</v>
      </c>
      <c r="AY7" s="4" t="n">
        <v>1764300310.28</v>
      </c>
      <c r="AZ7" s="4"/>
    </row>
    <row r="8">
      <c r="A8" t="str">
        <f>N8</f>
      </c>
      <c r="B8" t="str">
        <f>O8</f>
      </c>
      <c r="N8" t="s">
        <v>65</v>
      </c>
      <c r="O8" t="s">
        <v>70</v>
      </c>
      <c r="P8" s="4"/>
      <c r="Q8" s="4"/>
      <c r="R8" s="4"/>
      <c r="S8" s="4"/>
      <c r="T8" s="4"/>
      <c r="U8" s="4"/>
      <c r="V8" s="4" t="n">
        <v>0</v>
      </c>
      <c r="W8" s="4" t="n">
        <v>5521351</v>
      </c>
      <c r="X8" s="4"/>
      <c r="Y8" s="4"/>
      <c r="Z8" s="4" t="n">
        <v>91551</v>
      </c>
      <c r="AA8" s="4" t="n">
        <v>4968922</v>
      </c>
      <c r="AB8" s="4" t="n">
        <v>5982298</v>
      </c>
      <c r="AC8" s="4" t="n">
        <v>-190078</v>
      </c>
      <c r="AD8" s="4" t="n">
        <v>-191046</v>
      </c>
      <c r="AE8" s="4" t="n">
        <v>13569</v>
      </c>
      <c r="AF8" s="4"/>
      <c r="AG8" s="4"/>
      <c r="AH8" s="4"/>
      <c r="AI8" s="4" t="n">
        <v>0</v>
      </c>
      <c r="AJ8" s="4"/>
      <c r="AK8" s="4" t="n">
        <v>-90028.05</v>
      </c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</row>
    <row r="9">
      <c r="A9" t="str">
        <f>N9</f>
      </c>
      <c r="B9" t="str">
        <f>O9</f>
      </c>
      <c r="N9"/>
      <c r="O9"/>
      <c r="P9" s="4" t="n">
        <v>4418278000</v>
      </c>
      <c r="Q9" s="4" t="n">
        <v>6715280054</v>
      </c>
      <c r="R9" s="4" t="n">
        <v>5438989317</v>
      </c>
      <c r="S9" s="4" t="n">
        <v>6509522213</v>
      </c>
      <c r="T9" s="4" t="n">
        <v>5223252139</v>
      </c>
      <c r="U9" s="4" t="n">
        <v>4527970932</v>
      </c>
      <c r="V9" s="4" t="n">
        <v>4779883768</v>
      </c>
      <c r="W9" s="4" t="n">
        <v>5046910249</v>
      </c>
      <c r="X9" s="4" t="n">
        <v>4789326120</v>
      </c>
      <c r="Y9" s="4" t="n">
        <v>4349473537</v>
      </c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 t="n">
        <v>0</v>
      </c>
      <c r="AZ9" s="4"/>
    </row>
    <row r="10">
      <c r="A10" t="str">
        <f>N10</f>
      </c>
      <c r="B10" t="str">
        <f>O10</f>
      </c>
      <c r="N10" t="s">
        <v>151</v>
      </c>
      <c r="O10" t="s">
        <v>152</v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 t="str">
        <f>Sum(AP2:AP9)</f>
      </c>
      <c r="AQ10" s="4" t="str">
        <f>Sum(AQ2:AQ9)</f>
      </c>
      <c r="AR10" s="4" t="str">
        <f>Sum(AR2:AR9)</f>
      </c>
      <c r="AS10" s="4" t="str">
        <f>Sum(AS2:AS9)</f>
      </c>
      <c r="AT10" s="4" t="str">
        <f>Sum(AT2:AT9)</f>
      </c>
      <c r="AU10" s="4" t="str">
        <f>Sum(AU2:AU9)</f>
      </c>
      <c r="AV10" s="4" t="str">
        <f>Sum(AV2:AV9)</f>
      </c>
      <c r="AW10" s="4" t="str">
        <f>Sum(AW2:AW9)</f>
      </c>
      <c r="AX10" s="4" t="str">
        <f>Sum(AX2:AX9)</f>
      </c>
      <c r="AY10" s="4" t="str">
        <f>Sum(AY2:AY9)</f>
      </c>
      <c r="AZ10" s="4"/>
    </row>
    <row r="13">
      <c r="A13" t="str">
        <f>N13</f>
      </c>
      <c r="B13" t="str">
        <f>O13</f>
      </c>
      <c r="N13" t="s">
        <v>60</v>
      </c>
      <c r="O13" t="s">
        <v>61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160</v>
      </c>
      <c r="AY13" t="s">
        <v>161</v>
      </c>
    </row>
    <row r="14">
      <c r="A14" t="str">
        <f>N14</f>
      </c>
      <c r="B14" t="str">
        <f>O14</f>
      </c>
      <c r="N14" t="s">
        <v>62</v>
      </c>
      <c r="O14" t="s">
        <v>63</v>
      </c>
      <c r="P14" s="4"/>
      <c r="Q14" s="4"/>
      <c r="R14" s="4"/>
      <c r="S14" s="4"/>
      <c r="T14" s="4"/>
      <c r="U14" s="4"/>
      <c r="V14" s="4" t="n">
        <v>401051.334588731</v>
      </c>
      <c r="W14" s="4" t="n">
        <v>1952147947.78454</v>
      </c>
      <c r="X14" s="4" t="n">
        <v>2103479378.44784</v>
      </c>
      <c r="Y14" s="4" t="n">
        <v>1209634041.77707</v>
      </c>
      <c r="Z14" s="4" t="n">
        <v>5466944507.35629</v>
      </c>
      <c r="AA14" s="4" t="n">
        <v>5775805524.12298</v>
      </c>
      <c r="AB14" s="4" t="n">
        <v>7942871542.49087</v>
      </c>
      <c r="AC14" s="4" t="n">
        <v>7688997896.23081</v>
      </c>
      <c r="AD14" s="4" t="n">
        <v>8416176489.11555</v>
      </c>
      <c r="AE14" s="4" t="n">
        <v>8988817182.73483</v>
      </c>
      <c r="AF14" s="4" t="n">
        <v>9591950658.62519</v>
      </c>
      <c r="AG14" s="4" t="n">
        <v>10555876434.7515</v>
      </c>
      <c r="AH14" s="4" t="n">
        <v>10819272928.3196</v>
      </c>
      <c r="AI14" s="4" t="n">
        <v>12079577837.827</v>
      </c>
      <c r="AJ14" s="4" t="n">
        <v>11498173311.1109</v>
      </c>
      <c r="AK14" s="4" t="n">
        <v>10322222376.8854</v>
      </c>
      <c r="AL14" s="4" t="n">
        <v>11751349927.6008</v>
      </c>
      <c r="AM14" s="4" t="n">
        <v>11715364716.1819</v>
      </c>
      <c r="AN14" s="4" t="n">
        <v>7700896463.45423</v>
      </c>
      <c r="AO14" s="4" t="n">
        <v>9744526614.1616</v>
      </c>
      <c r="AP14" s="4" t="n">
        <v>10178429361.0727</v>
      </c>
      <c r="AQ14" s="4" t="n">
        <v>7905132029.02397</v>
      </c>
      <c r="AR14" s="4" t="n">
        <v>14442948259.4662</v>
      </c>
      <c r="AS14" s="4" t="n">
        <v>14325045978.6428</v>
      </c>
      <c r="AT14" s="4" t="n">
        <v>20370071505.7403</v>
      </c>
      <c r="AU14" s="4" t="n">
        <v>11644609135.3733</v>
      </c>
      <c r="AV14" s="4" t="n">
        <v>12112761222.417</v>
      </c>
      <c r="AW14" s="4" t="n">
        <v>10420097930.52</v>
      </c>
      <c r="AX14" s="4" t="n">
        <v>10367628231.053</v>
      </c>
      <c r="AY14" s="4" t="n">
        <v>3944192756.63687</v>
      </c>
      <c r="AZ14" s="4"/>
    </row>
    <row r="15">
      <c r="A15" t="str">
        <f>N15</f>
      </c>
      <c r="B15" t="str">
        <f>O15</f>
      </c>
      <c r="N15" t="s">
        <v>62</v>
      </c>
      <c r="O15" t="s">
        <v>64</v>
      </c>
      <c r="P15" s="4" t="n">
        <v>154771605.644373</v>
      </c>
      <c r="Q15" s="4" t="n">
        <v>135988336.330315</v>
      </c>
      <c r="R15" s="4" t="n">
        <v>3235848.54821463</v>
      </c>
      <c r="S15" s="4"/>
      <c r="T15" s="4"/>
      <c r="U15" s="4"/>
      <c r="V15" s="4"/>
      <c r="W15" s="4" t="n">
        <v>1363058.70653104</v>
      </c>
      <c r="X15" s="4" t="n">
        <v>5441964.34724476</v>
      </c>
      <c r="Y15" s="4" t="n">
        <v>4463890.35541835</v>
      </c>
      <c r="Z15" s="4" t="n">
        <v>17194173.9615316</v>
      </c>
      <c r="AA15" s="4" t="n">
        <v>20613484.0652445</v>
      </c>
      <c r="AB15" s="4" t="n">
        <v>40087854.2670488</v>
      </c>
      <c r="AC15" s="4" t="n">
        <v>50064109.740153</v>
      </c>
      <c r="AD15" s="4" t="n">
        <v>36286014.0434145</v>
      </c>
      <c r="AE15" s="4" t="n">
        <v>18723567.3464051</v>
      </c>
      <c r="AF15" s="4" t="n">
        <v>11651545.5478943</v>
      </c>
      <c r="AG15" s="4" t="n">
        <v>10990730.9086088</v>
      </c>
      <c r="AH15" s="4" t="n">
        <v>66716266.2093349</v>
      </c>
      <c r="AI15" s="4" t="n">
        <v>56906441.0336376</v>
      </c>
      <c r="AJ15" s="4" t="n">
        <v>4864704.98797417</v>
      </c>
      <c r="AK15" s="4" t="n">
        <v>8726670.83212528</v>
      </c>
      <c r="AL15" s="4" t="n">
        <v>5363784.48247654</v>
      </c>
      <c r="AM15" s="4" t="n">
        <v>5656235.20912547</v>
      </c>
      <c r="AN15" s="4" t="n">
        <v>5383283.43509278</v>
      </c>
      <c r="AO15" s="4" t="n">
        <v>4656121.02735503</v>
      </c>
      <c r="AP15" s="4" t="n">
        <v>2968098.21489047</v>
      </c>
      <c r="AQ15" s="4" t="n">
        <v>3042384.30336928</v>
      </c>
      <c r="AR15" s="4" t="n">
        <v>4905196.95338884</v>
      </c>
      <c r="AS15" s="4" t="n">
        <v>2459350.39978711</v>
      </c>
      <c r="AT15" s="4" t="n">
        <v>1605893.64978272</v>
      </c>
      <c r="AU15" s="4" t="n">
        <v>1697298.76253647</v>
      </c>
      <c r="AV15" s="4" t="n">
        <v>319765.214663415</v>
      </c>
      <c r="AW15" s="4" t="n">
        <v>383503.34</v>
      </c>
      <c r="AX15" s="4" t="n">
        <v>171302.127440207</v>
      </c>
      <c r="AY15" s="4" t="n">
        <v>2888724.88607751</v>
      </c>
      <c r="AZ15" s="4"/>
    </row>
    <row r="16">
      <c r="A16" t="str">
        <f>N16</f>
      </c>
      <c r="B16" t="str">
        <f>O16</f>
      </c>
      <c r="N16" t="s">
        <v>65</v>
      </c>
      <c r="O16" t="s">
        <v>66</v>
      </c>
      <c r="P16" s="4"/>
      <c r="Q16" s="4"/>
      <c r="R16" s="4"/>
      <c r="S16" s="4"/>
      <c r="T16" s="4"/>
      <c r="U16" s="4"/>
      <c r="V16" s="4"/>
      <c r="W16" s="4" t="n">
        <v>452093.519412063</v>
      </c>
      <c r="X16" s="4" t="n">
        <v>-1156859.09358598</v>
      </c>
      <c r="Y16" s="4" t="n">
        <v>1584747.64576859</v>
      </c>
      <c r="Z16" s="4"/>
      <c r="AA16" s="4" t="n">
        <v>2173812.77610192</v>
      </c>
      <c r="AB16" s="4" t="n">
        <v>-476758.169330333</v>
      </c>
      <c r="AC16" s="4"/>
      <c r="AD16" s="4"/>
      <c r="AE16" s="4" t="n">
        <v>750822.875267333</v>
      </c>
      <c r="AF16" s="4"/>
      <c r="AG16" s="4"/>
      <c r="AH16" s="4"/>
      <c r="AI16" s="4"/>
      <c r="AJ16" s="4" t="n">
        <v>468949.11985604</v>
      </c>
      <c r="AK16" s="4" t="n">
        <v>33260586.7705546</v>
      </c>
      <c r="AL16" s="4" t="n">
        <v>156119498.72826</v>
      </c>
      <c r="AM16" s="4" t="n">
        <v>187097362.966317</v>
      </c>
      <c r="AN16" s="4" t="n">
        <v>275712099.194466</v>
      </c>
      <c r="AO16" s="4" t="n">
        <v>275671656.041434</v>
      </c>
      <c r="AP16" s="4" t="n">
        <v>401359261.374315</v>
      </c>
      <c r="AQ16" s="4" t="n">
        <v>308693044.244368</v>
      </c>
      <c r="AR16" s="4" t="n">
        <v>292259449.376121</v>
      </c>
      <c r="AS16" s="4" t="n">
        <v>286814659.974202</v>
      </c>
      <c r="AT16" s="4" t="n">
        <v>244356102.881142</v>
      </c>
      <c r="AU16" s="4" t="n">
        <v>212869697.916515</v>
      </c>
      <c r="AV16" s="4" t="n">
        <v>166894936.315015</v>
      </c>
      <c r="AW16" s="4" t="n">
        <v>150181620.8418</v>
      </c>
      <c r="AX16" s="4" t="n">
        <v>133777987.023876</v>
      </c>
      <c r="AY16" s="4" t="n">
        <v>49510676.3815401</v>
      </c>
      <c r="AZ16" s="4"/>
    </row>
    <row r="17">
      <c r="A17" t="str">
        <f>N17</f>
      </c>
      <c r="B17" t="str">
        <f>O17</f>
      </c>
      <c r="N17" t="s">
        <v>65</v>
      </c>
      <c r="O17" t="s">
        <v>67</v>
      </c>
      <c r="P17" s="4"/>
      <c r="Q17" s="4"/>
      <c r="R17" s="4"/>
      <c r="S17" s="4"/>
      <c r="T17" s="4"/>
      <c r="U17" s="4"/>
      <c r="V17" s="4" t="n">
        <v>544283.954084707</v>
      </c>
      <c r="W17" s="4" t="n">
        <v>1287684.57161245</v>
      </c>
      <c r="X17" s="4" t="n">
        <v>3064285.37180617</v>
      </c>
      <c r="Y17" s="4" t="n">
        <v>5877527.19823598</v>
      </c>
      <c r="Z17" s="4" t="n">
        <v>13587783.0057656</v>
      </c>
      <c r="AA17" s="4" t="n">
        <v>18055999.5509163</v>
      </c>
      <c r="AB17" s="4" t="n">
        <v>55560570.3664355</v>
      </c>
      <c r="AC17" s="4" t="n">
        <v>99648030.5919248</v>
      </c>
      <c r="AD17" s="4" t="n">
        <v>195157957.527082</v>
      </c>
      <c r="AE17" s="4" t="n">
        <v>241915467.767133</v>
      </c>
      <c r="AF17" s="4" t="n">
        <v>317820706.875496</v>
      </c>
      <c r="AG17" s="4" t="n">
        <v>454697213.440916</v>
      </c>
      <c r="AH17" s="4" t="n">
        <v>446344457.341955</v>
      </c>
      <c r="AI17" s="4" t="n">
        <v>450362983.429516</v>
      </c>
      <c r="AJ17" s="4" t="n">
        <v>382565619.529118</v>
      </c>
      <c r="AK17" s="4" t="n">
        <v>224503949.416594</v>
      </c>
      <c r="AL17" s="4" t="n">
        <v>67050185.2101637</v>
      </c>
      <c r="AM17" s="4" t="n">
        <v>51028033.0856015</v>
      </c>
      <c r="AN17" s="4" t="n">
        <v>41521496.813339</v>
      </c>
      <c r="AO17" s="4" t="n">
        <v>44028461.4992384</v>
      </c>
      <c r="AP17" s="4" t="n">
        <v>45520325.4233769</v>
      </c>
      <c r="AQ17" s="4" t="n">
        <v>46664187.4696031</v>
      </c>
      <c r="AR17" s="4" t="n">
        <v>32695142.7132526</v>
      </c>
      <c r="AS17" s="4" t="n">
        <v>63442697.2864158</v>
      </c>
      <c r="AT17" s="4" t="n">
        <v>67172964.603524</v>
      </c>
      <c r="AU17" s="4" t="n">
        <v>44245826.9992318</v>
      </c>
      <c r="AV17" s="4" t="n">
        <v>45472770.2519997</v>
      </c>
      <c r="AW17" s="4" t="n">
        <v>38842949.5142</v>
      </c>
      <c r="AX17" s="4" t="n">
        <v>31733831.7013887</v>
      </c>
      <c r="AY17" s="4" t="n">
        <v>10777445.5119044</v>
      </c>
      <c r="AZ17" s="4"/>
    </row>
    <row r="18">
      <c r="A18" t="str">
        <f>N18</f>
      </c>
      <c r="B18" t="str">
        <f>O18</f>
      </c>
      <c r="N18" t="s">
        <v>65</v>
      </c>
      <c r="O18" t="s">
        <v>68</v>
      </c>
      <c r="P18" s="4"/>
      <c r="Q18" s="4"/>
      <c r="R18" s="4"/>
      <c r="S18" s="4"/>
      <c r="T18" s="4"/>
      <c r="U18" s="4"/>
      <c r="V18" s="4"/>
      <c r="W18" s="4" t="n">
        <v>45832153.4684658</v>
      </c>
      <c r="X18" s="4" t="n">
        <v>29319721.5935991</v>
      </c>
      <c r="Y18" s="4" t="n">
        <v>54833414.934145</v>
      </c>
      <c r="Z18" s="4" t="n">
        <v>308718978.944452</v>
      </c>
      <c r="AA18" s="4" t="n">
        <v>343540074.315467</v>
      </c>
      <c r="AB18" s="4" t="n">
        <v>416074998.838444</v>
      </c>
      <c r="AC18" s="4" t="n">
        <v>471472029.349693</v>
      </c>
      <c r="AD18" s="4" t="n">
        <v>434811750.493179</v>
      </c>
      <c r="AE18" s="4" t="n">
        <v>451933422.676497</v>
      </c>
      <c r="AF18" s="4" t="n">
        <v>473058624.382973</v>
      </c>
      <c r="AG18" s="4" t="n">
        <v>486318835.469104</v>
      </c>
      <c r="AH18" s="4" t="n">
        <v>872516275.206536</v>
      </c>
      <c r="AI18" s="4" t="n">
        <v>922090913.583975</v>
      </c>
      <c r="AJ18" s="4" t="n">
        <v>1158986446.0414</v>
      </c>
      <c r="AK18" s="4" t="n">
        <v>1290522696.13898</v>
      </c>
      <c r="AL18" s="4" t="n">
        <v>1878486639.5132</v>
      </c>
      <c r="AM18" s="4" t="n">
        <v>1154026568.77312</v>
      </c>
      <c r="AN18" s="4" t="n">
        <v>1094659920.35994</v>
      </c>
      <c r="AO18" s="4" t="n">
        <v>921689438.301777</v>
      </c>
      <c r="AP18" s="4" t="n">
        <v>604419753.871751</v>
      </c>
      <c r="AQ18" s="4" t="n">
        <v>181149376.626168</v>
      </c>
      <c r="AR18" s="4" t="n">
        <v>158780170.791813</v>
      </c>
      <c r="AS18" s="4" t="n">
        <v>336378369.740387</v>
      </c>
      <c r="AT18" s="4" t="n">
        <v>354946318.961963</v>
      </c>
      <c r="AU18" s="4" t="n">
        <v>368677671.953866</v>
      </c>
      <c r="AV18" s="4" t="n">
        <v>357469373.897752</v>
      </c>
      <c r="AW18" s="4" t="n">
        <v>447545003.1791</v>
      </c>
      <c r="AX18" s="4" t="n">
        <v>285342860.618438</v>
      </c>
      <c r="AY18" s="4" t="n">
        <v>18251061.2698894</v>
      </c>
      <c r="AZ18" s="4"/>
    </row>
    <row r="19">
      <c r="A19" t="str">
        <f>N19</f>
      </c>
      <c r="B19" t="str">
        <f>O19</f>
      </c>
      <c r="N19" t="s">
        <v>65</v>
      </c>
      <c r="O19" t="s">
        <v>69</v>
      </c>
      <c r="P19" s="4"/>
      <c r="Q19" s="4"/>
      <c r="R19" s="4"/>
      <c r="S19" s="4"/>
      <c r="T19" s="4"/>
      <c r="U19" s="4"/>
      <c r="V19" s="4" t="n">
        <v>17665953.2070849</v>
      </c>
      <c r="W19" s="4" t="n">
        <v>58187827.6612608</v>
      </c>
      <c r="X19" s="4" t="n">
        <v>75861636.8551868</v>
      </c>
      <c r="Y19" s="4" t="n">
        <v>148396357.847197</v>
      </c>
      <c r="Z19" s="4" t="n">
        <v>435585928.089829</v>
      </c>
      <c r="AA19" s="4" t="n">
        <v>413514444.047229</v>
      </c>
      <c r="AB19" s="4" t="n">
        <v>654902336.049422</v>
      </c>
      <c r="AC19" s="4" t="n">
        <v>927025678.833228</v>
      </c>
      <c r="AD19" s="4" t="n">
        <v>1521227479.27289</v>
      </c>
      <c r="AE19" s="4" t="n">
        <v>1175522364.42789</v>
      </c>
      <c r="AF19" s="4" t="n">
        <v>1444363356.47126</v>
      </c>
      <c r="AG19" s="4" t="n">
        <v>2081947423.95999</v>
      </c>
      <c r="AH19" s="4" t="n">
        <v>2160940643.64908</v>
      </c>
      <c r="AI19" s="4" t="n">
        <v>3307120361.97606</v>
      </c>
      <c r="AJ19" s="4" t="n">
        <v>3848294216.45748</v>
      </c>
      <c r="AK19" s="4" t="n">
        <v>4243909100.94474</v>
      </c>
      <c r="AL19" s="4" t="n">
        <v>2755635668.51312</v>
      </c>
      <c r="AM19" s="4" t="n">
        <v>2462230157.40958</v>
      </c>
      <c r="AN19" s="4" t="n">
        <v>2630551145.39074</v>
      </c>
      <c r="AO19" s="4" t="n">
        <v>2367406705.41658</v>
      </c>
      <c r="AP19" s="4" t="n">
        <v>2391172107.94366</v>
      </c>
      <c r="AQ19" s="4" t="n">
        <v>2338066324.70388</v>
      </c>
      <c r="AR19" s="4" t="n">
        <v>2689552133.31775</v>
      </c>
      <c r="AS19" s="4" t="n">
        <v>2669541997.99744</v>
      </c>
      <c r="AT19" s="4" t="n">
        <v>2547286140.06595</v>
      </c>
      <c r="AU19" s="4" t="n">
        <v>2806270506.23597</v>
      </c>
      <c r="AV19" s="4" t="n">
        <v>3040812308.48971</v>
      </c>
      <c r="AW19" s="4" t="n">
        <v>2831710791.6156</v>
      </c>
      <c r="AX19" s="4" t="n">
        <v>2843464775.75039</v>
      </c>
      <c r="AY19" s="4" t="n">
        <v>1681512639.63083</v>
      </c>
      <c r="AZ19" s="4"/>
    </row>
    <row r="20">
      <c r="A20" t="str">
        <f>N20</f>
      </c>
      <c r="B20" t="str">
        <f>O20</f>
      </c>
      <c r="N20" t="s">
        <v>65</v>
      </c>
      <c r="O20" t="s">
        <v>70</v>
      </c>
      <c r="P20" s="4"/>
      <c r="Q20" s="4"/>
      <c r="R20" s="4"/>
      <c r="S20" s="4"/>
      <c r="T20" s="4"/>
      <c r="U20" s="4"/>
      <c r="V20" s="4" t="n">
        <v>0</v>
      </c>
      <c r="W20" s="4" t="n">
        <v>9713090.02490103</v>
      </c>
      <c r="X20" s="4"/>
      <c r="Y20" s="4"/>
      <c r="Z20" s="4" t="n">
        <v>153913.105153934</v>
      </c>
      <c r="AA20" s="4" t="n">
        <v>8155927.23137624</v>
      </c>
      <c r="AB20" s="4" t="n">
        <v>9667184.49943569</v>
      </c>
      <c r="AC20" s="4" t="n">
        <v>-301374.482989195</v>
      </c>
      <c r="AD20" s="4" t="n">
        <v>-295688.921275659</v>
      </c>
      <c r="AE20" s="4" t="n">
        <v>20381.0487374817</v>
      </c>
      <c r="AF20" s="4"/>
      <c r="AG20" s="4"/>
      <c r="AH20" s="4"/>
      <c r="AI20" s="4" t="n">
        <v>0</v>
      </c>
      <c r="AJ20" s="4"/>
      <c r="AK20" s="4" t="n">
        <v>-120132.532471934</v>
      </c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</row>
    <row r="21">
      <c r="A21" t="str">
        <f>N21</f>
      </c>
      <c r="B21" t="str">
        <f>O21</f>
      </c>
      <c r="N21"/>
      <c r="O21"/>
      <c r="P21" s="4" t="n">
        <v>9138244581.03204</v>
      </c>
      <c r="Q21" s="4" t="n">
        <v>13409688142.9605</v>
      </c>
      <c r="R21" s="4" t="n">
        <v>10595873380.5956</v>
      </c>
      <c r="S21" s="4" t="n">
        <v>12390727840.3286</v>
      </c>
      <c r="T21" s="4" t="n">
        <v>9729931160.15749</v>
      </c>
      <c r="U21" s="4" t="n">
        <v>8259554872.83913</v>
      </c>
      <c r="V21" s="4" t="n">
        <v>8557940912.21167</v>
      </c>
      <c r="W21" s="4" t="n">
        <v>8878459926.95133</v>
      </c>
      <c r="X21" s="4" t="n">
        <v>8320994021.32725</v>
      </c>
      <c r="Y21" s="4" t="n">
        <v>7464364324.41389</v>
      </c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 t="n">
        <v>0</v>
      </c>
      <c r="AZ21" s="4"/>
    </row>
    <row r="22">
      <c r="A22" t="str">
        <f>N22</f>
      </c>
      <c r="B22" t="str">
        <f>O22</f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60</v>
      </c>
      <c r="N1" t="s">
        <v>61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160</v>
      </c>
      <c r="AX1" t="s">
        <v>161</v>
      </c>
    </row>
    <row r="2">
      <c r="A2" t="str">
        <f>M2</f>
      </c>
      <c r="B2" t="str">
        <f>N2</f>
      </c>
      <c r="M2" t="s">
        <v>62</v>
      </c>
      <c r="N2" t="s">
        <v>63</v>
      </c>
      <c r="O2" s="5"/>
      <c r="P2" s="5"/>
      <c r="Q2" s="5"/>
      <c r="R2" s="5"/>
      <c r="S2" s="5"/>
      <c r="T2" s="5"/>
      <c r="U2" s="5" t="n">
        <v>224000</v>
      </c>
      <c r="V2" s="5" t="n">
        <v>1109687442</v>
      </c>
      <c r="W2" s="5" t="n">
        <v>1210702556</v>
      </c>
      <c r="X2" s="5" t="n">
        <v>704851883.63</v>
      </c>
      <c r="Y2" s="5" t="n">
        <v>3251862381</v>
      </c>
      <c r="Z2" s="5" t="n">
        <v>3518855223</v>
      </c>
      <c r="AA2" s="5" t="n">
        <v>4915249579.2</v>
      </c>
      <c r="AB2" s="5" t="n">
        <v>4849479384</v>
      </c>
      <c r="AC2" s="5" t="n">
        <v>5437731135.15</v>
      </c>
      <c r="AD2" s="5" t="n">
        <v>5984444761.58</v>
      </c>
      <c r="AE2" s="5" t="n">
        <v>6593434751.27</v>
      </c>
      <c r="AF2" s="5" t="n">
        <v>7455784926.57</v>
      </c>
      <c r="AG2" s="5" t="n">
        <v>7800476864.15</v>
      </c>
      <c r="AH2" s="5" t="n">
        <v>8798191743.89</v>
      </c>
      <c r="AI2" s="5" t="n">
        <v>8447253075.4352</v>
      </c>
      <c r="AJ2" s="5" t="n">
        <v>7735536187.7055</v>
      </c>
      <c r="AK2" s="5" t="n">
        <v>8966336789.0336</v>
      </c>
      <c r="AL2" s="5" t="n">
        <v>9101073453.0635</v>
      </c>
      <c r="AM2" s="5" t="n">
        <v>6091575018.4066</v>
      </c>
      <c r="AN2" s="5" t="n">
        <v>7787957864.286</v>
      </c>
      <c r="AO2" s="5" t="n">
        <v>8199776709.5911</v>
      </c>
      <c r="AP2" s="5" t="n">
        <v>6475900735.2383</v>
      </c>
      <c r="AQ2" s="5" t="n">
        <v>12094357103.19</v>
      </c>
      <c r="AR2" s="5" t="n">
        <v>12217420629.34</v>
      </c>
      <c r="AS2" s="5" t="n">
        <v>17599995429.09</v>
      </c>
      <c r="AT2" s="5" t="n">
        <v>10407363452.7</v>
      </c>
      <c r="AU2" s="5" t="n">
        <v>11582883734.54</v>
      </c>
      <c r="AV2" s="5" t="n">
        <v>10420097930.52</v>
      </c>
      <c r="AW2" s="5" t="n">
        <v>10644505986.18</v>
      </c>
      <c r="AX2" s="5" t="n">
        <v>4138381324.25</v>
      </c>
      <c r="AY2" s="5"/>
    </row>
    <row r="3">
      <c r="A3" t="str">
        <f>M3</f>
      </c>
      <c r="B3" t="str">
        <f>N3</f>
      </c>
      <c r="M3" t="s">
        <v>62</v>
      </c>
      <c r="N3" t="s">
        <v>64</v>
      </c>
      <c r="O3" s="5" t="n">
        <v>74831000</v>
      </c>
      <c r="P3" s="5" t="n">
        <v>68100000</v>
      </c>
      <c r="Q3" s="5" t="n">
        <v>1661000</v>
      </c>
      <c r="R3" s="5"/>
      <c r="S3" s="5"/>
      <c r="T3" s="5"/>
      <c r="U3" s="5"/>
      <c r="V3" s="5" t="n">
        <v>774823</v>
      </c>
      <c r="W3" s="5" t="n">
        <v>3132239</v>
      </c>
      <c r="X3" s="5" t="n">
        <v>2601102</v>
      </c>
      <c r="Y3" s="5" t="n">
        <v>10227484</v>
      </c>
      <c r="Z3" s="5" t="n">
        <v>12558571.4</v>
      </c>
      <c r="AA3" s="5" t="n">
        <v>24807377</v>
      </c>
      <c r="AB3" s="5" t="n">
        <v>31575619</v>
      </c>
      <c r="AC3" s="5" t="n">
        <v>23444564</v>
      </c>
      <c r="AD3" s="5" t="n">
        <v>12465506</v>
      </c>
      <c r="AE3" s="5" t="n">
        <v>8009184.79</v>
      </c>
      <c r="AF3" s="5" t="n">
        <v>7762929.62</v>
      </c>
      <c r="AG3" s="5" t="n">
        <v>48101078</v>
      </c>
      <c r="AH3" s="5" t="n">
        <v>41447953.43</v>
      </c>
      <c r="AI3" s="5" t="n">
        <v>3573906.3118</v>
      </c>
      <c r="AJ3" s="5" t="n">
        <v>6539820.1623</v>
      </c>
      <c r="AK3" s="5" t="n">
        <v>4092593.4833</v>
      </c>
      <c r="AL3" s="5" t="n">
        <v>4394042.64</v>
      </c>
      <c r="AM3" s="5" t="n">
        <v>4258293.18</v>
      </c>
      <c r="AN3" s="5" t="n">
        <v>3721235.09</v>
      </c>
      <c r="AO3" s="5" t="n">
        <v>2391109.8413</v>
      </c>
      <c r="AP3" s="5" t="n">
        <v>2492327.6012</v>
      </c>
      <c r="AQ3" s="5" t="n">
        <v>4107554.95</v>
      </c>
      <c r="AR3" s="5" t="n">
        <v>2097509.38</v>
      </c>
      <c r="AS3" s="5" t="n">
        <v>1387512.11</v>
      </c>
      <c r="AT3" s="5" t="n">
        <v>1516959.9</v>
      </c>
      <c r="AU3" s="5" t="n">
        <v>305776.96</v>
      </c>
      <c r="AV3" s="5" t="n">
        <v>383503.34</v>
      </c>
      <c r="AW3" s="5" t="n">
        <v>175876.92</v>
      </c>
      <c r="AX3" s="5" t="n">
        <v>3030948.5</v>
      </c>
      <c r="AY3" s="5"/>
    </row>
    <row r="4">
      <c r="A4" t="str">
        <f>M4</f>
      </c>
      <c r="B4" t="str">
        <f>N4</f>
      </c>
      <c r="M4" t="s">
        <v>65</v>
      </c>
      <c r="N4" t="s">
        <v>66</v>
      </c>
      <c r="O4" s="5"/>
      <c r="P4" s="5"/>
      <c r="Q4" s="5"/>
      <c r="R4" s="5"/>
      <c r="S4" s="5"/>
      <c r="T4" s="5"/>
      <c r="U4" s="5"/>
      <c r="V4" s="5" t="n">
        <v>256990</v>
      </c>
      <c r="W4" s="5" t="n">
        <v>-665855</v>
      </c>
      <c r="X4" s="5" t="n">
        <v>923430</v>
      </c>
      <c r="Y4" s="5"/>
      <c r="Z4" s="5" t="n">
        <v>1324375</v>
      </c>
      <c r="AA4" s="5" t="n">
        <v>-295030</v>
      </c>
      <c r="AB4" s="5"/>
      <c r="AC4" s="5"/>
      <c r="AD4" s="5" t="n">
        <v>499872</v>
      </c>
      <c r="AE4" s="5"/>
      <c r="AF4" s="5"/>
      <c r="AG4" s="5"/>
      <c r="AH4" s="5"/>
      <c r="AI4" s="5" t="n">
        <v>344518.3672</v>
      </c>
      <c r="AJ4" s="5" t="n">
        <v>24925685.8837</v>
      </c>
      <c r="AK4" s="5" t="n">
        <v>119119932.0552</v>
      </c>
      <c r="AL4" s="5" t="n">
        <v>145346464.62</v>
      </c>
      <c r="AM4" s="5" t="n">
        <v>218094210.68</v>
      </c>
      <c r="AN4" s="5" t="n">
        <v>220320527.27</v>
      </c>
      <c r="AO4" s="5" t="n">
        <v>323336362.3058</v>
      </c>
      <c r="AP4" s="5" t="n">
        <v>252881989.1743</v>
      </c>
      <c r="AQ4" s="5" t="n">
        <v>244734668.0218</v>
      </c>
      <c r="AR4" s="5" t="n">
        <v>244615992.7717</v>
      </c>
      <c r="AS4" s="5" t="n">
        <v>211126715.6115</v>
      </c>
      <c r="AT4" s="5" t="n">
        <v>190252183.5236</v>
      </c>
      <c r="AU4" s="5" t="n">
        <v>159594051.9031</v>
      </c>
      <c r="AV4" s="5" t="n">
        <v>150181620.8418</v>
      </c>
      <c r="AW4" s="5" t="n">
        <v>137350660.34</v>
      </c>
      <c r="AX4" s="5" t="n">
        <v>51948287.3</v>
      </c>
      <c r="AY4" s="5"/>
    </row>
    <row r="5">
      <c r="A5" t="str">
        <f>M5</f>
      </c>
      <c r="B5" t="str">
        <f>N5</f>
      </c>
      <c r="M5" t="s">
        <v>65</v>
      </c>
      <c r="N5" t="s">
        <v>67</v>
      </c>
      <c r="O5" s="5"/>
      <c r="P5" s="5"/>
      <c r="Q5" s="5"/>
      <c r="R5" s="5"/>
      <c r="S5" s="5"/>
      <c r="T5" s="5"/>
      <c r="U5" s="5" t="n">
        <v>304000</v>
      </c>
      <c r="V5" s="5" t="n">
        <v>731977</v>
      </c>
      <c r="W5" s="5" t="n">
        <v>1763715</v>
      </c>
      <c r="X5" s="5" t="n">
        <v>3424826</v>
      </c>
      <c r="Y5" s="5" t="n">
        <v>8082321</v>
      </c>
      <c r="Z5" s="5" t="n">
        <v>11000448</v>
      </c>
      <c r="AA5" s="5" t="n">
        <v>34382284.625</v>
      </c>
      <c r="AB5" s="5" t="n">
        <v>62848381.0938</v>
      </c>
      <c r="AC5" s="5" t="n">
        <v>126092472.4297</v>
      </c>
      <c r="AD5" s="5" t="n">
        <v>161058983</v>
      </c>
      <c r="AE5" s="5" t="n">
        <v>218467563.8945</v>
      </c>
      <c r="AF5" s="5" t="n">
        <v>321159938.8342</v>
      </c>
      <c r="AG5" s="5" t="n">
        <v>321805322.4098</v>
      </c>
      <c r="AH5" s="5" t="n">
        <v>328023043.1692</v>
      </c>
      <c r="AI5" s="5" t="n">
        <v>281055826.7547</v>
      </c>
      <c r="AJ5" s="5" t="n">
        <v>168244624.2278</v>
      </c>
      <c r="AK5" s="5" t="n">
        <v>51159615.3689</v>
      </c>
      <c r="AL5" s="5" t="n">
        <v>39641094.2833</v>
      </c>
      <c r="AM5" s="5" t="n">
        <v>32844398.56</v>
      </c>
      <c r="AN5" s="5" t="n">
        <v>35188143.7203</v>
      </c>
      <c r="AO5" s="5" t="n">
        <v>36671326.29</v>
      </c>
      <c r="AP5" s="5" t="n">
        <v>38227400.2299</v>
      </c>
      <c r="AQ5" s="5" t="n">
        <v>27378532.7213</v>
      </c>
      <c r="AR5" s="5" t="n">
        <v>54108455.9005</v>
      </c>
      <c r="AS5" s="5" t="n">
        <v>58038277.8552</v>
      </c>
      <c r="AT5" s="5" t="n">
        <v>39544685.2267</v>
      </c>
      <c r="AU5" s="5" t="n">
        <v>43483546.092</v>
      </c>
      <c r="AV5" s="5" t="n">
        <v>38842949.5142</v>
      </c>
      <c r="AW5" s="5" t="n">
        <v>32581315.03</v>
      </c>
      <c r="AX5" s="5" t="n">
        <v>11308062.76</v>
      </c>
      <c r="AY5" s="5"/>
    </row>
    <row r="6">
      <c r="A6" t="str">
        <f>M6</f>
      </c>
      <c r="B6" t="str">
        <f>N6</f>
      </c>
      <c r="M6" t="s">
        <v>65</v>
      </c>
      <c r="N6" t="s">
        <v>68</v>
      </c>
      <c r="O6" s="5"/>
      <c r="P6" s="5"/>
      <c r="Q6" s="5"/>
      <c r="R6" s="5"/>
      <c r="S6" s="5"/>
      <c r="T6" s="5"/>
      <c r="U6" s="5"/>
      <c r="V6" s="5" t="n">
        <v>26053028</v>
      </c>
      <c r="W6" s="5" t="n">
        <v>16875593</v>
      </c>
      <c r="X6" s="5" t="n">
        <v>31951346</v>
      </c>
      <c r="Y6" s="5" t="n">
        <v>183633039</v>
      </c>
      <c r="Z6" s="5" t="n">
        <v>209298561</v>
      </c>
      <c r="AA6" s="5" t="n">
        <v>257477721</v>
      </c>
      <c r="AB6" s="5" t="n">
        <v>297359151</v>
      </c>
      <c r="AC6" s="5" t="n">
        <v>280933913</v>
      </c>
      <c r="AD6" s="5" t="n">
        <v>300881701</v>
      </c>
      <c r="AE6" s="5" t="n">
        <v>325176941</v>
      </c>
      <c r="AF6" s="5" t="n">
        <v>343494797.9365</v>
      </c>
      <c r="AG6" s="5" t="n">
        <v>629066579.9296</v>
      </c>
      <c r="AH6" s="5" t="n">
        <v>671607300.5139</v>
      </c>
      <c r="AI6" s="5" t="n">
        <v>851461493.5618</v>
      </c>
      <c r="AJ6" s="5" t="n">
        <v>967125552.2835</v>
      </c>
      <c r="AK6" s="5" t="n">
        <v>1433294384.6745</v>
      </c>
      <c r="AL6" s="5" t="n">
        <v>896504788.6801</v>
      </c>
      <c r="AM6" s="5" t="n">
        <v>865899581.4527</v>
      </c>
      <c r="AN6" s="5" t="n">
        <v>736626702.7297</v>
      </c>
      <c r="AO6" s="5" t="n">
        <v>486922573.6899</v>
      </c>
      <c r="AP6" s="5" t="n">
        <v>148397949.2024</v>
      </c>
      <c r="AQ6" s="5" t="n">
        <v>132960670.6306</v>
      </c>
      <c r="AR6" s="5" t="n">
        <v>286887458.5015</v>
      </c>
      <c r="AS6" s="5" t="n">
        <v>306678039.3747</v>
      </c>
      <c r="AT6" s="5" t="n">
        <v>329505480.5458</v>
      </c>
      <c r="AU6" s="5" t="n">
        <v>341831736.0086</v>
      </c>
      <c r="AV6" s="5" t="n">
        <v>447545003.1791</v>
      </c>
      <c r="AW6" s="5" t="n">
        <v>292963223.63</v>
      </c>
      <c r="AX6" s="5" t="n">
        <v>19149634.86</v>
      </c>
      <c r="AY6" s="5"/>
    </row>
    <row r="7">
      <c r="A7" t="str">
        <f>M7</f>
      </c>
      <c r="B7" t="str">
        <f>N7</f>
      </c>
      <c r="M7" t="s">
        <v>65</v>
      </c>
      <c r="N7" t="s">
        <v>69</v>
      </c>
      <c r="O7" s="5"/>
      <c r="P7" s="5"/>
      <c r="Q7" s="5"/>
      <c r="R7" s="5"/>
      <c r="S7" s="5"/>
      <c r="T7" s="5"/>
      <c r="U7" s="5" t="n">
        <v>9867000</v>
      </c>
      <c r="V7" s="5" t="n">
        <v>33076541</v>
      </c>
      <c r="W7" s="5" t="n">
        <v>43663788</v>
      </c>
      <c r="X7" s="5" t="n">
        <v>86470328</v>
      </c>
      <c r="Y7" s="5" t="n">
        <v>259096373</v>
      </c>
      <c r="Z7" s="5" t="n">
        <v>251929788</v>
      </c>
      <c r="AA7" s="5" t="n">
        <v>405270111</v>
      </c>
      <c r="AB7" s="5" t="n">
        <v>584678521</v>
      </c>
      <c r="AC7" s="5" t="n">
        <v>982872215</v>
      </c>
      <c r="AD7" s="5" t="n">
        <v>782622286.4375</v>
      </c>
      <c r="AE7" s="5" t="n">
        <v>992844509.6259</v>
      </c>
      <c r="AF7" s="5" t="n">
        <v>1470512876.6352</v>
      </c>
      <c r="AG7" s="5" t="n">
        <v>1557994479.598</v>
      </c>
      <c r="AH7" s="5" t="n">
        <v>2408749664.5514</v>
      </c>
      <c r="AI7" s="5" t="n">
        <v>2827189526.1604</v>
      </c>
      <c r="AJ7" s="5" t="n">
        <v>3180411274.7275</v>
      </c>
      <c r="AK7" s="5" t="n">
        <v>2102563333.0627</v>
      </c>
      <c r="AL7" s="5" t="n">
        <v>1912781894.8718</v>
      </c>
      <c r="AM7" s="5" t="n">
        <v>2080822631.2285</v>
      </c>
      <c r="AN7" s="5" t="n">
        <v>1892063555.2083</v>
      </c>
      <c r="AO7" s="5" t="n">
        <v>1926336241.4566</v>
      </c>
      <c r="AP7" s="5" t="n">
        <v>1915348836.1225</v>
      </c>
      <c r="AQ7" s="5" t="n">
        <v>2252199714.6027</v>
      </c>
      <c r="AR7" s="5" t="n">
        <v>2276775762.2453</v>
      </c>
      <c r="AS7" s="5" t="n">
        <v>2200886943.824</v>
      </c>
      <c r="AT7" s="5" t="n">
        <v>2508102828.1379</v>
      </c>
      <c r="AU7" s="5" t="n">
        <v>2907790782.0564</v>
      </c>
      <c r="AV7" s="5" t="n">
        <v>2831710791.6156</v>
      </c>
      <c r="AW7" s="5" t="n">
        <v>2919402311.93</v>
      </c>
      <c r="AX7" s="5" t="n">
        <v>1764300310.28</v>
      </c>
      <c r="AY7" s="5"/>
    </row>
    <row r="8">
      <c r="A8" t="str">
        <f>M8</f>
      </c>
      <c r="B8" t="str">
        <f>N8</f>
      </c>
      <c r="M8" t="s">
        <v>65</v>
      </c>
      <c r="N8" t="s">
        <v>70</v>
      </c>
      <c r="O8" s="5"/>
      <c r="P8" s="5"/>
      <c r="Q8" s="5"/>
      <c r="R8" s="5"/>
      <c r="S8" s="5"/>
      <c r="T8" s="5"/>
      <c r="U8" s="5" t="n">
        <v>0</v>
      </c>
      <c r="V8" s="5" t="n">
        <v>5521351</v>
      </c>
      <c r="W8" s="5"/>
      <c r="X8" s="5"/>
      <c r="Y8" s="5" t="n">
        <v>91551</v>
      </c>
      <c r="Z8" s="5" t="n">
        <v>4968922</v>
      </c>
      <c r="AA8" s="5" t="n">
        <v>5982298</v>
      </c>
      <c r="AB8" s="5" t="n">
        <v>-190078</v>
      </c>
      <c r="AC8" s="5" t="n">
        <v>-191046</v>
      </c>
      <c r="AD8" s="5" t="n">
        <v>13569</v>
      </c>
      <c r="AE8" s="5"/>
      <c r="AF8" s="5"/>
      <c r="AG8" s="5"/>
      <c r="AH8" s="5" t="n">
        <v>0</v>
      </c>
      <c r="AI8" s="5"/>
      <c r="AJ8" s="5" t="n">
        <v>-90028.05</v>
      </c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</row>
    <row r="9">
      <c r="A9" t="str">
        <f>M9</f>
      </c>
      <c r="B9" t="str">
        <f>N9</f>
      </c>
      <c r="M9"/>
      <c r="N9"/>
      <c r="O9" s="5" t="n">
        <v>4418278000</v>
      </c>
      <c r="P9" s="5" t="n">
        <v>6715280054</v>
      </c>
      <c r="Q9" s="5" t="n">
        <v>5438989317</v>
      </c>
      <c r="R9" s="5" t="n">
        <v>6509522213</v>
      </c>
      <c r="S9" s="5" t="n">
        <v>5223252139</v>
      </c>
      <c r="T9" s="5" t="n">
        <v>4527970932</v>
      </c>
      <c r="U9" s="5" t="n">
        <v>4779883768</v>
      </c>
      <c r="V9" s="5" t="n">
        <v>5046910249</v>
      </c>
      <c r="W9" s="5" t="n">
        <v>4789326120</v>
      </c>
      <c r="X9" s="5" t="n">
        <v>4349473537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 t="n">
        <v>0</v>
      </c>
      <c r="AY9" s="5"/>
    </row>
    <row r="10">
      <c r="A10" t="str">
        <f>M10</f>
      </c>
      <c r="B10" t="str">
        <f>N10</f>
      </c>
      <c r="M10" t="s">
        <v>151</v>
      </c>
      <c r="N10" t="s">
        <v>152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60</v>
      </c>
      <c r="N13" t="s">
        <v>61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  <c r="AP13" t="s">
        <v>28</v>
      </c>
      <c r="AQ13" t="s">
        <v>29</v>
      </c>
      <c r="AR13" t="s">
        <v>30</v>
      </c>
      <c r="AS13" t="s">
        <v>31</v>
      </c>
      <c r="AT13" t="s">
        <v>32</v>
      </c>
      <c r="AU13" t="s">
        <v>33</v>
      </c>
      <c r="AV13" t="s">
        <v>34</v>
      </c>
      <c r="AW13" t="s">
        <v>160</v>
      </c>
      <c r="AX13" t="s">
        <v>161</v>
      </c>
    </row>
    <row r="14">
      <c r="A14" t="str">
        <f>M14</f>
      </c>
      <c r="B14" t="str">
        <f>N14</f>
      </c>
      <c r="M14" t="s">
        <v>62</v>
      </c>
      <c r="N14" t="s">
        <v>63</v>
      </c>
      <c r="O14" s="5"/>
      <c r="P14" s="5"/>
      <c r="Q14" s="5"/>
      <c r="R14" s="5"/>
      <c r="S14" s="5"/>
      <c r="T14" s="5"/>
      <c r="U14" s="5" t="n">
        <v>401051.334588731</v>
      </c>
      <c r="V14" s="5" t="n">
        <v>1952147947.78454</v>
      </c>
      <c r="W14" s="5" t="n">
        <v>2103479378.44784</v>
      </c>
      <c r="X14" s="5" t="n">
        <v>1209634041.77707</v>
      </c>
      <c r="Y14" s="5" t="n">
        <v>5466944507.35629</v>
      </c>
      <c r="Z14" s="5" t="n">
        <v>5775805524.12298</v>
      </c>
      <c r="AA14" s="5" t="n">
        <v>7942871542.49087</v>
      </c>
      <c r="AB14" s="5" t="n">
        <v>7688997896.23081</v>
      </c>
      <c r="AC14" s="5" t="n">
        <v>8416176489.11555</v>
      </c>
      <c r="AD14" s="5" t="n">
        <v>8988817182.73483</v>
      </c>
      <c r="AE14" s="5" t="n">
        <v>9591950658.62519</v>
      </c>
      <c r="AF14" s="5" t="n">
        <v>10555876434.7515</v>
      </c>
      <c r="AG14" s="5" t="n">
        <v>10819272928.3196</v>
      </c>
      <c r="AH14" s="5" t="n">
        <v>12079577837.827</v>
      </c>
      <c r="AI14" s="5" t="n">
        <v>11498173311.1109</v>
      </c>
      <c r="AJ14" s="5" t="n">
        <v>10322222376.8854</v>
      </c>
      <c r="AK14" s="5" t="n">
        <v>11751349927.6008</v>
      </c>
      <c r="AL14" s="5" t="n">
        <v>11715364716.1819</v>
      </c>
      <c r="AM14" s="5" t="n">
        <v>7700896463.45423</v>
      </c>
      <c r="AN14" s="5" t="n">
        <v>9744526614.1616</v>
      </c>
      <c r="AO14" s="5" t="n">
        <v>10178429361.0727</v>
      </c>
      <c r="AP14" s="5" t="n">
        <v>7905132029.02397</v>
      </c>
      <c r="AQ14" s="5" t="n">
        <v>14442948259.4662</v>
      </c>
      <c r="AR14" s="5" t="n">
        <v>14325045978.6428</v>
      </c>
      <c r="AS14" s="5" t="n">
        <v>20370071505.7403</v>
      </c>
      <c r="AT14" s="5" t="n">
        <v>11644609135.3733</v>
      </c>
      <c r="AU14" s="5" t="n">
        <v>12112761222.417</v>
      </c>
      <c r="AV14" s="5" t="n">
        <v>10420097930.52</v>
      </c>
      <c r="AW14" s="5" t="n">
        <v>10367628231.053</v>
      </c>
      <c r="AX14" s="5" t="n">
        <v>3944192756.63687</v>
      </c>
      <c r="AY14" s="5"/>
    </row>
    <row r="15">
      <c r="A15" t="str">
        <f>M15</f>
      </c>
      <c r="B15" t="str">
        <f>N15</f>
      </c>
      <c r="M15" t="s">
        <v>62</v>
      </c>
      <c r="N15" t="s">
        <v>64</v>
      </c>
      <c r="O15" s="5" t="n">
        <v>154771605.644373</v>
      </c>
      <c r="P15" s="5" t="n">
        <v>135988336.330315</v>
      </c>
      <c r="Q15" s="5" t="n">
        <v>3235848.54821463</v>
      </c>
      <c r="R15" s="5"/>
      <c r="S15" s="5"/>
      <c r="T15" s="5"/>
      <c r="U15" s="5"/>
      <c r="V15" s="5" t="n">
        <v>1363058.70653104</v>
      </c>
      <c r="W15" s="5" t="n">
        <v>5441964.34724476</v>
      </c>
      <c r="X15" s="5" t="n">
        <v>4463890.35541835</v>
      </c>
      <c r="Y15" s="5" t="n">
        <v>17194173.9615316</v>
      </c>
      <c r="Z15" s="5" t="n">
        <v>20613484.0652445</v>
      </c>
      <c r="AA15" s="5" t="n">
        <v>40087854.2670488</v>
      </c>
      <c r="AB15" s="5" t="n">
        <v>50064109.740153</v>
      </c>
      <c r="AC15" s="5" t="n">
        <v>36286014.0434145</v>
      </c>
      <c r="AD15" s="5" t="n">
        <v>18723567.3464051</v>
      </c>
      <c r="AE15" s="5" t="n">
        <v>11651545.5478943</v>
      </c>
      <c r="AF15" s="5" t="n">
        <v>10990730.9086088</v>
      </c>
      <c r="AG15" s="5" t="n">
        <v>66716266.2093349</v>
      </c>
      <c r="AH15" s="5" t="n">
        <v>56906441.0336376</v>
      </c>
      <c r="AI15" s="5" t="n">
        <v>4864704.98797417</v>
      </c>
      <c r="AJ15" s="5" t="n">
        <v>8726670.83212528</v>
      </c>
      <c r="AK15" s="5" t="n">
        <v>5363784.48247654</v>
      </c>
      <c r="AL15" s="5" t="n">
        <v>5656235.20912547</v>
      </c>
      <c r="AM15" s="5" t="n">
        <v>5383283.43509278</v>
      </c>
      <c r="AN15" s="5" t="n">
        <v>4656121.02735503</v>
      </c>
      <c r="AO15" s="5" t="n">
        <v>2968098.21489047</v>
      </c>
      <c r="AP15" s="5" t="n">
        <v>3042384.30336928</v>
      </c>
      <c r="AQ15" s="5" t="n">
        <v>4905196.95338884</v>
      </c>
      <c r="AR15" s="5" t="n">
        <v>2459350.39978711</v>
      </c>
      <c r="AS15" s="5" t="n">
        <v>1605893.64978272</v>
      </c>
      <c r="AT15" s="5" t="n">
        <v>1697298.76253647</v>
      </c>
      <c r="AU15" s="5" t="n">
        <v>319765.214663415</v>
      </c>
      <c r="AV15" s="5" t="n">
        <v>383503.34</v>
      </c>
      <c r="AW15" s="5" t="n">
        <v>171302.127440207</v>
      </c>
      <c r="AX15" s="5" t="n">
        <v>2888724.88607751</v>
      </c>
      <c r="AY15" s="5"/>
    </row>
    <row r="16">
      <c r="A16" t="str">
        <f>M16</f>
      </c>
      <c r="B16" t="str">
        <f>N16</f>
      </c>
      <c r="M16" t="s">
        <v>65</v>
      </c>
      <c r="N16" t="s">
        <v>66</v>
      </c>
      <c r="O16" s="5"/>
      <c r="P16" s="5"/>
      <c r="Q16" s="5"/>
      <c r="R16" s="5"/>
      <c r="S16" s="5"/>
      <c r="T16" s="5"/>
      <c r="U16" s="5"/>
      <c r="V16" s="5" t="n">
        <v>452093.519412063</v>
      </c>
      <c r="W16" s="5" t="n">
        <v>-1156859.09358598</v>
      </c>
      <c r="X16" s="5" t="n">
        <v>1584747.64576859</v>
      </c>
      <c r="Y16" s="5"/>
      <c r="Z16" s="5" t="n">
        <v>2173812.77610192</v>
      </c>
      <c r="AA16" s="5" t="n">
        <v>-476758.169330333</v>
      </c>
      <c r="AB16" s="5"/>
      <c r="AC16" s="5"/>
      <c r="AD16" s="5" t="n">
        <v>750822.875267333</v>
      </c>
      <c r="AE16" s="5"/>
      <c r="AF16" s="5"/>
      <c r="AG16" s="5"/>
      <c r="AH16" s="5"/>
      <c r="AI16" s="5" t="n">
        <v>468949.11985604</v>
      </c>
      <c r="AJ16" s="5" t="n">
        <v>33260586.7705546</v>
      </c>
      <c r="AK16" s="5" t="n">
        <v>156119498.72826</v>
      </c>
      <c r="AL16" s="5" t="n">
        <v>187097362.966317</v>
      </c>
      <c r="AM16" s="5" t="n">
        <v>275712099.194466</v>
      </c>
      <c r="AN16" s="5" t="n">
        <v>275671656.041434</v>
      </c>
      <c r="AO16" s="5" t="n">
        <v>401359261.374315</v>
      </c>
      <c r="AP16" s="5" t="n">
        <v>308693044.244368</v>
      </c>
      <c r="AQ16" s="5" t="n">
        <v>292259449.376121</v>
      </c>
      <c r="AR16" s="5" t="n">
        <v>286814659.974202</v>
      </c>
      <c r="AS16" s="5" t="n">
        <v>244356102.881142</v>
      </c>
      <c r="AT16" s="5" t="n">
        <v>212869697.916515</v>
      </c>
      <c r="AU16" s="5" t="n">
        <v>166894936.315015</v>
      </c>
      <c r="AV16" s="5" t="n">
        <v>150181620.8418</v>
      </c>
      <c r="AW16" s="5" t="n">
        <v>133777987.023876</v>
      </c>
      <c r="AX16" s="5" t="n">
        <v>49510676.3815401</v>
      </c>
      <c r="AY16" s="5"/>
    </row>
    <row r="17">
      <c r="A17" t="str">
        <f>M17</f>
      </c>
      <c r="B17" t="str">
        <f>N17</f>
      </c>
      <c r="M17" t="s">
        <v>65</v>
      </c>
      <c r="N17" t="s">
        <v>67</v>
      </c>
      <c r="O17" s="5"/>
      <c r="P17" s="5"/>
      <c r="Q17" s="5"/>
      <c r="R17" s="5"/>
      <c r="S17" s="5"/>
      <c r="T17" s="5"/>
      <c r="U17" s="5" t="n">
        <v>544283.954084707</v>
      </c>
      <c r="V17" s="5" t="n">
        <v>1287684.57161245</v>
      </c>
      <c r="W17" s="5" t="n">
        <v>3064285.37180617</v>
      </c>
      <c r="X17" s="5" t="n">
        <v>5877527.19823598</v>
      </c>
      <c r="Y17" s="5" t="n">
        <v>13587783.0057656</v>
      </c>
      <c r="Z17" s="5" t="n">
        <v>18055999.5509163</v>
      </c>
      <c r="AA17" s="5" t="n">
        <v>55560570.3664355</v>
      </c>
      <c r="AB17" s="5" t="n">
        <v>99648030.5919248</v>
      </c>
      <c r="AC17" s="5" t="n">
        <v>195157957.527082</v>
      </c>
      <c r="AD17" s="5" t="n">
        <v>241915467.767133</v>
      </c>
      <c r="AE17" s="5" t="n">
        <v>317820706.875496</v>
      </c>
      <c r="AF17" s="5" t="n">
        <v>454697213.440916</v>
      </c>
      <c r="AG17" s="5" t="n">
        <v>446344457.341955</v>
      </c>
      <c r="AH17" s="5" t="n">
        <v>450362983.429516</v>
      </c>
      <c r="AI17" s="5" t="n">
        <v>382565619.529118</v>
      </c>
      <c r="AJ17" s="5" t="n">
        <v>224503949.416594</v>
      </c>
      <c r="AK17" s="5" t="n">
        <v>67050185.2101637</v>
      </c>
      <c r="AL17" s="5" t="n">
        <v>51028033.0856015</v>
      </c>
      <c r="AM17" s="5" t="n">
        <v>41521496.813339</v>
      </c>
      <c r="AN17" s="5" t="n">
        <v>44028461.4992384</v>
      </c>
      <c r="AO17" s="5" t="n">
        <v>45520325.4233769</v>
      </c>
      <c r="AP17" s="5" t="n">
        <v>46664187.4696031</v>
      </c>
      <c r="AQ17" s="5" t="n">
        <v>32695142.7132526</v>
      </c>
      <c r="AR17" s="5" t="n">
        <v>63442697.2864158</v>
      </c>
      <c r="AS17" s="5" t="n">
        <v>67172964.603524</v>
      </c>
      <c r="AT17" s="5" t="n">
        <v>44245826.9992318</v>
      </c>
      <c r="AU17" s="5" t="n">
        <v>45472770.2519997</v>
      </c>
      <c r="AV17" s="5" t="n">
        <v>38842949.5142</v>
      </c>
      <c r="AW17" s="5" t="n">
        <v>31733831.7013887</v>
      </c>
      <c r="AX17" s="5" t="n">
        <v>10777445.5119044</v>
      </c>
      <c r="AY17" s="5"/>
    </row>
    <row r="18">
      <c r="A18" t="str">
        <f>M18</f>
      </c>
      <c r="B18" t="str">
        <f>N18</f>
      </c>
      <c r="M18" t="s">
        <v>65</v>
      </c>
      <c r="N18" t="s">
        <v>68</v>
      </c>
      <c r="O18" s="5"/>
      <c r="P18" s="5"/>
      <c r="Q18" s="5"/>
      <c r="R18" s="5"/>
      <c r="S18" s="5"/>
      <c r="T18" s="5"/>
      <c r="U18" s="5"/>
      <c r="V18" s="5" t="n">
        <v>45832153.4684658</v>
      </c>
      <c r="W18" s="5" t="n">
        <v>29319721.5935991</v>
      </c>
      <c r="X18" s="5" t="n">
        <v>54833414.934145</v>
      </c>
      <c r="Y18" s="5" t="n">
        <v>308718978.944452</v>
      </c>
      <c r="Z18" s="5" t="n">
        <v>343540074.315467</v>
      </c>
      <c r="AA18" s="5" t="n">
        <v>416074998.838444</v>
      </c>
      <c r="AB18" s="5" t="n">
        <v>471472029.349693</v>
      </c>
      <c r="AC18" s="5" t="n">
        <v>434811750.493179</v>
      </c>
      <c r="AD18" s="5" t="n">
        <v>451933422.676497</v>
      </c>
      <c r="AE18" s="5" t="n">
        <v>473058624.382973</v>
      </c>
      <c r="AF18" s="5" t="n">
        <v>486318835.469104</v>
      </c>
      <c r="AG18" s="5" t="n">
        <v>872516275.206536</v>
      </c>
      <c r="AH18" s="5" t="n">
        <v>922090913.583975</v>
      </c>
      <c r="AI18" s="5" t="n">
        <v>1158986446.0414</v>
      </c>
      <c r="AJ18" s="5" t="n">
        <v>1290522696.13898</v>
      </c>
      <c r="AK18" s="5" t="n">
        <v>1878486639.5132</v>
      </c>
      <c r="AL18" s="5" t="n">
        <v>1154026568.77312</v>
      </c>
      <c r="AM18" s="5" t="n">
        <v>1094659920.35994</v>
      </c>
      <c r="AN18" s="5" t="n">
        <v>921689438.301777</v>
      </c>
      <c r="AO18" s="5" t="n">
        <v>604419753.871751</v>
      </c>
      <c r="AP18" s="5" t="n">
        <v>181149376.626168</v>
      </c>
      <c r="AQ18" s="5" t="n">
        <v>158780170.791813</v>
      </c>
      <c r="AR18" s="5" t="n">
        <v>336378369.740387</v>
      </c>
      <c r="AS18" s="5" t="n">
        <v>354946318.961963</v>
      </c>
      <c r="AT18" s="5" t="n">
        <v>368677671.953866</v>
      </c>
      <c r="AU18" s="5" t="n">
        <v>357469373.897752</v>
      </c>
      <c r="AV18" s="5" t="n">
        <v>447545003.1791</v>
      </c>
      <c r="AW18" s="5" t="n">
        <v>285342860.618438</v>
      </c>
      <c r="AX18" s="5" t="n">
        <v>18251061.2698894</v>
      </c>
      <c r="AY18" s="5"/>
    </row>
    <row r="19">
      <c r="A19" t="str">
        <f>M19</f>
      </c>
      <c r="B19" t="str">
        <f>N19</f>
      </c>
      <c r="M19" t="s">
        <v>65</v>
      </c>
      <c r="N19" t="s">
        <v>69</v>
      </c>
      <c r="O19" s="5"/>
      <c r="P19" s="5"/>
      <c r="Q19" s="5"/>
      <c r="R19" s="5"/>
      <c r="S19" s="5"/>
      <c r="T19" s="5"/>
      <c r="U19" s="5" t="n">
        <v>17665953.2070849</v>
      </c>
      <c r="V19" s="5" t="n">
        <v>58187827.6612608</v>
      </c>
      <c r="W19" s="5" t="n">
        <v>75861636.8551868</v>
      </c>
      <c r="X19" s="5" t="n">
        <v>148396357.847197</v>
      </c>
      <c r="Y19" s="5" t="n">
        <v>435585928.089829</v>
      </c>
      <c r="Z19" s="5" t="n">
        <v>413514444.047229</v>
      </c>
      <c r="AA19" s="5" t="n">
        <v>654902336.049422</v>
      </c>
      <c r="AB19" s="5" t="n">
        <v>927025678.833228</v>
      </c>
      <c r="AC19" s="5" t="n">
        <v>1521227479.27289</v>
      </c>
      <c r="AD19" s="5" t="n">
        <v>1175522364.42789</v>
      </c>
      <c r="AE19" s="5" t="n">
        <v>1444363356.47126</v>
      </c>
      <c r="AF19" s="5" t="n">
        <v>2081947423.95999</v>
      </c>
      <c r="AG19" s="5" t="n">
        <v>2160940643.64908</v>
      </c>
      <c r="AH19" s="5" t="n">
        <v>3307120361.97606</v>
      </c>
      <c r="AI19" s="5" t="n">
        <v>3848294216.45748</v>
      </c>
      <c r="AJ19" s="5" t="n">
        <v>4243909100.94474</v>
      </c>
      <c r="AK19" s="5" t="n">
        <v>2755635668.51312</v>
      </c>
      <c r="AL19" s="5" t="n">
        <v>2462230157.40958</v>
      </c>
      <c r="AM19" s="5" t="n">
        <v>2630551145.39074</v>
      </c>
      <c r="AN19" s="5" t="n">
        <v>2367406705.41658</v>
      </c>
      <c r="AO19" s="5" t="n">
        <v>2391172107.94366</v>
      </c>
      <c r="AP19" s="5" t="n">
        <v>2338066324.70388</v>
      </c>
      <c r="AQ19" s="5" t="n">
        <v>2689552133.31775</v>
      </c>
      <c r="AR19" s="5" t="n">
        <v>2669541997.99744</v>
      </c>
      <c r="AS19" s="5" t="n">
        <v>2547286140.06595</v>
      </c>
      <c r="AT19" s="5" t="n">
        <v>2806270506.23597</v>
      </c>
      <c r="AU19" s="5" t="n">
        <v>3040812308.48971</v>
      </c>
      <c r="AV19" s="5" t="n">
        <v>2831710791.6156</v>
      </c>
      <c r="AW19" s="5" t="n">
        <v>2843464775.75039</v>
      </c>
      <c r="AX19" s="5" t="n">
        <v>1681512639.63083</v>
      </c>
      <c r="AY19" s="5"/>
    </row>
    <row r="20">
      <c r="A20" t="str">
        <f>M20</f>
      </c>
      <c r="B20" t="str">
        <f>N20</f>
      </c>
      <c r="M20" t="s">
        <v>65</v>
      </c>
      <c r="N20" t="s">
        <v>70</v>
      </c>
      <c r="O20" s="5"/>
      <c r="P20" s="5"/>
      <c r="Q20" s="5"/>
      <c r="R20" s="5"/>
      <c r="S20" s="5"/>
      <c r="T20" s="5"/>
      <c r="U20" s="5" t="n">
        <v>0</v>
      </c>
      <c r="V20" s="5" t="n">
        <v>9713090.02490103</v>
      </c>
      <c r="W20" s="5"/>
      <c r="X20" s="5"/>
      <c r="Y20" s="5" t="n">
        <v>153913.105153934</v>
      </c>
      <c r="Z20" s="5" t="n">
        <v>8155927.23137624</v>
      </c>
      <c r="AA20" s="5" t="n">
        <v>9667184.49943569</v>
      </c>
      <c r="AB20" s="5" t="n">
        <v>-301374.482989195</v>
      </c>
      <c r="AC20" s="5" t="n">
        <v>-295688.921275659</v>
      </c>
      <c r="AD20" s="5" t="n">
        <v>20381.0487374817</v>
      </c>
      <c r="AE20" s="5"/>
      <c r="AF20" s="5"/>
      <c r="AG20" s="5"/>
      <c r="AH20" s="5" t="n">
        <v>0</v>
      </c>
      <c r="AI20" s="5"/>
      <c r="AJ20" s="5" t="n">
        <v>-120132.532471934</v>
      </c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>
      <c r="A21" t="str">
        <f>M21</f>
      </c>
      <c r="B21" t="str">
        <f>N21</f>
      </c>
      <c r="M21"/>
      <c r="N21"/>
      <c r="O21" s="5" t="n">
        <v>9138244581.03204</v>
      </c>
      <c r="P21" s="5" t="n">
        <v>13409688142.9605</v>
      </c>
      <c r="Q21" s="5" t="n">
        <v>10595873380.5956</v>
      </c>
      <c r="R21" s="5" t="n">
        <v>12390727840.3286</v>
      </c>
      <c r="S21" s="5" t="n">
        <v>9729931160.15749</v>
      </c>
      <c r="T21" s="5" t="n">
        <v>8259554872.83913</v>
      </c>
      <c r="U21" s="5" t="n">
        <v>8557940912.21167</v>
      </c>
      <c r="V21" s="5" t="n">
        <v>8878459926.95133</v>
      </c>
      <c r="W21" s="5" t="n">
        <v>8320994021.32725</v>
      </c>
      <c r="X21" s="5" t="n">
        <v>7464364324.41389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71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72</v>
      </c>
      <c r="N2" s="7" t="n">
        <v>1723313820</v>
      </c>
      <c r="O2" s="7" t="n">
        <v>1144225016</v>
      </c>
      <c r="P2" s="7" t="n">
        <v>616761921</v>
      </c>
      <c r="Q2" s="7" t="n">
        <v>624608748</v>
      </c>
      <c r="R2" s="7" t="n">
        <v>1482867</v>
      </c>
      <c r="S2" s="7"/>
      <c r="T2" s="7"/>
      <c r="U2" s="7"/>
      <c r="V2" s="7" t="n">
        <v>-232087.9468</v>
      </c>
      <c r="W2" s="7" t="n">
        <v>-738466.3701</v>
      </c>
      <c r="X2" s="7" t="n">
        <v>-1307972.8354</v>
      </c>
      <c r="Y2" s="7" t="n">
        <v>-995751.6123</v>
      </c>
      <c r="Z2" s="7"/>
      <c r="AA2" s="7"/>
      <c r="AB2" s="7"/>
      <c r="AC2" s="7"/>
      <c r="AD2" s="7"/>
      <c r="AE2" s="7" t="n">
        <v>0</v>
      </c>
      <c r="AF2" s="7" t="n">
        <v>-86754.8106</v>
      </c>
      <c r="AG2" s="7" t="n">
        <v>0</v>
      </c>
      <c r="AH2" s="7" t="n">
        <v>0</v>
      </c>
      <c r="AI2" s="7" t="n">
        <v>0</v>
      </c>
      <c r="AJ2" s="7" t="n">
        <v>0</v>
      </c>
      <c r="AK2" s="7" t="n">
        <v>0</v>
      </c>
      <c r="AL2" s="7"/>
      <c r="AM2" s="7"/>
    </row>
    <row r="3">
      <c r="A3" t="str">
        <f>M3</f>
      </c>
      <c r="M3" t="s">
        <v>73</v>
      </c>
      <c r="N3" s="7"/>
      <c r="O3" s="7"/>
      <c r="P3" s="7"/>
      <c r="Q3" s="7"/>
      <c r="R3" s="7" t="n">
        <v>89724927</v>
      </c>
      <c r="S3" s="7" t="n">
        <v>244783962</v>
      </c>
      <c r="T3" s="7" t="n">
        <v>270902157.4219</v>
      </c>
      <c r="U3" s="7" t="n">
        <v>448850784.125</v>
      </c>
      <c r="V3" s="7" t="n">
        <v>435022488.6299</v>
      </c>
      <c r="W3" s="7" t="n">
        <v>425997768.1564</v>
      </c>
      <c r="X3" s="7" t="n">
        <v>258866860.6211</v>
      </c>
      <c r="Y3" s="7" t="n">
        <v>263393207.0523</v>
      </c>
      <c r="Z3" s="7" t="n">
        <v>493982433.0777</v>
      </c>
      <c r="AA3" s="7" t="n">
        <v>417122703.3063</v>
      </c>
      <c r="AB3" s="7" t="n">
        <v>628060221.5797</v>
      </c>
      <c r="AC3" s="7" t="n">
        <v>570446795.6054</v>
      </c>
      <c r="AD3" s="7" t="n">
        <v>606250561.8626</v>
      </c>
      <c r="AE3" s="7" t="n">
        <v>548339567.3518</v>
      </c>
      <c r="AF3" s="7" t="n">
        <v>691883896.4739</v>
      </c>
      <c r="AG3" s="7" t="n">
        <v>720931920.8941</v>
      </c>
      <c r="AH3" s="7" t="n">
        <v>643919640.7736</v>
      </c>
      <c r="AI3" s="7" t="n">
        <v>695703467.4951</v>
      </c>
      <c r="AJ3" s="7" t="n">
        <v>551993804.1368</v>
      </c>
      <c r="AK3" s="7" t="n">
        <v>376895553.2932</v>
      </c>
      <c r="AL3" s="7"/>
      <c r="AM3" s="7"/>
    </row>
    <row r="4">
      <c r="A4" t="str">
        <f>M4</f>
      </c>
      <c r="M4" t="s">
        <v>74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 t="n">
        <v>3558108891.4062</v>
      </c>
      <c r="AH4" s="7" t="n">
        <v>4555860339.8096</v>
      </c>
      <c r="AI4" s="7" t="n">
        <v>1193925604.9232</v>
      </c>
      <c r="AJ4" s="7" t="n">
        <v>1918911399.4134</v>
      </c>
      <c r="AK4" s="7" t="n">
        <v>3233787953.6642</v>
      </c>
      <c r="AL4" s="7"/>
      <c r="AM4" s="7"/>
    </row>
    <row r="5">
      <c r="A5" t="str">
        <f>M5</f>
      </c>
      <c r="M5" t="s">
        <v>75</v>
      </c>
      <c r="N5" s="7" t="n">
        <v>293472820</v>
      </c>
      <c r="O5" s="7" t="n">
        <v>1104343146.3999</v>
      </c>
      <c r="P5" s="7" t="n">
        <v>2627524408.8281</v>
      </c>
      <c r="Q5" s="7" t="n">
        <v>2983186586.0938</v>
      </c>
      <c r="R5" s="7" t="n">
        <v>4455972289.586</v>
      </c>
      <c r="S5" s="7" t="n">
        <v>4902729309.1563</v>
      </c>
      <c r="T5" s="7" t="n">
        <v>4487226755.394</v>
      </c>
      <c r="U5" s="7" t="n">
        <v>5636680902.7984</v>
      </c>
      <c r="V5" s="7" t="n">
        <v>5827414394.0719</v>
      </c>
      <c r="W5" s="7" t="n">
        <v>5278493209.1992</v>
      </c>
      <c r="X5" s="7" t="n">
        <v>5134824130.9691</v>
      </c>
      <c r="Y5" s="7" t="n">
        <v>5072049489.9168</v>
      </c>
      <c r="Z5" s="7" t="n">
        <v>6412980606.3249</v>
      </c>
      <c r="AA5" s="7" t="n">
        <v>7378691004.6217</v>
      </c>
      <c r="AB5" s="7" t="n">
        <v>5574708066.684</v>
      </c>
      <c r="AC5" s="7" t="n">
        <v>4234648142.4837</v>
      </c>
      <c r="AD5" s="7" t="n">
        <v>6075253984.317</v>
      </c>
      <c r="AE5" s="7" t="n">
        <v>5113479977.5101</v>
      </c>
      <c r="AF5" s="7" t="n">
        <v>7582946923.7005</v>
      </c>
      <c r="AG5" s="7" t="n">
        <v>8027187255.4746</v>
      </c>
      <c r="AH5" s="7" t="n">
        <v>11487518565.0383</v>
      </c>
      <c r="AI5" s="7" t="n">
        <v>7761768593.9455</v>
      </c>
      <c r="AJ5" s="7" t="n">
        <v>8172176497.1852</v>
      </c>
      <c r="AK5" s="7" t="n">
        <v>4601381789.7637</v>
      </c>
      <c r="AL5" s="7"/>
      <c r="AM5" s="7"/>
    </row>
    <row r="6">
      <c r="A6" t="str">
        <f>M6</f>
      </c>
      <c r="M6" t="s">
        <v>76</v>
      </c>
      <c r="N6" s="7" t="n">
        <v>234762930</v>
      </c>
      <c r="O6" s="7" t="n">
        <v>224579720</v>
      </c>
      <c r="P6" s="7" t="n">
        <v>196975205</v>
      </c>
      <c r="Q6" s="7" t="n">
        <v>238864110</v>
      </c>
      <c r="R6" s="7" t="n">
        <v>702517519</v>
      </c>
      <c r="S6" s="7" t="n">
        <v>619036299</v>
      </c>
      <c r="T6" s="7" t="n">
        <v>1161950679.5128</v>
      </c>
      <c r="U6" s="7" t="n">
        <v>1249756729.4089</v>
      </c>
      <c r="V6" s="7" t="n">
        <v>876584945.6646</v>
      </c>
      <c r="W6" s="7" t="n">
        <v>1176334973.0375</v>
      </c>
      <c r="X6" s="7" t="n">
        <v>1232266065.0893</v>
      </c>
      <c r="Y6" s="7" t="n">
        <v>1473322498.8389</v>
      </c>
      <c r="Z6" s="7" t="n">
        <v>1141297246.4773</v>
      </c>
      <c r="AA6" s="7" t="n">
        <v>807238828.72</v>
      </c>
      <c r="AB6" s="7" t="n">
        <v>610798776.5</v>
      </c>
      <c r="AC6" s="7" t="n">
        <v>809124900.3215</v>
      </c>
      <c r="AD6" s="7" t="n">
        <v>1051140259.346</v>
      </c>
      <c r="AE6" s="7" t="n">
        <v>1224312126.4158</v>
      </c>
      <c r="AF6" s="7" t="n">
        <v>1087685022.2122</v>
      </c>
      <c r="AG6" s="7" t="n">
        <v>997937687.5569</v>
      </c>
      <c r="AH6" s="7" t="n">
        <v>1634669242.0624</v>
      </c>
      <c r="AI6" s="7" t="n">
        <v>1023786628.709</v>
      </c>
      <c r="AJ6" s="7" t="n">
        <v>1302096696.3975</v>
      </c>
      <c r="AK6" s="7" t="n">
        <v>538454798.5845</v>
      </c>
      <c r="AL6" s="7"/>
      <c r="AM6" s="7"/>
    </row>
    <row r="7">
      <c r="A7" t="str">
        <f>M7</f>
      </c>
      <c r="M7" t="s">
        <v>77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 t="n">
        <v>428167663.37</v>
      </c>
      <c r="AC7" s="7" t="n">
        <v>1830588298</v>
      </c>
      <c r="AD7" s="7" t="n">
        <v>1826374230.0419</v>
      </c>
      <c r="AE7" s="7" t="n">
        <v>84766828.588</v>
      </c>
      <c r="AF7" s="7" t="n">
        <v>59738487.6095</v>
      </c>
      <c r="AG7" s="7" t="n">
        <v>229141613.7293</v>
      </c>
      <c r="AH7" s="7" t="n">
        <v>201097906.5165</v>
      </c>
      <c r="AI7" s="7" t="n">
        <v>161915560.1566</v>
      </c>
      <c r="AJ7" s="7" t="n">
        <v>223277735.9279</v>
      </c>
      <c r="AK7" s="7" t="n">
        <v>217864538.3452</v>
      </c>
      <c r="AL7" s="7"/>
      <c r="AM7" s="7"/>
    </row>
    <row r="8">
      <c r="A8" t="str">
        <f>M8</f>
      </c>
      <c r="M8" t="s">
        <v>78</v>
      </c>
      <c r="N8" s="7"/>
      <c r="O8" s="7"/>
      <c r="P8" s="7"/>
      <c r="Q8" s="7"/>
      <c r="R8" s="7" t="n">
        <v>-7664</v>
      </c>
      <c r="S8" s="7" t="n">
        <v>0</v>
      </c>
      <c r="T8" s="7" t="n">
        <v>545590</v>
      </c>
      <c r="U8" s="7" t="n">
        <v>339186911.8996</v>
      </c>
      <c r="V8" s="7" t="n">
        <v>774593630.2636</v>
      </c>
      <c r="W8" s="7" t="n">
        <v>2411545050.5789</v>
      </c>
      <c r="X8" s="7" t="n">
        <v>3093567124.9184</v>
      </c>
      <c r="Y8" s="7" t="n">
        <v>3543625368.9727</v>
      </c>
      <c r="Z8" s="7" t="n">
        <v>2391815511.2453</v>
      </c>
      <c r="AA8" s="7" t="n">
        <v>2089190450.0281</v>
      </c>
      <c r="AB8" s="7" t="n">
        <v>1167891356.23</v>
      </c>
      <c r="AC8" s="7" t="n">
        <v>695863642.4823</v>
      </c>
      <c r="AD8" s="7" t="n">
        <v>333641882.2051</v>
      </c>
      <c r="AE8" s="7" t="n">
        <v>52715937.5805</v>
      </c>
      <c r="AF8" s="7" t="n">
        <v>-28843688.2066</v>
      </c>
      <c r="AG8" s="7" t="n">
        <v>-36491160.0334</v>
      </c>
      <c r="AH8" s="7" t="n">
        <v>-6306976.0216</v>
      </c>
      <c r="AI8" s="7" t="n">
        <v>-4956354.6856</v>
      </c>
      <c r="AJ8" s="7" t="n">
        <v>-9795723.5255</v>
      </c>
      <c r="AK8" s="7" t="n">
        <v>-5983423.5178</v>
      </c>
      <c r="AL8" s="7"/>
      <c r="AM8" s="7"/>
    </row>
    <row r="9">
      <c r="A9" t="str">
        <f>M9</f>
      </c>
      <c r="M9" t="s">
        <v>79</v>
      </c>
      <c r="N9" s="7" t="n">
        <v>322095962</v>
      </c>
      <c r="O9" s="7" t="n">
        <v>278027383</v>
      </c>
      <c r="P9" s="7" t="n">
        <v>487785275</v>
      </c>
      <c r="Q9" s="7" t="n">
        <v>405421716</v>
      </c>
      <c r="R9" s="7" t="n">
        <v>40823030</v>
      </c>
      <c r="S9" s="7" t="n">
        <v>8952204</v>
      </c>
      <c r="T9" s="7" t="n">
        <v>12455629</v>
      </c>
      <c r="U9" s="7" t="n">
        <v>-5148788</v>
      </c>
      <c r="V9" s="7" t="n">
        <v>312441</v>
      </c>
      <c r="W9" s="7" t="n">
        <v>-709288.8658</v>
      </c>
      <c r="X9" s="7" t="n">
        <v>-12689917.0663</v>
      </c>
      <c r="Y9" s="7" t="n">
        <v>-4571609.0866</v>
      </c>
      <c r="Z9" s="7"/>
      <c r="AA9" s="7" t="n">
        <v>-552997.72</v>
      </c>
      <c r="AB9" s="7" t="n">
        <v>-27254</v>
      </c>
      <c r="AC9" s="7"/>
      <c r="AD9" s="7" t="n">
        <v>1244282.9375</v>
      </c>
      <c r="AE9" s="7"/>
      <c r="AF9" s="7" t="n">
        <v>89637.0078</v>
      </c>
      <c r="AG9" s="7"/>
      <c r="AH9" s="7"/>
      <c r="AI9" s="7"/>
      <c r="AJ9" s="7" t="n">
        <v>0</v>
      </c>
      <c r="AK9" s="7"/>
      <c r="AL9" s="7"/>
      <c r="AM9" s="7"/>
    </row>
    <row r="10">
      <c r="A10" t="str">
        <f>M10</f>
      </c>
      <c r="M10" t="s">
        <v>80</v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 t="n">
        <v>1996697.7266</v>
      </c>
      <c r="Y10" s="7"/>
      <c r="Z10" s="7" t="n">
        <v>639495.0625</v>
      </c>
      <c r="AA10" s="7" t="n">
        <v>9727091.9453</v>
      </c>
      <c r="AB10" s="7" t="n">
        <v>37489754.3204</v>
      </c>
      <c r="AC10" s="7" t="n">
        <v>1178125193.6519</v>
      </c>
      <c r="AD10" s="7" t="n">
        <v>43880785.7099</v>
      </c>
      <c r="AE10" s="7" t="n">
        <v>1575506147.7566</v>
      </c>
      <c r="AF10" s="7" t="n">
        <v>3902237456.5622</v>
      </c>
      <c r="AG10" s="7" t="n">
        <v>1126825152.759</v>
      </c>
      <c r="AH10" s="7" t="n">
        <v>615142410.2882</v>
      </c>
      <c r="AI10" s="7" t="n">
        <v>514656179.2428</v>
      </c>
      <c r="AJ10" s="7" t="n">
        <v>153662063.9002</v>
      </c>
      <c r="AK10" s="7" t="n">
        <v>6526270.2891</v>
      </c>
      <c r="AL10" s="7"/>
      <c r="AM10" s="7"/>
    </row>
    <row r="11">
      <c r="A11" t="str">
        <f>M11</f>
      </c>
      <c r="M11" t="s">
        <v>81</v>
      </c>
      <c r="N11" s="7" t="n">
        <v>427393585</v>
      </c>
      <c r="O11" s="7" t="n">
        <v>567514850</v>
      </c>
      <c r="P11" s="7" t="n">
        <v>770886872</v>
      </c>
      <c r="Q11" s="7" t="n">
        <v>734893178</v>
      </c>
      <c r="R11" s="7" t="n">
        <v>611745524</v>
      </c>
      <c r="S11" s="7" t="n">
        <v>638010178</v>
      </c>
      <c r="T11" s="7" t="n">
        <v>791223990</v>
      </c>
      <c r="U11" s="7" t="n">
        <v>580520560</v>
      </c>
      <c r="V11" s="7" t="n">
        <v>403608313</v>
      </c>
      <c r="W11" s="7" t="n">
        <v>416757371</v>
      </c>
      <c r="X11" s="7" t="n">
        <v>287211640.2656</v>
      </c>
      <c r="Y11" s="7" t="n">
        <v>147373827.0645</v>
      </c>
      <c r="Z11" s="7" t="n">
        <v>54587040.4375</v>
      </c>
      <c r="AA11" s="7" t="n">
        <v>27174261.37</v>
      </c>
      <c r="AB11" s="7" t="n">
        <v>-6735766.88</v>
      </c>
      <c r="AC11" s="7" t="n">
        <v>-534233.07</v>
      </c>
      <c r="AD11" s="7" t="n">
        <v>-1062385.625</v>
      </c>
      <c r="AE11" s="7" t="n">
        <v>-1667161.625</v>
      </c>
      <c r="AF11" s="7" t="n">
        <v>-5996201.8437</v>
      </c>
      <c r="AG11" s="7" t="n">
        <v>-633691.625</v>
      </c>
      <c r="AH11" s="7" t="n">
        <v>-776000</v>
      </c>
      <c r="AI11" s="7"/>
      <c r="AJ11" s="7"/>
      <c r="AK11" s="7"/>
      <c r="AL11" s="7"/>
      <c r="AM11" s="7"/>
    </row>
    <row r="12">
      <c r="A12" t="str">
        <f>M12</f>
      </c>
      <c r="M12"/>
      <c r="N12" s="7" t="n">
        <v>0</v>
      </c>
      <c r="O12" s="7" t="n">
        <v>45601401</v>
      </c>
      <c r="P12" s="7" t="n">
        <v>26657263</v>
      </c>
      <c r="Q12" s="7" t="n">
        <v>49457786</v>
      </c>
      <c r="R12" s="7" t="n">
        <v>90366956</v>
      </c>
      <c r="S12" s="7" t="n">
        <v>79195742</v>
      </c>
      <c r="T12" s="7" t="n">
        <v>38923135</v>
      </c>
      <c r="U12" s="7" t="n">
        <v>58370664</v>
      </c>
      <c r="V12" s="7" t="n">
        <v>444436811.2206</v>
      </c>
      <c r="W12" s="7" t="n">
        <v>791989137.0435</v>
      </c>
      <c r="X12" s="7" t="n">
        <v>547922126.9601</v>
      </c>
      <c r="Y12" s="7" t="n">
        <v>416133844.4989</v>
      </c>
      <c r="Z12" s="7" t="n">
        <v>712119066.371</v>
      </c>
      <c r="AA12" s="7" t="n">
        <v>79345844.171</v>
      </c>
      <c r="AB12" s="7" t="n">
        <v>76104919.59</v>
      </c>
      <c r="AC12" s="7" t="n">
        <v>61123712.0982</v>
      </c>
      <c r="AD12" s="7" t="n">
        <v>49118057.3052</v>
      </c>
      <c r="AE12" s="7" t="n">
        <v>35756710.7583</v>
      </c>
      <c r="AF12" s="7" t="n">
        <v>137388894.1763</v>
      </c>
      <c r="AG12" s="7" t="n">
        <v>206073106.7622</v>
      </c>
      <c r="AH12" s="7" t="n">
        <v>237927488.9763</v>
      </c>
      <c r="AI12" s="7" t="n">
        <v>750740725.0715</v>
      </c>
      <c r="AJ12" s="7" t="n">
        <v>1504968056.2708</v>
      </c>
      <c r="AK12" s="7" t="n">
        <v>606793925.0374</v>
      </c>
      <c r="AL12" s="7"/>
      <c r="AM12" s="7"/>
    </row>
    <row r="13">
      <c r="A13" t="str">
        <f>M13</f>
      </c>
      <c r="M13" t="s">
        <v>151</v>
      </c>
      <c r="N13" s="7" t="str">
        <f>Sum(N2:N12)</f>
      </c>
      <c r="O13" s="7" t="str">
        <f>Sum(O2:O12)</f>
      </c>
      <c r="P13" s="7" t="str">
        <f>Sum(P2:P12)</f>
      </c>
      <c r="Q13" s="7" t="str">
        <f>Sum(Q2:Q12)</f>
      </c>
      <c r="R13" s="7" t="str">
        <f>Sum(R2:R12)</f>
      </c>
      <c r="S13" s="7" t="str">
        <f>Sum(S2:S12)</f>
      </c>
      <c r="T13" s="7" t="str">
        <f>Sum(T2:T12)</f>
      </c>
      <c r="U13" s="7" t="str">
        <f>Sum(U2:U12)</f>
      </c>
      <c r="V13" s="7" t="str">
        <f>Sum(V2:V12)</f>
      </c>
      <c r="W13" s="7" t="str">
        <f>Sum(W2:W12)</f>
      </c>
      <c r="X13" s="7" t="str">
        <f>Sum(X2:X12)</f>
      </c>
      <c r="Y13" s="7" t="str">
        <f>Sum(Y2:Y12)</f>
      </c>
      <c r="Z13" s="7" t="str">
        <f>Sum(Z2:Z12)</f>
      </c>
      <c r="AA13" s="7" t="str">
        <f>Sum(AA2:AA12)</f>
      </c>
      <c r="AB13" s="7" t="str">
        <f>Sum(AB2:AB12)</f>
      </c>
      <c r="AC13" s="7" t="str">
        <f>Sum(AC2:AC12)</f>
      </c>
      <c r="AD13" s="7" t="str">
        <f>Sum(AD2:AD12)</f>
      </c>
      <c r="AE13" s="7" t="str">
        <f>Sum(AE2:AE12)</f>
      </c>
      <c r="AF13" s="7" t="str">
        <f>Sum(AF2:AF12)</f>
      </c>
      <c r="AG13" s="7" t="str">
        <f>Sum(AG2:AG12)</f>
      </c>
      <c r="AH13" s="7" t="str">
        <f>Sum(AH2:AH12)</f>
      </c>
      <c r="AI13" s="7" t="str">
        <f>Sum(AI2:AI12)</f>
      </c>
      <c r="AJ13" s="7" t="str">
        <f>Sum(AJ2:AJ12)</f>
      </c>
      <c r="AK13" s="7" t="str">
        <f>Sum(AK2:AK12)</f>
      </c>
      <c r="AL13" s="7"/>
      <c r="AM13" s="7"/>
    </row>
    <row r="14">
      <c r="M14" t="str">
        <f>Sum(A2:A12)</f>
      </c>
    </row>
    <row r="15">
      <c r="M15" t="str">
        <f>Sum(B2:B12)</f>
      </c>
    </row>
    <row r="16">
      <c r="A16" t="str">
        <f>M16</f>
      </c>
      <c r="B16" t="str">
        <f>AC16</f>
      </c>
      <c r="C16" t="str">
        <f>AI16</f>
      </c>
      <c r="D16" t="str">
        <f>AJ16</f>
      </c>
      <c r="E16" t="str">
        <f>AK16</f>
      </c>
      <c r="F16" t="str">
        <f>AI16&amp;"-"&amp;AJ16</f>
      </c>
      <c r="G16" t="str">
        <f>AC16&amp;"-"&amp;AJ16</f>
      </c>
      <c r="H16" t="str">
        <f>AK16&amp;"/"&amp;AJ16</f>
      </c>
      <c r="I16" t="str">
        <f>"Share "&amp;AJ16</f>
      </c>
      <c r="J16" t="str">
        <f>"Share "&amp;AK16</f>
      </c>
      <c r="M16" t="s">
        <v>71</v>
      </c>
      <c r="N16" t="s">
        <v>11</v>
      </c>
      <c r="O16" t="s">
        <v>12</v>
      </c>
      <c r="P16" t="s">
        <v>13</v>
      </c>
      <c r="Q16" t="s">
        <v>14</v>
      </c>
      <c r="R16" t="s">
        <v>15</v>
      </c>
      <c r="S16" t="s">
        <v>16</v>
      </c>
      <c r="T16" t="s">
        <v>17</v>
      </c>
      <c r="U16" t="s">
        <v>18</v>
      </c>
      <c r="V16" t="s">
        <v>19</v>
      </c>
      <c r="W16" t="s">
        <v>20</v>
      </c>
      <c r="X16" t="s">
        <v>21</v>
      </c>
      <c r="Y16" t="s">
        <v>22</v>
      </c>
      <c r="Z16" t="s">
        <v>23</v>
      </c>
      <c r="AA16" t="s">
        <v>24</v>
      </c>
      <c r="AB16" t="s">
        <v>25</v>
      </c>
      <c r="AC16" t="s">
        <v>26</v>
      </c>
      <c r="AD16" t="s">
        <v>27</v>
      </c>
      <c r="AE16" t="s">
        <v>28</v>
      </c>
      <c r="AF16" t="s">
        <v>29</v>
      </c>
      <c r="AG16" t="s">
        <v>30</v>
      </c>
      <c r="AH16" t="s">
        <v>31</v>
      </c>
      <c r="AI16" t="s">
        <v>32</v>
      </c>
      <c r="AJ16" t="s">
        <v>33</v>
      </c>
      <c r="AK16" t="s">
        <v>34</v>
      </c>
    </row>
    <row r="17">
      <c r="A17" t="str">
        <f>M17</f>
      </c>
      <c r="B17" s="7" t="str">
        <f>AC17</f>
      </c>
      <c r="C17" s="7" t="str">
        <f>AI17</f>
      </c>
      <c r="D17" s="7" t="str">
        <f>AJ17</f>
      </c>
      <c r="E17" s="7" t="str">
        <f>AK17</f>
      </c>
      <c r="F17" s="6" t="str">
        <f>AJ17/AI17-1</f>
      </c>
      <c r="G17" s="6" t="str">
        <f>AJ17/AC17-1</f>
      </c>
      <c r="H17" s="6" t="str">
        <f>AK17/AJ17</f>
      </c>
      <c r="I17" s="6" t="str">
        <f>AJ17/Sum(AJ$16:AJ$27)</f>
      </c>
      <c r="J17" s="6" t="str">
        <f>AK17/Sum(AK16:AK$27)</f>
      </c>
      <c r="M17" t="s">
        <v>72</v>
      </c>
      <c r="N17" s="7" t="n">
        <v>2784409924.1565</v>
      </c>
      <c r="O17" s="7" t="n">
        <v>1804988805.52813</v>
      </c>
      <c r="P17" s="7" t="n">
        <v>957810194.98376</v>
      </c>
      <c r="Q17" s="7" t="n">
        <v>951802754.999747</v>
      </c>
      <c r="R17" s="7" t="n">
        <v>2205734.00969018</v>
      </c>
      <c r="S17" s="7"/>
      <c r="T17" s="7"/>
      <c r="U17" s="7"/>
      <c r="V17" s="7" t="n">
        <v>-309376.89349475</v>
      </c>
      <c r="W17" s="7" t="n">
        <v>-974484.648893482</v>
      </c>
      <c r="X17" s="7" t="n">
        <v>-1711126.3151592</v>
      </c>
      <c r="Y17" s="7" t="n">
        <v>-1276934.83176748</v>
      </c>
      <c r="Z17" s="7"/>
      <c r="AA17" s="7"/>
      <c r="AB17" s="7"/>
      <c r="AC17" s="7"/>
      <c r="AD17" s="7"/>
      <c r="AE17" s="7" t="n">
        <v>0</v>
      </c>
      <c r="AF17" s="7" t="n">
        <v>-99066.315721179</v>
      </c>
      <c r="AG17" s="7" t="n">
        <v>0</v>
      </c>
      <c r="AH17" s="7" t="n">
        <v>0</v>
      </c>
      <c r="AI17" s="7" t="n">
        <v>0</v>
      </c>
      <c r="AJ17" s="7" t="n">
        <v>0</v>
      </c>
      <c r="AK17" s="7" t="n">
        <v>0</v>
      </c>
      <c r="AL17" s="7"/>
      <c r="AM17" s="7"/>
    </row>
    <row r="18">
      <c r="A18" t="str">
        <f>M18</f>
      </c>
      <c r="B18" s="7" t="str">
        <f>AC18</f>
      </c>
      <c r="C18" s="7" t="str">
        <f>AI18</f>
      </c>
      <c r="D18" s="7" t="str">
        <f>AJ18</f>
      </c>
      <c r="E18" s="7" t="str">
        <f>AK18</f>
      </c>
      <c r="F18" s="6" t="str">
        <f>AJ18/AI18-1</f>
      </c>
      <c r="G18" s="6" t="str">
        <f>AJ18/AC18-1</f>
      </c>
      <c r="H18" s="6" t="str">
        <f>AK18/AJ18</f>
      </c>
      <c r="I18" s="6" t="str">
        <f>AJ18/Sum(AJ$16:AJ$27)</f>
      </c>
      <c r="J18" s="6" t="str">
        <f>AK18/Sum(AK16:AK$27)</f>
      </c>
      <c r="M18" t="s">
        <v>73</v>
      </c>
      <c r="N18" s="7"/>
      <c r="O18" s="7"/>
      <c r="P18" s="7"/>
      <c r="Q18" s="7"/>
      <c r="R18" s="7" t="n">
        <v>133463974.180334</v>
      </c>
      <c r="S18" s="7" t="n">
        <v>353383518.726532</v>
      </c>
      <c r="T18" s="7" t="n">
        <v>378757729.173113</v>
      </c>
      <c r="U18" s="7" t="n">
        <v>610803752.3278</v>
      </c>
      <c r="V18" s="7" t="n">
        <v>579891838.366996</v>
      </c>
      <c r="W18" s="7" t="n">
        <v>562149208.602528</v>
      </c>
      <c r="X18" s="7" t="n">
        <v>338656801.840957</v>
      </c>
      <c r="Y18" s="7" t="n">
        <v>337770942.453361</v>
      </c>
      <c r="Z18" s="7" t="n">
        <v>622072077.856056</v>
      </c>
      <c r="AA18" s="7" t="n">
        <v>515842698.65472</v>
      </c>
      <c r="AB18" s="7" t="n">
        <v>761961692.870075</v>
      </c>
      <c r="AC18" s="7" t="n">
        <v>684221021.134957</v>
      </c>
      <c r="AD18" s="7" t="n">
        <v>721189621.171773</v>
      </c>
      <c r="AE18" s="7" t="n">
        <v>640857556.85431</v>
      </c>
      <c r="AF18" s="7" t="n">
        <v>790070176.586644</v>
      </c>
      <c r="AG18" s="7" t="n">
        <v>807425798.773212</v>
      </c>
      <c r="AH18" s="7" t="n">
        <v>711679835.061188</v>
      </c>
      <c r="AI18" s="7" t="n">
        <v>743907087.538328</v>
      </c>
      <c r="AJ18" s="7" t="n">
        <v>551993804.1368</v>
      </c>
      <c r="AK18" s="7" t="n">
        <v>359482367.947432</v>
      </c>
      <c r="AL18" s="7"/>
      <c r="AM18" s="7"/>
    </row>
    <row r="19">
      <c r="A19" t="str">
        <f>M19</f>
      </c>
      <c r="B19" s="7" t="str">
        <f>AC19</f>
      </c>
      <c r="C19" s="7" t="str">
        <f>AI19</f>
      </c>
      <c r="D19" s="7" t="str">
        <f>AJ19</f>
      </c>
      <c r="E19" s="7" t="str">
        <f>AK19</f>
      </c>
      <c r="F19" s="6" t="str">
        <f>AJ19/AI19-1</f>
      </c>
      <c r="G19" s="6" t="str">
        <f>AJ19/AC19-1</f>
      </c>
      <c r="H19" s="6" t="str">
        <f>AK19/AJ19</f>
      </c>
      <c r="I19" s="6" t="str">
        <f>AJ19/Sum(AJ$16:AJ$27)</f>
      </c>
      <c r="J19" s="6" t="str">
        <f>AK19/Sum(AK16:AK$27)</f>
      </c>
      <c r="M19" t="s">
        <v>74</v>
      </c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 t="n">
        <v>3984993354.4387</v>
      </c>
      <c r="AH19" s="7" t="n">
        <v>5035277276.68349</v>
      </c>
      <c r="AI19" s="7" t="n">
        <v>1276649838.60686</v>
      </c>
      <c r="AJ19" s="7" t="n">
        <v>1918911399.4134</v>
      </c>
      <c r="AK19" s="7" t="n">
        <v>3084381709.64237</v>
      </c>
      <c r="AL19" s="7"/>
      <c r="AM19" s="7"/>
    </row>
    <row r="20">
      <c r="A20" t="str">
        <f>M20</f>
      </c>
      <c r="B20" s="7" t="str">
        <f>AC20</f>
      </c>
      <c r="C20" s="7" t="str">
        <f>AI20</f>
      </c>
      <c r="D20" s="7" t="str">
        <f>AJ20</f>
      </c>
      <c r="E20" s="7" t="str">
        <f>AK20</f>
      </c>
      <c r="F20" s="6" t="str">
        <f>AJ20/AI20-1</f>
      </c>
      <c r="G20" s="6" t="str">
        <f>AJ20/AC20-1</f>
      </c>
      <c r="H20" s="6" t="str">
        <f>AK20/AJ20</f>
      </c>
      <c r="I20" s="6" t="str">
        <f>AJ20/Sum(AJ$16:AJ$27)</f>
      </c>
      <c r="J20" s="6" t="str">
        <f>AK20/Sum(AK16:AK$27)</f>
      </c>
      <c r="M20" t="s">
        <v>75</v>
      </c>
      <c r="N20" s="7" t="n">
        <v>474172854.064499</v>
      </c>
      <c r="O20" s="7" t="n">
        <v>1742076067.94145</v>
      </c>
      <c r="P20" s="7" t="n">
        <v>4080455651.77528</v>
      </c>
      <c r="Q20" s="7" t="n">
        <v>4545894082.35821</v>
      </c>
      <c r="R20" s="7" t="n">
        <v>6628166669.95548</v>
      </c>
      <c r="S20" s="7" t="n">
        <v>7077848240.04668</v>
      </c>
      <c r="T20" s="7" t="n">
        <v>6273747807.44538</v>
      </c>
      <c r="U20" s="7" t="n">
        <v>7670490879.98229</v>
      </c>
      <c r="V20" s="7" t="n">
        <v>7768035295.25022</v>
      </c>
      <c r="W20" s="7" t="n">
        <v>6965531282.02244</v>
      </c>
      <c r="X20" s="7" t="n">
        <v>6717519245.36619</v>
      </c>
      <c r="Y20" s="7" t="n">
        <v>6504309490.55992</v>
      </c>
      <c r="Z20" s="7" t="n">
        <v>8075866476.00407</v>
      </c>
      <c r="AA20" s="7" t="n">
        <v>9124998112.52992</v>
      </c>
      <c r="AB20" s="7" t="n">
        <v>6763227234.90294</v>
      </c>
      <c r="AC20" s="7" t="n">
        <v>5079238411.92319</v>
      </c>
      <c r="AD20" s="7" t="n">
        <v>7227061540.38152</v>
      </c>
      <c r="AE20" s="7" t="n">
        <v>5976246254.19035</v>
      </c>
      <c r="AF20" s="7" t="n">
        <v>8659054280.04308</v>
      </c>
      <c r="AG20" s="7" t="n">
        <v>8990249833.32066</v>
      </c>
      <c r="AH20" s="7" t="n">
        <v>12696359607.5543</v>
      </c>
      <c r="AI20" s="7" t="n">
        <v>8299562872.17891</v>
      </c>
      <c r="AJ20" s="7" t="n">
        <v>8172176497.1852</v>
      </c>
      <c r="AK20" s="7" t="n">
        <v>4388790494.23981</v>
      </c>
      <c r="AL20" s="7"/>
      <c r="AM20" s="7"/>
    </row>
    <row r="21">
      <c r="A21" t="str">
        <f>M21</f>
      </c>
      <c r="B21" s="7" t="str">
        <f>AC21</f>
      </c>
      <c r="C21" s="7" t="str">
        <f>AI21</f>
      </c>
      <c r="D21" s="7" t="str">
        <f>AJ21</f>
      </c>
      <c r="E21" s="7" t="str">
        <f>AK21</f>
      </c>
      <c r="F21" s="6" t="str">
        <f>AJ21/AI21-1</f>
      </c>
      <c r="G21" s="6" t="str">
        <f>AJ21/AC21-1</f>
      </c>
      <c r="H21" s="6" t="str">
        <f>AK21/AJ21</f>
      </c>
      <c r="I21" s="6" t="str">
        <f>AJ21/Sum(AJ$16:AJ$27)</f>
      </c>
      <c r="J21" s="6" t="str">
        <f>AK21/Sum(AK16:AK$27)</f>
      </c>
      <c r="M21" t="s">
        <v>76</v>
      </c>
      <c r="N21" s="7" t="n">
        <v>379313520.572856</v>
      </c>
      <c r="O21" s="7" t="n">
        <v>354269374.362849</v>
      </c>
      <c r="P21" s="7" t="n">
        <v>305895764.774389</v>
      </c>
      <c r="Q21" s="7" t="n">
        <v>363990287.834654</v>
      </c>
      <c r="R21" s="7" t="n">
        <v>1044980287.55207</v>
      </c>
      <c r="S21" s="7" t="n">
        <v>893674666.316863</v>
      </c>
      <c r="T21" s="7" t="n">
        <v>1624563661.55114</v>
      </c>
      <c r="U21" s="7" t="n">
        <v>1700690133.15411</v>
      </c>
      <c r="V21" s="7" t="n">
        <v>1168501557.7637</v>
      </c>
      <c r="W21" s="7" t="n">
        <v>1552298682.23565</v>
      </c>
      <c r="X21" s="7" t="n">
        <v>1612084619.94331</v>
      </c>
      <c r="Y21" s="7" t="n">
        <v>1889363566.12926</v>
      </c>
      <c r="Z21" s="7" t="n">
        <v>1437235622.21464</v>
      </c>
      <c r="AA21" s="7" t="n">
        <v>998287200.780881</v>
      </c>
      <c r="AB21" s="7" t="n">
        <v>741020134.302283</v>
      </c>
      <c r="AC21" s="7" t="n">
        <v>970502893.150893</v>
      </c>
      <c r="AD21" s="7" t="n">
        <v>1250425967.61824</v>
      </c>
      <c r="AE21" s="7" t="n">
        <v>1430882841.35905</v>
      </c>
      <c r="AF21" s="7" t="n">
        <v>1242040032.94396</v>
      </c>
      <c r="AG21" s="7" t="n">
        <v>1117665359.44506</v>
      </c>
      <c r="AH21" s="7" t="n">
        <v>1806686833.11618</v>
      </c>
      <c r="AI21" s="7" t="n">
        <v>1094722341.9279</v>
      </c>
      <c r="AJ21" s="7" t="n">
        <v>1302096696.3975</v>
      </c>
      <c r="AK21" s="7" t="n">
        <v>513577314.289067</v>
      </c>
      <c r="AL21" s="7"/>
      <c r="AM21" s="7"/>
    </row>
    <row r="22">
      <c r="A22" t="str">
        <f>M22</f>
      </c>
      <c r="B22" s="7" t="str">
        <f>AC22</f>
      </c>
      <c r="C22" s="7" t="str">
        <f>AI22</f>
      </c>
      <c r="D22" s="7" t="str">
        <f>AJ22</f>
      </c>
      <c r="E22" s="7" t="str">
        <f>AK22</f>
      </c>
      <c r="F22" s="6" t="str">
        <f>AJ22/AI22-1</f>
      </c>
      <c r="G22" s="6" t="str">
        <f>AJ22/AC22-1</f>
      </c>
      <c r="H22" s="6" t="str">
        <f>AK22/AJ22</f>
      </c>
      <c r="I22" s="6" t="str">
        <f>AJ22/Sum(AJ$16:AJ$27)</f>
      </c>
      <c r="J22" s="6" t="str">
        <f>AK22/Sum(AK16:AK$27)</f>
      </c>
      <c r="M22" t="s">
        <v>77</v>
      </c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 t="n">
        <v>519452349.319387</v>
      </c>
      <c r="AC22" s="7" t="n">
        <v>2195694680.35312</v>
      </c>
      <c r="AD22" s="7" t="n">
        <v>2172636566.36466</v>
      </c>
      <c r="AE22" s="7" t="n">
        <v>99069018.3704019</v>
      </c>
      <c r="AF22" s="7" t="n">
        <v>68216065.8676888</v>
      </c>
      <c r="AG22" s="7" t="n">
        <v>256632901.298235</v>
      </c>
      <c r="AH22" s="7" t="n">
        <v>222259604.892425</v>
      </c>
      <c r="AI22" s="7" t="n">
        <v>173134299.900671</v>
      </c>
      <c r="AJ22" s="7" t="n">
        <v>223277735.9279</v>
      </c>
      <c r="AK22" s="7" t="n">
        <v>207798843.610076</v>
      </c>
      <c r="AL22" s="7"/>
      <c r="AM22" s="7"/>
    </row>
    <row r="23">
      <c r="A23" t="str">
        <f>M23</f>
      </c>
      <c r="B23" s="7" t="str">
        <f>AC23</f>
      </c>
      <c r="C23" s="7" t="str">
        <f>AI23</f>
      </c>
      <c r="D23" s="7" t="str">
        <f>AJ23</f>
      </c>
      <c r="E23" s="7" t="str">
        <f>AK23</f>
      </c>
      <c r="F23" s="6" t="str">
        <f>AJ23/AI23-1</f>
      </c>
      <c r="G23" s="6" t="str">
        <f>AJ23/AC23-1</f>
      </c>
      <c r="H23" s="6" t="str">
        <f>AK23/AJ23</f>
      </c>
      <c r="I23" s="6" t="str">
        <f>AJ23/Sum(AJ$16:AJ$27)</f>
      </c>
      <c r="J23" s="6" t="str">
        <f>AK23/Sum(AK16:AK$27)</f>
      </c>
      <c r="M23" t="s">
        <v>78</v>
      </c>
      <c r="N23" s="7"/>
      <c r="O23" s="7"/>
      <c r="P23" s="7"/>
      <c r="Q23" s="7"/>
      <c r="R23" s="7" t="n">
        <v>-11400.0415750472</v>
      </c>
      <c r="S23" s="7" t="n">
        <v>0</v>
      </c>
      <c r="T23" s="7" t="n">
        <v>762808.35644188</v>
      </c>
      <c r="U23" s="7" t="n">
        <v>461571296.86791</v>
      </c>
      <c r="V23" s="7" t="n">
        <v>1032545525.76262</v>
      </c>
      <c r="W23" s="7" t="n">
        <v>3182289305.31524</v>
      </c>
      <c r="X23" s="7" t="n">
        <v>4047090254.39387</v>
      </c>
      <c r="Y23" s="7" t="n">
        <v>4544284546.95069</v>
      </c>
      <c r="Z23" s="7" t="n">
        <v>3012013272.73651</v>
      </c>
      <c r="AA23" s="7" t="n">
        <v>2583636975.89195</v>
      </c>
      <c r="AB23" s="7" t="n">
        <v>1416883993.45382</v>
      </c>
      <c r="AC23" s="7" t="n">
        <v>834651952.991745</v>
      </c>
      <c r="AD23" s="7" t="n">
        <v>396897055.064614</v>
      </c>
      <c r="AE23" s="7" t="n">
        <v>61610376.0818868</v>
      </c>
      <c r="AF23" s="7" t="n">
        <v>-32936939.2045942</v>
      </c>
      <c r="AG23" s="7" t="n">
        <v>-40869190.535478</v>
      </c>
      <c r="AH23" s="7" t="n">
        <v>-6970664.30431388</v>
      </c>
      <c r="AI23" s="7" t="n">
        <v>-5299768.58135699</v>
      </c>
      <c r="AJ23" s="7" t="n">
        <v>-9795723.5255</v>
      </c>
      <c r="AK23" s="7" t="n">
        <v>-5706979.65475282</v>
      </c>
      <c r="AL23" s="7"/>
      <c r="AM23" s="7"/>
    </row>
    <row r="24">
      <c r="A24" t="str">
        <f>M24</f>
      </c>
      <c r="B24" s="7" t="str">
        <f>AC24</f>
      </c>
      <c r="C24" s="7" t="str">
        <f>AI24</f>
      </c>
      <c r="D24" s="7" t="str">
        <f>AJ24</f>
      </c>
      <c r="E24" s="7" t="str">
        <f>AK24</f>
      </c>
      <c r="F24" s="6" t="str">
        <f>AJ24/AI24-1</f>
      </c>
      <c r="G24" s="6" t="str">
        <f>AJ24/AC24-1</f>
      </c>
      <c r="H24" s="6" t="str">
        <f>AK24/AJ24</f>
      </c>
      <c r="I24" s="6" t="str">
        <f>AJ24/Sum(AJ$16:AJ$27)</f>
      </c>
      <c r="J24" s="6" t="str">
        <f>AK24/Sum(AK16:AK$27)</f>
      </c>
      <c r="M24" t="s">
        <v>79</v>
      </c>
      <c r="N24" s="7" t="n">
        <v>520420124.712709</v>
      </c>
      <c r="O24" s="7" t="n">
        <v>438581840.921122</v>
      </c>
      <c r="P24" s="7" t="n">
        <v>757513869.534038</v>
      </c>
      <c r="Q24" s="7" t="n">
        <v>617797152.955541</v>
      </c>
      <c r="R24" s="7" t="n">
        <v>60723413.2593164</v>
      </c>
      <c r="S24" s="7" t="n">
        <v>12923891.4348389</v>
      </c>
      <c r="T24" s="7" t="n">
        <v>17414648.1532649</v>
      </c>
      <c r="U24" s="7" t="n">
        <v>-7006557.95103731</v>
      </c>
      <c r="V24" s="7" t="n">
        <v>416488.780710749</v>
      </c>
      <c r="W24" s="7" t="n">
        <v>-935981.839307822</v>
      </c>
      <c r="X24" s="7" t="n">
        <v>-16601301.2209793</v>
      </c>
      <c r="Y24" s="7" t="n">
        <v>-5862553.27914596</v>
      </c>
      <c r="Z24" s="7"/>
      <c r="AA24" s="7" t="n">
        <v>-683875.113902003</v>
      </c>
      <c r="AB24" s="7" t="n">
        <v>-33064.5107968294</v>
      </c>
      <c r="AC24" s="7"/>
      <c r="AD24" s="7" t="n">
        <v>1480186.57099324</v>
      </c>
      <c r="AE24" s="7"/>
      <c r="AF24" s="7" t="n">
        <v>102357.529843038</v>
      </c>
      <c r="AG24" s="7"/>
      <c r="AH24" s="7"/>
      <c r="AI24" s="7"/>
      <c r="AJ24" s="7" t="n">
        <v>0</v>
      </c>
      <c r="AK24" s="7"/>
      <c r="AL24" s="7"/>
      <c r="AM24" s="7"/>
    </row>
    <row r="25">
      <c r="A25" t="str">
        <f>M25</f>
      </c>
      <c r="B25" s="7" t="str">
        <f>AC25</f>
      </c>
      <c r="C25" s="7" t="str">
        <f>AI25</f>
      </c>
      <c r="D25" s="7" t="str">
        <f>AJ25</f>
      </c>
      <c r="E25" s="7" t="str">
        <f>AK25</f>
      </c>
      <c r="F25" s="6" t="str">
        <f>AJ25/AI25-1</f>
      </c>
      <c r="G25" s="6" t="str">
        <f>AJ25/AC25-1</f>
      </c>
      <c r="H25" s="6" t="str">
        <f>AK25/AJ25</f>
      </c>
      <c r="I25" s="6" t="str">
        <f>AJ25/Sum(AJ$16:AJ$27)</f>
      </c>
      <c r="J25" s="6" t="str">
        <f>AK25/Sum(AK16:AK$27)</f>
      </c>
      <c r="M25" t="s">
        <v>80</v>
      </c>
      <c r="N25" s="7"/>
      <c r="O25" s="7"/>
      <c r="P25" s="7"/>
      <c r="Q25" s="7"/>
      <c r="R25" s="7"/>
      <c r="S25" s="7"/>
      <c r="T25" s="7"/>
      <c r="U25" s="7"/>
      <c r="V25" s="7"/>
      <c r="W25" s="7"/>
      <c r="X25" s="7" t="n">
        <v>2612135.30658605</v>
      </c>
      <c r="Y25" s="7"/>
      <c r="Z25" s="7" t="n">
        <v>805316.132052596</v>
      </c>
      <c r="AA25" s="7" t="n">
        <v>12029192.6556719</v>
      </c>
      <c r="AB25" s="7" t="n">
        <v>45482512.1632548</v>
      </c>
      <c r="AC25" s="7" t="n">
        <v>1413099397.23622</v>
      </c>
      <c r="AD25" s="7" t="n">
        <v>52200144.9790241</v>
      </c>
      <c r="AE25" s="7" t="n">
        <v>1841331687.10851</v>
      </c>
      <c r="AF25" s="7" t="n">
        <v>4456009819.13505</v>
      </c>
      <c r="AG25" s="7" t="n">
        <v>1262016110.91906</v>
      </c>
      <c r="AH25" s="7" t="n">
        <v>679874352.903876</v>
      </c>
      <c r="AI25" s="7" t="n">
        <v>550315468.115461</v>
      </c>
      <c r="AJ25" s="7" t="n">
        <v>153662063.9002</v>
      </c>
      <c r="AK25" s="7" t="n">
        <v>6224746.02550045</v>
      </c>
      <c r="AL25" s="7"/>
      <c r="AM25" s="7"/>
    </row>
    <row r="26">
      <c r="A26" t="str">
        <f>M26</f>
      </c>
      <c r="B26" s="7" t="str">
        <f>AC26</f>
      </c>
      <c r="C26" s="7" t="str">
        <f>AI26</f>
      </c>
      <c r="D26" s="7" t="str">
        <f>AJ26</f>
      </c>
      <c r="E26" s="7" t="str">
        <f>AK26</f>
      </c>
      <c r="F26" s="6" t="str">
        <f>AJ26/AI26-1</f>
      </c>
      <c r="G26" s="6" t="str">
        <f>AJ26/AC26-1</f>
      </c>
      <c r="H26" s="6" t="str">
        <f>AK26/AJ26</f>
      </c>
      <c r="I26" s="6" t="str">
        <f>AJ26/Sum(AJ$16:AJ$27)</f>
      </c>
      <c r="J26" s="6" t="str">
        <f>AK26/Sum(AK16:AK$27)</f>
      </c>
      <c r="M26" t="s">
        <v>81</v>
      </c>
      <c r="N26" s="7" t="n">
        <v>690552658.363074</v>
      </c>
      <c r="O26" s="7" t="n">
        <v>895241702.372441</v>
      </c>
      <c r="P26" s="7" t="n">
        <v>1197160979.0429</v>
      </c>
      <c r="Q26" s="7" t="n">
        <v>1119858397.2617</v>
      </c>
      <c r="R26" s="7" t="n">
        <v>909958821.366004</v>
      </c>
      <c r="S26" s="7" t="n">
        <v>921066396.028761</v>
      </c>
      <c r="T26" s="7" t="n">
        <v>1106237781.8312</v>
      </c>
      <c r="U26" s="7" t="n">
        <v>789982214.340274</v>
      </c>
      <c r="V26" s="7" t="n">
        <v>538016246.798891</v>
      </c>
      <c r="W26" s="7" t="n">
        <v>549955525.121219</v>
      </c>
      <c r="X26" s="7" t="n">
        <v>375738228.178271</v>
      </c>
      <c r="Y26" s="7" t="n">
        <v>188989674.478016</v>
      </c>
      <c r="Z26" s="7" t="n">
        <v>68741460.0098279</v>
      </c>
      <c r="AA26" s="7" t="n">
        <v>33605565.4797484</v>
      </c>
      <c r="AB26" s="7" t="n">
        <v>-8171821.99782364</v>
      </c>
      <c r="AC26" s="7" t="n">
        <v>-640784.556062817</v>
      </c>
      <c r="AD26" s="7" t="n">
        <v>-1263803.34243011</v>
      </c>
      <c r="AE26" s="7" t="n">
        <v>-1948451.63379081</v>
      </c>
      <c r="AF26" s="7" t="n">
        <v>-6847131.82897433</v>
      </c>
      <c r="AG26" s="7" t="n">
        <v>-709718.839827428</v>
      </c>
      <c r="AH26" s="7" t="n">
        <v>-857659.119302521</v>
      </c>
      <c r="AI26" s="7"/>
      <c r="AJ26" s="7"/>
      <c r="AK26" s="7"/>
      <c r="AL26" s="7"/>
      <c r="AM26" s="7"/>
    </row>
    <row r="27">
      <c r="A27" t="str">
        <f>M27</f>
      </c>
      <c r="B27" s="7" t="str">
        <f>AC27</f>
      </c>
      <c r="C27" s="7" t="str">
        <f>AI27</f>
      </c>
      <c r="D27" s="7" t="str">
        <f>AJ27</f>
      </c>
      <c r="E27" s="7" t="str">
        <f>AK27</f>
      </c>
      <c r="F27" s="6" t="str">
        <f>AJ27/AI27-1</f>
      </c>
      <c r="G27" s="6" t="str">
        <f>AJ27/AC27-1</f>
      </c>
      <c r="H27" s="6" t="str">
        <f>AK27/AJ27</f>
      </c>
      <c r="I27" s="6" t="str">
        <f>AJ27/Sum(AJ$16:AJ$27)</f>
      </c>
      <c r="J27" s="6" t="str">
        <f>AK27/Sum(AK16:AK$27)</f>
      </c>
      <c r="M27"/>
      <c r="N27" s="7" t="n">
        <v>0</v>
      </c>
      <c r="O27" s="7" t="n">
        <v>71935167.6203862</v>
      </c>
      <c r="P27" s="7" t="n">
        <v>41397818.8380462</v>
      </c>
      <c r="Q27" s="7" t="n">
        <v>75365670.3043614</v>
      </c>
      <c r="R27" s="7" t="n">
        <v>134418979.046251</v>
      </c>
      <c r="S27" s="7" t="n">
        <v>114331305.643785</v>
      </c>
      <c r="T27" s="7" t="n">
        <v>54419788.9200964</v>
      </c>
      <c r="U27" s="7" t="n">
        <v>79431788.5988949</v>
      </c>
      <c r="V27" s="7" t="n">
        <v>592441278.85982</v>
      </c>
      <c r="W27" s="7" t="n">
        <v>1045113613.00688</v>
      </c>
      <c r="X27" s="7" t="n">
        <v>716806912.74655</v>
      </c>
      <c r="Y27" s="7" t="n">
        <v>533642922.747148</v>
      </c>
      <c r="Z27" s="7" t="n">
        <v>896771540.109896</v>
      </c>
      <c r="AA27" s="7" t="n">
        <v>98124542.3943036</v>
      </c>
      <c r="AB27" s="7" t="n">
        <v>92330371.1556243</v>
      </c>
      <c r="AC27" s="7" t="n">
        <v>73314687.7668141</v>
      </c>
      <c r="AD27" s="7" t="n">
        <v>58430351.0281265</v>
      </c>
      <c r="AE27" s="7" t="n">
        <v>41789722.3947888</v>
      </c>
      <c r="AF27" s="7" t="n">
        <v>156885957.941945</v>
      </c>
      <c r="AG27" s="7" t="n">
        <v>230796747.946451</v>
      </c>
      <c r="AH27" s="7" t="n">
        <v>262964794.656281</v>
      </c>
      <c r="AI27" s="7" t="n">
        <v>802757744.323426</v>
      </c>
      <c r="AJ27" s="7" t="n">
        <v>1504968056.2708</v>
      </c>
      <c r="AK27" s="7" t="n">
        <v>578759062.351869</v>
      </c>
      <c r="AL27" s="7"/>
      <c r="AM27" s="7"/>
    </row>
    <row r="28">
      <c r="A28" t="str">
        <f>M28</f>
      </c>
      <c r="B28" s="7" t="str">
        <f>AC28</f>
      </c>
      <c r="C28" s="7" t="str">
        <f>AI28</f>
      </c>
      <c r="D28" s="7" t="str">
        <f>AJ28</f>
      </c>
      <c r="E28" s="7" t="str">
        <f>AK28</f>
      </c>
      <c r="F28" s="6" t="str">
        <f>AJ28/AI28-1</f>
      </c>
      <c r="G28" s="6" t="str">
        <f>AJ28/AC28-1</f>
      </c>
      <c r="H28" s="6" t="str">
        <f>AK28/AJ28</f>
      </c>
      <c r="I28" s="6" t="str">
        <f>Sum(I$16:I$27)</f>
      </c>
      <c r="J28" s="6" t="str">
        <f>Sum(J$16:J$27)</f>
      </c>
      <c r="M28" t="s">
        <v>151</v>
      </c>
      <c r="N28" s="7" t="str">
        <f>Sum(N17:N27)</f>
      </c>
      <c r="O28" s="7" t="str">
        <f>Sum(O17:O27)</f>
      </c>
      <c r="P28" s="7" t="str">
        <f>Sum(P17:P27)</f>
      </c>
      <c r="Q28" s="7" t="str">
        <f>Sum(Q17:Q27)</f>
      </c>
      <c r="R28" s="7" t="str">
        <f>Sum(R17:R27)</f>
      </c>
      <c r="S28" s="7" t="str">
        <f>Sum(S17:S27)</f>
      </c>
      <c r="T28" s="7" t="str">
        <f>Sum(T17:T27)</f>
      </c>
      <c r="U28" s="7" t="str">
        <f>Sum(U17:U27)</f>
      </c>
      <c r="V28" s="7" t="str">
        <f>Sum(V17:V27)</f>
      </c>
      <c r="W28" s="7" t="str">
        <f>Sum(W17:W27)</f>
      </c>
      <c r="X28" s="7" t="str">
        <f>Sum(X17:X27)</f>
      </c>
      <c r="Y28" s="7" t="str">
        <f>Sum(Y17:Y27)</f>
      </c>
      <c r="Z28" s="7" t="str">
        <f>Sum(Z17:Z27)</f>
      </c>
      <c r="AA28" s="7" t="str">
        <f>Sum(AA17:AA27)</f>
      </c>
      <c r="AB28" s="7" t="str">
        <f>Sum(AB17:AB27)</f>
      </c>
      <c r="AC28" s="7" t="str">
        <f>Sum(AC17:AC27)</f>
      </c>
      <c r="AD28" s="7" t="str">
        <f>Sum(AD17:AD27)</f>
      </c>
      <c r="AE28" s="7" t="str">
        <f>Sum(AE17:AE27)</f>
      </c>
      <c r="AF28" s="7" t="str">
        <f>Sum(AF17:AF27)</f>
      </c>
      <c r="AG28" s="7" t="str">
        <f>Sum(AG17:AG27)</f>
      </c>
      <c r="AH28" s="7" t="str">
        <f>Sum(AH17:AH27)</f>
      </c>
      <c r="AI28" s="7" t="str">
        <f>Sum(AI17:AI27)</f>
      </c>
      <c r="AJ28" s="7" t="str">
        <f>Sum(AJ17:AJ27)</f>
      </c>
      <c r="AK28" s="7" t="str">
        <f>Sum(AK17:AK27)</f>
      </c>
      <c r="AL28" s="7"/>
      <c r="AM28" s="7"/>
    </row>
    <row r="29">
      <c r="M29" t="str">
        <f>Sum(A17:A27)</f>
      </c>
    </row>
    <row r="30">
      <c r="M30" t="str">
        <f>Sum(B17:B27)</f>
      </c>
    </row>
    <row r="31">
      <c r="M31" t="str">
        <f>Sum(C17:C27)</f>
      </c>
    </row>
    <row r="32">
      <c r="M32" t="str">
        <f>Sum(D17:D27)</f>
      </c>
    </row>
    <row r="33">
      <c r="M33" t="str">
        <f>Sum(E17:E27)</f>
      </c>
    </row>
    <row r="34">
      <c r="M34" t="str">
        <f>Sum(F17:F27)</f>
      </c>
    </row>
    <row r="35">
      <c r="M35" t="str">
        <f>Sum(G17:G27)</f>
      </c>
    </row>
    <row r="36">
      <c r="M36" t="str">
        <f>Sum(H17:H27)</f>
      </c>
    </row>
    <row r="37">
      <c r="M37" t="str">
        <f>Sum(I17:I27)</f>
      </c>
    </row>
    <row r="38">
      <c r="M38" t="str">
        <f>Sum(J17:J27)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82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83</v>
      </c>
      <c r="N2" s="8"/>
      <c r="O2" s="8"/>
      <c r="P2" s="8" t="n">
        <v>4173553</v>
      </c>
      <c r="Q2" s="8" t="n">
        <v>400000</v>
      </c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 t="n">
        <v>1093651230.711</v>
      </c>
      <c r="AJ2" s="8" t="n">
        <v>1701417336.4368</v>
      </c>
      <c r="AK2" s="8" t="n">
        <v>2429633007.1796</v>
      </c>
      <c r="AL2" s="8"/>
      <c r="AM2" s="8"/>
    </row>
    <row r="3">
      <c r="A3" t="str">
        <f>M3</f>
      </c>
      <c r="M3" t="s">
        <v>84</v>
      </c>
      <c r="N3" s="8" t="n">
        <v>29240519</v>
      </c>
      <c r="O3" s="8" t="n">
        <v>23162931</v>
      </c>
      <c r="P3" s="8" t="n">
        <v>31022431.625</v>
      </c>
      <c r="Q3" s="8" t="n">
        <v>46512850.0938</v>
      </c>
      <c r="R3" s="8" t="n">
        <v>64762680.625</v>
      </c>
      <c r="S3" s="8" t="n">
        <v>69130735</v>
      </c>
      <c r="T3" s="8" t="n">
        <v>73899778</v>
      </c>
      <c r="U3" s="8" t="n">
        <v>91048684.3008</v>
      </c>
      <c r="V3" s="8" t="n">
        <v>126885324.8677</v>
      </c>
      <c r="W3" s="8" t="n">
        <v>450004841.8146</v>
      </c>
      <c r="X3" s="8" t="n">
        <v>408071489.6936</v>
      </c>
      <c r="Y3" s="8" t="n">
        <v>367861524.2549</v>
      </c>
      <c r="Z3" s="8" t="n">
        <v>338591341.8207</v>
      </c>
      <c r="AA3" s="8" t="n">
        <v>367632624.444</v>
      </c>
      <c r="AB3" s="8" t="n">
        <v>392688090.0725</v>
      </c>
      <c r="AC3" s="8" t="n">
        <v>593408744.9265</v>
      </c>
      <c r="AD3" s="8" t="n">
        <v>584532069.0037</v>
      </c>
      <c r="AE3" s="8" t="n">
        <v>607204658.601</v>
      </c>
      <c r="AF3" s="8" t="n">
        <v>354191599.3217</v>
      </c>
      <c r="AG3" s="8" t="n">
        <v>416897047.5486</v>
      </c>
      <c r="AH3" s="8" t="n">
        <v>435480807.9591</v>
      </c>
      <c r="AI3" s="8" t="n">
        <v>471413463.3117</v>
      </c>
      <c r="AJ3" s="8" t="n">
        <v>438100054.5282</v>
      </c>
      <c r="AK3" s="8" t="n">
        <v>341745389.8829</v>
      </c>
      <c r="AL3" s="8"/>
      <c r="AM3" s="8"/>
    </row>
    <row r="4">
      <c r="A4" t="str">
        <f>M4</f>
      </c>
      <c r="M4" t="s">
        <v>85</v>
      </c>
      <c r="N4" s="8" t="n">
        <v>245772505</v>
      </c>
      <c r="O4" s="8" t="n">
        <v>174269410</v>
      </c>
      <c r="P4" s="8" t="n">
        <v>205735267</v>
      </c>
      <c r="Q4" s="8" t="n">
        <v>94129908</v>
      </c>
      <c r="R4" s="8" t="n">
        <v>41565670</v>
      </c>
      <c r="S4" s="8" t="n">
        <v>18273089</v>
      </c>
      <c r="T4" s="8" t="n">
        <v>32504898</v>
      </c>
      <c r="U4" s="8" t="n">
        <v>30298833.4273</v>
      </c>
      <c r="V4" s="8" t="n">
        <v>32189164.0587</v>
      </c>
      <c r="W4" s="8" t="n">
        <v>5984849.0361</v>
      </c>
      <c r="X4" s="8" t="n">
        <v>70661550.4194</v>
      </c>
      <c r="Y4" s="8" t="n">
        <v>58893158.8223</v>
      </c>
      <c r="Z4" s="8" t="n">
        <v>1313262531.1621</v>
      </c>
      <c r="AA4" s="8" t="n">
        <v>1256601691.829</v>
      </c>
      <c r="AB4" s="8" t="n">
        <v>1481316539.88</v>
      </c>
      <c r="AC4" s="8" t="n">
        <v>2580612139.2388</v>
      </c>
      <c r="AD4" s="8" t="n">
        <v>3171246397.4918</v>
      </c>
      <c r="AE4" s="8" t="n">
        <v>1251317731.0858</v>
      </c>
      <c r="AF4" s="8" t="n">
        <v>2211655419.0955</v>
      </c>
      <c r="AG4" s="8" t="n">
        <v>1268628496.6104</v>
      </c>
      <c r="AH4" s="8" t="n">
        <v>1141553263.8143</v>
      </c>
      <c r="AI4" s="8" t="n">
        <v>1670322281.4387</v>
      </c>
      <c r="AJ4" s="8" t="n">
        <v>670358847.8584</v>
      </c>
      <c r="AK4" s="8" t="n">
        <v>207364832.3165</v>
      </c>
      <c r="AL4" s="8"/>
      <c r="AM4" s="8"/>
    </row>
    <row r="5">
      <c r="A5" t="str">
        <f>M5</f>
      </c>
      <c r="M5" t="s">
        <v>86</v>
      </c>
      <c r="N5" s="8" t="n">
        <v>55243619</v>
      </c>
      <c r="O5" s="8" t="n">
        <v>854853268</v>
      </c>
      <c r="P5" s="8" t="n">
        <v>2229501652</v>
      </c>
      <c r="Q5" s="8" t="n">
        <v>2187893126</v>
      </c>
      <c r="R5" s="8" t="n">
        <v>3125257508</v>
      </c>
      <c r="S5" s="8" t="n">
        <v>3219628892</v>
      </c>
      <c r="T5" s="8" t="n">
        <v>2643693648.0313</v>
      </c>
      <c r="U5" s="8" t="n">
        <v>2898776527.2031</v>
      </c>
      <c r="V5" s="8" t="n">
        <v>2512739798</v>
      </c>
      <c r="W5" s="8" t="n">
        <v>2728453114.6749</v>
      </c>
      <c r="X5" s="8" t="n">
        <v>2608322366.3642</v>
      </c>
      <c r="Y5" s="8" t="n">
        <v>3774784542.0263</v>
      </c>
      <c r="Z5" s="8" t="n">
        <v>3159027893.4141</v>
      </c>
      <c r="AA5" s="8" t="n">
        <v>4073147651.27</v>
      </c>
      <c r="AB5" s="8" t="n">
        <v>1892898053.24</v>
      </c>
      <c r="AC5" s="8" t="n">
        <v>1140875227.965</v>
      </c>
      <c r="AD5" s="8" t="n">
        <v>1522893885.2656</v>
      </c>
      <c r="AE5" s="8" t="n">
        <v>1975306847.2741</v>
      </c>
      <c r="AF5" s="8" t="n">
        <v>4932975573.0875</v>
      </c>
      <c r="AG5" s="8" t="n">
        <v>7011190256.8333</v>
      </c>
      <c r="AH5" s="8" t="n">
        <v>9328269716.036</v>
      </c>
      <c r="AI5" s="8" t="n">
        <v>2604954892.7667</v>
      </c>
      <c r="AJ5" s="8" t="n">
        <v>6112487564.4665</v>
      </c>
      <c r="AK5" s="8" t="n">
        <v>4195477484</v>
      </c>
      <c r="AL5" s="8"/>
      <c r="AM5" s="8"/>
    </row>
    <row r="6">
      <c r="A6" t="str">
        <f>M6</f>
      </c>
      <c r="M6" t="s">
        <v>87</v>
      </c>
      <c r="N6" s="8" t="n">
        <v>1366578826</v>
      </c>
      <c r="O6" s="8" t="n">
        <v>746128800</v>
      </c>
      <c r="P6" s="8" t="n">
        <v>266055984</v>
      </c>
      <c r="Q6" s="8" t="n">
        <v>351867178</v>
      </c>
      <c r="R6" s="8" t="n">
        <v>281642263</v>
      </c>
      <c r="S6" s="8" t="n">
        <v>281583912.4375</v>
      </c>
      <c r="T6" s="8" t="n">
        <v>237742018.16</v>
      </c>
      <c r="U6" s="8" t="n">
        <v>236455146.0937</v>
      </c>
      <c r="V6" s="8" t="n">
        <v>239077453.2018</v>
      </c>
      <c r="W6" s="8" t="n">
        <v>231034999.306</v>
      </c>
      <c r="X6" s="8" t="n">
        <v>203730576.9878</v>
      </c>
      <c r="Y6" s="8" t="n">
        <v>132479149.899</v>
      </c>
      <c r="Z6" s="8" t="n">
        <v>268243659.9672</v>
      </c>
      <c r="AA6" s="8" t="n">
        <v>247292545.2222</v>
      </c>
      <c r="AB6" s="8" t="n">
        <v>123170960.3569</v>
      </c>
      <c r="AC6" s="8" t="n">
        <v>106266065.9291</v>
      </c>
      <c r="AD6" s="8" t="n">
        <v>101183225.9727</v>
      </c>
      <c r="AE6" s="8" t="n">
        <v>98338698.1009</v>
      </c>
      <c r="AF6" s="8" t="n">
        <v>24035697.8709</v>
      </c>
      <c r="AG6" s="8" t="n">
        <v>926604.2784</v>
      </c>
      <c r="AH6" s="8" t="n">
        <v>5354912.1682</v>
      </c>
      <c r="AI6" s="8" t="n">
        <v>-1004418.3271</v>
      </c>
      <c r="AJ6" s="8" t="n">
        <v>-1703804.7628</v>
      </c>
      <c r="AK6" s="8" t="n">
        <v>-71333.2393</v>
      </c>
      <c r="AL6" s="8"/>
      <c r="AM6" s="8"/>
    </row>
    <row r="7">
      <c r="A7" t="str">
        <f>M7</f>
      </c>
      <c r="M7" t="s">
        <v>88</v>
      </c>
      <c r="N7" s="8" t="n">
        <v>358996570</v>
      </c>
      <c r="O7" s="8" t="n">
        <v>431146476</v>
      </c>
      <c r="P7" s="8" t="n">
        <v>527827027.2031</v>
      </c>
      <c r="Q7" s="8" t="n">
        <v>808683640</v>
      </c>
      <c r="R7" s="8" t="n">
        <v>736653292.961</v>
      </c>
      <c r="S7" s="8" t="n">
        <v>885105378.7188</v>
      </c>
      <c r="T7" s="8" t="n">
        <v>1522829360.5675</v>
      </c>
      <c r="U7" s="8" t="n">
        <v>1786049238.9726</v>
      </c>
      <c r="V7" s="8" t="n">
        <v>2787044647.1126</v>
      </c>
      <c r="W7" s="8" t="n">
        <v>3337298816.9332</v>
      </c>
      <c r="X7" s="8" t="n">
        <v>3707159892.6267</v>
      </c>
      <c r="Y7" s="8" t="n">
        <v>3869417092.6491</v>
      </c>
      <c r="Z7" s="8" t="n">
        <v>3559345551.4533</v>
      </c>
      <c r="AA7" s="8" t="n">
        <v>3087883330.0871</v>
      </c>
      <c r="AB7" s="8" t="n">
        <v>2580586216.4234</v>
      </c>
      <c r="AC7" s="8" t="n">
        <v>3360811984.7627</v>
      </c>
      <c r="AD7" s="8" t="n">
        <v>2760277761.744</v>
      </c>
      <c r="AE7" s="8" t="n">
        <v>2584712971.9934</v>
      </c>
      <c r="AF7" s="8" t="n">
        <v>3658806626.0188</v>
      </c>
      <c r="AG7" s="8" t="n">
        <v>3493984080.8754</v>
      </c>
      <c r="AH7" s="8" t="n">
        <v>3342186413.5859</v>
      </c>
      <c r="AI7" s="8" t="n">
        <v>3690143051.1163</v>
      </c>
      <c r="AJ7" s="8" t="n">
        <v>2834054110.4499</v>
      </c>
      <c r="AK7" s="8" t="n">
        <v>1306383679.1148</v>
      </c>
      <c r="AL7" s="8"/>
      <c r="AM7" s="8"/>
    </row>
    <row r="8">
      <c r="A8" t="str">
        <f>M8</f>
      </c>
      <c r="M8" t="s">
        <v>89</v>
      </c>
      <c r="N8" s="8" t="n">
        <v>921199181</v>
      </c>
      <c r="O8" s="8" t="n">
        <v>1077964592.3999</v>
      </c>
      <c r="P8" s="8" t="n">
        <v>1408524854</v>
      </c>
      <c r="Q8" s="8" t="n">
        <v>1457413048</v>
      </c>
      <c r="R8" s="8" t="n">
        <v>1413890031</v>
      </c>
      <c r="S8" s="8" t="n">
        <v>1599135686</v>
      </c>
      <c r="T8" s="8" t="n">
        <v>1737505452.5699</v>
      </c>
      <c r="U8" s="8" t="n">
        <v>2047204030.2188</v>
      </c>
      <c r="V8" s="8" t="n">
        <v>2090276569.9754</v>
      </c>
      <c r="W8" s="8" t="n">
        <v>1884737316.4472</v>
      </c>
      <c r="X8" s="8" t="n">
        <v>1440391698.5879</v>
      </c>
      <c r="Y8" s="8" t="n">
        <v>1151392816.2757</v>
      </c>
      <c r="Z8" s="8" t="n">
        <v>1322456617.2808</v>
      </c>
      <c r="AA8" s="8" t="n">
        <v>648598937.5738</v>
      </c>
      <c r="AB8" s="8" t="n">
        <v>569805574.2521</v>
      </c>
      <c r="AC8" s="8" t="n">
        <v>567674046.7933</v>
      </c>
      <c r="AD8" s="8" t="n">
        <v>440949304.9665</v>
      </c>
      <c r="AE8" s="8" t="n">
        <v>467391034.2478</v>
      </c>
      <c r="AF8" s="8" t="n">
        <v>741393563.2313</v>
      </c>
      <c r="AG8" s="8" t="n">
        <v>1128376370.1317</v>
      </c>
      <c r="AH8" s="8" t="n">
        <v>1047942788.3696</v>
      </c>
      <c r="AI8" s="8" t="n">
        <v>1090034376.0168</v>
      </c>
      <c r="AJ8" s="8" t="n">
        <v>805573696.8715</v>
      </c>
      <c r="AK8" s="8" t="n">
        <v>496342828.2196</v>
      </c>
      <c r="AL8" s="8"/>
      <c r="AM8" s="8"/>
    </row>
    <row r="9">
      <c r="A9" t="str">
        <f>M9</f>
      </c>
      <c r="M9" t="s">
        <v>90</v>
      </c>
      <c r="N9" s="8" t="n">
        <v>1640212</v>
      </c>
      <c r="O9" s="8" t="n">
        <v>1569889</v>
      </c>
      <c r="P9" s="8" t="n">
        <v>2303676</v>
      </c>
      <c r="Q9" s="8" t="n">
        <v>12266800</v>
      </c>
      <c r="R9" s="8" t="n">
        <v>10127954</v>
      </c>
      <c r="S9" s="8" t="n">
        <v>15604451</v>
      </c>
      <c r="T9" s="8" t="n">
        <v>60050246</v>
      </c>
      <c r="U9" s="8" t="n">
        <v>234581086</v>
      </c>
      <c r="V9" s="8" t="n">
        <v>292308913.7813</v>
      </c>
      <c r="W9" s="8" t="n">
        <v>458421807.9146</v>
      </c>
      <c r="X9" s="8" t="n">
        <v>592889584.0175</v>
      </c>
      <c r="Y9" s="8" t="n">
        <v>398595500.3496</v>
      </c>
      <c r="Z9" s="8" t="n">
        <v>428003335.5458</v>
      </c>
      <c r="AA9" s="8" t="n">
        <v>524182865.5755</v>
      </c>
      <c r="AB9" s="8" t="n">
        <v>654060293.1988</v>
      </c>
      <c r="AC9" s="8" t="n">
        <v>612399773.1611</v>
      </c>
      <c r="AD9" s="8" t="n">
        <v>664494049.3307</v>
      </c>
      <c r="AE9" s="8" t="n">
        <v>750236295.8237</v>
      </c>
      <c r="AF9" s="8" t="n">
        <v>308355583.8733</v>
      </c>
      <c r="AG9" s="8" t="n">
        <v>199374868.8295</v>
      </c>
      <c r="AH9" s="8" t="n">
        <v>162012499.6379</v>
      </c>
      <c r="AI9" s="8" t="n">
        <v>50069508.373</v>
      </c>
      <c r="AJ9" s="8" t="n">
        <v>38199669.732</v>
      </c>
      <c r="AK9" s="8" t="n">
        <v>816927.8721</v>
      </c>
      <c r="AL9" s="8"/>
      <c r="AM9" s="8"/>
    </row>
    <row r="10">
      <c r="A10" t="str">
        <f>M10</f>
      </c>
      <c r="M10" t="s">
        <v>91</v>
      </c>
      <c r="N10" s="8" t="n">
        <v>2067392</v>
      </c>
      <c r="O10" s="8" t="n">
        <v>28513825</v>
      </c>
      <c r="P10" s="8" t="n">
        <v>29518994</v>
      </c>
      <c r="Q10" s="8" t="n">
        <v>69554920</v>
      </c>
      <c r="R10" s="8" t="n">
        <v>141453391</v>
      </c>
      <c r="S10" s="8" t="n">
        <v>246019432</v>
      </c>
      <c r="T10" s="8" t="n">
        <v>235940110</v>
      </c>
      <c r="U10" s="8" t="n">
        <v>502824532.1094</v>
      </c>
      <c r="V10" s="8" t="n">
        <v>484196503.75</v>
      </c>
      <c r="W10" s="8" t="n">
        <v>1069630336.6412</v>
      </c>
      <c r="X10" s="8" t="n">
        <v>1256922792.5608</v>
      </c>
      <c r="Y10" s="8" t="n">
        <v>949726289.2863</v>
      </c>
      <c r="Z10" s="8" t="n">
        <v>582485591.3366</v>
      </c>
      <c r="AA10" s="8" t="n">
        <v>380801769.9108</v>
      </c>
      <c r="AB10" s="8" t="n">
        <v>615303843.9704</v>
      </c>
      <c r="AC10" s="8" t="n">
        <v>211873118.9452</v>
      </c>
      <c r="AD10" s="8" t="n">
        <v>285952151.7002</v>
      </c>
      <c r="AE10" s="8" t="n">
        <v>571298227.0219</v>
      </c>
      <c r="AF10" s="8" t="n">
        <v>618758994.1012</v>
      </c>
      <c r="AG10" s="8" t="n">
        <v>667790795.7529</v>
      </c>
      <c r="AH10" s="8" t="n">
        <v>559563225.3645</v>
      </c>
      <c r="AI10" s="8" t="n">
        <v>789115253.7751</v>
      </c>
      <c r="AJ10" s="8" t="n">
        <v>585910085.2194</v>
      </c>
      <c r="AK10" s="8" t="n">
        <v>352109675.1133</v>
      </c>
      <c r="AL10" s="8"/>
      <c r="AM10" s="8"/>
    </row>
    <row r="11">
      <c r="A11" t="str">
        <f>M11</f>
      </c>
      <c r="M11" t="s">
        <v>92</v>
      </c>
      <c r="N11" s="8" t="n">
        <v>20300293</v>
      </c>
      <c r="O11" s="8" t="n">
        <v>26682325</v>
      </c>
      <c r="P11" s="8" t="n">
        <v>21927506</v>
      </c>
      <c r="Q11" s="8" t="n">
        <v>7710654</v>
      </c>
      <c r="R11" s="8" t="n">
        <v>177272658</v>
      </c>
      <c r="S11" s="8" t="n">
        <v>158226118</v>
      </c>
      <c r="T11" s="8" t="n">
        <v>219062425</v>
      </c>
      <c r="U11" s="8" t="n">
        <v>480979685.9062</v>
      </c>
      <c r="V11" s="8" t="n">
        <v>197022561.1563</v>
      </c>
      <c r="W11" s="8" t="n">
        <v>334103671.0118</v>
      </c>
      <c r="X11" s="8" t="n">
        <v>254506805.3906</v>
      </c>
      <c r="Y11" s="8" t="n">
        <v>207180802.082</v>
      </c>
      <c r="Z11" s="8" t="n">
        <v>236004877.0156</v>
      </c>
      <c r="AA11" s="8" t="n">
        <v>221795770.53</v>
      </c>
      <c r="AB11" s="8" t="n">
        <v>206628166</v>
      </c>
      <c r="AC11" s="8" t="n">
        <v>205465349.8513</v>
      </c>
      <c r="AD11" s="8" t="n">
        <v>454312812.625</v>
      </c>
      <c r="AE11" s="8" t="n">
        <v>327403670.1875</v>
      </c>
      <c r="AF11" s="8" t="n">
        <v>576870616.2813</v>
      </c>
      <c r="AG11" s="8" t="n">
        <v>641912256.0637</v>
      </c>
      <c r="AH11" s="8" t="n">
        <v>3346688990.5078</v>
      </c>
      <c r="AI11" s="8" t="n">
        <v>638840765.6759</v>
      </c>
      <c r="AJ11" s="8" t="n">
        <v>632892968.9064</v>
      </c>
      <c r="AK11" s="8" t="n">
        <v>245918915</v>
      </c>
      <c r="AL11" s="8"/>
      <c r="AM11" s="8"/>
    </row>
    <row r="12">
      <c r="A12" t="str">
        <f>M12</f>
      </c>
      <c r="M12" t="s">
        <v>151</v>
      </c>
      <c r="N12" s="8" t="str">
        <f>Sum(N2:N11)</f>
      </c>
      <c r="O12" s="8" t="str">
        <f>Sum(O2:O11)</f>
      </c>
      <c r="P12" s="8" t="str">
        <f>Sum(P2:P11)</f>
      </c>
      <c r="Q12" s="8" t="str">
        <f>Sum(Q2:Q11)</f>
      </c>
      <c r="R12" s="8" t="str">
        <f>Sum(R2:R11)</f>
      </c>
      <c r="S12" s="8" t="str">
        <f>Sum(S2:S11)</f>
      </c>
      <c r="T12" s="8" t="str">
        <f>Sum(T2:T11)</f>
      </c>
      <c r="U12" s="8" t="str">
        <f>Sum(U2:U11)</f>
      </c>
      <c r="V12" s="8" t="str">
        <f>Sum(V2:V11)</f>
      </c>
      <c r="W12" s="8" t="str">
        <f>Sum(W2:W11)</f>
      </c>
      <c r="X12" s="8" t="str">
        <f>Sum(X2:X11)</f>
      </c>
      <c r="Y12" s="8" t="str">
        <f>Sum(Y2:Y11)</f>
      </c>
      <c r="Z12" s="8" t="str">
        <f>Sum(Z2:Z11)</f>
      </c>
      <c r="AA12" s="8" t="str">
        <f>Sum(AA2:AA11)</f>
      </c>
      <c r="AB12" s="8" t="str">
        <f>Sum(AB2:AB11)</f>
      </c>
      <c r="AC12" s="8" t="str">
        <f>Sum(AC2:AC11)</f>
      </c>
      <c r="AD12" s="8" t="str">
        <f>Sum(AD2:AD11)</f>
      </c>
      <c r="AE12" s="8" t="str">
        <f>Sum(AE2:AE11)</f>
      </c>
      <c r="AF12" s="8" t="str">
        <f>Sum(AF2:AF11)</f>
      </c>
      <c r="AG12" s="8" t="str">
        <f>Sum(AG2:AG11)</f>
      </c>
      <c r="AH12" s="8" t="str">
        <f>Sum(AH2:AH11)</f>
      </c>
      <c r="AI12" s="8" t="str">
        <f>Sum(AI2:AI11)</f>
      </c>
      <c r="AJ12" s="8" t="str">
        <f>Sum(AJ2:AJ11)</f>
      </c>
      <c r="AK12" s="8" t="str">
        <f>Sum(AK2:AK11)</f>
      </c>
      <c r="AL12" s="8"/>
      <c r="AM12" s="8"/>
    </row>
    <row r="15">
      <c r="A15" t="str">
        <f>M15</f>
      </c>
      <c r="B15" t="str">
        <f>AC15</f>
      </c>
      <c r="C15" t="str">
        <f>AI15</f>
      </c>
      <c r="D15" t="str">
        <f>AJ15</f>
      </c>
      <c r="E15" t="str">
        <f>AK15</f>
      </c>
      <c r="F15" t="str">
        <f>AI15&amp;"-"&amp;AJ15</f>
      </c>
      <c r="G15" t="str">
        <f>AC15&amp;"-"&amp;AJ15</f>
      </c>
      <c r="H15" t="str">
        <f>AK15&amp;"/"&amp;AJ15</f>
      </c>
      <c r="I15" t="str">
        <f>"Share "&amp;AJ15</f>
      </c>
      <c r="J15" t="str">
        <f>"Share "&amp;AK15</f>
      </c>
      <c r="M15" t="s">
        <v>82</v>
      </c>
      <c r="N15" t="s">
        <v>11</v>
      </c>
      <c r="O15" t="s">
        <v>12</v>
      </c>
      <c r="P15" t="s">
        <v>13</v>
      </c>
      <c r="Q15" t="s">
        <v>14</v>
      </c>
      <c r="R15" t="s">
        <v>15</v>
      </c>
      <c r="S15" t="s">
        <v>16</v>
      </c>
      <c r="T15" t="s">
        <v>17</v>
      </c>
      <c r="U15" t="s">
        <v>18</v>
      </c>
      <c r="V15" t="s">
        <v>19</v>
      </c>
      <c r="W15" t="s">
        <v>20</v>
      </c>
      <c r="X15" t="s">
        <v>21</v>
      </c>
      <c r="Y15" t="s">
        <v>22</v>
      </c>
      <c r="Z15" t="s">
        <v>23</v>
      </c>
      <c r="AA15" t="s">
        <v>24</v>
      </c>
      <c r="AB15" t="s">
        <v>25</v>
      </c>
      <c r="AC15" t="s">
        <v>26</v>
      </c>
      <c r="AD15" t="s">
        <v>27</v>
      </c>
      <c r="AE15" t="s">
        <v>28</v>
      </c>
      <c r="AF15" t="s">
        <v>29</v>
      </c>
      <c r="AG15" t="s">
        <v>30</v>
      </c>
      <c r="AH15" t="s">
        <v>31</v>
      </c>
      <c r="AI15" t="s">
        <v>32</v>
      </c>
      <c r="AJ15" t="s">
        <v>33</v>
      </c>
      <c r="AK15" t="s">
        <v>34</v>
      </c>
    </row>
    <row r="16">
      <c r="A16" t="str">
        <f>M16</f>
      </c>
      <c r="B16" s="8" t="str">
        <f>AC16</f>
      </c>
      <c r="C16" s="8" t="str">
        <f>AI16</f>
      </c>
      <c r="D16" s="8" t="str">
        <f>AJ16</f>
      </c>
      <c r="E16" s="8" t="str">
        <f>AK16</f>
      </c>
      <c r="F16" s="6" t="str">
        <f>AJ16/AI16-1</f>
      </c>
      <c r="G16" s="6" t="str">
        <f>AJ16/AC16-1</f>
      </c>
      <c r="H16" s="6" t="str">
        <f>AK16/AJ16</f>
      </c>
      <c r="I16" s="6" t="str">
        <f>AJ16/Sum(AJ$15:AJ$25)</f>
      </c>
      <c r="J16" s="6" t="str">
        <f>AK16/Sum(AK15:AK$25)</f>
      </c>
      <c r="M16" t="s">
        <v>83</v>
      </c>
      <c r="N16" s="8"/>
      <c r="O16" s="8"/>
      <c r="P16" s="8" t="n">
        <v>6481385.24217525</v>
      </c>
      <c r="Q16" s="8" t="n">
        <v>609535.334269604</v>
      </c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 t="n">
        <v>1169427694.17296</v>
      </c>
      <c r="AJ16" s="8" t="n">
        <v>1701417336.4368</v>
      </c>
      <c r="AK16" s="8" t="n">
        <v>2317380024.87046</v>
      </c>
      <c r="AL16" s="8"/>
      <c r="AM16" s="8"/>
    </row>
    <row r="17">
      <c r="A17" t="str">
        <f>M17</f>
      </c>
      <c r="B17" s="8" t="str">
        <f>AC17</f>
      </c>
      <c r="C17" s="8" t="str">
        <f>AI17</f>
      </c>
      <c r="D17" s="8" t="str">
        <f>AJ17</f>
      </c>
      <c r="E17" s="8" t="str">
        <f>AK17</f>
      </c>
      <c r="F17" s="6" t="str">
        <f>AJ17/AI17-1</f>
      </c>
      <c r="G17" s="6" t="str">
        <f>AJ17/AC17-1</f>
      </c>
      <c r="H17" s="6" t="str">
        <f>AK17/AJ17</f>
      </c>
      <c r="I17" s="6" t="str">
        <f>AJ17/Sum(AJ$15:AJ$25)</f>
      </c>
      <c r="J17" s="6" t="str">
        <f>AK17/Sum(AK15:AK$25)</f>
      </c>
      <c r="M17" t="s">
        <v>84</v>
      </c>
      <c r="N17" s="8" t="n">
        <v>47244785.2191464</v>
      </c>
      <c r="O17" s="8" t="n">
        <v>36538994.1432817</v>
      </c>
      <c r="P17" s="8" t="n">
        <v>48176776.6003368</v>
      </c>
      <c r="Q17" s="8" t="n">
        <v>70878064.0743909</v>
      </c>
      <c r="R17" s="8" t="n">
        <v>96333148.6999617</v>
      </c>
      <c r="S17" s="8" t="n">
        <v>99800910.921</v>
      </c>
      <c r="T17" s="8" t="n">
        <v>103321850.102824</v>
      </c>
      <c r="U17" s="8" t="n">
        <v>123900592.317892</v>
      </c>
      <c r="V17" s="8" t="n">
        <v>169140139.239843</v>
      </c>
      <c r="W17" s="8" t="n">
        <v>593829086.917911</v>
      </c>
      <c r="X17" s="8" t="n">
        <v>533850432.962084</v>
      </c>
      <c r="Y17" s="8" t="n">
        <v>471739325.134667</v>
      </c>
      <c r="Z17" s="8" t="n">
        <v>426388076.673453</v>
      </c>
      <c r="AA17" s="8" t="n">
        <v>454639854.420617</v>
      </c>
      <c r="AB17" s="8" t="n">
        <v>476408585.675074</v>
      </c>
      <c r="AC17" s="8" t="n">
        <v>711762675.383463</v>
      </c>
      <c r="AD17" s="8" t="n">
        <v>695353518.704157</v>
      </c>
      <c r="AE17" s="8" t="n">
        <v>709654595.784323</v>
      </c>
      <c r="AF17" s="8" t="n">
        <v>404455459.720557</v>
      </c>
      <c r="AG17" s="8" t="n">
        <v>466914311.69486</v>
      </c>
      <c r="AH17" s="8" t="n">
        <v>481306812.148649</v>
      </c>
      <c r="AI17" s="8" t="n">
        <v>504076568.3995</v>
      </c>
      <c r="AJ17" s="8" t="n">
        <v>438100054.5282</v>
      </c>
      <c r="AK17" s="8" t="n">
        <v>325956199.049801</v>
      </c>
      <c r="AL17" s="8"/>
      <c r="AM17" s="8"/>
    </row>
    <row r="18">
      <c r="A18" t="str">
        <f>M18</f>
      </c>
      <c r="B18" s="8" t="str">
        <f>AC18</f>
      </c>
      <c r="C18" s="8" t="str">
        <f>AI18</f>
      </c>
      <c r="D18" s="8" t="str">
        <f>AJ18</f>
      </c>
      <c r="E18" s="8" t="str">
        <f>AK18</f>
      </c>
      <c r="F18" s="6" t="str">
        <f>AJ18/AI18-1</f>
      </c>
      <c r="G18" s="6" t="str">
        <f>AJ18/AC18-1</f>
      </c>
      <c r="H18" s="6" t="str">
        <f>AK18/AJ18</f>
      </c>
      <c r="I18" s="6" t="str">
        <f>AJ18/Sum(AJ$15:AJ$25)</f>
      </c>
      <c r="J18" s="6" t="str">
        <f>AK18/Sum(AK15:AK$25)</f>
      </c>
      <c r="M18" t="s">
        <v>85</v>
      </c>
      <c r="N18" s="8" t="n">
        <v>397102021.735544</v>
      </c>
      <c r="O18" s="8" t="n">
        <v>274906010.441561</v>
      </c>
      <c r="P18" s="8" t="n">
        <v>319499841.820335</v>
      </c>
      <c r="Q18" s="8" t="n">
        <v>143438762.343868</v>
      </c>
      <c r="R18" s="8" t="n">
        <v>61828074.9079715</v>
      </c>
      <c r="S18" s="8" t="n">
        <v>26380030.9303887</v>
      </c>
      <c r="T18" s="8" t="n">
        <v>45446228.5226836</v>
      </c>
      <c r="U18" s="8" t="n">
        <v>41231165.9087932</v>
      </c>
      <c r="V18" s="8" t="n">
        <v>42908663.3665435</v>
      </c>
      <c r="W18" s="8" t="n">
        <v>7897642.66561609</v>
      </c>
      <c r="X18" s="8" t="n">
        <v>92441398.720339</v>
      </c>
      <c r="Y18" s="8" t="n">
        <v>75523579.2983601</v>
      </c>
      <c r="Z18" s="8" t="n">
        <v>1653791505.17689</v>
      </c>
      <c r="AA18" s="8" t="n">
        <v>1554000304.24901</v>
      </c>
      <c r="AB18" s="8" t="n">
        <v>1797130943.21509</v>
      </c>
      <c r="AC18" s="8" t="n">
        <v>3095308951.97568</v>
      </c>
      <c r="AD18" s="8" t="n">
        <v>3772483081.9502</v>
      </c>
      <c r="AE18" s="8" t="n">
        <v>1462444936.93018</v>
      </c>
      <c r="AF18" s="8" t="n">
        <v>2525514752.43001</v>
      </c>
      <c r="AG18" s="8" t="n">
        <v>1420832324.8494</v>
      </c>
      <c r="AH18" s="8" t="n">
        <v>1261679854.22666</v>
      </c>
      <c r="AI18" s="8" t="n">
        <v>1786054895.06805</v>
      </c>
      <c r="AJ18" s="8" t="n">
        <v>670358847.8584</v>
      </c>
      <c r="AK18" s="8" t="n">
        <v>197784241.015354</v>
      </c>
      <c r="AL18" s="8"/>
      <c r="AM18" s="8"/>
    </row>
    <row r="19">
      <c r="A19" t="str">
        <f>M19</f>
      </c>
      <c r="B19" s="8" t="str">
        <f>AC19</f>
      </c>
      <c r="C19" s="8" t="str">
        <f>AI19</f>
      </c>
      <c r="D19" s="8" t="str">
        <f>AJ19</f>
      </c>
      <c r="E19" s="8" t="str">
        <f>AK19</f>
      </c>
      <c r="F19" s="6" t="str">
        <f>AJ19/AI19-1</f>
      </c>
      <c r="G19" s="6" t="str">
        <f>AJ19/AC19-1</f>
      </c>
      <c r="H19" s="6" t="str">
        <f>AK19/AJ19</f>
      </c>
      <c r="I19" s="6" t="str">
        <f>AJ19/Sum(AJ$15:AJ$25)</f>
      </c>
      <c r="J19" s="6" t="str">
        <f>AK19/Sum(AK15:AK$25)</f>
      </c>
      <c r="M19" t="s">
        <v>86</v>
      </c>
      <c r="N19" s="8" t="n">
        <v>89258775.2762991</v>
      </c>
      <c r="O19" s="8" t="n">
        <v>1348511488.15395</v>
      </c>
      <c r="P19" s="8" t="n">
        <v>3462339906.71213</v>
      </c>
      <c r="Q19" s="8" t="n">
        <v>3333995419.75645</v>
      </c>
      <c r="R19" s="8" t="n">
        <v>4648755939.9698</v>
      </c>
      <c r="S19" s="8" t="n">
        <v>4648032401.92904</v>
      </c>
      <c r="T19" s="8" t="n">
        <v>3696240045.80471</v>
      </c>
      <c r="U19" s="8" t="n">
        <v>3944704214.8473</v>
      </c>
      <c r="V19" s="8" t="n">
        <v>3349521780.79187</v>
      </c>
      <c r="W19" s="8" t="n">
        <v>3600483086.47589</v>
      </c>
      <c r="X19" s="8" t="n">
        <v>3412279612.16731</v>
      </c>
      <c r="Y19" s="8" t="n">
        <v>4840719115.68104</v>
      </c>
      <c r="Z19" s="8" t="n">
        <v>3978163825.41734</v>
      </c>
      <c r="AA19" s="8" t="n">
        <v>5037135259.71128</v>
      </c>
      <c r="AB19" s="8" t="n">
        <v>2296461000.9045</v>
      </c>
      <c r="AC19" s="8" t="n">
        <v>1368420016.51942</v>
      </c>
      <c r="AD19" s="8" t="n">
        <v>1811619375.37045</v>
      </c>
      <c r="AE19" s="8" t="n">
        <v>2308588319.26952</v>
      </c>
      <c r="AF19" s="8" t="n">
        <v>5633021525.70603</v>
      </c>
      <c r="AG19" s="8" t="n">
        <v>7852358495.17357</v>
      </c>
      <c r="AH19" s="8" t="n">
        <v>10309891223.2884</v>
      </c>
      <c r="AI19" s="8" t="n">
        <v>2785445952.17278</v>
      </c>
      <c r="AJ19" s="8" t="n">
        <v>6112487564.4665</v>
      </c>
      <c r="AK19" s="8" t="n">
        <v>4001639625.19657</v>
      </c>
      <c r="AL19" s="8"/>
      <c r="AM19" s="8"/>
    </row>
    <row r="20">
      <c r="A20" t="str">
        <f>M20</f>
      </c>
      <c r="B20" s="8" t="str">
        <f>AC20</f>
      </c>
      <c r="C20" s="8" t="str">
        <f>AI20</f>
      </c>
      <c r="D20" s="8" t="str">
        <f>AJ20</f>
      </c>
      <c r="E20" s="8" t="str">
        <f>AK20</f>
      </c>
      <c r="F20" s="6" t="str">
        <f>AJ20/AI20-1</f>
      </c>
      <c r="G20" s="6" t="str">
        <f>AJ20/AC20-1</f>
      </c>
      <c r="H20" s="6" t="str">
        <f>AK20/AJ20</f>
      </c>
      <c r="I20" s="6" t="str">
        <f>AJ20/Sum(AJ$15:AJ$25)</f>
      </c>
      <c r="J20" s="6" t="str">
        <f>AK20/Sum(AK15:AK$25)</f>
      </c>
      <c r="M20" t="s">
        <v>87</v>
      </c>
      <c r="N20" s="8" t="n">
        <v>2208022474.54648</v>
      </c>
      <c r="O20" s="8" t="n">
        <v>1177001125.34695</v>
      </c>
      <c r="P20" s="8" t="n">
        <v>413175854.790873</v>
      </c>
      <c r="Q20" s="8" t="n">
        <v>536188694.901831</v>
      </c>
      <c r="R20" s="8" t="n">
        <v>418937044.296763</v>
      </c>
      <c r="S20" s="8" t="n">
        <v>406509940.360993</v>
      </c>
      <c r="T20" s="8" t="n">
        <v>332395385.050689</v>
      </c>
      <c r="U20" s="8" t="n">
        <v>321772169.280713</v>
      </c>
      <c r="V20" s="8" t="n">
        <v>318694015.764412</v>
      </c>
      <c r="W20" s="8" t="n">
        <v>304875170.077584</v>
      </c>
      <c r="X20" s="8" t="n">
        <v>266525987.429839</v>
      </c>
      <c r="Y20" s="8" t="n">
        <v>169888995.307006</v>
      </c>
      <c r="Z20" s="8" t="n">
        <v>337799240.932243</v>
      </c>
      <c r="AA20" s="8" t="n">
        <v>305819014.101809</v>
      </c>
      <c r="AB20" s="8" t="n">
        <v>149430819.277044</v>
      </c>
      <c r="AC20" s="8" t="n">
        <v>127460574.241352</v>
      </c>
      <c r="AD20" s="8" t="n">
        <v>120366556.336038</v>
      </c>
      <c r="AE20" s="8" t="n">
        <v>114930786.61738</v>
      </c>
      <c r="AF20" s="8" t="n">
        <v>27446639.7585271</v>
      </c>
      <c r="AG20" s="8" t="n">
        <v>1037773.71753205</v>
      </c>
      <c r="AH20" s="8" t="n">
        <v>5918413.98726903</v>
      </c>
      <c r="AI20" s="8" t="n">
        <v>-1074012.05728264</v>
      </c>
      <c r="AJ20" s="8" t="n">
        <v>-1703804.7628</v>
      </c>
      <c r="AK20" s="8" t="n">
        <v>-68037.5280442118</v>
      </c>
      <c r="AL20" s="8"/>
      <c r="AM20" s="8"/>
    </row>
    <row r="21">
      <c r="A21" t="str">
        <f>M21</f>
      </c>
      <c r="B21" s="8" t="str">
        <f>AC21</f>
      </c>
      <c r="C21" s="8" t="str">
        <f>AI21</f>
      </c>
      <c r="D21" s="8" t="str">
        <f>AJ21</f>
      </c>
      <c r="E21" s="8" t="str">
        <f>AK21</f>
      </c>
      <c r="F21" s="6" t="str">
        <f>AJ21/AI21-1</f>
      </c>
      <c r="G21" s="6" t="str">
        <f>AJ21/AC21-1</f>
      </c>
      <c r="H21" s="6" t="str">
        <f>AK21/AJ21</f>
      </c>
      <c r="I21" s="6" t="str">
        <f>AJ21/Sum(AJ$15:AJ$25)</f>
      </c>
      <c r="J21" s="6" t="str">
        <f>AK21/Sum(AK15:AK$25)</f>
      </c>
      <c r="M21" t="s">
        <v>88</v>
      </c>
      <c r="N21" s="8" t="n">
        <v>580041545.913062</v>
      </c>
      <c r="O21" s="8" t="n">
        <v>680123709.795645</v>
      </c>
      <c r="P21" s="8" t="n">
        <v>819697342.895946</v>
      </c>
      <c r="Q21" s="8" t="n">
        <v>1232303132.0644</v>
      </c>
      <c r="R21" s="8" t="n">
        <v>1095756545.68774</v>
      </c>
      <c r="S21" s="8" t="n">
        <v>1277786545.40868</v>
      </c>
      <c r="T21" s="8" t="n">
        <v>2129120698.09918</v>
      </c>
      <c r="U21" s="8" t="n">
        <v>2430486067.06425</v>
      </c>
      <c r="V21" s="8" t="n">
        <v>3715174470.89961</v>
      </c>
      <c r="W21" s="8" t="n">
        <v>4403919525.04403</v>
      </c>
      <c r="X21" s="8" t="n">
        <v>4849809319.50041</v>
      </c>
      <c r="Y21" s="8" t="n">
        <v>4962074279.57592</v>
      </c>
      <c r="Z21" s="8" t="n">
        <v>4482283852.08992</v>
      </c>
      <c r="AA21" s="8" t="n">
        <v>3818689458.75475</v>
      </c>
      <c r="AB21" s="8" t="n">
        <v>3130763220.63112</v>
      </c>
      <c r="AC21" s="8" t="n">
        <v>4031117758.52207</v>
      </c>
      <c r="AD21" s="8" t="n">
        <v>3283598892.18905</v>
      </c>
      <c r="AE21" s="8" t="n">
        <v>3020815821.11803</v>
      </c>
      <c r="AF21" s="8" t="n">
        <v>4178033354.79727</v>
      </c>
      <c r="AG21" s="8" t="n">
        <v>3913175163.47859</v>
      </c>
      <c r="AH21" s="8" t="n">
        <v>3693887443.32595</v>
      </c>
      <c r="AI21" s="8" t="n">
        <v>3945824188.05475</v>
      </c>
      <c r="AJ21" s="8" t="n">
        <v>2834054110.4499</v>
      </c>
      <c r="AK21" s="8" t="n">
        <v>1246026636.06045</v>
      </c>
      <c r="AL21" s="8"/>
      <c r="AM21" s="8"/>
    </row>
    <row r="22">
      <c r="A22" t="str">
        <f>M22</f>
      </c>
      <c r="B22" s="8" t="str">
        <f>AC22</f>
      </c>
      <c r="C22" s="8" t="str">
        <f>AI22</f>
      </c>
      <c r="D22" s="8" t="str">
        <f>AJ22</f>
      </c>
      <c r="E22" s="8" t="str">
        <f>AK22</f>
      </c>
      <c r="F22" s="6" t="str">
        <f>AJ22/AI22-1</f>
      </c>
      <c r="G22" s="6" t="str">
        <f>AJ22/AC22-1</f>
      </c>
      <c r="H22" s="6" t="str">
        <f>AK22/AJ22</f>
      </c>
      <c r="I22" s="6" t="str">
        <f>AJ22/Sum(AJ$15:AJ$25)</f>
      </c>
      <c r="J22" s="6" t="str">
        <f>AK22/Sum(AK15:AK$25)</f>
      </c>
      <c r="M22" t="s">
        <v>89</v>
      </c>
      <c r="N22" s="8" t="n">
        <v>1488409198.56445</v>
      </c>
      <c r="O22" s="8" t="n">
        <v>1700464502.02546</v>
      </c>
      <c r="P22" s="8" t="n">
        <v>2187390983.64215</v>
      </c>
      <c r="Q22" s="8" t="n">
        <v>2220861873.45391</v>
      </c>
      <c r="R22" s="8" t="n">
        <v>2103132194.14729</v>
      </c>
      <c r="S22" s="8" t="n">
        <v>2308599758.83488</v>
      </c>
      <c r="T22" s="8" t="n">
        <v>2429266809.479</v>
      </c>
      <c r="U22" s="8" t="n">
        <v>2785869931.97722</v>
      </c>
      <c r="V22" s="8" t="n">
        <v>2786371634.89203</v>
      </c>
      <c r="W22" s="8" t="n">
        <v>2487110661.28276</v>
      </c>
      <c r="X22" s="8" t="n">
        <v>1884360342.11434</v>
      </c>
      <c r="Y22" s="8" t="n">
        <v>1476526448.95375</v>
      </c>
      <c r="Z22" s="8" t="n">
        <v>1665369617.82396</v>
      </c>
      <c r="AA22" s="8" t="n">
        <v>802102171.976406</v>
      </c>
      <c r="AB22" s="8" t="n">
        <v>691287244.51281</v>
      </c>
      <c r="AC22" s="8" t="n">
        <v>680895254.318172</v>
      </c>
      <c r="AD22" s="8" t="n">
        <v>524548894.812934</v>
      </c>
      <c r="AE22" s="8" t="n">
        <v>546251071.667573</v>
      </c>
      <c r="AF22" s="8" t="n">
        <v>846605834.31349</v>
      </c>
      <c r="AG22" s="8" t="n">
        <v>1263753435.74811</v>
      </c>
      <c r="AH22" s="8" t="n">
        <v>1158218671.33054</v>
      </c>
      <c r="AI22" s="8" t="n">
        <v>1165560236.31581</v>
      </c>
      <c r="AJ22" s="8" t="n">
        <v>805573696.8715</v>
      </c>
      <c r="AK22" s="8" t="n">
        <v>473410985.200198</v>
      </c>
      <c r="AL22" s="8"/>
      <c r="AM22" s="8"/>
    </row>
    <row r="23">
      <c r="A23" t="str">
        <f>M23</f>
      </c>
      <c r="B23" s="8" t="str">
        <f>AC23</f>
      </c>
      <c r="C23" s="8" t="str">
        <f>AI23</f>
      </c>
      <c r="D23" s="8" t="str">
        <f>AJ23</f>
      </c>
      <c r="E23" s="8" t="str">
        <f>AK23</f>
      </c>
      <c r="F23" s="6" t="str">
        <f>AJ23/AI23-1</f>
      </c>
      <c r="G23" s="6" t="str">
        <f>AJ23/AC23-1</f>
      </c>
      <c r="H23" s="6" t="str">
        <f>AK23/AJ23</f>
      </c>
      <c r="I23" s="6" t="str">
        <f>AJ23/Sum(AJ$15:AJ$25)</f>
      </c>
      <c r="J23" s="6" t="str">
        <f>AK23/Sum(AK15:AK$25)</f>
      </c>
      <c r="M23" t="s">
        <v>90</v>
      </c>
      <c r="N23" s="8" t="n">
        <v>2650139.81639199</v>
      </c>
      <c r="O23" s="8" t="n">
        <v>2476464.00952463</v>
      </c>
      <c r="P23" s="8" t="n">
        <v>3577530.13539143</v>
      </c>
      <c r="Q23" s="8" t="n">
        <v>18692620.0960459</v>
      </c>
      <c r="R23" s="8" t="n">
        <v>15065122.2168797</v>
      </c>
      <c r="S23" s="8" t="n">
        <v>22527439.1227304</v>
      </c>
      <c r="T23" s="8" t="n">
        <v>83958337.6806587</v>
      </c>
      <c r="U23" s="8" t="n">
        <v>319221916.551287</v>
      </c>
      <c r="V23" s="8" t="n">
        <v>389652392.264962</v>
      </c>
      <c r="W23" s="8" t="n">
        <v>604936165.840945</v>
      </c>
      <c r="X23" s="8" t="n">
        <v>775634586.390993</v>
      </c>
      <c r="Y23" s="8" t="n">
        <v>511152050.265367</v>
      </c>
      <c r="Z23" s="8" t="n">
        <v>538984600.349988</v>
      </c>
      <c r="AA23" s="8" t="n">
        <v>648240677.919836</v>
      </c>
      <c r="AB23" s="8" t="n">
        <v>793504939.687719</v>
      </c>
      <c r="AC23" s="8" t="n">
        <v>734541417.995718</v>
      </c>
      <c r="AD23" s="8" t="n">
        <v>790475492.897467</v>
      </c>
      <c r="AE23" s="8" t="n">
        <v>876819088.447321</v>
      </c>
      <c r="AF23" s="8" t="n">
        <v>352114786.662687</v>
      </c>
      <c r="AG23" s="8" t="n">
        <v>223294888.261176</v>
      </c>
      <c r="AH23" s="8" t="n">
        <v>179061208.447734</v>
      </c>
      <c r="AI23" s="8" t="n">
        <v>53538704.187207</v>
      </c>
      <c r="AJ23" s="8" t="n">
        <v>38199669.732</v>
      </c>
      <c r="AK23" s="8" t="n">
        <v>779184.480524524</v>
      </c>
      <c r="AL23" s="8"/>
      <c r="AM23" s="8"/>
    </row>
    <row r="24">
      <c r="A24" t="str">
        <f>M24</f>
      </c>
      <c r="B24" s="8" t="str">
        <f>AC24</f>
      </c>
      <c r="C24" s="8" t="str">
        <f>AI24</f>
      </c>
      <c r="D24" s="8" t="str">
        <f>AJ24</f>
      </c>
      <c r="E24" s="8" t="str">
        <f>AK24</f>
      </c>
      <c r="F24" s="6" t="str">
        <f>AJ24/AI24-1</f>
      </c>
      <c r="G24" s="6" t="str">
        <f>AJ24/AC24-1</f>
      </c>
      <c r="H24" s="6" t="str">
        <f>AK24/AJ24</f>
      </c>
      <c r="I24" s="6" t="str">
        <f>AJ24/Sum(AJ$15:AJ$25)</f>
      </c>
      <c r="J24" s="6" t="str">
        <f>AK24/Sum(AK15:AK$25)</f>
      </c>
      <c r="M24" t="s">
        <v>91</v>
      </c>
      <c r="N24" s="8" t="n">
        <v>3340347.37905239</v>
      </c>
      <c r="O24" s="8" t="n">
        <v>44979907.1057786</v>
      </c>
      <c r="P24" s="8" t="n">
        <v>45841989.3255123</v>
      </c>
      <c r="Q24" s="8" t="n">
        <v>105990453.530739</v>
      </c>
      <c r="R24" s="8" t="n">
        <v>210408995.084996</v>
      </c>
      <c r="S24" s="8" t="n">
        <v>355167110.806315</v>
      </c>
      <c r="T24" s="8" t="n">
        <v>329876074.57581</v>
      </c>
      <c r="U24" s="8" t="n">
        <v>684252143.111686</v>
      </c>
      <c r="V24" s="8" t="n">
        <v>645441576.077548</v>
      </c>
      <c r="W24" s="8" t="n">
        <v>1411490604.38117</v>
      </c>
      <c r="X24" s="8" t="n">
        <v>1644341234.20953</v>
      </c>
      <c r="Y24" s="8" t="n">
        <v>1217912744.96031</v>
      </c>
      <c r="Z24" s="8" t="n">
        <v>733524105.030224</v>
      </c>
      <c r="AA24" s="8" t="n">
        <v>470925727.816441</v>
      </c>
      <c r="AB24" s="8" t="n">
        <v>746485675.214277</v>
      </c>
      <c r="AC24" s="8" t="n">
        <v>254130697.047535</v>
      </c>
      <c r="AD24" s="8" t="n">
        <v>340165827.350869</v>
      </c>
      <c r="AE24" s="8" t="n">
        <v>667689891.088163</v>
      </c>
      <c r="AF24" s="8" t="n">
        <v>706568009.785368</v>
      </c>
      <c r="AG24" s="8" t="n">
        <v>747909061.934001</v>
      </c>
      <c r="AH24" s="8" t="n">
        <v>618446524.562107</v>
      </c>
      <c r="AI24" s="8" t="n">
        <v>843791151.827252</v>
      </c>
      <c r="AJ24" s="8" t="n">
        <v>585910085.2194</v>
      </c>
      <c r="AK24" s="8" t="n">
        <v>335841637.506562</v>
      </c>
      <c r="AL24" s="8"/>
      <c r="AM24" s="8"/>
    </row>
    <row r="25">
      <c r="A25" t="str">
        <f>M25</f>
      </c>
      <c r="B25" s="8" t="str">
        <f>AC25</f>
      </c>
      <c r="C25" s="8" t="str">
        <f>AI25</f>
      </c>
      <c r="D25" s="8" t="str">
        <f>AJ25</f>
      </c>
      <c r="E25" s="8" t="str">
        <f>AK25</f>
      </c>
      <c r="F25" s="6" t="str">
        <f>AJ25/AI25-1</f>
      </c>
      <c r="G25" s="6" t="str">
        <f>AJ25/AC25-1</f>
      </c>
      <c r="H25" s="6" t="str">
        <f>AK25/AJ25</f>
      </c>
      <c r="I25" s="6" t="str">
        <f>AJ25/Sum(AJ$15:AJ$25)</f>
      </c>
      <c r="J25" s="6" t="str">
        <f>AK25/Sum(AK15:AK$25)</f>
      </c>
      <c r="M25" t="s">
        <v>92</v>
      </c>
      <c r="N25" s="8" t="n">
        <v>32799793.4192188</v>
      </c>
      <c r="O25" s="8" t="n">
        <v>42090757.7242335</v>
      </c>
      <c r="P25" s="8" t="n">
        <v>34052667.7835669</v>
      </c>
      <c r="Q25" s="8" t="n">
        <v>11749790.1583181</v>
      </c>
      <c r="R25" s="8" t="n">
        <v>263689414.31617</v>
      </c>
      <c r="S25" s="8" t="n">
        <v>228423879.883436</v>
      </c>
      <c r="T25" s="8" t="n">
        <v>306278796.115073</v>
      </c>
      <c r="U25" s="8" t="n">
        <v>654525306.261107</v>
      </c>
      <c r="V25" s="8" t="n">
        <v>262634181.392635</v>
      </c>
      <c r="W25" s="8" t="n">
        <v>440885207.129837</v>
      </c>
      <c r="X25" s="8" t="n">
        <v>332952856.744747</v>
      </c>
      <c r="Y25" s="8" t="n">
        <v>265685116.031049</v>
      </c>
      <c r="Z25" s="8" t="n">
        <v>297200941.569039</v>
      </c>
      <c r="AA25" s="8" t="n">
        <v>274287944.323145</v>
      </c>
      <c r="AB25" s="8" t="n">
        <v>250680972.541133</v>
      </c>
      <c r="AC25" s="8" t="n">
        <v>246444913.997474</v>
      </c>
      <c r="AD25" s="8" t="n">
        <v>540445990.225348</v>
      </c>
      <c r="AE25" s="8" t="n">
        <v>382644493.803018</v>
      </c>
      <c r="AF25" s="8" t="n">
        <v>658735189.524975</v>
      </c>
      <c r="AG25" s="8" t="n">
        <v>718925741.908828</v>
      </c>
      <c r="AH25" s="8" t="n">
        <v>3698863830.12676</v>
      </c>
      <c r="AI25" s="8" t="n">
        <v>683104505.869178</v>
      </c>
      <c r="AJ25" s="8" t="n">
        <v>632892968.9064</v>
      </c>
      <c r="AK25" s="8" t="n">
        <v>234557062.599492</v>
      </c>
      <c r="AL25" s="8"/>
      <c r="AM25" s="8"/>
    </row>
    <row r="26">
      <c r="A26" t="str">
        <f>M26</f>
      </c>
      <c r="B26" s="8" t="str">
        <f>AC26</f>
      </c>
      <c r="C26" s="8" t="str">
        <f>AI26</f>
      </c>
      <c r="D26" s="8" t="str">
        <f>AJ26</f>
      </c>
      <c r="E26" s="8" t="str">
        <f>AK26</f>
      </c>
      <c r="F26" s="6" t="str">
        <f>AJ26/AI26-1</f>
      </c>
      <c r="G26" s="6" t="str">
        <f>AJ26/AC26-1</f>
      </c>
      <c r="H26" s="6" t="str">
        <f>AK26/AJ26</f>
      </c>
      <c r="I26" s="6" t="str">
        <f>Sum(I$15:I$25)</f>
      </c>
      <c r="J26" s="6" t="str">
        <f>Sum(J$15:J$25)</f>
      </c>
      <c r="M26" t="s">
        <v>151</v>
      </c>
      <c r="N26" s="8" t="str">
        <f>Sum(N16:N25)</f>
      </c>
      <c r="O26" s="8" t="str">
        <f>Sum(O16:O25)</f>
      </c>
      <c r="P26" s="8" t="str">
        <f>Sum(P16:P25)</f>
      </c>
      <c r="Q26" s="8" t="str">
        <f>Sum(Q16:Q25)</f>
      </c>
      <c r="R26" s="8" t="str">
        <f>Sum(R16:R25)</f>
      </c>
      <c r="S26" s="8" t="str">
        <f>Sum(S16:S25)</f>
      </c>
      <c r="T26" s="8" t="str">
        <f>Sum(T16:T25)</f>
      </c>
      <c r="U26" s="8" t="str">
        <f>Sum(U16:U25)</f>
      </c>
      <c r="V26" s="8" t="str">
        <f>Sum(V16:V25)</f>
      </c>
      <c r="W26" s="8" t="str">
        <f>Sum(W16:W25)</f>
      </c>
      <c r="X26" s="8" t="str">
        <f>Sum(X16:X25)</f>
      </c>
      <c r="Y26" s="8" t="str">
        <f>Sum(Y16:Y25)</f>
      </c>
      <c r="Z26" s="8" t="str">
        <f>Sum(Z16:Z25)</f>
      </c>
      <c r="AA26" s="8" t="str">
        <f>Sum(AA16:AA25)</f>
      </c>
      <c r="AB26" s="8" t="str">
        <f>Sum(AB16:AB25)</f>
      </c>
      <c r="AC26" s="8" t="str">
        <f>Sum(AC16:AC25)</f>
      </c>
      <c r="AD26" s="8" t="str">
        <f>Sum(AD16:AD25)</f>
      </c>
      <c r="AE26" s="8" t="str">
        <f>Sum(AE16:AE25)</f>
      </c>
      <c r="AF26" s="8" t="str">
        <f>Sum(AF16:AF25)</f>
      </c>
      <c r="AG26" s="8" t="str">
        <f>Sum(AG16:AG25)</f>
      </c>
      <c r="AH26" s="8" t="str">
        <f>Sum(AH16:AH25)</f>
      </c>
      <c r="AI26" s="8" t="str">
        <f>Sum(AI16:AI25)</f>
      </c>
      <c r="AJ26" s="8" t="str">
        <f>Sum(AJ16:AJ25)</f>
      </c>
      <c r="AK26" s="8" t="str">
        <f>Sum(AK16:AK25)</f>
      </c>
      <c r="AL26" s="8"/>
      <c r="AM26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93</v>
      </c>
      <c r="N1" t="s">
        <v>94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95</v>
      </c>
      <c r="N2" t="n">
        <v>11</v>
      </c>
      <c r="O2" s="9"/>
      <c r="P2" s="9"/>
      <c r="Q2" s="9"/>
      <c r="R2" s="9"/>
      <c r="S2" s="9"/>
      <c r="T2" s="9"/>
      <c r="U2" s="9" t="n">
        <v>29531243.5063193</v>
      </c>
      <c r="V2" s="9" t="n">
        <v>450278357.555349</v>
      </c>
      <c r="W2" s="9" t="n">
        <v>202531018.690479</v>
      </c>
      <c r="X2" s="9" t="n">
        <v>281340685.592031</v>
      </c>
      <c r="Y2" s="9" t="n">
        <v>1131389455.95436</v>
      </c>
      <c r="Z2" s="9" t="n">
        <v>1265944368.11565</v>
      </c>
      <c r="AA2" s="9" t="n">
        <v>999007723.959491</v>
      </c>
      <c r="AB2" s="9" t="n">
        <v>879899260.340753</v>
      </c>
      <c r="AC2" s="9" t="n">
        <v>655874209.663381</v>
      </c>
      <c r="AD2" s="9" t="n">
        <v>637097257.101265</v>
      </c>
      <c r="AE2" s="9" t="n">
        <v>658114309.576629</v>
      </c>
      <c r="AF2" s="9" t="n">
        <v>483025909.726209</v>
      </c>
      <c r="AG2" s="9" t="n">
        <v>505429470.562474</v>
      </c>
      <c r="AH2" s="9" t="n">
        <v>508269630.537183</v>
      </c>
      <c r="AI2" s="9" t="n">
        <v>613575136.457047</v>
      </c>
      <c r="AJ2" s="9" t="n">
        <v>320990525.498459</v>
      </c>
      <c r="AK2" s="9" t="n">
        <v>241866892.8748</v>
      </c>
      <c r="AL2" s="9" t="n">
        <v>80111888.7248183</v>
      </c>
      <c r="AM2" s="9"/>
    </row>
    <row r="3">
      <c r="M3" t="s">
        <v>96</v>
      </c>
      <c r="N3" t="n">
        <v>863</v>
      </c>
      <c r="O3" s="9" t="n">
        <v>31022364.3375288</v>
      </c>
      <c r="P3" s="9" t="n">
        <v>60140516.173993</v>
      </c>
      <c r="Q3" s="9" t="n">
        <v>7520365.97839029</v>
      </c>
      <c r="R3" s="9" t="n">
        <v>38684629.3316278</v>
      </c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>
      <c r="M4" t="s">
        <v>97</v>
      </c>
      <c r="N4" t="n">
        <v>831</v>
      </c>
      <c r="O4" s="9" t="n">
        <v>-51123.3145047463</v>
      </c>
      <c r="P4" s="9" t="n">
        <v>802533.607487923</v>
      </c>
      <c r="Q4" s="9" t="n">
        <v>147733.640398991</v>
      </c>
      <c r="R4" s="9" t="n">
        <v>24391880.6163119</v>
      </c>
      <c r="S4" s="9"/>
      <c r="T4" s="9"/>
      <c r="U4" s="9"/>
      <c r="V4" s="9"/>
      <c r="W4" s="9"/>
      <c r="X4" s="9" t="n">
        <v>-6440.03354792093</v>
      </c>
      <c r="Y4" s="9"/>
      <c r="Z4" s="9" t="n">
        <v>0</v>
      </c>
      <c r="AA4" s="9"/>
      <c r="AB4" s="9"/>
      <c r="AC4" s="9"/>
      <c r="AD4" s="9"/>
      <c r="AE4" s="9"/>
      <c r="AF4" s="9"/>
      <c r="AG4" s="9"/>
      <c r="AH4" s="9" t="n">
        <v>-33124.114481189</v>
      </c>
      <c r="AI4" s="9" t="n">
        <v>-169520.942695048</v>
      </c>
      <c r="AJ4" s="9"/>
      <c r="AK4" s="9"/>
      <c r="AL4" s="9"/>
      <c r="AM4" s="9"/>
    </row>
    <row r="5">
      <c r="M5" t="s">
        <v>98</v>
      </c>
      <c r="N5" t="n">
        <v>485</v>
      </c>
      <c r="O5" s="9"/>
      <c r="P5" s="9" t="n">
        <v>70118.8588641425</v>
      </c>
      <c r="Q5" s="9" t="n">
        <v>159247.329139852</v>
      </c>
      <c r="R5" s="9" t="n">
        <v>16669.267553938</v>
      </c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>
      <c r="M6" t="s">
        <v>99</v>
      </c>
      <c r="N6" t="n">
        <v>2033</v>
      </c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 t="n">
        <v>22914815.4446492</v>
      </c>
      <c r="AE6" s="9" t="n">
        <v>136024939.535994</v>
      </c>
      <c r="AF6" s="9" t="n">
        <v>301644032.213527</v>
      </c>
      <c r="AG6" s="9" t="n">
        <v>9780202.84239837</v>
      </c>
      <c r="AH6" s="9" t="n">
        <v>110550558.088463</v>
      </c>
      <c r="AI6" s="9" t="n">
        <v>120786689.602734</v>
      </c>
      <c r="AJ6" s="9" t="n">
        <v>313089178.497093</v>
      </c>
      <c r="AK6" s="9" t="n">
        <v>133587042.7949</v>
      </c>
      <c r="AL6" s="9" t="n">
        <v>-2548446.52363759</v>
      </c>
      <c r="AM6" s="9"/>
    </row>
    <row r="7">
      <c r="M7" t="s">
        <v>100</v>
      </c>
      <c r="N7" t="n">
        <v>438</v>
      </c>
      <c r="O7" s="9"/>
      <c r="P7" s="9" t="n">
        <v>1475231.38150741</v>
      </c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</row>
    <row r="8">
      <c r="M8" t="s">
        <v>101</v>
      </c>
      <c r="N8" t="n">
        <v>1053</v>
      </c>
      <c r="O8" s="9" t="n">
        <v>136632.59592868</v>
      </c>
      <c r="P8" s="9" t="n">
        <v>443012.370033078</v>
      </c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</row>
    <row r="9">
      <c r="M9" t="s">
        <v>102</v>
      </c>
      <c r="N9" t="n">
        <v>1674</v>
      </c>
      <c r="O9" s="9" t="n">
        <v>381750.154589012</v>
      </c>
      <c r="P9" s="9" t="n">
        <v>211325.147556265</v>
      </c>
      <c r="Q9" s="9" t="n">
        <v>187373.093475668</v>
      </c>
      <c r="R9" s="9" t="n">
        <v>54035.3073830004</v>
      </c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>
      <c r="M10" t="s">
        <v>103</v>
      </c>
      <c r="N10" t="n">
        <v>1055</v>
      </c>
      <c r="O10" s="9"/>
      <c r="P10" s="9"/>
      <c r="Q10" s="9"/>
      <c r="R10" s="9" t="n">
        <v>8819976.28688117</v>
      </c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>
      <c r="M11" t="s">
        <v>104</v>
      </c>
      <c r="N11" t="n">
        <v>1077</v>
      </c>
      <c r="O11" s="9"/>
      <c r="P11" s="9"/>
      <c r="Q11" s="9" t="n">
        <v>414724.186581224</v>
      </c>
      <c r="R11" s="9" t="n">
        <v>2273678.03702413</v>
      </c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>
      <c r="M12" t="s">
        <v>105</v>
      </c>
      <c r="N12" t="n">
        <v>1653</v>
      </c>
      <c r="O12" s="9" t="n">
        <v>126337.164051551</v>
      </c>
      <c r="P12" s="9" t="n">
        <v>3031668.13121748</v>
      </c>
      <c r="Q12" s="9" t="n">
        <v>704754.533971902</v>
      </c>
      <c r="R12" s="9" t="n">
        <v>1457766.22927752</v>
      </c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</row>
    <row r="13">
      <c r="M13" t="s">
        <v>106</v>
      </c>
      <c r="N13" t="n">
        <v>1682</v>
      </c>
      <c r="O13" s="9" t="n">
        <v>15227884.101163</v>
      </c>
      <c r="P13" s="9" t="n">
        <v>1928312.78812383</v>
      </c>
      <c r="Q13" s="9" t="n">
        <v>45790073.6774671</v>
      </c>
      <c r="R13" s="9" t="n">
        <v>24934150.6787682</v>
      </c>
      <c r="S13" s="9"/>
      <c r="T13" s="9"/>
      <c r="U13" s="9"/>
      <c r="V13" s="9"/>
      <c r="W13" s="9"/>
      <c r="X13" s="9" t="n">
        <v>0</v>
      </c>
      <c r="Y13" s="9" t="n">
        <v>-32705.6929021753</v>
      </c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</row>
    <row r="14">
      <c r="M14" t="s">
        <v>107</v>
      </c>
      <c r="N14" t="n">
        <v>1655</v>
      </c>
      <c r="O14" s="9" t="n">
        <v>701428.807856041</v>
      </c>
      <c r="P14" s="9"/>
      <c r="Q14" s="9" t="n">
        <v>2897071.75199287</v>
      </c>
      <c r="R14" s="9" t="n">
        <v>881775.148291109</v>
      </c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>
      <c r="M15" t="s">
        <v>108</v>
      </c>
      <c r="N15" t="n">
        <v>499</v>
      </c>
      <c r="O15" s="9" t="n">
        <v>2785583.23500404</v>
      </c>
      <c r="P15" s="9" t="n">
        <v>212265.323931586</v>
      </c>
      <c r="Q15" s="9" t="n">
        <v>72511.0810208105</v>
      </c>
      <c r="R15" s="9" t="n">
        <v>32750.3335103058</v>
      </c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</row>
    <row r="16">
      <c r="M16" t="s">
        <v>109</v>
      </c>
      <c r="N16" t="n">
        <v>1076</v>
      </c>
      <c r="O16" s="9" t="n">
        <v>6172040.31821674</v>
      </c>
      <c r="P16" s="9"/>
      <c r="Q16" s="9" t="n">
        <v>433597.380439827</v>
      </c>
      <c r="R16" s="9" t="n">
        <v>1689151.9375196</v>
      </c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>
      <c r="M17" t="s">
        <v>110</v>
      </c>
      <c r="N17" t="n">
        <v>1050</v>
      </c>
      <c r="O17" s="9" t="n">
        <v>1512706.25460574</v>
      </c>
      <c r="P17" s="9" t="n">
        <v>7711869.28252087</v>
      </c>
      <c r="Q17" s="9" t="n">
        <v>5671269.74076017</v>
      </c>
      <c r="R17" s="9" t="n">
        <v>5372991.4942148</v>
      </c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>
      <c r="M18" t="s">
        <v>111</v>
      </c>
      <c r="N18" t="n">
        <v>1034</v>
      </c>
      <c r="O18" s="9"/>
      <c r="P18" s="9"/>
      <c r="Q18" s="9"/>
      <c r="R18" s="9" t="n">
        <v>6038217.02429994</v>
      </c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>
      <c r="M19" t="s">
        <v>112</v>
      </c>
      <c r="N19" t="n">
        <v>877</v>
      </c>
      <c r="O19" s="9" t="n">
        <v>12365026.9607987</v>
      </c>
      <c r="P19" s="9" t="n">
        <v>1195642.4882034</v>
      </c>
      <c r="Q19" s="9" t="n">
        <v>-5178255.88726594</v>
      </c>
      <c r="R19" s="9" t="n">
        <v>26534.5969390915</v>
      </c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</row>
    <row r="20">
      <c r="M20" t="s">
        <v>113</v>
      </c>
      <c r="N20" t="n">
        <v>1078</v>
      </c>
      <c r="O20" s="9" t="n">
        <v>12332499.0834367</v>
      </c>
      <c r="P20" s="9" t="n">
        <v>27452949.8197833</v>
      </c>
      <c r="Q20" s="9" t="n">
        <v>1461663.87272841</v>
      </c>
      <c r="R20" s="9" t="n">
        <v>819084.43916148</v>
      </c>
      <c r="S20" s="9"/>
      <c r="T20" s="9"/>
      <c r="U20" s="9"/>
      <c r="V20" s="9"/>
      <c r="W20" s="9"/>
      <c r="X20" s="9"/>
      <c r="Y20" s="9" t="n">
        <v>-248358.528418965</v>
      </c>
      <c r="Z20" s="9"/>
      <c r="AA20" s="9"/>
      <c r="AB20" s="9"/>
      <c r="AC20" s="9"/>
      <c r="AD20" s="9"/>
      <c r="AE20" s="9"/>
      <c r="AF20" s="9"/>
      <c r="AG20" s="9"/>
      <c r="AH20" s="9" t="n">
        <v>0</v>
      </c>
      <c r="AI20" s="9"/>
      <c r="AJ20" s="9"/>
      <c r="AK20" s="9"/>
      <c r="AL20" s="9"/>
      <c r="AM20" s="9"/>
    </row>
    <row r="21">
      <c r="M21" t="s">
        <v>114</v>
      </c>
      <c r="N21" t="n">
        <v>1046</v>
      </c>
      <c r="O21" s="9" t="n">
        <v>2938504.00556444</v>
      </c>
      <c r="P21" s="9"/>
      <c r="Q21" s="9" t="n">
        <v>68909.7532368805</v>
      </c>
      <c r="R21" s="9" t="n">
        <v>4847290.1259823</v>
      </c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>
      <c r="M22" t="s">
        <v>115</v>
      </c>
      <c r="N22" t="n">
        <v>426</v>
      </c>
      <c r="O22" s="9"/>
      <c r="P22" s="9" t="n">
        <v>-153804.021130571</v>
      </c>
      <c r="Q22" s="9" t="n">
        <v>10915619.8541943</v>
      </c>
      <c r="R22" s="9" t="n">
        <v>10344437.8724345</v>
      </c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</row>
    <row r="23">
      <c r="M23" t="s">
        <v>116</v>
      </c>
      <c r="N23" t="n">
        <v>1037</v>
      </c>
      <c r="O23" s="9" t="n">
        <v>-879480.643610554</v>
      </c>
      <c r="P23" s="9" t="n">
        <v>151863.724248616</v>
      </c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>
      <c r="M24" t="s">
        <v>117</v>
      </c>
      <c r="N24" t="n">
        <v>20</v>
      </c>
      <c r="O24" s="9"/>
      <c r="P24" s="9"/>
      <c r="Q24" s="9"/>
      <c r="R24" s="9"/>
      <c r="S24" s="9"/>
      <c r="T24" s="9"/>
      <c r="U24" s="9"/>
      <c r="V24" s="9"/>
      <c r="W24" s="9" t="n">
        <v>334039.089202524</v>
      </c>
      <c r="X24" s="9" t="n">
        <v>10985.7199061613</v>
      </c>
      <c r="Y24" s="9"/>
      <c r="Z24" s="9"/>
      <c r="AA24" s="9"/>
      <c r="AB24" s="9"/>
      <c r="AC24" s="9" t="n">
        <v>26279290.0532467</v>
      </c>
      <c r="AD24" s="9" t="n">
        <v>134216793.781921</v>
      </c>
      <c r="AE24" s="9" t="n">
        <v>16351850.9134548</v>
      </c>
      <c r="AF24" s="9" t="n">
        <v>63655043.8983098</v>
      </c>
      <c r="AG24" s="9" t="n">
        <v>241440081.100313</v>
      </c>
      <c r="AH24" s="9" t="n">
        <v>345788244.117657</v>
      </c>
      <c r="AI24" s="9" t="n">
        <v>364312951.323356</v>
      </c>
      <c r="AJ24" s="9" t="n">
        <v>189468731.477266</v>
      </c>
      <c r="AK24" s="9" t="n">
        <v>161462601.9253</v>
      </c>
      <c r="AL24" s="9" t="n">
        <v>55935390.0158688</v>
      </c>
      <c r="AM24" s="9"/>
    </row>
    <row r="25">
      <c r="M25" t="s">
        <v>118</v>
      </c>
      <c r="N25" t="n">
        <v>1876</v>
      </c>
      <c r="O25" s="9"/>
      <c r="P25" s="9"/>
      <c r="Q25" s="9"/>
      <c r="R25" s="9"/>
      <c r="S25" s="9"/>
      <c r="T25" s="9"/>
      <c r="U25" s="9"/>
      <c r="V25" s="9" t="n">
        <v>-21800171.4955945</v>
      </c>
      <c r="W25" s="9" t="n">
        <v>180000.548429349</v>
      </c>
      <c r="X25" s="9" t="n">
        <v>958665.877310031</v>
      </c>
      <c r="Y25" s="9" t="n">
        <v>8325254.3544958</v>
      </c>
      <c r="Z25" s="9" t="n">
        <v>1326971.14173374</v>
      </c>
      <c r="AA25" s="9" t="n">
        <v>13537828.9690168</v>
      </c>
      <c r="AB25" s="9" t="n">
        <v>3942098.59548798</v>
      </c>
      <c r="AC25" s="9" t="n">
        <v>5815210.19664188</v>
      </c>
      <c r="AD25" s="9" t="n">
        <v>4854916.35757942</v>
      </c>
      <c r="AE25" s="9" t="n">
        <v>3250350.1344113</v>
      </c>
      <c r="AF25" s="9" t="n">
        <v>6374205.67043284</v>
      </c>
      <c r="AG25" s="9" t="n">
        <v>-609042.565457927</v>
      </c>
      <c r="AH25" s="9" t="n">
        <v>0</v>
      </c>
      <c r="AI25" s="9" t="n">
        <v>-4429.76514196457</v>
      </c>
      <c r="AJ25" s="9" t="n">
        <v>-8534.71162451287</v>
      </c>
      <c r="AK25" s="9" t="n">
        <v>-45059.6797</v>
      </c>
      <c r="AL25" s="9"/>
      <c r="AM25" s="9"/>
    </row>
    <row r="26">
      <c r="M26" t="s">
        <v>72</v>
      </c>
      <c r="N26" t="n">
        <v>137</v>
      </c>
      <c r="O26" s="9" t="n">
        <v>2784409924.1565</v>
      </c>
      <c r="P26" s="9" t="n">
        <v>1804988805.52813</v>
      </c>
      <c r="Q26" s="9" t="n">
        <v>957810194.98376</v>
      </c>
      <c r="R26" s="9" t="n">
        <v>951802754.999747</v>
      </c>
      <c r="S26" s="9" t="n">
        <v>2205734.00969018</v>
      </c>
      <c r="T26" s="9"/>
      <c r="U26" s="9"/>
      <c r="V26" s="9"/>
      <c r="W26" s="9" t="n">
        <v>-309376.89349475</v>
      </c>
      <c r="X26" s="9" t="n">
        <v>-974484.648893482</v>
      </c>
      <c r="Y26" s="9" t="n">
        <v>-1711126.3151592</v>
      </c>
      <c r="Z26" s="9" t="n">
        <v>-1276934.83176748</v>
      </c>
      <c r="AA26" s="9"/>
      <c r="AB26" s="9"/>
      <c r="AC26" s="9"/>
      <c r="AD26" s="9"/>
      <c r="AE26" s="9"/>
      <c r="AF26" s="9" t="n">
        <v>0</v>
      </c>
      <c r="AG26" s="9" t="n">
        <v>-99066.315721179</v>
      </c>
      <c r="AH26" s="9" t="n">
        <v>0</v>
      </c>
      <c r="AI26" s="9" t="n">
        <v>0</v>
      </c>
      <c r="AJ26" s="9" t="n">
        <v>0</v>
      </c>
      <c r="AK26" s="9" t="n">
        <v>0</v>
      </c>
      <c r="AL26" s="9" t="n">
        <v>0</v>
      </c>
      <c r="AM26" s="9"/>
    </row>
    <row r="27">
      <c r="M27" t="s">
        <v>73</v>
      </c>
      <c r="N27" t="n">
        <v>1357</v>
      </c>
      <c r="O27" s="9"/>
      <c r="P27" s="9"/>
      <c r="Q27" s="9"/>
      <c r="R27" s="9"/>
      <c r="S27" s="9" t="n">
        <v>133463974.180334</v>
      </c>
      <c r="T27" s="9" t="n">
        <v>353383518.726532</v>
      </c>
      <c r="U27" s="9" t="n">
        <v>378757729.173113</v>
      </c>
      <c r="V27" s="9" t="n">
        <v>610803752.3278</v>
      </c>
      <c r="W27" s="9" t="n">
        <v>579891838.366996</v>
      </c>
      <c r="X27" s="9" t="n">
        <v>562149208.602528</v>
      </c>
      <c r="Y27" s="9" t="n">
        <v>338656801.840957</v>
      </c>
      <c r="Z27" s="9" t="n">
        <v>337770942.453361</v>
      </c>
      <c r="AA27" s="9" t="n">
        <v>622072077.856056</v>
      </c>
      <c r="AB27" s="9" t="n">
        <v>515842698.65472</v>
      </c>
      <c r="AC27" s="9" t="n">
        <v>761961692.870075</v>
      </c>
      <c r="AD27" s="9" t="n">
        <v>684221021.134957</v>
      </c>
      <c r="AE27" s="9" t="n">
        <v>721189621.171773</v>
      </c>
      <c r="AF27" s="9" t="n">
        <v>640857556.85431</v>
      </c>
      <c r="AG27" s="9" t="n">
        <v>790070176.586644</v>
      </c>
      <c r="AH27" s="9" t="n">
        <v>807425798.773212</v>
      </c>
      <c r="AI27" s="9" t="n">
        <v>711679835.061188</v>
      </c>
      <c r="AJ27" s="9" t="n">
        <v>743907087.538328</v>
      </c>
      <c r="AK27" s="9" t="n">
        <v>551993804.1368</v>
      </c>
      <c r="AL27" s="9" t="n">
        <v>359482367.947432</v>
      </c>
      <c r="AM27" s="9"/>
    </row>
    <row r="28">
      <c r="M28" t="s">
        <v>119</v>
      </c>
      <c r="N28" t="n">
        <v>69</v>
      </c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 t="n">
        <v>10689.9437832963</v>
      </c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</row>
    <row r="29">
      <c r="M29" t="s">
        <v>120</v>
      </c>
      <c r="N29" t="n">
        <v>871</v>
      </c>
      <c r="O29" s="9" t="n">
        <v>7400258.52003942</v>
      </c>
      <c r="P29" s="9" t="n">
        <v>40871445.1915474</v>
      </c>
      <c r="Q29" s="9" t="n">
        <v>7778080.6596077</v>
      </c>
      <c r="R29" s="9" t="n">
        <v>41765588.1560653</v>
      </c>
      <c r="S29" s="9"/>
      <c r="T29" s="9"/>
      <c r="U29" s="9"/>
      <c r="V29" s="9"/>
      <c r="W29" s="9"/>
      <c r="X29" s="9"/>
      <c r="Y29" s="9" t="n">
        <v>-892.865416229387</v>
      </c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>
      <c r="M30" t="s">
        <v>121</v>
      </c>
      <c r="N30" t="n">
        <v>866</v>
      </c>
      <c r="O30" s="9" t="n">
        <v>146352642.099136</v>
      </c>
      <c r="P30" s="9" t="n">
        <v>66666789.9202138</v>
      </c>
      <c r="Q30" s="9" t="n">
        <v>51765833.4305581</v>
      </c>
      <c r="R30" s="9" t="n">
        <v>30794938.0626156</v>
      </c>
      <c r="S30" s="9" t="n">
        <v>74373.9664342852</v>
      </c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 t="n">
        <v>-287.830212157484</v>
      </c>
      <c r="AH30" s="9"/>
      <c r="AI30" s="9"/>
      <c r="AJ30" s="9"/>
      <c r="AK30" s="9"/>
      <c r="AL30" s="9"/>
      <c r="AM30" s="9"/>
    </row>
    <row r="31">
      <c r="M31" t="s">
        <v>122</v>
      </c>
      <c r="N31" t="n">
        <v>1737</v>
      </c>
      <c r="O31" s="9" t="n">
        <v>9536408.75591904</v>
      </c>
      <c r="P31" s="9" t="n">
        <v>4720641.35525932</v>
      </c>
      <c r="Q31" s="9" t="n">
        <v>2684447.433952</v>
      </c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>
      <c r="M32" t="s">
        <v>123</v>
      </c>
      <c r="N32" t="n">
        <v>1359</v>
      </c>
      <c r="O32" s="9"/>
      <c r="P32" s="9"/>
      <c r="Q32" s="9"/>
      <c r="R32" s="9"/>
      <c r="S32" s="9" t="n">
        <v>343826838.06891</v>
      </c>
      <c r="T32" s="9" t="n">
        <v>276083236.816715</v>
      </c>
      <c r="U32" s="9" t="n">
        <v>361815346.172335</v>
      </c>
      <c r="V32" s="9" t="n">
        <v>376056311.08265</v>
      </c>
      <c r="W32" s="9" t="n">
        <v>271563347.340223</v>
      </c>
      <c r="X32" s="9" t="n">
        <v>337787166.654346</v>
      </c>
      <c r="Y32" s="9" t="n">
        <v>127913509.752995</v>
      </c>
      <c r="Z32" s="9" t="n">
        <v>78062775.355675</v>
      </c>
      <c r="AA32" s="9" t="n">
        <v>116723680.543113</v>
      </c>
      <c r="AB32" s="9" t="n">
        <v>73291298.0691879</v>
      </c>
      <c r="AC32" s="9" t="n">
        <v>13882647.7013013</v>
      </c>
      <c r="AD32" s="9" t="n">
        <v>9882585.23804568</v>
      </c>
      <c r="AE32" s="9" t="n">
        <v>-37897.9590232488</v>
      </c>
      <c r="AF32" s="9" t="n">
        <v>0</v>
      </c>
      <c r="AG32" s="9" t="n">
        <v>-91949.8273457792</v>
      </c>
      <c r="AH32" s="9" t="n">
        <v>0</v>
      </c>
      <c r="AI32" s="9"/>
      <c r="AJ32" s="9" t="n">
        <v>-99728.9829641271</v>
      </c>
      <c r="AK32" s="9"/>
      <c r="AL32" s="9"/>
      <c r="AM32" s="9"/>
    </row>
    <row r="33">
      <c r="M33" t="s">
        <v>124</v>
      </c>
      <c r="N33" t="n">
        <v>165</v>
      </c>
      <c r="O33" s="9"/>
      <c r="P33" s="9" t="n">
        <v>3617230.80046579</v>
      </c>
      <c r="Q33" s="9" t="n">
        <v>3756551.37857733</v>
      </c>
      <c r="R33" s="9" t="n">
        <v>5453139.29531791</v>
      </c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>
      <c r="M34" t="s">
        <v>125</v>
      </c>
      <c r="N34" t="n">
        <v>1735</v>
      </c>
      <c r="O34" s="9" t="n">
        <v>29919689.9763032</v>
      </c>
      <c r="P34" s="9" t="n">
        <v>40930621.0914928</v>
      </c>
      <c r="Q34" s="9" t="n">
        <v>-9348191.2429042</v>
      </c>
      <c r="R34" s="9" t="n">
        <v>12051237.3817195</v>
      </c>
      <c r="S34" s="9"/>
      <c r="T34" s="9"/>
      <c r="U34" s="9"/>
      <c r="V34" s="9"/>
      <c r="W34" s="9" t="n">
        <v>476906.720799051</v>
      </c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>
      <c r="M35" t="s">
        <v>126</v>
      </c>
      <c r="N35" t="n">
        <v>151</v>
      </c>
      <c r="O35" s="9" t="n">
        <v>5420118.33057536</v>
      </c>
      <c r="P35" s="9" t="n">
        <v>11285015.9068378</v>
      </c>
      <c r="Q35" s="9" t="n">
        <v>9272678.27891387</v>
      </c>
      <c r="R35" s="9" t="n">
        <v>34775887.9988088</v>
      </c>
      <c r="S35" s="9"/>
      <c r="T35" s="9"/>
      <c r="U35" s="9"/>
      <c r="V35" s="9"/>
      <c r="W35" s="9"/>
      <c r="X35" s="9" t="n">
        <v>-113945.111593029</v>
      </c>
      <c r="Y35" s="9" t="n">
        <v>-16732.6375160538</v>
      </c>
      <c r="Z35" s="9" t="n">
        <v>-204212.04162126</v>
      </c>
      <c r="AA35" s="9"/>
      <c r="AB35" s="9"/>
      <c r="AC35" s="9"/>
      <c r="AD35" s="9"/>
      <c r="AE35" s="9"/>
      <c r="AF35" s="9"/>
      <c r="AG35" s="9"/>
      <c r="AH35" s="9"/>
      <c r="AI35" s="9" t="n">
        <v>0</v>
      </c>
      <c r="AJ35" s="9"/>
      <c r="AK35" s="9"/>
      <c r="AL35" s="9"/>
      <c r="AM35" s="9"/>
    </row>
    <row r="36">
      <c r="M36" t="s">
        <v>127</v>
      </c>
      <c r="N36" t="n">
        <v>166</v>
      </c>
      <c r="O36" s="9" t="n">
        <v>0</v>
      </c>
      <c r="P36" s="9"/>
      <c r="Q36" s="9" t="n">
        <v>85748.5618445359</v>
      </c>
      <c r="R36" s="9" t="n">
        <v>109929.697535523</v>
      </c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>
      <c r="M37" t="s">
        <v>128</v>
      </c>
      <c r="N37" t="n">
        <v>1921</v>
      </c>
      <c r="O37" s="9"/>
      <c r="P37" s="9" t="n">
        <v>5169351.57272136</v>
      </c>
      <c r="Q37" s="9" t="n">
        <v>-147438.576889312</v>
      </c>
      <c r="R37" s="9" t="n">
        <v>5782952.76933785</v>
      </c>
      <c r="S37" s="9" t="n">
        <v>24726465.5668988</v>
      </c>
      <c r="T37" s="9" t="n">
        <v>18692777.5065223</v>
      </c>
      <c r="U37" s="9" t="n">
        <v>20127560.9241601</v>
      </c>
      <c r="V37" s="9" t="n">
        <v>28145375.2823954</v>
      </c>
      <c r="W37" s="9" t="n">
        <v>2029731.62776045</v>
      </c>
      <c r="X37" s="9" t="n">
        <v>-1932300.29521975</v>
      </c>
      <c r="Y37" s="9" t="n">
        <v>-1113125.40563481</v>
      </c>
      <c r="Z37" s="9" t="n">
        <v>-1294236.41742456</v>
      </c>
      <c r="AA37" s="9" t="n">
        <v>-6226899.70782175</v>
      </c>
      <c r="AB37" s="9" t="n">
        <v>-29584.1760361458</v>
      </c>
      <c r="AC37" s="9"/>
      <c r="AD37" s="9" t="n">
        <v>0</v>
      </c>
      <c r="AE37" s="9" t="n">
        <v>0</v>
      </c>
      <c r="AF37" s="9"/>
      <c r="AG37" s="9"/>
      <c r="AH37" s="9"/>
      <c r="AI37" s="9"/>
      <c r="AJ37" s="9"/>
      <c r="AK37" s="9" t="n">
        <v>0</v>
      </c>
      <c r="AL37" s="9"/>
      <c r="AM37" s="9"/>
    </row>
    <row r="38">
      <c r="M38" t="s">
        <v>129</v>
      </c>
      <c r="N38" t="n">
        <v>167</v>
      </c>
      <c r="O38" s="9" t="n">
        <v>2803401.5059929</v>
      </c>
      <c r="P38" s="9" t="n">
        <v>19678959.4874971</v>
      </c>
      <c r="Q38" s="9" t="n">
        <v>42656718.1728546</v>
      </c>
      <c r="R38" s="9" t="n">
        <v>4031838.51741307</v>
      </c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 t="n">
        <v>0</v>
      </c>
      <c r="AF38" s="9"/>
      <c r="AG38" s="9"/>
      <c r="AH38" s="9"/>
      <c r="AI38" s="9"/>
      <c r="AJ38" s="9"/>
      <c r="AK38" s="9"/>
      <c r="AL38" s="9"/>
      <c r="AM38" s="9"/>
    </row>
    <row r="39">
      <c r="M39" t="s">
        <v>130</v>
      </c>
      <c r="N39" t="n">
        <v>1</v>
      </c>
      <c r="O39" s="9"/>
      <c r="P39" s="9"/>
      <c r="Q39" s="9"/>
      <c r="R39" s="9"/>
      <c r="S39" s="9"/>
      <c r="T39" s="9"/>
      <c r="U39" s="9" t="n">
        <v>46744.3208901085</v>
      </c>
      <c r="V39" s="9" t="n">
        <v>492674.557187717</v>
      </c>
      <c r="W39" s="9" t="n">
        <v>7026028.77348402</v>
      </c>
      <c r="X39" s="9" t="n">
        <v>100833.64050132</v>
      </c>
      <c r="Y39" s="9" t="n">
        <v>183031.400721365</v>
      </c>
      <c r="Z39" s="9" t="n">
        <v>169113.402312991</v>
      </c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 t="n">
        <v>3896480.25</v>
      </c>
      <c r="AL39" s="9" t="n">
        <v>306466.5593915</v>
      </c>
      <c r="AM39" s="9"/>
    </row>
    <row r="40">
      <c r="M40" t="s">
        <v>131</v>
      </c>
      <c r="N40" t="n">
        <v>2032</v>
      </c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 t="n">
        <v>12290008.1682859</v>
      </c>
      <c r="AE40" s="9" t="n">
        <v>205078767.629558</v>
      </c>
      <c r="AF40" s="9" t="n">
        <v>35603625.7390458</v>
      </c>
      <c r="AG40" s="9" t="n">
        <v>115005029.18812</v>
      </c>
      <c r="AH40" s="9" t="n">
        <v>44523549.5105348</v>
      </c>
      <c r="AI40" s="9" t="n">
        <v>97395709.4219913</v>
      </c>
      <c r="AJ40" s="9" t="n">
        <v>21182482.0031199</v>
      </c>
      <c r="AK40" s="9" t="n">
        <v>37864294.3989</v>
      </c>
      <c r="AL40" s="9" t="n">
        <v>11073548.068709</v>
      </c>
      <c r="AM40" s="9"/>
    </row>
    <row r="41">
      <c r="M41" t="s">
        <v>132</v>
      </c>
      <c r="N41" t="n">
        <v>1681</v>
      </c>
      <c r="O41" s="9" t="n">
        <v>-121848.665973292</v>
      </c>
      <c r="P41" s="9"/>
      <c r="Q41" s="9" t="n">
        <v>61887.241706509</v>
      </c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>
      <c r="M42" t="s">
        <v>133</v>
      </c>
      <c r="N42" t="n">
        <v>162</v>
      </c>
      <c r="O42" s="9" t="n">
        <v>8928031.45735926</v>
      </c>
      <c r="P42" s="9" t="n">
        <v>14557320.2883462</v>
      </c>
      <c r="Q42" s="9" t="n">
        <v>64206767.0154161</v>
      </c>
      <c r="R42" s="9" t="n">
        <v>12210164.5771003</v>
      </c>
      <c r="S42" s="9" t="n">
        <v>-371.869832171426</v>
      </c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>
      <c r="M43" t="s">
        <v>134</v>
      </c>
      <c r="N43" t="n">
        <v>1366</v>
      </c>
      <c r="O43" s="9"/>
      <c r="P43" s="9"/>
      <c r="Q43" s="9"/>
      <c r="R43" s="9"/>
      <c r="S43" s="9" t="n">
        <v>40118241.2193166</v>
      </c>
      <c r="T43" s="9" t="n">
        <v>112441822.934962</v>
      </c>
      <c r="U43" s="9" t="n">
        <v>65331944.2864261</v>
      </c>
      <c r="V43" s="9" t="n">
        <v>87055262.0249215</v>
      </c>
      <c r="W43" s="9" t="n">
        <v>27392284.2450422</v>
      </c>
      <c r="X43" s="9" t="n">
        <v>18220891.0688833</v>
      </c>
      <c r="Y43" s="9" t="n">
        <v>11984895.0646412</v>
      </c>
      <c r="Z43" s="9" t="n">
        <v>10696835.0234967</v>
      </c>
      <c r="AA43" s="9" t="n">
        <v>371008.615279312</v>
      </c>
      <c r="AB43" s="9" t="n">
        <v>380183.399465669</v>
      </c>
      <c r="AC43" s="9" t="n">
        <v>-269885.969657057</v>
      </c>
      <c r="AD43" s="9" t="n">
        <v>-1293280.44620371</v>
      </c>
      <c r="AE43" s="9" t="n">
        <v>-764486.646866242</v>
      </c>
      <c r="AF43" s="9" t="n">
        <v>-148463.255931874</v>
      </c>
      <c r="AG43" s="9"/>
      <c r="AH43" s="9" t="n">
        <v>-2486.1320343459</v>
      </c>
      <c r="AI43" s="9" t="n">
        <v>-1950.00295173996</v>
      </c>
      <c r="AJ43" s="9"/>
      <c r="AK43" s="9"/>
      <c r="AL43" s="9"/>
      <c r="AM43" s="9"/>
    </row>
    <row r="44">
      <c r="M44" t="s">
        <v>74</v>
      </c>
      <c r="N44" t="n">
        <v>2240</v>
      </c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 t="n">
        <v>3984993354.4387</v>
      </c>
      <c r="AI44" s="9" t="n">
        <v>5035277276.68349</v>
      </c>
      <c r="AJ44" s="9" t="n">
        <v>1276649838.60686</v>
      </c>
      <c r="AK44" s="9" t="n">
        <v>1918911399.4134</v>
      </c>
      <c r="AL44" s="9" t="n">
        <v>3084381709.64237</v>
      </c>
      <c r="AM44" s="9"/>
    </row>
    <row r="45">
      <c r="M45" t="s">
        <v>135</v>
      </c>
      <c r="N45" t="n">
        <v>150</v>
      </c>
      <c r="O45" s="9"/>
      <c r="P45" s="9" t="n">
        <v>575110.305719991</v>
      </c>
      <c r="Q45" s="9" t="n">
        <v>-248698.161547946</v>
      </c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</row>
    <row r="46">
      <c r="M46" t="s">
        <v>75</v>
      </c>
      <c r="N46" t="n">
        <v>1912</v>
      </c>
      <c r="O46" s="9" t="n">
        <v>474172854.064499</v>
      </c>
      <c r="P46" s="9" t="n">
        <v>1742076067.94145</v>
      </c>
      <c r="Q46" s="9" t="n">
        <v>4080455651.77528</v>
      </c>
      <c r="R46" s="9" t="n">
        <v>4545894082.35821</v>
      </c>
      <c r="S46" s="9" t="n">
        <v>6628166669.95548</v>
      </c>
      <c r="T46" s="9" t="n">
        <v>7077848240.04668</v>
      </c>
      <c r="U46" s="9" t="n">
        <v>6273747807.44538</v>
      </c>
      <c r="V46" s="9" t="n">
        <v>7670490879.98229</v>
      </c>
      <c r="W46" s="9" t="n">
        <v>7768035295.25022</v>
      </c>
      <c r="X46" s="9" t="n">
        <v>6965531282.02244</v>
      </c>
      <c r="Y46" s="9" t="n">
        <v>6717519245.36619</v>
      </c>
      <c r="Z46" s="9" t="n">
        <v>6504309490.55992</v>
      </c>
      <c r="AA46" s="9" t="n">
        <v>8075866476.00407</v>
      </c>
      <c r="AB46" s="9" t="n">
        <v>9124998112.52992</v>
      </c>
      <c r="AC46" s="9" t="n">
        <v>6763227234.90294</v>
      </c>
      <c r="AD46" s="9" t="n">
        <v>5079238411.92319</v>
      </c>
      <c r="AE46" s="9" t="n">
        <v>7227061540.38152</v>
      </c>
      <c r="AF46" s="9" t="n">
        <v>5976246254.19035</v>
      </c>
      <c r="AG46" s="9" t="n">
        <v>8659054280.04308</v>
      </c>
      <c r="AH46" s="9" t="n">
        <v>8990249833.32066</v>
      </c>
      <c r="AI46" s="9" t="n">
        <v>12696359607.5543</v>
      </c>
      <c r="AJ46" s="9" t="n">
        <v>8299562872.17891</v>
      </c>
      <c r="AK46" s="9" t="n">
        <v>8172176497.1852</v>
      </c>
      <c r="AL46" s="9" t="n">
        <v>4388790494.23981</v>
      </c>
      <c r="AM46" s="9"/>
    </row>
    <row r="47">
      <c r="M47" t="s">
        <v>136</v>
      </c>
      <c r="N47" t="n">
        <v>1079</v>
      </c>
      <c r="O47" s="9"/>
      <c r="P47" s="9" t="n">
        <v>80135.8387018771</v>
      </c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</row>
    <row r="48">
      <c r="M48" t="s">
        <v>137</v>
      </c>
      <c r="N48" t="n">
        <v>879</v>
      </c>
      <c r="O48" s="9" t="n">
        <v>1531363.08949042</v>
      </c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</row>
    <row r="49">
      <c r="M49" t="s">
        <v>138</v>
      </c>
      <c r="N49" t="n">
        <v>1840</v>
      </c>
      <c r="O49" s="9"/>
      <c r="P49" s="9"/>
      <c r="Q49" s="9"/>
      <c r="R49" s="9"/>
      <c r="S49" s="9"/>
      <c r="T49" s="9" t="n">
        <v>0</v>
      </c>
      <c r="U49" s="9" t="n">
        <v>1225967.06798378</v>
      </c>
      <c r="V49" s="9" t="n">
        <v>11480175.6133177</v>
      </c>
      <c r="W49" s="9" t="n">
        <v>5795382.0028029</v>
      </c>
      <c r="X49" s="9" t="n">
        <v>1369835.78663329</v>
      </c>
      <c r="Y49" s="9" t="n">
        <v>1146263.89192458</v>
      </c>
      <c r="Z49" s="9" t="n">
        <v>1611051.07434698</v>
      </c>
      <c r="AA49" s="9" t="n">
        <v>0</v>
      </c>
      <c r="AB49" s="9"/>
      <c r="AC49" s="9" t="n">
        <v>-45968.6719401573</v>
      </c>
      <c r="AD49" s="9"/>
      <c r="AE49" s="9"/>
      <c r="AF49" s="9"/>
      <c r="AG49" s="9"/>
      <c r="AH49" s="9"/>
      <c r="AI49" s="9"/>
      <c r="AJ49" s="9"/>
      <c r="AK49" s="9" t="n">
        <v>-59189.5781</v>
      </c>
      <c r="AL49" s="9"/>
      <c r="AM49" s="9"/>
    </row>
    <row r="50">
      <c r="M50" t="s">
        <v>139</v>
      </c>
      <c r="N50" t="n">
        <v>664</v>
      </c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 t="n">
        <v>4106513.86199178</v>
      </c>
      <c r="AJ50" s="9" t="n">
        <v>0</v>
      </c>
      <c r="AK50" s="9"/>
      <c r="AL50" s="9"/>
      <c r="AM50" s="9"/>
    </row>
    <row r="51">
      <c r="M51" t="s">
        <v>140</v>
      </c>
      <c r="N51" t="n">
        <v>1877</v>
      </c>
      <c r="O51" s="9"/>
      <c r="P51" s="9"/>
      <c r="Q51" s="9"/>
      <c r="R51" s="9"/>
      <c r="S51" s="9" t="n">
        <v>243067.509621202</v>
      </c>
      <c r="T51" s="9" t="n">
        <v>9095.02464862119</v>
      </c>
      <c r="U51" s="9" t="n">
        <v>1760371.93181506</v>
      </c>
      <c r="V51" s="9" t="n">
        <v>5008928.68738961</v>
      </c>
      <c r="W51" s="9" t="n">
        <v>6410650.1369725</v>
      </c>
      <c r="X51" s="9" t="n">
        <v>6954044.99043301</v>
      </c>
      <c r="Y51" s="9" t="n">
        <v>3841626.08560644</v>
      </c>
      <c r="Z51" s="9" t="n">
        <v>9008532.94818861</v>
      </c>
      <c r="AA51" s="9" t="n">
        <v>2749897.83425032</v>
      </c>
      <c r="AB51" s="9" t="n">
        <v>779424.040700338</v>
      </c>
      <c r="AC51" s="9"/>
      <c r="AD51" s="9"/>
      <c r="AE51" s="9" t="n">
        <v>0</v>
      </c>
      <c r="AF51" s="9" t="n">
        <v>-3133.02152917279</v>
      </c>
      <c r="AG51" s="9" t="n">
        <v>-80324.1602178157</v>
      </c>
      <c r="AH51" s="9"/>
      <c r="AI51" s="9"/>
      <c r="AJ51" s="9"/>
      <c r="AK51" s="9"/>
      <c r="AL51" s="9"/>
      <c r="AM51" s="9"/>
    </row>
    <row r="52">
      <c r="M52" t="s">
        <v>141</v>
      </c>
      <c r="N52" t="n">
        <v>674</v>
      </c>
      <c r="O52" s="9"/>
      <c r="P52" s="9"/>
      <c r="Q52" s="9"/>
      <c r="R52" s="9"/>
      <c r="S52" s="9" t="n">
        <v>87569838.827896</v>
      </c>
      <c r="T52" s="9" t="n">
        <v>64196859.0193785</v>
      </c>
      <c r="U52" s="9" t="n">
        <v>52121994.2068984</v>
      </c>
      <c r="V52" s="9" t="n">
        <v>43672027.5747617</v>
      </c>
      <c r="W52" s="9"/>
      <c r="X52" s="9"/>
      <c r="Y52" s="9"/>
      <c r="Z52" s="9" t="n">
        <v>14916132.6268394</v>
      </c>
      <c r="AA52" s="9" t="n">
        <v>897270.249517551</v>
      </c>
      <c r="AB52" s="9" t="n">
        <v>-703.627536758782</v>
      </c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</row>
    <row r="53">
      <c r="M53" t="s">
        <v>142</v>
      </c>
      <c r="N53" t="n">
        <v>638</v>
      </c>
      <c r="O53" s="9"/>
      <c r="P53" s="9"/>
      <c r="Q53" s="9"/>
      <c r="R53" s="9"/>
      <c r="S53" s="9"/>
      <c r="T53" s="9"/>
      <c r="U53" s="9"/>
      <c r="V53" s="9"/>
      <c r="W53" s="9" t="n">
        <v>861302.706778769</v>
      </c>
      <c r="X53" s="9" t="n">
        <v>-5167.88058475748</v>
      </c>
      <c r="Y53" s="9" t="n">
        <v>55846.0029529552</v>
      </c>
      <c r="Z53" s="9" t="n">
        <v>11321750.1098403</v>
      </c>
      <c r="AA53" s="9" t="n">
        <v>-87164.9680833689</v>
      </c>
      <c r="AB53" s="9" t="n">
        <v>1108919.81753706</v>
      </c>
      <c r="AC53" s="9" t="n">
        <v>2683968.1465039</v>
      </c>
      <c r="AD53" s="9" t="n">
        <v>497799.527077975</v>
      </c>
      <c r="AE53" s="9" t="n">
        <v>-72737.6726639959</v>
      </c>
      <c r="AF53" s="9" t="n">
        <v>0</v>
      </c>
      <c r="AG53" s="9" t="n">
        <v>-320356.240896731</v>
      </c>
      <c r="AH53" s="9"/>
      <c r="AI53" s="9"/>
      <c r="AJ53" s="9"/>
      <c r="AK53" s="9"/>
      <c r="AL53" s="9"/>
      <c r="AM53" s="9"/>
    </row>
    <row r="54">
      <c r="M54" t="s">
        <v>77</v>
      </c>
      <c r="N54" t="n">
        <v>2147</v>
      </c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 t="n">
        <v>519452349.319387</v>
      </c>
      <c r="AD54" s="9" t="n">
        <v>2195694680.35312</v>
      </c>
      <c r="AE54" s="9" t="n">
        <v>2172636566.36466</v>
      </c>
      <c r="AF54" s="9" t="n">
        <v>99069018.3704019</v>
      </c>
      <c r="AG54" s="9" t="n">
        <v>68216065.8676888</v>
      </c>
      <c r="AH54" s="9" t="n">
        <v>256632901.298235</v>
      </c>
      <c r="AI54" s="9" t="n">
        <v>222259604.892425</v>
      </c>
      <c r="AJ54" s="9" t="n">
        <v>173134299.900671</v>
      </c>
      <c r="AK54" s="9" t="n">
        <v>223277735.9279</v>
      </c>
      <c r="AL54" s="9" t="n">
        <v>207798843.610076</v>
      </c>
      <c r="AM54" s="9"/>
    </row>
    <row r="55">
      <c r="M55" t="s">
        <v>78</v>
      </c>
      <c r="N55" t="n">
        <v>7</v>
      </c>
      <c r="O55" s="9"/>
      <c r="P55" s="9"/>
      <c r="Q55" s="9"/>
      <c r="R55" s="9"/>
      <c r="S55" s="9" t="n">
        <v>-11400.0415750472</v>
      </c>
      <c r="T55" s="9" t="n">
        <v>0</v>
      </c>
      <c r="U55" s="9" t="n">
        <v>762808.35644188</v>
      </c>
      <c r="V55" s="9" t="n">
        <v>461571296.86791</v>
      </c>
      <c r="W55" s="9" t="n">
        <v>1032545525.76262</v>
      </c>
      <c r="X55" s="9" t="n">
        <v>3182289305.31524</v>
      </c>
      <c r="Y55" s="9" t="n">
        <v>4047090254.39387</v>
      </c>
      <c r="Z55" s="9" t="n">
        <v>4544284546.95069</v>
      </c>
      <c r="AA55" s="9" t="n">
        <v>3012013272.73651</v>
      </c>
      <c r="AB55" s="9" t="n">
        <v>2583636975.89195</v>
      </c>
      <c r="AC55" s="9" t="n">
        <v>1416883993.45382</v>
      </c>
      <c r="AD55" s="9" t="n">
        <v>834651952.991745</v>
      </c>
      <c r="AE55" s="9" t="n">
        <v>396897055.064614</v>
      </c>
      <c r="AF55" s="9" t="n">
        <v>61610376.0818868</v>
      </c>
      <c r="AG55" s="9" t="n">
        <v>-32936939.2045942</v>
      </c>
      <c r="AH55" s="9" t="n">
        <v>-40869190.535478</v>
      </c>
      <c r="AI55" s="9" t="n">
        <v>-6970664.30431388</v>
      </c>
      <c r="AJ55" s="9" t="n">
        <v>-5299768.58135699</v>
      </c>
      <c r="AK55" s="9" t="n">
        <v>-9795723.5255</v>
      </c>
      <c r="AL55" s="9" t="n">
        <v>-5706979.65475282</v>
      </c>
      <c r="AM55" s="9"/>
    </row>
    <row r="56">
      <c r="M56" t="s">
        <v>79</v>
      </c>
      <c r="N56" t="n">
        <v>1916</v>
      </c>
      <c r="O56" s="9" t="n">
        <v>520420124.712709</v>
      </c>
      <c r="P56" s="9" t="n">
        <v>438581840.921122</v>
      </c>
      <c r="Q56" s="9" t="n">
        <v>757513869.534038</v>
      </c>
      <c r="R56" s="9" t="n">
        <v>617797152.955541</v>
      </c>
      <c r="S56" s="9" t="n">
        <v>60723413.2593164</v>
      </c>
      <c r="T56" s="9" t="n">
        <v>12923891.4348389</v>
      </c>
      <c r="U56" s="9" t="n">
        <v>17414648.1532649</v>
      </c>
      <c r="V56" s="9" t="n">
        <v>-7006557.95103731</v>
      </c>
      <c r="W56" s="9" t="n">
        <v>416488.780710749</v>
      </c>
      <c r="X56" s="9" t="n">
        <v>-935981.839307822</v>
      </c>
      <c r="Y56" s="9" t="n">
        <v>-16601301.2209793</v>
      </c>
      <c r="Z56" s="9" t="n">
        <v>-5862553.27914596</v>
      </c>
      <c r="AA56" s="9"/>
      <c r="AB56" s="9" t="n">
        <v>-683875.113902003</v>
      </c>
      <c r="AC56" s="9" t="n">
        <v>-33064.5107968294</v>
      </c>
      <c r="AD56" s="9"/>
      <c r="AE56" s="9" t="n">
        <v>1480186.57099324</v>
      </c>
      <c r="AF56" s="9"/>
      <c r="AG56" s="9" t="n">
        <v>102357.529843038</v>
      </c>
      <c r="AH56" s="9"/>
      <c r="AI56" s="9"/>
      <c r="AJ56" s="9"/>
      <c r="AK56" s="9" t="n">
        <v>0</v>
      </c>
      <c r="AL56" s="9"/>
      <c r="AM56" s="9"/>
    </row>
    <row r="57">
      <c r="M57" t="s">
        <v>143</v>
      </c>
      <c r="N57" t="n">
        <v>44</v>
      </c>
      <c r="O57" s="9"/>
      <c r="P57" s="9"/>
      <c r="Q57" s="9"/>
      <c r="R57" s="9"/>
      <c r="S57" s="9" t="n">
        <v>538997794.440025</v>
      </c>
      <c r="T57" s="9" t="n">
        <v>331670972.157498</v>
      </c>
      <c r="U57" s="9" t="n">
        <v>964481146.414597</v>
      </c>
      <c r="V57" s="9" t="n">
        <v>570020106.669378</v>
      </c>
      <c r="W57" s="9" t="n">
        <v>602940671.416663</v>
      </c>
      <c r="X57" s="9" t="n">
        <v>150298161.182358</v>
      </c>
      <c r="Y57" s="9" t="n">
        <v>90847237.2279975</v>
      </c>
      <c r="Z57" s="9" t="n">
        <v>91210683.4637743</v>
      </c>
      <c r="AA57" s="9" t="n">
        <v>198311913.858248</v>
      </c>
      <c r="AB57" s="9" t="n">
        <v>37139524.5496837</v>
      </c>
      <c r="AC57" s="9" t="n">
        <v>28473409.8986925</v>
      </c>
      <c r="AD57" s="9" t="n">
        <v>135762449.775292</v>
      </c>
      <c r="AE57" s="9" t="n">
        <v>219584093.214138</v>
      </c>
      <c r="AF57" s="9" t="n">
        <v>500270698.391138</v>
      </c>
      <c r="AG57" s="9" t="n">
        <v>294621131.775229</v>
      </c>
      <c r="AH57" s="9" t="n">
        <v>51945828.8191197</v>
      </c>
      <c r="AI57" s="9" t="n">
        <v>16801567.6057968</v>
      </c>
      <c r="AJ57" s="9" t="n">
        <v>12816911.5690263</v>
      </c>
      <c r="AK57" s="9" t="n">
        <v>138156456.2864</v>
      </c>
      <c r="AL57" s="9" t="n">
        <v>-1891469.89218718</v>
      </c>
      <c r="AM57" s="9"/>
    </row>
    <row r="58">
      <c r="M58" t="s">
        <v>80</v>
      </c>
      <c r="N58" t="n">
        <v>1819</v>
      </c>
      <c r="O58" s="9"/>
      <c r="P58" s="9"/>
      <c r="Q58" s="9"/>
      <c r="R58" s="9"/>
      <c r="S58" s="9"/>
      <c r="T58" s="9"/>
      <c r="U58" s="9"/>
      <c r="V58" s="9"/>
      <c r="W58" s="9"/>
      <c r="X58" s="9"/>
      <c r="Y58" s="9" t="n">
        <v>2612135.30658605</v>
      </c>
      <c r="Z58" s="9"/>
      <c r="AA58" s="9" t="n">
        <v>805316.132052596</v>
      </c>
      <c r="AB58" s="9" t="n">
        <v>12029192.6556719</v>
      </c>
      <c r="AC58" s="9" t="n">
        <v>45482512.1632548</v>
      </c>
      <c r="AD58" s="9" t="n">
        <v>1413099397.23622</v>
      </c>
      <c r="AE58" s="9" t="n">
        <v>52200144.9790241</v>
      </c>
      <c r="AF58" s="9" t="n">
        <v>1841331687.10851</v>
      </c>
      <c r="AG58" s="9" t="n">
        <v>4456009819.13505</v>
      </c>
      <c r="AH58" s="9" t="n">
        <v>1262016110.91906</v>
      </c>
      <c r="AI58" s="9" t="n">
        <v>679874352.903876</v>
      </c>
      <c r="AJ58" s="9" t="n">
        <v>550315468.115461</v>
      </c>
      <c r="AK58" s="9" t="n">
        <v>153662063.9002</v>
      </c>
      <c r="AL58" s="9" t="n">
        <v>6224746.02550045</v>
      </c>
      <c r="AM58" s="9"/>
    </row>
    <row r="59">
      <c r="M59" t="s">
        <v>144</v>
      </c>
      <c r="N59" t="n">
        <v>65</v>
      </c>
      <c r="O59" s="9"/>
      <c r="P59" s="9"/>
      <c r="Q59" s="9"/>
      <c r="R59" s="9"/>
      <c r="S59" s="9"/>
      <c r="T59" s="9"/>
      <c r="U59" s="9"/>
      <c r="V59" s="9" t="n">
        <v>43543.8299051978</v>
      </c>
      <c r="W59" s="9"/>
      <c r="X59" s="9"/>
      <c r="Y59" s="9"/>
      <c r="Z59" s="9"/>
      <c r="AA59" s="9"/>
      <c r="AB59" s="9"/>
      <c r="AC59" s="9"/>
      <c r="AD59" s="9" t="n">
        <v>-22153.9394180912</v>
      </c>
      <c r="AE59" s="9"/>
      <c r="AF59" s="9"/>
      <c r="AG59" s="9"/>
      <c r="AH59" s="9"/>
      <c r="AI59" s="9"/>
      <c r="AJ59" s="9"/>
      <c r="AK59" s="9"/>
      <c r="AL59" s="9"/>
      <c r="AM59" s="9"/>
    </row>
    <row r="60">
      <c r="M60" t="s">
        <v>145</v>
      </c>
      <c r="N60" t="n">
        <v>848</v>
      </c>
      <c r="O60" s="9" t="n">
        <v>61833024.4138265</v>
      </c>
      <c r="P60" s="9" t="n">
        <v>13239713.5776019</v>
      </c>
      <c r="Q60" s="9" t="n">
        <v>40173643.8194296</v>
      </c>
      <c r="R60" s="9" t="n">
        <v>68394660.0242919</v>
      </c>
      <c r="S60" s="9"/>
      <c r="T60" s="9"/>
      <c r="U60" s="9"/>
      <c r="V60" s="9"/>
      <c r="W60" s="9"/>
      <c r="X60" s="9"/>
      <c r="Y60" s="9" t="n">
        <v>-457.879700630455</v>
      </c>
      <c r="Z60" s="9" t="n">
        <v>-359738.256598228</v>
      </c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</row>
    <row r="61">
      <c r="M61" t="s">
        <v>146</v>
      </c>
      <c r="N61" t="n">
        <v>856</v>
      </c>
      <c r="O61" s="9"/>
      <c r="P61" s="9" t="n">
        <v>35089.4014977275</v>
      </c>
      <c r="Q61" s="9"/>
      <c r="R61" s="9" t="n">
        <v>343000.770976863</v>
      </c>
      <c r="S61" s="9"/>
      <c r="T61" s="9"/>
      <c r="U61" s="9"/>
      <c r="V61" s="9"/>
      <c r="W61" s="9"/>
      <c r="X61" s="9" t="n">
        <v>-57.2972922913541</v>
      </c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</row>
    <row r="62">
      <c r="M62" t="s">
        <v>147</v>
      </c>
      <c r="N62" t="n">
        <v>1383</v>
      </c>
      <c r="O62" s="9"/>
      <c r="P62" s="9"/>
      <c r="Q62" s="9"/>
      <c r="R62" s="9"/>
      <c r="S62" s="9" t="n">
        <v>9424039.82279659</v>
      </c>
      <c r="T62" s="9" t="n">
        <v>90458490.0526986</v>
      </c>
      <c r="U62" s="9" t="n">
        <v>116387362.3296</v>
      </c>
      <c r="V62" s="9" t="n">
        <v>134938815.003</v>
      </c>
      <c r="W62" s="9" t="n">
        <v>29724012.2413451</v>
      </c>
      <c r="X62" s="9" t="n">
        <v>617127178.346029</v>
      </c>
      <c r="Y62" s="9" t="n">
        <v>159816684.957587</v>
      </c>
      <c r="Z62" s="9" t="n">
        <v>275040412.020595</v>
      </c>
      <c r="AA62" s="9" t="n">
        <v>2999919.57102762</v>
      </c>
      <c r="AB62" s="9" t="n">
        <v>1541587.00235895</v>
      </c>
      <c r="AC62" s="9" t="n">
        <v>2002836.57931658</v>
      </c>
      <c r="AD62" s="9" t="n">
        <v>1987103.1943179</v>
      </c>
      <c r="AE62" s="9" t="n">
        <v>93686.9730223251</v>
      </c>
      <c r="AF62" s="9" t="n">
        <v>42696131.6980358</v>
      </c>
      <c r="AG62" s="9" t="n">
        <v>76937361.0237325</v>
      </c>
      <c r="AH62" s="9" t="n">
        <v>57891604.6549055</v>
      </c>
      <c r="AI62" s="9" t="n">
        <v>589884165.554055</v>
      </c>
      <c r="AJ62" s="9" t="n">
        <v>237282776.577524</v>
      </c>
      <c r="AK62" s="9" t="n">
        <v>229226198</v>
      </c>
      <c r="AL62" s="9" t="n">
        <v>191508751.936136</v>
      </c>
      <c r="AM62" s="9"/>
    </row>
    <row r="63">
      <c r="M63" t="s">
        <v>148</v>
      </c>
      <c r="N63" t="n">
        <v>46</v>
      </c>
      <c r="O63" s="9"/>
      <c r="P63" s="9"/>
      <c r="Q63" s="9"/>
      <c r="R63" s="9"/>
      <c r="S63" s="9"/>
      <c r="T63" s="9" t="n">
        <v>0</v>
      </c>
      <c r="U63" s="9" t="n">
        <v>11733980.3901111</v>
      </c>
      <c r="V63" s="9" t="n">
        <v>15298726.7694531</v>
      </c>
      <c r="W63" s="9" t="n">
        <v>6953938.37410235</v>
      </c>
      <c r="X63" s="9" t="n">
        <v>103840632.148516</v>
      </c>
      <c r="Y63" s="9" t="n">
        <v>11833313.1162439</v>
      </c>
      <c r="Z63" s="9" t="n">
        <v>40308795.1161104</v>
      </c>
      <c r="AA63" s="9" t="n">
        <v>54875880.8165033</v>
      </c>
      <c r="AB63" s="9" t="n">
        <v>-198270.434616756</v>
      </c>
      <c r="AC63" s="9" t="n">
        <v>11657245.1938991</v>
      </c>
      <c r="AD63" s="9" t="n">
        <v>12922180.4751565</v>
      </c>
      <c r="AE63" s="9" t="n">
        <v>13755544.1638961</v>
      </c>
      <c r="AF63" s="9" t="n">
        <v>283729.213114725</v>
      </c>
      <c r="AG63" s="9" t="n">
        <v>-71282.9241732546</v>
      </c>
      <c r="AH63" s="9" t="n">
        <v>-1268446.03628745</v>
      </c>
      <c r="AI63" s="9"/>
      <c r="AJ63" s="9" t="n">
        <v>0</v>
      </c>
      <c r="AK63" s="9" t="n">
        <v>356140979.125</v>
      </c>
      <c r="AL63" s="9" t="n">
        <v>179081185.399969</v>
      </c>
      <c r="AM63" s="9"/>
    </row>
    <row r="64">
      <c r="M64" t="s">
        <v>149</v>
      </c>
      <c r="N64" t="n">
        <v>152</v>
      </c>
      <c r="O64" s="9" t="n">
        <v>20938278.0295597</v>
      </c>
      <c r="P64" s="9" t="n">
        <v>28168444.5486056</v>
      </c>
      <c r="Q64" s="9" t="n">
        <v>21931076.7763374</v>
      </c>
      <c r="R64" s="9" t="n">
        <v>17591931.8562902</v>
      </c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>
      <c r="M65" t="s">
        <v>150</v>
      </c>
      <c r="N65" t="n">
        <v>1830</v>
      </c>
      <c r="O65" s="9"/>
      <c r="P65" s="9"/>
      <c r="Q65" s="9"/>
      <c r="R65" s="9"/>
      <c r="S65" s="9"/>
      <c r="T65" s="9" t="n">
        <v>121412.804440268</v>
      </c>
      <c r="U65" s="9"/>
      <c r="V65" s="9"/>
      <c r="W65" s="9" t="n">
        <v>4282243.84961219</v>
      </c>
      <c r="X65" s="9" t="n">
        <v>36347511.8469377</v>
      </c>
      <c r="Y65" s="9" t="n">
        <v>66159775.1433639</v>
      </c>
      <c r="Z65" s="9" t="n">
        <v>91593642.502563</v>
      </c>
      <c r="AA65" s="9" t="n">
        <v>54074562.4740971</v>
      </c>
      <c r="AB65" s="9" t="n">
        <v>433463.203896466</v>
      </c>
      <c r="AC65" s="9" t="n">
        <v>-5332828.48910266</v>
      </c>
      <c r="AD65" s="9" t="n">
        <v>-607581.527074847</v>
      </c>
      <c r="AE65" s="9" t="n">
        <v>-952452.244312898</v>
      </c>
      <c r="AF65" s="9" t="n">
        <v>-2518938.91330523</v>
      </c>
      <c r="AG65" s="9"/>
      <c r="AH65" s="9"/>
      <c r="AI65" s="9"/>
      <c r="AJ65" s="9"/>
      <c r="AK65" s="9"/>
      <c r="AL65" s="9"/>
      <c r="AM65" s="9"/>
    </row>
    <row r="66">
      <c r="M66" t="s">
        <v>81</v>
      </c>
      <c r="N66" t="n">
        <v>1922</v>
      </c>
      <c r="O66" s="9" t="n">
        <v>690552658.363074</v>
      </c>
      <c r="P66" s="9" t="n">
        <v>895241702.372441</v>
      </c>
      <c r="Q66" s="9" t="n">
        <v>1197160979.0429</v>
      </c>
      <c r="R66" s="9" t="n">
        <v>1119858397.2617</v>
      </c>
      <c r="S66" s="9" t="n">
        <v>909958821.366004</v>
      </c>
      <c r="T66" s="9" t="n">
        <v>921066396.028761</v>
      </c>
      <c r="U66" s="9" t="n">
        <v>1106237781.8312</v>
      </c>
      <c r="V66" s="9" t="n">
        <v>789982214.340274</v>
      </c>
      <c r="W66" s="9" t="n">
        <v>538016246.798891</v>
      </c>
      <c r="X66" s="9" t="n">
        <v>549955525.121219</v>
      </c>
      <c r="Y66" s="9" t="n">
        <v>375738228.178271</v>
      </c>
      <c r="Z66" s="9" t="n">
        <v>188989674.478016</v>
      </c>
      <c r="AA66" s="9" t="n">
        <v>68741460.0098279</v>
      </c>
      <c r="AB66" s="9" t="n">
        <v>33605565.4797484</v>
      </c>
      <c r="AC66" s="9" t="n">
        <v>-8171821.99782364</v>
      </c>
      <c r="AD66" s="9" t="n">
        <v>-640784.556062817</v>
      </c>
      <c r="AE66" s="9" t="n">
        <v>-1263803.34243011</v>
      </c>
      <c r="AF66" s="9" t="n">
        <v>-1948451.63379081</v>
      </c>
      <c r="AG66" s="9" t="n">
        <v>-6847131.82897433</v>
      </c>
      <c r="AH66" s="9" t="n">
        <v>-709718.839827428</v>
      </c>
      <c r="AI66" s="9" t="n">
        <v>-857659.119302521</v>
      </c>
      <c r="AJ66" s="9"/>
      <c r="AK66" s="9"/>
      <c r="AL66" s="9"/>
      <c r="AM66" s="9"/>
    </row>
    <row r="67">
      <c r="M67"/>
      <c r="N67"/>
      <c r="O67" s="9" t="n">
        <v>0</v>
      </c>
      <c r="P67" s="9" t="n">
        <v>71935167.6203862</v>
      </c>
      <c r="Q67" s="9" t="n">
        <v>41397818.8380462</v>
      </c>
      <c r="R67" s="9" t="n">
        <v>75365670.3043614</v>
      </c>
      <c r="S67" s="9" t="n">
        <v>134418979.046251</v>
      </c>
      <c r="T67" s="9" t="n">
        <v>114331305.643785</v>
      </c>
      <c r="U67" s="9" t="n">
        <v>54419788.9200964</v>
      </c>
      <c r="V67" s="9" t="n">
        <v>79431788.5988949</v>
      </c>
      <c r="W67" s="9" t="n">
        <v>592441278.85982</v>
      </c>
      <c r="X67" s="9" t="n">
        <v>1045113613.00688</v>
      </c>
      <c r="Y67" s="9" t="n">
        <v>716806912.74655</v>
      </c>
      <c r="Z67" s="9" t="n">
        <v>533642922.747148</v>
      </c>
      <c r="AA67" s="9" t="n">
        <v>896771540.109896</v>
      </c>
      <c r="AB67" s="9" t="n">
        <v>98124542.3943036</v>
      </c>
      <c r="AC67" s="9" t="n">
        <v>92330371.1556243</v>
      </c>
      <c r="AD67" s="9" t="n">
        <v>73314687.7668141</v>
      </c>
      <c r="AE67" s="9" t="n">
        <v>58430351.0281265</v>
      </c>
      <c r="AF67" s="9" t="n">
        <v>41789722.3947888</v>
      </c>
      <c r="AG67" s="9" t="n">
        <v>156885957.941945</v>
      </c>
      <c r="AH67" s="9" t="n">
        <v>230796747.946451</v>
      </c>
      <c r="AI67" s="9" t="n">
        <v>262964794.656281</v>
      </c>
      <c r="AJ67" s="9" t="n">
        <v>802757744.323426</v>
      </c>
      <c r="AK67" s="9" t="n">
        <v>1504968056.2708</v>
      </c>
      <c r="AL67" s="9" t="n">
        <v>578759062.351869</v>
      </c>
      <c r="AM67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AF1</f>
      </c>
      <c r="D1" t="str">
        <f>AL1</f>
      </c>
      <c r="E1" t="str">
        <f>AM1</f>
      </c>
      <c r="F1" t="str">
        <f>AN1</f>
      </c>
      <c r="G1" t="str">
        <f>AL1&amp;"-"&amp;AM1</f>
      </c>
      <c r="H1" t="str">
        <f>AF1&amp;"-"&amp;AM1</f>
      </c>
      <c r="I1" t="str">
        <f>AN1&amp;"/"&amp;AM1</f>
      </c>
      <c r="J1" t="str">
        <f>"Share "&amp;AM1</f>
      </c>
      <c r="K1" t="str">
        <f>"Share "&amp;AN1</f>
      </c>
      <c r="O1" t="s">
        <v>93</v>
      </c>
      <c r="P1" t="s">
        <v>94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>O2</f>
      </c>
      <c r="B2" t="str">
        <f>P2</f>
      </c>
      <c r="C2" s="10" t="str">
        <f>AF2</f>
      </c>
      <c r="D2" s="10" t="str">
        <f>AL2</f>
      </c>
      <c r="E2" s="10" t="str">
        <f>AM2</f>
      </c>
      <c r="F2" s="10" t="str">
        <f>AN2</f>
      </c>
      <c r="G2" s="6" t="str">
        <f>AM2/AL2-1</f>
      </c>
      <c r="H2" s="6" t="str">
        <f>AM2/AF2-1</f>
      </c>
      <c r="I2" s="6" t="str">
        <f>AN2/AM2</f>
      </c>
      <c r="J2" s="6" t="str">
        <f>AM2/Sum(AM$1:AM$67)</f>
      </c>
      <c r="K2" s="6" t="str">
        <f>AN2/Sum(AN1:AN$67)</f>
      </c>
      <c r="O2" t="s">
        <v>95</v>
      </c>
      <c r="P2" t="n">
        <v>11</v>
      </c>
      <c r="Q2" s="10"/>
      <c r="R2" s="10"/>
      <c r="S2" s="10"/>
      <c r="T2" s="10"/>
      <c r="U2" s="10"/>
      <c r="V2" s="10"/>
      <c r="W2" s="10" t="n">
        <v>29531243.5063193</v>
      </c>
      <c r="X2" s="10" t="n">
        <v>450278357.555349</v>
      </c>
      <c r="Y2" s="10" t="n">
        <v>202531018.690479</v>
      </c>
      <c r="Z2" s="10" t="n">
        <v>281340685.592031</v>
      </c>
      <c r="AA2" s="10" t="n">
        <v>1131389455.95436</v>
      </c>
      <c r="AB2" s="10" t="n">
        <v>1265944368.11565</v>
      </c>
      <c r="AC2" s="10" t="n">
        <v>999007723.959491</v>
      </c>
      <c r="AD2" s="10" t="n">
        <v>879899260.340753</v>
      </c>
      <c r="AE2" s="10" t="n">
        <v>655874209.663381</v>
      </c>
      <c r="AF2" s="10" t="n">
        <v>637097257.101265</v>
      </c>
      <c r="AG2" s="10" t="n">
        <v>658114309.576629</v>
      </c>
      <c r="AH2" s="10" t="n">
        <v>483025909.726209</v>
      </c>
      <c r="AI2" s="10" t="n">
        <v>505429470.562474</v>
      </c>
      <c r="AJ2" s="10" t="n">
        <v>508269630.537183</v>
      </c>
      <c r="AK2" s="10" t="n">
        <v>613575136.457047</v>
      </c>
      <c r="AL2" s="10" t="n">
        <v>320990525.498459</v>
      </c>
      <c r="AM2" s="10" t="n">
        <v>241866892.8748</v>
      </c>
      <c r="AN2" s="10" t="n">
        <v>80111888.7248183</v>
      </c>
      <c r="AO2" s="10"/>
    </row>
    <row r="3">
      <c r="A3" t="str">
        <f>O3</f>
      </c>
      <c r="B3" t="str">
        <f>P3</f>
      </c>
      <c r="C3" s="10" t="str">
        <f>AF3</f>
      </c>
      <c r="D3" s="10" t="str">
        <f>AL3</f>
      </c>
      <c r="E3" s="10" t="str">
        <f>AM3</f>
      </c>
      <c r="F3" s="10" t="str">
        <f>AN3</f>
      </c>
      <c r="G3" s="6" t="str">
        <f>AM3/AL3-1</f>
      </c>
      <c r="H3" s="6" t="str">
        <f>AM3/AF3-1</f>
      </c>
      <c r="I3" s="6" t="str">
        <f>AN3/AM3</f>
      </c>
      <c r="J3" s="6" t="str">
        <f>AM3/Sum(AM$1:AM$67)</f>
      </c>
      <c r="K3" s="6" t="str">
        <f>AN3/Sum(AN1:AN$67)</f>
      </c>
      <c r="O3" t="s">
        <v>96</v>
      </c>
      <c r="P3" t="n">
        <v>863</v>
      </c>
      <c r="Q3" s="10" t="n">
        <v>31022364.3375288</v>
      </c>
      <c r="R3" s="10" t="n">
        <v>60140516.173993</v>
      </c>
      <c r="S3" s="10" t="n">
        <v>7520365.97839029</v>
      </c>
      <c r="T3" s="10" t="n">
        <v>38684629.3316278</v>
      </c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</row>
    <row r="4">
      <c r="A4" t="str">
        <f>O4</f>
      </c>
      <c r="B4" t="str">
        <f>P4</f>
      </c>
      <c r="C4" s="10" t="str">
        <f>AF4</f>
      </c>
      <c r="D4" s="10" t="str">
        <f>AL4</f>
      </c>
      <c r="E4" s="10" t="str">
        <f>AM4</f>
      </c>
      <c r="F4" s="10" t="str">
        <f>AN4</f>
      </c>
      <c r="G4" s="6" t="str">
        <f>AM4/AL4-1</f>
      </c>
      <c r="H4" s="6" t="str">
        <f>AM4/AF4-1</f>
      </c>
      <c r="I4" s="6" t="str">
        <f>AN4/AM4</f>
      </c>
      <c r="J4" s="6" t="str">
        <f>AM4/Sum(AM$1:AM$67)</f>
      </c>
      <c r="K4" s="6" t="str">
        <f>AN4/Sum(AN1:AN$67)</f>
      </c>
      <c r="O4" t="s">
        <v>97</v>
      </c>
      <c r="P4" t="n">
        <v>831</v>
      </c>
      <c r="Q4" s="10" t="n">
        <v>-51123.3145047463</v>
      </c>
      <c r="R4" s="10" t="n">
        <v>802533.607487923</v>
      </c>
      <c r="S4" s="10" t="n">
        <v>147733.640398991</v>
      </c>
      <c r="T4" s="10" t="n">
        <v>24391880.6163119</v>
      </c>
      <c r="U4" s="10"/>
      <c r="V4" s="10"/>
      <c r="W4" s="10"/>
      <c r="X4" s="10"/>
      <c r="Y4" s="10"/>
      <c r="Z4" s="10" t="n">
        <v>-6440.03354792093</v>
      </c>
      <c r="AA4" s="10"/>
      <c r="AB4" s="10" t="n">
        <v>0</v>
      </c>
      <c r="AC4" s="10"/>
      <c r="AD4" s="10"/>
      <c r="AE4" s="10"/>
      <c r="AF4" s="10"/>
      <c r="AG4" s="10"/>
      <c r="AH4" s="10"/>
      <c r="AI4" s="10"/>
      <c r="AJ4" s="10" t="n">
        <v>-33124.114481189</v>
      </c>
      <c r="AK4" s="10" t="n">
        <v>-169520.942695048</v>
      </c>
      <c r="AL4" s="10"/>
      <c r="AM4" s="10"/>
      <c r="AN4" s="10"/>
      <c r="AO4" s="10"/>
    </row>
    <row r="5">
      <c r="A5" t="str">
        <f>O5</f>
      </c>
      <c r="B5" t="str">
        <f>P5</f>
      </c>
      <c r="C5" s="10" t="str">
        <f>AF5</f>
      </c>
      <c r="D5" s="10" t="str">
        <f>AL5</f>
      </c>
      <c r="E5" s="10" t="str">
        <f>AM5</f>
      </c>
      <c r="F5" s="10" t="str">
        <f>AN5</f>
      </c>
      <c r="G5" s="6" t="str">
        <f>AM5/AL5-1</f>
      </c>
      <c r="H5" s="6" t="str">
        <f>AM5/AF5-1</f>
      </c>
      <c r="I5" s="6" t="str">
        <f>AN5/AM5</f>
      </c>
      <c r="J5" s="6" t="str">
        <f>AM5/Sum(AM$1:AM$67)</f>
      </c>
      <c r="K5" s="6" t="str">
        <f>AN5/Sum(AN1:AN$67)</f>
      </c>
      <c r="O5" t="s">
        <v>98</v>
      </c>
      <c r="P5" t="n">
        <v>485</v>
      </c>
      <c r="Q5" s="10"/>
      <c r="R5" s="10" t="n">
        <v>70118.8588641425</v>
      </c>
      <c r="S5" s="10" t="n">
        <v>159247.329139852</v>
      </c>
      <c r="T5" s="10" t="n">
        <v>16669.267553938</v>
      </c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</row>
    <row r="6">
      <c r="A6" t="str">
        <f>O6</f>
      </c>
      <c r="B6" t="str">
        <f>P6</f>
      </c>
      <c r="C6" s="10" t="str">
        <f>AF6</f>
      </c>
      <c r="D6" s="10" t="str">
        <f>AL6</f>
      </c>
      <c r="E6" s="10" t="str">
        <f>AM6</f>
      </c>
      <c r="F6" s="10" t="str">
        <f>AN6</f>
      </c>
      <c r="G6" s="6" t="str">
        <f>AM6/AL6-1</f>
      </c>
      <c r="H6" s="6" t="str">
        <f>AM6/AF6-1</f>
      </c>
      <c r="I6" s="6" t="str">
        <f>AN6/AM6</f>
      </c>
      <c r="J6" s="6" t="str">
        <f>AM6/Sum(AM$1:AM$67)</f>
      </c>
      <c r="K6" s="6" t="str">
        <f>AN6/Sum(AN1:AN$67)</f>
      </c>
      <c r="O6" t="s">
        <v>99</v>
      </c>
      <c r="P6" t="n">
        <v>2033</v>
      </c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 t="n">
        <v>22914815.4446492</v>
      </c>
      <c r="AG6" s="10" t="n">
        <v>136024939.535994</v>
      </c>
      <c r="AH6" s="10" t="n">
        <v>301644032.213527</v>
      </c>
      <c r="AI6" s="10" t="n">
        <v>9780202.84239837</v>
      </c>
      <c r="AJ6" s="10" t="n">
        <v>110550558.088463</v>
      </c>
      <c r="AK6" s="10" t="n">
        <v>120786689.602734</v>
      </c>
      <c r="AL6" s="10" t="n">
        <v>313089178.497093</v>
      </c>
      <c r="AM6" s="10" t="n">
        <v>133587042.7949</v>
      </c>
      <c r="AN6" s="10" t="n">
        <v>-2548446.52363759</v>
      </c>
      <c r="AO6" s="10"/>
    </row>
    <row r="7">
      <c r="A7" t="str">
        <f>O7</f>
      </c>
      <c r="B7" t="str">
        <f>P7</f>
      </c>
      <c r="C7" s="10" t="str">
        <f>AF7</f>
      </c>
      <c r="D7" s="10" t="str">
        <f>AL7</f>
      </c>
      <c r="E7" s="10" t="str">
        <f>AM7</f>
      </c>
      <c r="F7" s="10" t="str">
        <f>AN7</f>
      </c>
      <c r="G7" s="6" t="str">
        <f>AM7/AL7-1</f>
      </c>
      <c r="H7" s="6" t="str">
        <f>AM7/AF7-1</f>
      </c>
      <c r="I7" s="6" t="str">
        <f>AN7/AM7</f>
      </c>
      <c r="J7" s="6" t="str">
        <f>AM7/Sum(AM$1:AM$67)</f>
      </c>
      <c r="K7" s="6" t="str">
        <f>AN7/Sum(AN1:AN$67)</f>
      </c>
      <c r="O7" t="s">
        <v>100</v>
      </c>
      <c r="P7" t="n">
        <v>438</v>
      </c>
      <c r="Q7" s="10"/>
      <c r="R7" s="10" t="n">
        <v>1475231.38150741</v>
      </c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</row>
    <row r="8">
      <c r="A8" t="str">
        <f>O8</f>
      </c>
      <c r="B8" t="str">
        <f>P8</f>
      </c>
      <c r="C8" s="10" t="str">
        <f>AF8</f>
      </c>
      <c r="D8" s="10" t="str">
        <f>AL8</f>
      </c>
      <c r="E8" s="10" t="str">
        <f>AM8</f>
      </c>
      <c r="F8" s="10" t="str">
        <f>AN8</f>
      </c>
      <c r="G8" s="6" t="str">
        <f>AM8/AL8-1</f>
      </c>
      <c r="H8" s="6" t="str">
        <f>AM8/AF8-1</f>
      </c>
      <c r="I8" s="6" t="str">
        <f>AN8/AM8</f>
      </c>
      <c r="J8" s="6" t="str">
        <f>AM8/Sum(AM$1:AM$67)</f>
      </c>
      <c r="K8" s="6" t="str">
        <f>AN8/Sum(AN1:AN$67)</f>
      </c>
      <c r="O8" t="s">
        <v>101</v>
      </c>
      <c r="P8" t="n">
        <v>1053</v>
      </c>
      <c r="Q8" s="10" t="n">
        <v>136632.59592868</v>
      </c>
      <c r="R8" s="10" t="n">
        <v>443012.370033078</v>
      </c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</row>
    <row r="9">
      <c r="A9" t="str">
        <f>O9</f>
      </c>
      <c r="B9" t="str">
        <f>P9</f>
      </c>
      <c r="C9" s="10" t="str">
        <f>AF9</f>
      </c>
      <c r="D9" s="10" t="str">
        <f>AL9</f>
      </c>
      <c r="E9" s="10" t="str">
        <f>AM9</f>
      </c>
      <c r="F9" s="10" t="str">
        <f>AN9</f>
      </c>
      <c r="G9" s="6" t="str">
        <f>AM9/AL9-1</f>
      </c>
      <c r="H9" s="6" t="str">
        <f>AM9/AF9-1</f>
      </c>
      <c r="I9" s="6" t="str">
        <f>AN9/AM9</f>
      </c>
      <c r="J9" s="6" t="str">
        <f>AM9/Sum(AM$1:AM$67)</f>
      </c>
      <c r="K9" s="6" t="str">
        <f>AN9/Sum(AN1:AN$67)</f>
      </c>
      <c r="O9" t="s">
        <v>102</v>
      </c>
      <c r="P9" t="n">
        <v>1674</v>
      </c>
      <c r="Q9" s="10" t="n">
        <v>381750.154589012</v>
      </c>
      <c r="R9" s="10" t="n">
        <v>211325.147556265</v>
      </c>
      <c r="S9" s="10" t="n">
        <v>187373.093475668</v>
      </c>
      <c r="T9" s="10" t="n">
        <v>54035.3073830004</v>
      </c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</row>
    <row r="10">
      <c r="A10" t="str">
        <f>O10</f>
      </c>
      <c r="B10" t="str">
        <f>P10</f>
      </c>
      <c r="C10" s="10" t="str">
        <f>AF10</f>
      </c>
      <c r="D10" s="10" t="str">
        <f>AL10</f>
      </c>
      <c r="E10" s="10" t="str">
        <f>AM10</f>
      </c>
      <c r="F10" s="10" t="str">
        <f>AN10</f>
      </c>
      <c r="G10" s="6" t="str">
        <f>AM10/AL10-1</f>
      </c>
      <c r="H10" s="6" t="str">
        <f>AM10/AF10-1</f>
      </c>
      <c r="I10" s="6" t="str">
        <f>AN10/AM10</f>
      </c>
      <c r="J10" s="6" t="str">
        <f>AM10/Sum(AM$1:AM$67)</f>
      </c>
      <c r="K10" s="6" t="str">
        <f>AN10/Sum(AN1:AN$67)</f>
      </c>
      <c r="O10" t="s">
        <v>103</v>
      </c>
      <c r="P10" t="n">
        <v>1055</v>
      </c>
      <c r="Q10" s="10"/>
      <c r="R10" s="10"/>
      <c r="S10" s="10"/>
      <c r="T10" s="10" t="n">
        <v>8819976.28688117</v>
      </c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</row>
    <row r="11">
      <c r="A11" t="str">
        <f>O11</f>
      </c>
      <c r="B11" t="str">
        <f>P11</f>
      </c>
      <c r="C11" s="10" t="str">
        <f>AF11</f>
      </c>
      <c r="D11" s="10" t="str">
        <f>AL11</f>
      </c>
      <c r="E11" s="10" t="str">
        <f>AM11</f>
      </c>
      <c r="F11" s="10" t="str">
        <f>AN11</f>
      </c>
      <c r="G11" s="6" t="str">
        <f>AM11/AL11-1</f>
      </c>
      <c r="H11" s="6" t="str">
        <f>AM11/AF11-1</f>
      </c>
      <c r="I11" s="6" t="str">
        <f>AN11/AM11</f>
      </c>
      <c r="J11" s="6" t="str">
        <f>AM11/Sum(AM$1:AM$67)</f>
      </c>
      <c r="K11" s="6" t="str">
        <f>AN11/Sum(AN1:AN$67)</f>
      </c>
      <c r="O11" t="s">
        <v>104</v>
      </c>
      <c r="P11" t="n">
        <v>1077</v>
      </c>
      <c r="Q11" s="10"/>
      <c r="R11" s="10"/>
      <c r="S11" s="10" t="n">
        <v>414724.186581224</v>
      </c>
      <c r="T11" s="10" t="n">
        <v>2273678.03702413</v>
      </c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</row>
    <row r="12">
      <c r="A12" t="str">
        <f>O12</f>
      </c>
      <c r="B12" t="str">
        <f>P12</f>
      </c>
      <c r="C12" s="10" t="str">
        <f>AF12</f>
      </c>
      <c r="D12" s="10" t="str">
        <f>AL12</f>
      </c>
      <c r="E12" s="10" t="str">
        <f>AM12</f>
      </c>
      <c r="F12" s="10" t="str">
        <f>AN12</f>
      </c>
      <c r="G12" s="6" t="str">
        <f>AM12/AL12-1</f>
      </c>
      <c r="H12" s="6" t="str">
        <f>AM12/AF12-1</f>
      </c>
      <c r="I12" s="6" t="str">
        <f>AN12/AM12</f>
      </c>
      <c r="J12" s="6" t="str">
        <f>AM12/Sum(AM$1:AM$67)</f>
      </c>
      <c r="K12" s="6" t="str">
        <f>AN12/Sum(AN1:AN$67)</f>
      </c>
      <c r="O12" t="s">
        <v>105</v>
      </c>
      <c r="P12" t="n">
        <v>1653</v>
      </c>
      <c r="Q12" s="10" t="n">
        <v>126337.164051551</v>
      </c>
      <c r="R12" s="10" t="n">
        <v>3031668.13121748</v>
      </c>
      <c r="S12" s="10" t="n">
        <v>704754.533971902</v>
      </c>
      <c r="T12" s="10" t="n">
        <v>1457766.22927752</v>
      </c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</row>
    <row r="13">
      <c r="A13" t="str">
        <f>O13</f>
      </c>
      <c r="B13" t="str">
        <f>P13</f>
      </c>
      <c r="C13" s="10" t="str">
        <f>AF13</f>
      </c>
      <c r="D13" s="10" t="str">
        <f>AL13</f>
      </c>
      <c r="E13" s="10" t="str">
        <f>AM13</f>
      </c>
      <c r="F13" s="10" t="str">
        <f>AN13</f>
      </c>
      <c r="G13" s="6" t="str">
        <f>AM13/AL13-1</f>
      </c>
      <c r="H13" s="6" t="str">
        <f>AM13/AF13-1</f>
      </c>
      <c r="I13" s="6" t="str">
        <f>AN13/AM13</f>
      </c>
      <c r="J13" s="6" t="str">
        <f>AM13/Sum(AM$1:AM$67)</f>
      </c>
      <c r="K13" s="6" t="str">
        <f>AN13/Sum(AN1:AN$67)</f>
      </c>
      <c r="O13" t="s">
        <v>106</v>
      </c>
      <c r="P13" t="n">
        <v>1682</v>
      </c>
      <c r="Q13" s="10" t="n">
        <v>15227884.101163</v>
      </c>
      <c r="R13" s="10" t="n">
        <v>1928312.78812383</v>
      </c>
      <c r="S13" s="10" t="n">
        <v>45790073.6774671</v>
      </c>
      <c r="T13" s="10" t="n">
        <v>24934150.6787682</v>
      </c>
      <c r="U13" s="10"/>
      <c r="V13" s="10"/>
      <c r="W13" s="10"/>
      <c r="X13" s="10"/>
      <c r="Y13" s="10"/>
      <c r="Z13" s="10" t="n">
        <v>0</v>
      </c>
      <c r="AA13" s="10" t="n">
        <v>-32705.6929021753</v>
      </c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</row>
    <row r="14">
      <c r="A14" t="str">
        <f>O14</f>
      </c>
      <c r="B14" t="str">
        <f>P14</f>
      </c>
      <c r="C14" s="10" t="str">
        <f>AF14</f>
      </c>
      <c r="D14" s="10" t="str">
        <f>AL14</f>
      </c>
      <c r="E14" s="10" t="str">
        <f>AM14</f>
      </c>
      <c r="F14" s="10" t="str">
        <f>AN14</f>
      </c>
      <c r="G14" s="6" t="str">
        <f>AM14/AL14-1</f>
      </c>
      <c r="H14" s="6" t="str">
        <f>AM14/AF14-1</f>
      </c>
      <c r="I14" s="6" t="str">
        <f>AN14/AM14</f>
      </c>
      <c r="J14" s="6" t="str">
        <f>AM14/Sum(AM$1:AM$67)</f>
      </c>
      <c r="K14" s="6" t="str">
        <f>AN14/Sum(AN1:AN$67)</f>
      </c>
      <c r="O14" t="s">
        <v>107</v>
      </c>
      <c r="P14" t="n">
        <v>1655</v>
      </c>
      <c r="Q14" s="10" t="n">
        <v>701428.807856041</v>
      </c>
      <c r="R14" s="10"/>
      <c r="S14" s="10" t="n">
        <v>2897071.75199287</v>
      </c>
      <c r="T14" s="10" t="n">
        <v>881775.148291109</v>
      </c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</row>
    <row r="15">
      <c r="A15" t="str">
        <f>O15</f>
      </c>
      <c r="B15" t="str">
        <f>P15</f>
      </c>
      <c r="C15" s="10" t="str">
        <f>AF15</f>
      </c>
      <c r="D15" s="10" t="str">
        <f>AL15</f>
      </c>
      <c r="E15" s="10" t="str">
        <f>AM15</f>
      </c>
      <c r="F15" s="10" t="str">
        <f>AN15</f>
      </c>
      <c r="G15" s="6" t="str">
        <f>AM15/AL15-1</f>
      </c>
      <c r="H15" s="6" t="str">
        <f>AM15/AF15-1</f>
      </c>
      <c r="I15" s="6" t="str">
        <f>AN15/AM15</f>
      </c>
      <c r="J15" s="6" t="str">
        <f>AM15/Sum(AM$1:AM$67)</f>
      </c>
      <c r="K15" s="6" t="str">
        <f>AN15/Sum(AN1:AN$67)</f>
      </c>
      <c r="O15" t="s">
        <v>108</v>
      </c>
      <c r="P15" t="n">
        <v>499</v>
      </c>
      <c r="Q15" s="10" t="n">
        <v>2785583.23500404</v>
      </c>
      <c r="R15" s="10" t="n">
        <v>212265.323931586</v>
      </c>
      <c r="S15" s="10" t="n">
        <v>72511.0810208105</v>
      </c>
      <c r="T15" s="10" t="n">
        <v>32750.3335103058</v>
      </c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</row>
    <row r="16">
      <c r="A16" t="str">
        <f>O16</f>
      </c>
      <c r="B16" t="str">
        <f>P16</f>
      </c>
      <c r="C16" s="10" t="str">
        <f>AF16</f>
      </c>
      <c r="D16" s="10" t="str">
        <f>AL16</f>
      </c>
      <c r="E16" s="10" t="str">
        <f>AM16</f>
      </c>
      <c r="F16" s="10" t="str">
        <f>AN16</f>
      </c>
      <c r="G16" s="6" t="str">
        <f>AM16/AL16-1</f>
      </c>
      <c r="H16" s="6" t="str">
        <f>AM16/AF16-1</f>
      </c>
      <c r="I16" s="6" t="str">
        <f>AN16/AM16</f>
      </c>
      <c r="J16" s="6" t="str">
        <f>AM16/Sum(AM$1:AM$67)</f>
      </c>
      <c r="K16" s="6" t="str">
        <f>AN16/Sum(AN1:AN$67)</f>
      </c>
      <c r="O16" t="s">
        <v>109</v>
      </c>
      <c r="P16" t="n">
        <v>1076</v>
      </c>
      <c r="Q16" s="10" t="n">
        <v>6172040.31821674</v>
      </c>
      <c r="R16" s="10"/>
      <c r="S16" s="10" t="n">
        <v>433597.380439827</v>
      </c>
      <c r="T16" s="10" t="n">
        <v>1689151.9375196</v>
      </c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</row>
    <row r="17">
      <c r="A17" t="str">
        <f>O17</f>
      </c>
      <c r="B17" t="str">
        <f>P17</f>
      </c>
      <c r="C17" s="10" t="str">
        <f>AF17</f>
      </c>
      <c r="D17" s="10" t="str">
        <f>AL17</f>
      </c>
      <c r="E17" s="10" t="str">
        <f>AM17</f>
      </c>
      <c r="F17" s="10" t="str">
        <f>AN17</f>
      </c>
      <c r="G17" s="6" t="str">
        <f>AM17/AL17-1</f>
      </c>
      <c r="H17" s="6" t="str">
        <f>AM17/AF17-1</f>
      </c>
      <c r="I17" s="6" t="str">
        <f>AN17/AM17</f>
      </c>
      <c r="J17" s="6" t="str">
        <f>AM17/Sum(AM$1:AM$67)</f>
      </c>
      <c r="K17" s="6" t="str">
        <f>AN17/Sum(AN1:AN$67)</f>
      </c>
      <c r="O17" t="s">
        <v>110</v>
      </c>
      <c r="P17" t="n">
        <v>1050</v>
      </c>
      <c r="Q17" s="10" t="n">
        <v>1512706.25460574</v>
      </c>
      <c r="R17" s="10" t="n">
        <v>7711869.28252087</v>
      </c>
      <c r="S17" s="10" t="n">
        <v>5671269.74076017</v>
      </c>
      <c r="T17" s="10" t="n">
        <v>5372991.4942148</v>
      </c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</row>
    <row r="18">
      <c r="A18" t="str">
        <f>O18</f>
      </c>
      <c r="B18" t="str">
        <f>P18</f>
      </c>
      <c r="C18" s="10" t="str">
        <f>AF18</f>
      </c>
      <c r="D18" s="10" t="str">
        <f>AL18</f>
      </c>
      <c r="E18" s="10" t="str">
        <f>AM18</f>
      </c>
      <c r="F18" s="10" t="str">
        <f>AN18</f>
      </c>
      <c r="G18" s="6" t="str">
        <f>AM18/AL18-1</f>
      </c>
      <c r="H18" s="6" t="str">
        <f>AM18/AF18-1</f>
      </c>
      <c r="I18" s="6" t="str">
        <f>AN18/AM18</f>
      </c>
      <c r="J18" s="6" t="str">
        <f>AM18/Sum(AM$1:AM$67)</f>
      </c>
      <c r="K18" s="6" t="str">
        <f>AN18/Sum(AN1:AN$67)</f>
      </c>
      <c r="O18" t="s">
        <v>111</v>
      </c>
      <c r="P18" t="n">
        <v>1034</v>
      </c>
      <c r="Q18" s="10"/>
      <c r="R18" s="10"/>
      <c r="S18" s="10"/>
      <c r="T18" s="10" t="n">
        <v>6038217.02429994</v>
      </c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</row>
    <row r="19">
      <c r="A19" t="str">
        <f>O19</f>
      </c>
      <c r="B19" t="str">
        <f>P19</f>
      </c>
      <c r="C19" s="10" t="str">
        <f>AF19</f>
      </c>
      <c r="D19" s="10" t="str">
        <f>AL19</f>
      </c>
      <c r="E19" s="10" t="str">
        <f>AM19</f>
      </c>
      <c r="F19" s="10" t="str">
        <f>AN19</f>
      </c>
      <c r="G19" s="6" t="str">
        <f>AM19/AL19-1</f>
      </c>
      <c r="H19" s="6" t="str">
        <f>AM19/AF19-1</f>
      </c>
      <c r="I19" s="6" t="str">
        <f>AN19/AM19</f>
      </c>
      <c r="J19" s="6" t="str">
        <f>AM19/Sum(AM$1:AM$67)</f>
      </c>
      <c r="K19" s="6" t="str">
        <f>AN19/Sum(AN1:AN$67)</f>
      </c>
      <c r="O19" t="s">
        <v>112</v>
      </c>
      <c r="P19" t="n">
        <v>877</v>
      </c>
      <c r="Q19" s="10" t="n">
        <v>12365026.9607987</v>
      </c>
      <c r="R19" s="10" t="n">
        <v>1195642.4882034</v>
      </c>
      <c r="S19" s="10" t="n">
        <v>-5178255.88726594</v>
      </c>
      <c r="T19" s="10" t="n">
        <v>26534.5969390915</v>
      </c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</row>
    <row r="20">
      <c r="A20" t="str">
        <f>O20</f>
      </c>
      <c r="B20" t="str">
        <f>P20</f>
      </c>
      <c r="C20" s="10" t="str">
        <f>AF20</f>
      </c>
      <c r="D20" s="10" t="str">
        <f>AL20</f>
      </c>
      <c r="E20" s="10" t="str">
        <f>AM20</f>
      </c>
      <c r="F20" s="10" t="str">
        <f>AN20</f>
      </c>
      <c r="G20" s="6" t="str">
        <f>AM20/AL20-1</f>
      </c>
      <c r="H20" s="6" t="str">
        <f>AM20/AF20-1</f>
      </c>
      <c r="I20" s="6" t="str">
        <f>AN20/AM20</f>
      </c>
      <c r="J20" s="6" t="str">
        <f>AM20/Sum(AM$1:AM$67)</f>
      </c>
      <c r="K20" s="6" t="str">
        <f>AN20/Sum(AN1:AN$67)</f>
      </c>
      <c r="O20" t="s">
        <v>113</v>
      </c>
      <c r="P20" t="n">
        <v>1078</v>
      </c>
      <c r="Q20" s="10" t="n">
        <v>12332499.0834367</v>
      </c>
      <c r="R20" s="10" t="n">
        <v>27452949.8197833</v>
      </c>
      <c r="S20" s="10" t="n">
        <v>1461663.87272841</v>
      </c>
      <c r="T20" s="10" t="n">
        <v>819084.43916148</v>
      </c>
      <c r="U20" s="10"/>
      <c r="V20" s="10"/>
      <c r="W20" s="10"/>
      <c r="X20" s="10"/>
      <c r="Y20" s="10"/>
      <c r="Z20" s="10"/>
      <c r="AA20" s="10" t="n">
        <v>-248358.528418965</v>
      </c>
      <c r="AB20" s="10"/>
      <c r="AC20" s="10"/>
      <c r="AD20" s="10"/>
      <c r="AE20" s="10"/>
      <c r="AF20" s="10"/>
      <c r="AG20" s="10"/>
      <c r="AH20" s="10"/>
      <c r="AI20" s="10"/>
      <c r="AJ20" s="10" t="n">
        <v>0</v>
      </c>
      <c r="AK20" s="10"/>
      <c r="AL20" s="10"/>
      <c r="AM20" s="10"/>
      <c r="AN20" s="10"/>
      <c r="AO20" s="10"/>
    </row>
    <row r="21">
      <c r="A21" t="str">
        <f>O21</f>
      </c>
      <c r="B21" t="str">
        <f>P21</f>
      </c>
      <c r="C21" s="10" t="str">
        <f>AF21</f>
      </c>
      <c r="D21" s="10" t="str">
        <f>AL21</f>
      </c>
      <c r="E21" s="10" t="str">
        <f>AM21</f>
      </c>
      <c r="F21" s="10" t="str">
        <f>AN21</f>
      </c>
      <c r="G21" s="6" t="str">
        <f>AM21/AL21-1</f>
      </c>
      <c r="H21" s="6" t="str">
        <f>AM21/AF21-1</f>
      </c>
      <c r="I21" s="6" t="str">
        <f>AN21/AM21</f>
      </c>
      <c r="J21" s="6" t="str">
        <f>AM21/Sum(AM$1:AM$67)</f>
      </c>
      <c r="K21" s="6" t="str">
        <f>AN21/Sum(AN1:AN$67)</f>
      </c>
      <c r="O21" t="s">
        <v>114</v>
      </c>
      <c r="P21" t="n">
        <v>1046</v>
      </c>
      <c r="Q21" s="10" t="n">
        <v>2938504.00556444</v>
      </c>
      <c r="R21" s="10"/>
      <c r="S21" s="10" t="n">
        <v>68909.7532368805</v>
      </c>
      <c r="T21" s="10" t="n">
        <v>4847290.1259823</v>
      </c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</row>
    <row r="22">
      <c r="A22" t="str">
        <f>O22</f>
      </c>
      <c r="B22" t="str">
        <f>P22</f>
      </c>
      <c r="C22" s="10" t="str">
        <f>AF22</f>
      </c>
      <c r="D22" s="10" t="str">
        <f>AL22</f>
      </c>
      <c r="E22" s="10" t="str">
        <f>AM22</f>
      </c>
      <c r="F22" s="10" t="str">
        <f>AN22</f>
      </c>
      <c r="G22" s="6" t="str">
        <f>AM22/AL22-1</f>
      </c>
      <c r="H22" s="6" t="str">
        <f>AM22/AF22-1</f>
      </c>
      <c r="I22" s="6" t="str">
        <f>AN22/AM22</f>
      </c>
      <c r="J22" s="6" t="str">
        <f>AM22/Sum(AM$1:AM$67)</f>
      </c>
      <c r="K22" s="6" t="str">
        <f>AN22/Sum(AN1:AN$67)</f>
      </c>
      <c r="O22" t="s">
        <v>115</v>
      </c>
      <c r="P22" t="n">
        <v>426</v>
      </c>
      <c r="Q22" s="10"/>
      <c r="R22" s="10" t="n">
        <v>-153804.021130571</v>
      </c>
      <c r="S22" s="10" t="n">
        <v>10915619.8541943</v>
      </c>
      <c r="T22" s="10" t="n">
        <v>10344437.8724345</v>
      </c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</row>
    <row r="23">
      <c r="A23" t="str">
        <f>O23</f>
      </c>
      <c r="B23" t="str">
        <f>P23</f>
      </c>
      <c r="C23" s="10" t="str">
        <f>AF23</f>
      </c>
      <c r="D23" s="10" t="str">
        <f>AL23</f>
      </c>
      <c r="E23" s="10" t="str">
        <f>AM23</f>
      </c>
      <c r="F23" s="10" t="str">
        <f>AN23</f>
      </c>
      <c r="G23" s="6" t="str">
        <f>AM23/AL23-1</f>
      </c>
      <c r="H23" s="6" t="str">
        <f>AM23/AF23-1</f>
      </c>
      <c r="I23" s="6" t="str">
        <f>AN23/AM23</f>
      </c>
      <c r="J23" s="6" t="str">
        <f>AM23/Sum(AM$1:AM$67)</f>
      </c>
      <c r="K23" s="6" t="str">
        <f>AN23/Sum(AN1:AN$67)</f>
      </c>
      <c r="O23" t="s">
        <v>116</v>
      </c>
      <c r="P23" t="n">
        <v>1037</v>
      </c>
      <c r="Q23" s="10" t="n">
        <v>-879480.643610554</v>
      </c>
      <c r="R23" s="10" t="n">
        <v>151863.724248616</v>
      </c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</row>
    <row r="24">
      <c r="A24" t="str">
        <f>O24</f>
      </c>
      <c r="B24" t="str">
        <f>P24</f>
      </c>
      <c r="C24" s="10" t="str">
        <f>AF24</f>
      </c>
      <c r="D24" s="10" t="str">
        <f>AL24</f>
      </c>
      <c r="E24" s="10" t="str">
        <f>AM24</f>
      </c>
      <c r="F24" s="10" t="str">
        <f>AN24</f>
      </c>
      <c r="G24" s="6" t="str">
        <f>AM24/AL24-1</f>
      </c>
      <c r="H24" s="6" t="str">
        <f>AM24/AF24-1</f>
      </c>
      <c r="I24" s="6" t="str">
        <f>AN24/AM24</f>
      </c>
      <c r="J24" s="6" t="str">
        <f>AM24/Sum(AM$1:AM$67)</f>
      </c>
      <c r="K24" s="6" t="str">
        <f>AN24/Sum(AN1:AN$67)</f>
      </c>
      <c r="O24" t="s">
        <v>117</v>
      </c>
      <c r="P24" t="n">
        <v>20</v>
      </c>
      <c r="Q24" s="10"/>
      <c r="R24" s="10"/>
      <c r="S24" s="10"/>
      <c r="T24" s="10"/>
      <c r="U24" s="10"/>
      <c r="V24" s="10"/>
      <c r="W24" s="10"/>
      <c r="X24" s="10"/>
      <c r="Y24" s="10" t="n">
        <v>334039.089202524</v>
      </c>
      <c r="Z24" s="10" t="n">
        <v>10985.7199061613</v>
      </c>
      <c r="AA24" s="10"/>
      <c r="AB24" s="10"/>
      <c r="AC24" s="10"/>
      <c r="AD24" s="10"/>
      <c r="AE24" s="10" t="n">
        <v>26279290.0532467</v>
      </c>
      <c r="AF24" s="10" t="n">
        <v>134216793.781921</v>
      </c>
      <c r="AG24" s="10" t="n">
        <v>16351850.9134548</v>
      </c>
      <c r="AH24" s="10" t="n">
        <v>63655043.8983098</v>
      </c>
      <c r="AI24" s="10" t="n">
        <v>241440081.100313</v>
      </c>
      <c r="AJ24" s="10" t="n">
        <v>345788244.117657</v>
      </c>
      <c r="AK24" s="10" t="n">
        <v>364312951.323356</v>
      </c>
      <c r="AL24" s="10" t="n">
        <v>189468731.477266</v>
      </c>
      <c r="AM24" s="10" t="n">
        <v>161462601.9253</v>
      </c>
      <c r="AN24" s="10" t="n">
        <v>55935390.0158688</v>
      </c>
      <c r="AO24" s="10"/>
    </row>
    <row r="25">
      <c r="A25" t="str">
        <f>O25</f>
      </c>
      <c r="B25" t="str">
        <f>P25</f>
      </c>
      <c r="C25" s="10" t="str">
        <f>AF25</f>
      </c>
      <c r="D25" s="10" t="str">
        <f>AL25</f>
      </c>
      <c r="E25" s="10" t="str">
        <f>AM25</f>
      </c>
      <c r="F25" s="10" t="str">
        <f>AN25</f>
      </c>
      <c r="G25" s="6" t="str">
        <f>AM25/AL25-1</f>
      </c>
      <c r="H25" s="6" t="str">
        <f>AM25/AF25-1</f>
      </c>
      <c r="I25" s="6" t="str">
        <f>AN25/AM25</f>
      </c>
      <c r="J25" s="6" t="str">
        <f>AM25/Sum(AM$1:AM$67)</f>
      </c>
      <c r="K25" s="6" t="str">
        <f>AN25/Sum(AN1:AN$67)</f>
      </c>
      <c r="O25" t="s">
        <v>118</v>
      </c>
      <c r="P25" t="n">
        <v>1876</v>
      </c>
      <c r="Q25" s="10"/>
      <c r="R25" s="10"/>
      <c r="S25" s="10"/>
      <c r="T25" s="10"/>
      <c r="U25" s="10"/>
      <c r="V25" s="10"/>
      <c r="W25" s="10"/>
      <c r="X25" s="10" t="n">
        <v>-21800171.4955945</v>
      </c>
      <c r="Y25" s="10" t="n">
        <v>180000.548429349</v>
      </c>
      <c r="Z25" s="10" t="n">
        <v>958665.877310031</v>
      </c>
      <c r="AA25" s="10" t="n">
        <v>8325254.3544958</v>
      </c>
      <c r="AB25" s="10" t="n">
        <v>1326971.14173374</v>
      </c>
      <c r="AC25" s="10" t="n">
        <v>13537828.9690168</v>
      </c>
      <c r="AD25" s="10" t="n">
        <v>3942098.59548798</v>
      </c>
      <c r="AE25" s="10" t="n">
        <v>5815210.19664188</v>
      </c>
      <c r="AF25" s="10" t="n">
        <v>4854916.35757942</v>
      </c>
      <c r="AG25" s="10" t="n">
        <v>3250350.1344113</v>
      </c>
      <c r="AH25" s="10" t="n">
        <v>6374205.67043284</v>
      </c>
      <c r="AI25" s="10" t="n">
        <v>-609042.565457927</v>
      </c>
      <c r="AJ25" s="10" t="n">
        <v>0</v>
      </c>
      <c r="AK25" s="10" t="n">
        <v>-4429.76514196457</v>
      </c>
      <c r="AL25" s="10" t="n">
        <v>-8534.71162451287</v>
      </c>
      <c r="AM25" s="10" t="n">
        <v>-45059.6797</v>
      </c>
      <c r="AN25" s="10"/>
      <c r="AO25" s="10"/>
    </row>
    <row r="26">
      <c r="A26" t="str">
        <f>O26</f>
      </c>
      <c r="B26" t="str">
        <f>P26</f>
      </c>
      <c r="C26" s="10" t="str">
        <f>AF26</f>
      </c>
      <c r="D26" s="10" t="str">
        <f>AL26</f>
      </c>
      <c r="E26" s="10" t="str">
        <f>AM26</f>
      </c>
      <c r="F26" s="10" t="str">
        <f>AN26</f>
      </c>
      <c r="G26" s="6" t="str">
        <f>AM26/AL26-1</f>
      </c>
      <c r="H26" s="6" t="str">
        <f>AM26/AF26-1</f>
      </c>
      <c r="I26" s="6" t="str">
        <f>AN26/AM26</f>
      </c>
      <c r="J26" s="6" t="str">
        <f>AM26/Sum(AM$1:AM$67)</f>
      </c>
      <c r="K26" s="6" t="str">
        <f>AN26/Sum(AN1:AN$67)</f>
      </c>
      <c r="O26" t="s">
        <v>72</v>
      </c>
      <c r="P26" t="n">
        <v>137</v>
      </c>
      <c r="Q26" s="10" t="n">
        <v>2784409924.1565</v>
      </c>
      <c r="R26" s="10" t="n">
        <v>1804988805.52813</v>
      </c>
      <c r="S26" s="10" t="n">
        <v>957810194.98376</v>
      </c>
      <c r="T26" s="10" t="n">
        <v>951802754.999747</v>
      </c>
      <c r="U26" s="10" t="n">
        <v>2205734.00969018</v>
      </c>
      <c r="V26" s="10"/>
      <c r="W26" s="10"/>
      <c r="X26" s="10"/>
      <c r="Y26" s="10" t="n">
        <v>-309376.89349475</v>
      </c>
      <c r="Z26" s="10" t="n">
        <v>-974484.648893482</v>
      </c>
      <c r="AA26" s="10" t="n">
        <v>-1711126.3151592</v>
      </c>
      <c r="AB26" s="10" t="n">
        <v>-1276934.83176748</v>
      </c>
      <c r="AC26" s="10"/>
      <c r="AD26" s="10"/>
      <c r="AE26" s="10"/>
      <c r="AF26" s="10"/>
      <c r="AG26" s="10"/>
      <c r="AH26" s="10" t="n">
        <v>0</v>
      </c>
      <c r="AI26" s="10" t="n">
        <v>-99066.315721179</v>
      </c>
      <c r="AJ26" s="10" t="n">
        <v>0</v>
      </c>
      <c r="AK26" s="10" t="n">
        <v>0</v>
      </c>
      <c r="AL26" s="10" t="n">
        <v>0</v>
      </c>
      <c r="AM26" s="10" t="n">
        <v>0</v>
      </c>
      <c r="AN26" s="10" t="n">
        <v>0</v>
      </c>
      <c r="AO26" s="10"/>
    </row>
    <row r="27">
      <c r="A27" t="str">
        <f>O27</f>
      </c>
      <c r="B27" t="str">
        <f>P27</f>
      </c>
      <c r="C27" s="10" t="str">
        <f>AF27</f>
      </c>
      <c r="D27" s="10" t="str">
        <f>AL27</f>
      </c>
      <c r="E27" s="10" t="str">
        <f>AM27</f>
      </c>
      <c r="F27" s="10" t="str">
        <f>AN27</f>
      </c>
      <c r="G27" s="6" t="str">
        <f>AM27/AL27-1</f>
      </c>
      <c r="H27" s="6" t="str">
        <f>AM27/AF27-1</f>
      </c>
      <c r="I27" s="6" t="str">
        <f>AN27/AM27</f>
      </c>
      <c r="J27" s="6" t="str">
        <f>AM27/Sum(AM$1:AM$67)</f>
      </c>
      <c r="K27" s="6" t="str">
        <f>AN27/Sum(AN1:AN$67)</f>
      </c>
      <c r="O27" t="s">
        <v>73</v>
      </c>
      <c r="P27" t="n">
        <v>1357</v>
      </c>
      <c r="Q27" s="10"/>
      <c r="R27" s="10"/>
      <c r="S27" s="10"/>
      <c r="T27" s="10"/>
      <c r="U27" s="10" t="n">
        <v>133463974.180334</v>
      </c>
      <c r="V27" s="10" t="n">
        <v>353383518.726532</v>
      </c>
      <c r="W27" s="10" t="n">
        <v>378757729.173113</v>
      </c>
      <c r="X27" s="10" t="n">
        <v>610803752.3278</v>
      </c>
      <c r="Y27" s="10" t="n">
        <v>579891838.366996</v>
      </c>
      <c r="Z27" s="10" t="n">
        <v>562149208.602528</v>
      </c>
      <c r="AA27" s="10" t="n">
        <v>338656801.840957</v>
      </c>
      <c r="AB27" s="10" t="n">
        <v>337770942.453361</v>
      </c>
      <c r="AC27" s="10" t="n">
        <v>622072077.856056</v>
      </c>
      <c r="AD27" s="10" t="n">
        <v>515842698.65472</v>
      </c>
      <c r="AE27" s="10" t="n">
        <v>761961692.870075</v>
      </c>
      <c r="AF27" s="10" t="n">
        <v>684221021.134957</v>
      </c>
      <c r="AG27" s="10" t="n">
        <v>721189621.171773</v>
      </c>
      <c r="AH27" s="10" t="n">
        <v>640857556.85431</v>
      </c>
      <c r="AI27" s="10" t="n">
        <v>790070176.586644</v>
      </c>
      <c r="AJ27" s="10" t="n">
        <v>807425798.773212</v>
      </c>
      <c r="AK27" s="10" t="n">
        <v>711679835.061188</v>
      </c>
      <c r="AL27" s="10" t="n">
        <v>743907087.538328</v>
      </c>
      <c r="AM27" s="10" t="n">
        <v>551993804.1368</v>
      </c>
      <c r="AN27" s="10" t="n">
        <v>359482367.947432</v>
      </c>
      <c r="AO27" s="10"/>
    </row>
    <row r="28">
      <c r="A28" t="str">
        <f>O28</f>
      </c>
      <c r="B28" t="str">
        <f>P28</f>
      </c>
      <c r="C28" s="10" t="str">
        <f>AF28</f>
      </c>
      <c r="D28" s="10" t="str">
        <f>AL28</f>
      </c>
      <c r="E28" s="10" t="str">
        <f>AM28</f>
      </c>
      <c r="F28" s="10" t="str">
        <f>AN28</f>
      </c>
      <c r="G28" s="6" t="str">
        <f>AM28/AL28-1</f>
      </c>
      <c r="H28" s="6" t="str">
        <f>AM28/AF28-1</f>
      </c>
      <c r="I28" s="6" t="str">
        <f>AN28/AM28</f>
      </c>
      <c r="J28" s="6" t="str">
        <f>AM28/Sum(AM$1:AM$67)</f>
      </c>
      <c r="K28" s="6" t="str">
        <f>AN28/Sum(AN1:AN$67)</f>
      </c>
      <c r="O28" t="s">
        <v>119</v>
      </c>
      <c r="P28" t="n">
        <v>69</v>
      </c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 t="n">
        <v>10689.9437832963</v>
      </c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</row>
    <row r="29">
      <c r="A29" t="str">
        <f>O29</f>
      </c>
      <c r="B29" t="str">
        <f>P29</f>
      </c>
      <c r="C29" s="10" t="str">
        <f>AF29</f>
      </c>
      <c r="D29" s="10" t="str">
        <f>AL29</f>
      </c>
      <c r="E29" s="10" t="str">
        <f>AM29</f>
      </c>
      <c r="F29" s="10" t="str">
        <f>AN29</f>
      </c>
      <c r="G29" s="6" t="str">
        <f>AM29/AL29-1</f>
      </c>
      <c r="H29" s="6" t="str">
        <f>AM29/AF29-1</f>
      </c>
      <c r="I29" s="6" t="str">
        <f>AN29/AM29</f>
      </c>
      <c r="J29" s="6" t="str">
        <f>AM29/Sum(AM$1:AM$67)</f>
      </c>
      <c r="K29" s="6" t="str">
        <f>AN29/Sum(AN1:AN$67)</f>
      </c>
      <c r="O29" t="s">
        <v>120</v>
      </c>
      <c r="P29" t="n">
        <v>871</v>
      </c>
      <c r="Q29" s="10" t="n">
        <v>7400258.52003942</v>
      </c>
      <c r="R29" s="10" t="n">
        <v>40871445.1915474</v>
      </c>
      <c r="S29" s="10" t="n">
        <v>7778080.6596077</v>
      </c>
      <c r="T29" s="10" t="n">
        <v>41765588.1560653</v>
      </c>
      <c r="U29" s="10"/>
      <c r="V29" s="10"/>
      <c r="W29" s="10"/>
      <c r="X29" s="10"/>
      <c r="Y29" s="10"/>
      <c r="Z29" s="10"/>
      <c r="AA29" s="10" t="n">
        <v>-892.865416229387</v>
      </c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</row>
    <row r="30">
      <c r="A30" t="str">
        <f>O30</f>
      </c>
      <c r="B30" t="str">
        <f>P30</f>
      </c>
      <c r="C30" s="10" t="str">
        <f>AF30</f>
      </c>
      <c r="D30" s="10" t="str">
        <f>AL30</f>
      </c>
      <c r="E30" s="10" t="str">
        <f>AM30</f>
      </c>
      <c r="F30" s="10" t="str">
        <f>AN30</f>
      </c>
      <c r="G30" s="6" t="str">
        <f>AM30/AL30-1</f>
      </c>
      <c r="H30" s="6" t="str">
        <f>AM30/AF30-1</f>
      </c>
      <c r="I30" s="6" t="str">
        <f>AN30/AM30</f>
      </c>
      <c r="J30" s="6" t="str">
        <f>AM30/Sum(AM$1:AM$67)</f>
      </c>
      <c r="K30" s="6" t="str">
        <f>AN30/Sum(AN1:AN$67)</f>
      </c>
      <c r="O30" t="s">
        <v>121</v>
      </c>
      <c r="P30" t="n">
        <v>866</v>
      </c>
      <c r="Q30" s="10" t="n">
        <v>146352642.099136</v>
      </c>
      <c r="R30" s="10" t="n">
        <v>66666789.9202138</v>
      </c>
      <c r="S30" s="10" t="n">
        <v>51765833.4305581</v>
      </c>
      <c r="T30" s="10" t="n">
        <v>30794938.0626156</v>
      </c>
      <c r="U30" s="10" t="n">
        <v>74373.9664342852</v>
      </c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 t="n">
        <v>-287.830212157484</v>
      </c>
      <c r="AJ30" s="10"/>
      <c r="AK30" s="10"/>
      <c r="AL30" s="10"/>
      <c r="AM30" s="10"/>
      <c r="AN30" s="10"/>
      <c r="AO30" s="10"/>
    </row>
    <row r="31">
      <c r="A31" t="str">
        <f>O31</f>
      </c>
      <c r="B31" t="str">
        <f>P31</f>
      </c>
      <c r="C31" s="10" t="str">
        <f>AF31</f>
      </c>
      <c r="D31" s="10" t="str">
        <f>AL31</f>
      </c>
      <c r="E31" s="10" t="str">
        <f>AM31</f>
      </c>
      <c r="F31" s="10" t="str">
        <f>AN31</f>
      </c>
      <c r="G31" s="6" t="str">
        <f>AM31/AL31-1</f>
      </c>
      <c r="H31" s="6" t="str">
        <f>AM31/AF31-1</f>
      </c>
      <c r="I31" s="6" t="str">
        <f>AN31/AM31</f>
      </c>
      <c r="J31" s="6" t="str">
        <f>AM31/Sum(AM$1:AM$67)</f>
      </c>
      <c r="K31" s="6" t="str">
        <f>AN31/Sum(AN1:AN$67)</f>
      </c>
      <c r="O31" t="s">
        <v>122</v>
      </c>
      <c r="P31" t="n">
        <v>1737</v>
      </c>
      <c r="Q31" s="10" t="n">
        <v>9536408.75591904</v>
      </c>
      <c r="R31" s="10" t="n">
        <v>4720641.35525932</v>
      </c>
      <c r="S31" s="10" t="n">
        <v>2684447.433952</v>
      </c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</row>
    <row r="32">
      <c r="A32" t="str">
        <f>O32</f>
      </c>
      <c r="B32" t="str">
        <f>P32</f>
      </c>
      <c r="C32" s="10" t="str">
        <f>AF32</f>
      </c>
      <c r="D32" s="10" t="str">
        <f>AL32</f>
      </c>
      <c r="E32" s="10" t="str">
        <f>AM32</f>
      </c>
      <c r="F32" s="10" t="str">
        <f>AN32</f>
      </c>
      <c r="G32" s="6" t="str">
        <f>AM32/AL32-1</f>
      </c>
      <c r="H32" s="6" t="str">
        <f>AM32/AF32-1</f>
      </c>
      <c r="I32" s="6" t="str">
        <f>AN32/AM32</f>
      </c>
      <c r="J32" s="6" t="str">
        <f>AM32/Sum(AM$1:AM$67)</f>
      </c>
      <c r="K32" s="6" t="str">
        <f>AN32/Sum(AN1:AN$67)</f>
      </c>
      <c r="O32" t="s">
        <v>123</v>
      </c>
      <c r="P32" t="n">
        <v>1359</v>
      </c>
      <c r="Q32" s="10"/>
      <c r="R32" s="10"/>
      <c r="S32" s="10"/>
      <c r="T32" s="10"/>
      <c r="U32" s="10" t="n">
        <v>343826838.06891</v>
      </c>
      <c r="V32" s="10" t="n">
        <v>276083236.816715</v>
      </c>
      <c r="W32" s="10" t="n">
        <v>361815346.172335</v>
      </c>
      <c r="X32" s="10" t="n">
        <v>376056311.08265</v>
      </c>
      <c r="Y32" s="10" t="n">
        <v>271563347.340223</v>
      </c>
      <c r="Z32" s="10" t="n">
        <v>337787166.654346</v>
      </c>
      <c r="AA32" s="10" t="n">
        <v>127913509.752995</v>
      </c>
      <c r="AB32" s="10" t="n">
        <v>78062775.355675</v>
      </c>
      <c r="AC32" s="10" t="n">
        <v>116723680.543113</v>
      </c>
      <c r="AD32" s="10" t="n">
        <v>73291298.0691879</v>
      </c>
      <c r="AE32" s="10" t="n">
        <v>13882647.7013013</v>
      </c>
      <c r="AF32" s="10" t="n">
        <v>9882585.23804568</v>
      </c>
      <c r="AG32" s="10" t="n">
        <v>-37897.9590232488</v>
      </c>
      <c r="AH32" s="10" t="n">
        <v>0</v>
      </c>
      <c r="AI32" s="10" t="n">
        <v>-91949.8273457792</v>
      </c>
      <c r="AJ32" s="10" t="n">
        <v>0</v>
      </c>
      <c r="AK32" s="10"/>
      <c r="AL32" s="10" t="n">
        <v>-99728.9829641271</v>
      </c>
      <c r="AM32" s="10"/>
      <c r="AN32" s="10"/>
      <c r="AO32" s="10"/>
    </row>
    <row r="33">
      <c r="A33" t="str">
        <f>O33</f>
      </c>
      <c r="B33" t="str">
        <f>P33</f>
      </c>
      <c r="C33" s="10" t="str">
        <f>AF33</f>
      </c>
      <c r="D33" s="10" t="str">
        <f>AL33</f>
      </c>
      <c r="E33" s="10" t="str">
        <f>AM33</f>
      </c>
      <c r="F33" s="10" t="str">
        <f>AN33</f>
      </c>
      <c r="G33" s="6" t="str">
        <f>AM33/AL33-1</f>
      </c>
      <c r="H33" s="6" t="str">
        <f>AM33/AF33-1</f>
      </c>
      <c r="I33" s="6" t="str">
        <f>AN33/AM33</f>
      </c>
      <c r="J33" s="6" t="str">
        <f>AM33/Sum(AM$1:AM$67)</f>
      </c>
      <c r="K33" s="6" t="str">
        <f>AN33/Sum(AN1:AN$67)</f>
      </c>
      <c r="O33" t="s">
        <v>124</v>
      </c>
      <c r="P33" t="n">
        <v>165</v>
      </c>
      <c r="Q33" s="10"/>
      <c r="R33" s="10" t="n">
        <v>3617230.80046579</v>
      </c>
      <c r="S33" s="10" t="n">
        <v>3756551.37857733</v>
      </c>
      <c r="T33" s="10" t="n">
        <v>5453139.29531791</v>
      </c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</row>
    <row r="34">
      <c r="A34" t="str">
        <f>O34</f>
      </c>
      <c r="B34" t="str">
        <f>P34</f>
      </c>
      <c r="C34" s="10" t="str">
        <f>AF34</f>
      </c>
      <c r="D34" s="10" t="str">
        <f>AL34</f>
      </c>
      <c r="E34" s="10" t="str">
        <f>AM34</f>
      </c>
      <c r="F34" s="10" t="str">
        <f>AN34</f>
      </c>
      <c r="G34" s="6" t="str">
        <f>AM34/AL34-1</f>
      </c>
      <c r="H34" s="6" t="str">
        <f>AM34/AF34-1</f>
      </c>
      <c r="I34" s="6" t="str">
        <f>AN34/AM34</f>
      </c>
      <c r="J34" s="6" t="str">
        <f>AM34/Sum(AM$1:AM$67)</f>
      </c>
      <c r="K34" s="6" t="str">
        <f>AN34/Sum(AN1:AN$67)</f>
      </c>
      <c r="O34" t="s">
        <v>125</v>
      </c>
      <c r="P34" t="n">
        <v>1735</v>
      </c>
      <c r="Q34" s="10" t="n">
        <v>29919689.9763032</v>
      </c>
      <c r="R34" s="10" t="n">
        <v>40930621.0914928</v>
      </c>
      <c r="S34" s="10" t="n">
        <v>-9348191.2429042</v>
      </c>
      <c r="T34" s="10" t="n">
        <v>12051237.3817195</v>
      </c>
      <c r="U34" s="10"/>
      <c r="V34" s="10"/>
      <c r="W34" s="10"/>
      <c r="X34" s="10"/>
      <c r="Y34" s="10" t="n">
        <v>476906.720799051</v>
      </c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</row>
    <row r="35">
      <c r="A35" t="str">
        <f>O35</f>
      </c>
      <c r="B35" t="str">
        <f>P35</f>
      </c>
      <c r="C35" s="10" t="str">
        <f>AF35</f>
      </c>
      <c r="D35" s="10" t="str">
        <f>AL35</f>
      </c>
      <c r="E35" s="10" t="str">
        <f>AM35</f>
      </c>
      <c r="F35" s="10" t="str">
        <f>AN35</f>
      </c>
      <c r="G35" s="6" t="str">
        <f>AM35/AL35-1</f>
      </c>
      <c r="H35" s="6" t="str">
        <f>AM35/AF35-1</f>
      </c>
      <c r="I35" s="6" t="str">
        <f>AN35/AM35</f>
      </c>
      <c r="J35" s="6" t="str">
        <f>AM35/Sum(AM$1:AM$67)</f>
      </c>
      <c r="K35" s="6" t="str">
        <f>AN35/Sum(AN1:AN$67)</f>
      </c>
      <c r="O35" t="s">
        <v>126</v>
      </c>
      <c r="P35" t="n">
        <v>151</v>
      </c>
      <c r="Q35" s="10" t="n">
        <v>5420118.33057536</v>
      </c>
      <c r="R35" s="10" t="n">
        <v>11285015.9068378</v>
      </c>
      <c r="S35" s="10" t="n">
        <v>9272678.27891387</v>
      </c>
      <c r="T35" s="10" t="n">
        <v>34775887.9988088</v>
      </c>
      <c r="U35" s="10"/>
      <c r="V35" s="10"/>
      <c r="W35" s="10"/>
      <c r="X35" s="10"/>
      <c r="Y35" s="10"/>
      <c r="Z35" s="10" t="n">
        <v>-113945.111593029</v>
      </c>
      <c r="AA35" s="10" t="n">
        <v>-16732.6375160538</v>
      </c>
      <c r="AB35" s="10" t="n">
        <v>-204212.04162126</v>
      </c>
      <c r="AC35" s="10"/>
      <c r="AD35" s="10"/>
      <c r="AE35" s="10"/>
      <c r="AF35" s="10"/>
      <c r="AG35" s="10"/>
      <c r="AH35" s="10"/>
      <c r="AI35" s="10"/>
      <c r="AJ35" s="10"/>
      <c r="AK35" s="10" t="n">
        <v>0</v>
      </c>
      <c r="AL35" s="10"/>
      <c r="AM35" s="10"/>
      <c r="AN35" s="10"/>
      <c r="AO35" s="10"/>
    </row>
    <row r="36">
      <c r="A36" t="str">
        <f>O36</f>
      </c>
      <c r="B36" t="str">
        <f>P36</f>
      </c>
      <c r="C36" s="10" t="str">
        <f>AF36</f>
      </c>
      <c r="D36" s="10" t="str">
        <f>AL36</f>
      </c>
      <c r="E36" s="10" t="str">
        <f>AM36</f>
      </c>
      <c r="F36" s="10" t="str">
        <f>AN36</f>
      </c>
      <c r="G36" s="6" t="str">
        <f>AM36/AL36-1</f>
      </c>
      <c r="H36" s="6" t="str">
        <f>AM36/AF36-1</f>
      </c>
      <c r="I36" s="6" t="str">
        <f>AN36/AM36</f>
      </c>
      <c r="J36" s="6" t="str">
        <f>AM36/Sum(AM$1:AM$67)</f>
      </c>
      <c r="K36" s="6" t="str">
        <f>AN36/Sum(AN1:AN$67)</f>
      </c>
      <c r="O36" t="s">
        <v>127</v>
      </c>
      <c r="P36" t="n">
        <v>166</v>
      </c>
      <c r="Q36" s="10" t="n">
        <v>0</v>
      </c>
      <c r="R36" s="10"/>
      <c r="S36" s="10" t="n">
        <v>85748.5618445359</v>
      </c>
      <c r="T36" s="10" t="n">
        <v>109929.697535523</v>
      </c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</row>
    <row r="37">
      <c r="A37" t="str">
        <f>O37</f>
      </c>
      <c r="B37" t="str">
        <f>P37</f>
      </c>
      <c r="C37" s="10" t="str">
        <f>AF37</f>
      </c>
      <c r="D37" s="10" t="str">
        <f>AL37</f>
      </c>
      <c r="E37" s="10" t="str">
        <f>AM37</f>
      </c>
      <c r="F37" s="10" t="str">
        <f>AN37</f>
      </c>
      <c r="G37" s="6" t="str">
        <f>AM37/AL37-1</f>
      </c>
      <c r="H37" s="6" t="str">
        <f>AM37/AF37-1</f>
      </c>
      <c r="I37" s="6" t="str">
        <f>AN37/AM37</f>
      </c>
      <c r="J37" s="6" t="str">
        <f>AM37/Sum(AM$1:AM$67)</f>
      </c>
      <c r="K37" s="6" t="str">
        <f>AN37/Sum(AN1:AN$67)</f>
      </c>
      <c r="O37" t="s">
        <v>128</v>
      </c>
      <c r="P37" t="n">
        <v>1921</v>
      </c>
      <c r="Q37" s="10"/>
      <c r="R37" s="10" t="n">
        <v>5169351.57272136</v>
      </c>
      <c r="S37" s="10" t="n">
        <v>-147438.576889312</v>
      </c>
      <c r="T37" s="10" t="n">
        <v>5782952.76933785</v>
      </c>
      <c r="U37" s="10" t="n">
        <v>24726465.5668988</v>
      </c>
      <c r="V37" s="10" t="n">
        <v>18692777.5065223</v>
      </c>
      <c r="W37" s="10" t="n">
        <v>20127560.9241601</v>
      </c>
      <c r="X37" s="10" t="n">
        <v>28145375.2823954</v>
      </c>
      <c r="Y37" s="10" t="n">
        <v>2029731.62776045</v>
      </c>
      <c r="Z37" s="10" t="n">
        <v>-1932300.29521975</v>
      </c>
      <c r="AA37" s="10" t="n">
        <v>-1113125.40563481</v>
      </c>
      <c r="AB37" s="10" t="n">
        <v>-1294236.41742456</v>
      </c>
      <c r="AC37" s="10" t="n">
        <v>-6226899.70782175</v>
      </c>
      <c r="AD37" s="10" t="n">
        <v>-29584.1760361458</v>
      </c>
      <c r="AE37" s="10"/>
      <c r="AF37" s="10" t="n">
        <v>0</v>
      </c>
      <c r="AG37" s="10" t="n">
        <v>0</v>
      </c>
      <c r="AH37" s="10"/>
      <c r="AI37" s="10"/>
      <c r="AJ37" s="10"/>
      <c r="AK37" s="10"/>
      <c r="AL37" s="10"/>
      <c r="AM37" s="10" t="n">
        <v>0</v>
      </c>
      <c r="AN37" s="10"/>
      <c r="AO37" s="10"/>
    </row>
    <row r="38">
      <c r="A38" t="str">
        <f>O38</f>
      </c>
      <c r="B38" t="str">
        <f>P38</f>
      </c>
      <c r="C38" s="10" t="str">
        <f>AF38</f>
      </c>
      <c r="D38" s="10" t="str">
        <f>AL38</f>
      </c>
      <c r="E38" s="10" t="str">
        <f>AM38</f>
      </c>
      <c r="F38" s="10" t="str">
        <f>AN38</f>
      </c>
      <c r="G38" s="6" t="str">
        <f>AM38/AL38-1</f>
      </c>
      <c r="H38" s="6" t="str">
        <f>AM38/AF38-1</f>
      </c>
      <c r="I38" s="6" t="str">
        <f>AN38/AM38</f>
      </c>
      <c r="J38" s="6" t="str">
        <f>AM38/Sum(AM$1:AM$67)</f>
      </c>
      <c r="K38" s="6" t="str">
        <f>AN38/Sum(AN1:AN$67)</f>
      </c>
      <c r="O38" t="s">
        <v>129</v>
      </c>
      <c r="P38" t="n">
        <v>167</v>
      </c>
      <c r="Q38" s="10" t="n">
        <v>2803401.5059929</v>
      </c>
      <c r="R38" s="10" t="n">
        <v>19678959.4874971</v>
      </c>
      <c r="S38" s="10" t="n">
        <v>42656718.1728546</v>
      </c>
      <c r="T38" s="10" t="n">
        <v>4031838.51741307</v>
      </c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 t="n">
        <v>0</v>
      </c>
      <c r="AH38" s="10"/>
      <c r="AI38" s="10"/>
      <c r="AJ38" s="10"/>
      <c r="AK38" s="10"/>
      <c r="AL38" s="10"/>
      <c r="AM38" s="10"/>
      <c r="AN38" s="10"/>
      <c r="AO38" s="10"/>
    </row>
    <row r="39">
      <c r="A39" t="str">
        <f>O39</f>
      </c>
      <c r="B39" t="str">
        <f>P39</f>
      </c>
      <c r="C39" s="10" t="str">
        <f>AF39</f>
      </c>
      <c r="D39" s="10" t="str">
        <f>AL39</f>
      </c>
      <c r="E39" s="10" t="str">
        <f>AM39</f>
      </c>
      <c r="F39" s="10" t="str">
        <f>AN39</f>
      </c>
      <c r="G39" s="6" t="str">
        <f>AM39/AL39-1</f>
      </c>
      <c r="H39" s="6" t="str">
        <f>AM39/AF39-1</f>
      </c>
      <c r="I39" s="6" t="str">
        <f>AN39/AM39</f>
      </c>
      <c r="J39" s="6" t="str">
        <f>AM39/Sum(AM$1:AM$67)</f>
      </c>
      <c r="K39" s="6" t="str">
        <f>AN39/Sum(AN1:AN$67)</f>
      </c>
      <c r="O39" t="s">
        <v>130</v>
      </c>
      <c r="P39" t="n">
        <v>1</v>
      </c>
      <c r="Q39" s="10"/>
      <c r="R39" s="10"/>
      <c r="S39" s="10"/>
      <c r="T39" s="10"/>
      <c r="U39" s="10"/>
      <c r="V39" s="10"/>
      <c r="W39" s="10" t="n">
        <v>46744.3208901085</v>
      </c>
      <c r="X39" s="10" t="n">
        <v>492674.557187717</v>
      </c>
      <c r="Y39" s="10" t="n">
        <v>7026028.77348402</v>
      </c>
      <c r="Z39" s="10" t="n">
        <v>100833.64050132</v>
      </c>
      <c r="AA39" s="10" t="n">
        <v>183031.400721365</v>
      </c>
      <c r="AB39" s="10" t="n">
        <v>169113.402312991</v>
      </c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 t="n">
        <v>3896480.25</v>
      </c>
      <c r="AN39" s="10" t="n">
        <v>306466.5593915</v>
      </c>
      <c r="AO39" s="10"/>
    </row>
    <row r="40">
      <c r="A40" t="str">
        <f>O40</f>
      </c>
      <c r="B40" t="str">
        <f>P40</f>
      </c>
      <c r="C40" s="10" t="str">
        <f>AF40</f>
      </c>
      <c r="D40" s="10" t="str">
        <f>AL40</f>
      </c>
      <c r="E40" s="10" t="str">
        <f>AM40</f>
      </c>
      <c r="F40" s="10" t="str">
        <f>AN40</f>
      </c>
      <c r="G40" s="6" t="str">
        <f>AM40/AL40-1</f>
      </c>
      <c r="H40" s="6" t="str">
        <f>AM40/AF40-1</f>
      </c>
      <c r="I40" s="6" t="str">
        <f>AN40/AM40</f>
      </c>
      <c r="J40" s="6" t="str">
        <f>AM40/Sum(AM$1:AM$67)</f>
      </c>
      <c r="K40" s="6" t="str">
        <f>AN40/Sum(AN1:AN$67)</f>
      </c>
      <c r="O40" t="s">
        <v>131</v>
      </c>
      <c r="P40" t="n">
        <v>2032</v>
      </c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 t="n">
        <v>12290008.1682859</v>
      </c>
      <c r="AG40" s="10" t="n">
        <v>205078767.629558</v>
      </c>
      <c r="AH40" s="10" t="n">
        <v>35603625.7390458</v>
      </c>
      <c r="AI40" s="10" t="n">
        <v>115005029.18812</v>
      </c>
      <c r="AJ40" s="10" t="n">
        <v>44523549.5105348</v>
      </c>
      <c r="AK40" s="10" t="n">
        <v>97395709.4219913</v>
      </c>
      <c r="AL40" s="10" t="n">
        <v>21182482.0031199</v>
      </c>
      <c r="AM40" s="10" t="n">
        <v>37864294.3989</v>
      </c>
      <c r="AN40" s="10" t="n">
        <v>11073548.068709</v>
      </c>
      <c r="AO40" s="10"/>
    </row>
    <row r="41">
      <c r="A41" t="str">
        <f>O41</f>
      </c>
      <c r="B41" t="str">
        <f>P41</f>
      </c>
      <c r="C41" s="10" t="str">
        <f>AF41</f>
      </c>
      <c r="D41" s="10" t="str">
        <f>AL41</f>
      </c>
      <c r="E41" s="10" t="str">
        <f>AM41</f>
      </c>
      <c r="F41" s="10" t="str">
        <f>AN41</f>
      </c>
      <c r="G41" s="6" t="str">
        <f>AM41/AL41-1</f>
      </c>
      <c r="H41" s="6" t="str">
        <f>AM41/AF41-1</f>
      </c>
      <c r="I41" s="6" t="str">
        <f>AN41/AM41</f>
      </c>
      <c r="J41" s="6" t="str">
        <f>AM41/Sum(AM$1:AM$67)</f>
      </c>
      <c r="K41" s="6" t="str">
        <f>AN41/Sum(AN1:AN$67)</f>
      </c>
      <c r="O41" t="s">
        <v>132</v>
      </c>
      <c r="P41" t="n">
        <v>1681</v>
      </c>
      <c r="Q41" s="10" t="n">
        <v>-121848.665973292</v>
      </c>
      <c r="R41" s="10"/>
      <c r="S41" s="10" t="n">
        <v>61887.241706509</v>
      </c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</row>
    <row r="42">
      <c r="A42" t="str">
        <f>O42</f>
      </c>
      <c r="B42" t="str">
        <f>P42</f>
      </c>
      <c r="C42" s="10" t="str">
        <f>AF42</f>
      </c>
      <c r="D42" s="10" t="str">
        <f>AL42</f>
      </c>
      <c r="E42" s="10" t="str">
        <f>AM42</f>
      </c>
      <c r="F42" s="10" t="str">
        <f>AN42</f>
      </c>
      <c r="G42" s="6" t="str">
        <f>AM42/AL42-1</f>
      </c>
      <c r="H42" s="6" t="str">
        <f>AM42/AF42-1</f>
      </c>
      <c r="I42" s="6" t="str">
        <f>AN42/AM42</f>
      </c>
      <c r="J42" s="6" t="str">
        <f>AM42/Sum(AM$1:AM$67)</f>
      </c>
      <c r="K42" s="6" t="str">
        <f>AN42/Sum(AN1:AN$67)</f>
      </c>
      <c r="O42" t="s">
        <v>133</v>
      </c>
      <c r="P42" t="n">
        <v>162</v>
      </c>
      <c r="Q42" s="10" t="n">
        <v>8928031.45735926</v>
      </c>
      <c r="R42" s="10" t="n">
        <v>14557320.2883462</v>
      </c>
      <c r="S42" s="10" t="n">
        <v>64206767.0154161</v>
      </c>
      <c r="T42" s="10" t="n">
        <v>12210164.5771003</v>
      </c>
      <c r="U42" s="10" t="n">
        <v>-371.869832171426</v>
      </c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</row>
    <row r="43">
      <c r="A43" t="str">
        <f>O43</f>
      </c>
      <c r="B43" t="str">
        <f>P43</f>
      </c>
      <c r="C43" s="10" t="str">
        <f>AF43</f>
      </c>
      <c r="D43" s="10" t="str">
        <f>AL43</f>
      </c>
      <c r="E43" s="10" t="str">
        <f>AM43</f>
      </c>
      <c r="F43" s="10" t="str">
        <f>AN43</f>
      </c>
      <c r="G43" s="6" t="str">
        <f>AM43/AL43-1</f>
      </c>
      <c r="H43" s="6" t="str">
        <f>AM43/AF43-1</f>
      </c>
      <c r="I43" s="6" t="str">
        <f>AN43/AM43</f>
      </c>
      <c r="J43" s="6" t="str">
        <f>AM43/Sum(AM$1:AM$67)</f>
      </c>
      <c r="K43" s="6" t="str">
        <f>AN43/Sum(AN1:AN$67)</f>
      </c>
      <c r="O43" t="s">
        <v>134</v>
      </c>
      <c r="P43" t="n">
        <v>1366</v>
      </c>
      <c r="Q43" s="10"/>
      <c r="R43" s="10"/>
      <c r="S43" s="10"/>
      <c r="T43" s="10"/>
      <c r="U43" s="10" t="n">
        <v>40118241.2193166</v>
      </c>
      <c r="V43" s="10" t="n">
        <v>112441822.934962</v>
      </c>
      <c r="W43" s="10" t="n">
        <v>65331944.2864261</v>
      </c>
      <c r="X43" s="10" t="n">
        <v>87055262.0249215</v>
      </c>
      <c r="Y43" s="10" t="n">
        <v>27392284.2450422</v>
      </c>
      <c r="Z43" s="10" t="n">
        <v>18220891.0688833</v>
      </c>
      <c r="AA43" s="10" t="n">
        <v>11984895.0646412</v>
      </c>
      <c r="AB43" s="10" t="n">
        <v>10696835.0234967</v>
      </c>
      <c r="AC43" s="10" t="n">
        <v>371008.615279312</v>
      </c>
      <c r="AD43" s="10" t="n">
        <v>380183.399465669</v>
      </c>
      <c r="AE43" s="10" t="n">
        <v>-269885.969657057</v>
      </c>
      <c r="AF43" s="10" t="n">
        <v>-1293280.44620371</v>
      </c>
      <c r="AG43" s="10" t="n">
        <v>-764486.646866242</v>
      </c>
      <c r="AH43" s="10" t="n">
        <v>-148463.255931874</v>
      </c>
      <c r="AI43" s="10"/>
      <c r="AJ43" s="10" t="n">
        <v>-2486.1320343459</v>
      </c>
      <c r="AK43" s="10" t="n">
        <v>-1950.00295173996</v>
      </c>
      <c r="AL43" s="10"/>
      <c r="AM43" s="10"/>
      <c r="AN43" s="10"/>
      <c r="AO43" s="10"/>
    </row>
    <row r="44">
      <c r="A44" t="str">
        <f>O44</f>
      </c>
      <c r="B44" t="str">
        <f>P44</f>
      </c>
      <c r="C44" s="10" t="str">
        <f>AF44</f>
      </c>
      <c r="D44" s="10" t="str">
        <f>AL44</f>
      </c>
      <c r="E44" s="10" t="str">
        <f>AM44</f>
      </c>
      <c r="F44" s="10" t="str">
        <f>AN44</f>
      </c>
      <c r="G44" s="6" t="str">
        <f>AM44/AL44-1</f>
      </c>
      <c r="H44" s="6" t="str">
        <f>AM44/AF44-1</f>
      </c>
      <c r="I44" s="6" t="str">
        <f>AN44/AM44</f>
      </c>
      <c r="J44" s="6" t="str">
        <f>AM44/Sum(AM$1:AM$67)</f>
      </c>
      <c r="K44" s="6" t="str">
        <f>AN44/Sum(AN1:AN$67)</f>
      </c>
      <c r="O44" t="s">
        <v>74</v>
      </c>
      <c r="P44" t="n">
        <v>2240</v>
      </c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 t="n">
        <v>3984993354.4387</v>
      </c>
      <c r="AK44" s="10" t="n">
        <v>5035277276.68349</v>
      </c>
      <c r="AL44" s="10" t="n">
        <v>1276649838.60686</v>
      </c>
      <c r="AM44" s="10" t="n">
        <v>1918911399.4134</v>
      </c>
      <c r="AN44" s="10" t="n">
        <v>3084381709.64237</v>
      </c>
      <c r="AO44" s="10"/>
    </row>
    <row r="45">
      <c r="A45" t="str">
        <f>O45</f>
      </c>
      <c r="B45" t="str">
        <f>P45</f>
      </c>
      <c r="C45" s="10" t="str">
        <f>AF45</f>
      </c>
      <c r="D45" s="10" t="str">
        <f>AL45</f>
      </c>
      <c r="E45" s="10" t="str">
        <f>AM45</f>
      </c>
      <c r="F45" s="10" t="str">
        <f>AN45</f>
      </c>
      <c r="G45" s="6" t="str">
        <f>AM45/AL45-1</f>
      </c>
      <c r="H45" s="6" t="str">
        <f>AM45/AF45-1</f>
      </c>
      <c r="I45" s="6" t="str">
        <f>AN45/AM45</f>
      </c>
      <c r="J45" s="6" t="str">
        <f>AM45/Sum(AM$1:AM$67)</f>
      </c>
      <c r="K45" s="6" t="str">
        <f>AN45/Sum(AN1:AN$67)</f>
      </c>
      <c r="O45" t="s">
        <v>135</v>
      </c>
      <c r="P45" t="n">
        <v>150</v>
      </c>
      <c r="Q45" s="10"/>
      <c r="R45" s="10" t="n">
        <v>575110.305719991</v>
      </c>
      <c r="S45" s="10" t="n">
        <v>-248698.161547946</v>
      </c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</row>
    <row r="46">
      <c r="A46" t="str">
        <f>O46</f>
      </c>
      <c r="B46" t="str">
        <f>P46</f>
      </c>
      <c r="C46" s="10" t="str">
        <f>AF46</f>
      </c>
      <c r="D46" s="10" t="str">
        <f>AL46</f>
      </c>
      <c r="E46" s="10" t="str">
        <f>AM46</f>
      </c>
      <c r="F46" s="10" t="str">
        <f>AN46</f>
      </c>
      <c r="G46" s="6" t="str">
        <f>AM46/AL46-1</f>
      </c>
      <c r="H46" s="6" t="str">
        <f>AM46/AF46-1</f>
      </c>
      <c r="I46" s="6" t="str">
        <f>AN46/AM46</f>
      </c>
      <c r="J46" s="6" t="str">
        <f>AM46/Sum(AM$1:AM$67)</f>
      </c>
      <c r="K46" s="6" t="str">
        <f>AN46/Sum(AN1:AN$67)</f>
      </c>
      <c r="O46" t="s">
        <v>75</v>
      </c>
      <c r="P46" t="n">
        <v>1912</v>
      </c>
      <c r="Q46" s="10" t="n">
        <v>474172854.064499</v>
      </c>
      <c r="R46" s="10" t="n">
        <v>1742076067.94145</v>
      </c>
      <c r="S46" s="10" t="n">
        <v>4080455651.77528</v>
      </c>
      <c r="T46" s="10" t="n">
        <v>4545894082.35821</v>
      </c>
      <c r="U46" s="10" t="n">
        <v>6628166669.95548</v>
      </c>
      <c r="V46" s="10" t="n">
        <v>7077848240.04668</v>
      </c>
      <c r="W46" s="10" t="n">
        <v>6273747807.44538</v>
      </c>
      <c r="X46" s="10" t="n">
        <v>7670490879.98229</v>
      </c>
      <c r="Y46" s="10" t="n">
        <v>7768035295.25022</v>
      </c>
      <c r="Z46" s="10" t="n">
        <v>6965531282.02244</v>
      </c>
      <c r="AA46" s="10" t="n">
        <v>6717519245.36619</v>
      </c>
      <c r="AB46" s="10" t="n">
        <v>6504309490.55992</v>
      </c>
      <c r="AC46" s="10" t="n">
        <v>8075866476.00407</v>
      </c>
      <c r="AD46" s="10" t="n">
        <v>9124998112.52992</v>
      </c>
      <c r="AE46" s="10" t="n">
        <v>6763227234.90294</v>
      </c>
      <c r="AF46" s="10" t="n">
        <v>5079238411.92319</v>
      </c>
      <c r="AG46" s="10" t="n">
        <v>7227061540.38152</v>
      </c>
      <c r="AH46" s="10" t="n">
        <v>5976246254.19035</v>
      </c>
      <c r="AI46" s="10" t="n">
        <v>8659054280.04308</v>
      </c>
      <c r="AJ46" s="10" t="n">
        <v>8990249833.32066</v>
      </c>
      <c r="AK46" s="10" t="n">
        <v>12696359607.5543</v>
      </c>
      <c r="AL46" s="10" t="n">
        <v>8299562872.17891</v>
      </c>
      <c r="AM46" s="10" t="n">
        <v>8172176497.1852</v>
      </c>
      <c r="AN46" s="10" t="n">
        <v>4388790494.23981</v>
      </c>
      <c r="AO46" s="10"/>
    </row>
    <row r="47">
      <c r="A47" t="str">
        <f>O47</f>
      </c>
      <c r="B47" t="str">
        <f>P47</f>
      </c>
      <c r="C47" s="10" t="str">
        <f>AF47</f>
      </c>
      <c r="D47" s="10" t="str">
        <f>AL47</f>
      </c>
      <c r="E47" s="10" t="str">
        <f>AM47</f>
      </c>
      <c r="F47" s="10" t="str">
        <f>AN47</f>
      </c>
      <c r="G47" s="6" t="str">
        <f>AM47/AL47-1</f>
      </c>
      <c r="H47" s="6" t="str">
        <f>AM47/AF47-1</f>
      </c>
      <c r="I47" s="6" t="str">
        <f>AN47/AM47</f>
      </c>
      <c r="J47" s="6" t="str">
        <f>AM47/Sum(AM$1:AM$67)</f>
      </c>
      <c r="K47" s="6" t="str">
        <f>AN47/Sum(AN1:AN$67)</f>
      </c>
      <c r="O47" t="s">
        <v>136</v>
      </c>
      <c r="P47" t="n">
        <v>1079</v>
      </c>
      <c r="Q47" s="10"/>
      <c r="R47" s="10" t="n">
        <v>80135.8387018771</v>
      </c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</row>
    <row r="48">
      <c r="A48" t="str">
        <f>O48</f>
      </c>
      <c r="B48" t="str">
        <f>P48</f>
      </c>
      <c r="C48" s="10" t="str">
        <f>AF48</f>
      </c>
      <c r="D48" s="10" t="str">
        <f>AL48</f>
      </c>
      <c r="E48" s="10" t="str">
        <f>AM48</f>
      </c>
      <c r="F48" s="10" t="str">
        <f>AN48</f>
      </c>
      <c r="G48" s="6" t="str">
        <f>AM48/AL48-1</f>
      </c>
      <c r="H48" s="6" t="str">
        <f>AM48/AF48-1</f>
      </c>
      <c r="I48" s="6" t="str">
        <f>AN48/AM48</f>
      </c>
      <c r="J48" s="6" t="str">
        <f>AM48/Sum(AM$1:AM$67)</f>
      </c>
      <c r="K48" s="6" t="str">
        <f>AN48/Sum(AN1:AN$67)</f>
      </c>
      <c r="O48" t="s">
        <v>137</v>
      </c>
      <c r="P48" t="n">
        <v>879</v>
      </c>
      <c r="Q48" s="10" t="n">
        <v>1531363.08949042</v>
      </c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</row>
    <row r="49">
      <c r="A49" t="str">
        <f>O49</f>
      </c>
      <c r="B49" t="str">
        <f>P49</f>
      </c>
      <c r="C49" s="10" t="str">
        <f>AF49</f>
      </c>
      <c r="D49" s="10" t="str">
        <f>AL49</f>
      </c>
      <c r="E49" s="10" t="str">
        <f>AM49</f>
      </c>
      <c r="F49" s="10" t="str">
        <f>AN49</f>
      </c>
      <c r="G49" s="6" t="str">
        <f>AM49/AL49-1</f>
      </c>
      <c r="H49" s="6" t="str">
        <f>AM49/AF49-1</f>
      </c>
      <c r="I49" s="6" t="str">
        <f>AN49/AM49</f>
      </c>
      <c r="J49" s="6" t="str">
        <f>AM49/Sum(AM$1:AM$67)</f>
      </c>
      <c r="K49" s="6" t="str">
        <f>AN49/Sum(AN1:AN$67)</f>
      </c>
      <c r="O49" t="s">
        <v>138</v>
      </c>
      <c r="P49" t="n">
        <v>1840</v>
      </c>
      <c r="Q49" s="10"/>
      <c r="R49" s="10"/>
      <c r="S49" s="10"/>
      <c r="T49" s="10"/>
      <c r="U49" s="10"/>
      <c r="V49" s="10" t="n">
        <v>0</v>
      </c>
      <c r="W49" s="10" t="n">
        <v>1225967.06798378</v>
      </c>
      <c r="X49" s="10" t="n">
        <v>11480175.6133177</v>
      </c>
      <c r="Y49" s="10" t="n">
        <v>5795382.0028029</v>
      </c>
      <c r="Z49" s="10" t="n">
        <v>1369835.78663329</v>
      </c>
      <c r="AA49" s="10" t="n">
        <v>1146263.89192458</v>
      </c>
      <c r="AB49" s="10" t="n">
        <v>1611051.07434698</v>
      </c>
      <c r="AC49" s="10" t="n">
        <v>0</v>
      </c>
      <c r="AD49" s="10"/>
      <c r="AE49" s="10" t="n">
        <v>-45968.6719401573</v>
      </c>
      <c r="AF49" s="10"/>
      <c r="AG49" s="10"/>
      <c r="AH49" s="10"/>
      <c r="AI49" s="10"/>
      <c r="AJ49" s="10"/>
      <c r="AK49" s="10"/>
      <c r="AL49" s="10"/>
      <c r="AM49" s="10" t="n">
        <v>-59189.5781</v>
      </c>
      <c r="AN49" s="10"/>
      <c r="AO49" s="10"/>
    </row>
    <row r="50">
      <c r="A50" t="str">
        <f>O50</f>
      </c>
      <c r="B50" t="str">
        <f>P50</f>
      </c>
      <c r="C50" s="10" t="str">
        <f>AF50</f>
      </c>
      <c r="D50" s="10" t="str">
        <f>AL50</f>
      </c>
      <c r="E50" s="10" t="str">
        <f>AM50</f>
      </c>
      <c r="F50" s="10" t="str">
        <f>AN50</f>
      </c>
      <c r="G50" s="6" t="str">
        <f>AM50/AL50-1</f>
      </c>
      <c r="H50" s="6" t="str">
        <f>AM50/AF50-1</f>
      </c>
      <c r="I50" s="6" t="str">
        <f>AN50/AM50</f>
      </c>
      <c r="J50" s="6" t="str">
        <f>AM50/Sum(AM$1:AM$67)</f>
      </c>
      <c r="K50" s="6" t="str">
        <f>AN50/Sum(AN1:AN$67)</f>
      </c>
      <c r="O50" t="s">
        <v>139</v>
      </c>
      <c r="P50" t="n">
        <v>664</v>
      </c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 t="n">
        <v>4106513.86199178</v>
      </c>
      <c r="AL50" s="10" t="n">
        <v>0</v>
      </c>
      <c r="AM50" s="10"/>
      <c r="AN50" s="10"/>
      <c r="AO50" s="10"/>
    </row>
    <row r="51">
      <c r="A51" t="str">
        <f>O51</f>
      </c>
      <c r="B51" t="str">
        <f>P51</f>
      </c>
      <c r="C51" s="10" t="str">
        <f>AF51</f>
      </c>
      <c r="D51" s="10" t="str">
        <f>AL51</f>
      </c>
      <c r="E51" s="10" t="str">
        <f>AM51</f>
      </c>
      <c r="F51" s="10" t="str">
        <f>AN51</f>
      </c>
      <c r="G51" s="6" t="str">
        <f>AM51/AL51-1</f>
      </c>
      <c r="H51" s="6" t="str">
        <f>AM51/AF51-1</f>
      </c>
      <c r="I51" s="6" t="str">
        <f>AN51/AM51</f>
      </c>
      <c r="J51" s="6" t="str">
        <f>AM51/Sum(AM$1:AM$67)</f>
      </c>
      <c r="K51" s="6" t="str">
        <f>AN51/Sum(AN1:AN$67)</f>
      </c>
      <c r="O51" t="s">
        <v>140</v>
      </c>
      <c r="P51" t="n">
        <v>1877</v>
      </c>
      <c r="Q51" s="10"/>
      <c r="R51" s="10"/>
      <c r="S51" s="10"/>
      <c r="T51" s="10"/>
      <c r="U51" s="10" t="n">
        <v>243067.509621202</v>
      </c>
      <c r="V51" s="10" t="n">
        <v>9095.02464862119</v>
      </c>
      <c r="W51" s="10" t="n">
        <v>1760371.93181506</v>
      </c>
      <c r="X51" s="10" t="n">
        <v>5008928.68738961</v>
      </c>
      <c r="Y51" s="10" t="n">
        <v>6410650.1369725</v>
      </c>
      <c r="Z51" s="10" t="n">
        <v>6954044.99043301</v>
      </c>
      <c r="AA51" s="10" t="n">
        <v>3841626.08560644</v>
      </c>
      <c r="AB51" s="10" t="n">
        <v>9008532.94818861</v>
      </c>
      <c r="AC51" s="10" t="n">
        <v>2749897.83425032</v>
      </c>
      <c r="AD51" s="10" t="n">
        <v>779424.040700338</v>
      </c>
      <c r="AE51" s="10"/>
      <c r="AF51" s="10"/>
      <c r="AG51" s="10" t="n">
        <v>0</v>
      </c>
      <c r="AH51" s="10" t="n">
        <v>-3133.02152917279</v>
      </c>
      <c r="AI51" s="10" t="n">
        <v>-80324.1602178157</v>
      </c>
      <c r="AJ51" s="10"/>
      <c r="AK51" s="10"/>
      <c r="AL51" s="10"/>
      <c r="AM51" s="10"/>
      <c r="AN51" s="10"/>
      <c r="AO51" s="10"/>
    </row>
    <row r="52">
      <c r="A52" t="str">
        <f>O52</f>
      </c>
      <c r="B52" t="str">
        <f>P52</f>
      </c>
      <c r="C52" s="10" t="str">
        <f>AF52</f>
      </c>
      <c r="D52" s="10" t="str">
        <f>AL52</f>
      </c>
      <c r="E52" s="10" t="str">
        <f>AM52</f>
      </c>
      <c r="F52" s="10" t="str">
        <f>AN52</f>
      </c>
      <c r="G52" s="6" t="str">
        <f>AM52/AL52-1</f>
      </c>
      <c r="H52" s="6" t="str">
        <f>AM52/AF52-1</f>
      </c>
      <c r="I52" s="6" t="str">
        <f>AN52/AM52</f>
      </c>
      <c r="J52" s="6" t="str">
        <f>AM52/Sum(AM$1:AM$67)</f>
      </c>
      <c r="K52" s="6" t="str">
        <f>AN52/Sum(AN1:AN$67)</f>
      </c>
      <c r="O52" t="s">
        <v>141</v>
      </c>
      <c r="P52" t="n">
        <v>674</v>
      </c>
      <c r="Q52" s="10"/>
      <c r="R52" s="10"/>
      <c r="S52" s="10"/>
      <c r="T52" s="10"/>
      <c r="U52" s="10" t="n">
        <v>87569838.827896</v>
      </c>
      <c r="V52" s="10" t="n">
        <v>64196859.0193785</v>
      </c>
      <c r="W52" s="10" t="n">
        <v>52121994.2068984</v>
      </c>
      <c r="X52" s="10" t="n">
        <v>43672027.5747617</v>
      </c>
      <c r="Y52" s="10"/>
      <c r="Z52" s="10"/>
      <c r="AA52" s="10"/>
      <c r="AB52" s="10" t="n">
        <v>14916132.6268394</v>
      </c>
      <c r="AC52" s="10" t="n">
        <v>897270.249517551</v>
      </c>
      <c r="AD52" s="10" t="n">
        <v>-703.627536758782</v>
      </c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</row>
    <row r="53">
      <c r="A53" t="str">
        <f>O53</f>
      </c>
      <c r="B53" t="str">
        <f>P53</f>
      </c>
      <c r="C53" s="10" t="str">
        <f>AF53</f>
      </c>
      <c r="D53" s="10" t="str">
        <f>AL53</f>
      </c>
      <c r="E53" s="10" t="str">
        <f>AM53</f>
      </c>
      <c r="F53" s="10" t="str">
        <f>AN53</f>
      </c>
      <c r="G53" s="6" t="str">
        <f>AM53/AL53-1</f>
      </c>
      <c r="H53" s="6" t="str">
        <f>AM53/AF53-1</f>
      </c>
      <c r="I53" s="6" t="str">
        <f>AN53/AM53</f>
      </c>
      <c r="J53" s="6" t="str">
        <f>AM53/Sum(AM$1:AM$67)</f>
      </c>
      <c r="K53" s="6" t="str">
        <f>AN53/Sum(AN1:AN$67)</f>
      </c>
      <c r="O53" t="s">
        <v>142</v>
      </c>
      <c r="P53" t="n">
        <v>638</v>
      </c>
      <c r="Q53" s="10"/>
      <c r="R53" s="10"/>
      <c r="S53" s="10"/>
      <c r="T53" s="10"/>
      <c r="U53" s="10"/>
      <c r="V53" s="10"/>
      <c r="W53" s="10"/>
      <c r="X53" s="10"/>
      <c r="Y53" s="10" t="n">
        <v>861302.706778769</v>
      </c>
      <c r="Z53" s="10" t="n">
        <v>-5167.88058475748</v>
      </c>
      <c r="AA53" s="10" t="n">
        <v>55846.0029529552</v>
      </c>
      <c r="AB53" s="10" t="n">
        <v>11321750.1098403</v>
      </c>
      <c r="AC53" s="10" t="n">
        <v>-87164.9680833689</v>
      </c>
      <c r="AD53" s="10" t="n">
        <v>1108919.81753706</v>
      </c>
      <c r="AE53" s="10" t="n">
        <v>2683968.1465039</v>
      </c>
      <c r="AF53" s="10" t="n">
        <v>497799.527077975</v>
      </c>
      <c r="AG53" s="10" t="n">
        <v>-72737.6726639959</v>
      </c>
      <c r="AH53" s="10" t="n">
        <v>0</v>
      </c>
      <c r="AI53" s="10" t="n">
        <v>-320356.240896731</v>
      </c>
      <c r="AJ53" s="10"/>
      <c r="AK53" s="10"/>
      <c r="AL53" s="10"/>
      <c r="AM53" s="10"/>
      <c r="AN53" s="10"/>
      <c r="AO53" s="10"/>
    </row>
    <row r="54">
      <c r="A54" t="str">
        <f>O54</f>
      </c>
      <c r="B54" t="str">
        <f>P54</f>
      </c>
      <c r="C54" s="10" t="str">
        <f>AF54</f>
      </c>
      <c r="D54" s="10" t="str">
        <f>AL54</f>
      </c>
      <c r="E54" s="10" t="str">
        <f>AM54</f>
      </c>
      <c r="F54" s="10" t="str">
        <f>AN54</f>
      </c>
      <c r="G54" s="6" t="str">
        <f>AM54/AL54-1</f>
      </c>
      <c r="H54" s="6" t="str">
        <f>AM54/AF54-1</f>
      </c>
      <c r="I54" s="6" t="str">
        <f>AN54/AM54</f>
      </c>
      <c r="J54" s="6" t="str">
        <f>AM54/Sum(AM$1:AM$67)</f>
      </c>
      <c r="K54" s="6" t="str">
        <f>AN54/Sum(AN1:AN$67)</f>
      </c>
      <c r="O54" t="s">
        <v>77</v>
      </c>
      <c r="P54" t="n">
        <v>2147</v>
      </c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 t="n">
        <v>519452349.319387</v>
      </c>
      <c r="AF54" s="10" t="n">
        <v>2195694680.35312</v>
      </c>
      <c r="AG54" s="10" t="n">
        <v>2172636566.36466</v>
      </c>
      <c r="AH54" s="10" t="n">
        <v>99069018.3704019</v>
      </c>
      <c r="AI54" s="10" t="n">
        <v>68216065.8676888</v>
      </c>
      <c r="AJ54" s="10" t="n">
        <v>256632901.298235</v>
      </c>
      <c r="AK54" s="10" t="n">
        <v>222259604.892425</v>
      </c>
      <c r="AL54" s="10" t="n">
        <v>173134299.900671</v>
      </c>
      <c r="AM54" s="10" t="n">
        <v>223277735.9279</v>
      </c>
      <c r="AN54" s="10" t="n">
        <v>207798843.610076</v>
      </c>
      <c r="AO54" s="10"/>
    </row>
    <row r="55">
      <c r="A55" t="str">
        <f>O55</f>
      </c>
      <c r="B55" t="str">
        <f>P55</f>
      </c>
      <c r="C55" s="10" t="str">
        <f>AF55</f>
      </c>
      <c r="D55" s="10" t="str">
        <f>AL55</f>
      </c>
      <c r="E55" s="10" t="str">
        <f>AM55</f>
      </c>
      <c r="F55" s="10" t="str">
        <f>AN55</f>
      </c>
      <c r="G55" s="6" t="str">
        <f>AM55/AL55-1</f>
      </c>
      <c r="H55" s="6" t="str">
        <f>AM55/AF55-1</f>
      </c>
      <c r="I55" s="6" t="str">
        <f>AN55/AM55</f>
      </c>
      <c r="J55" s="6" t="str">
        <f>AM55/Sum(AM$1:AM$67)</f>
      </c>
      <c r="K55" s="6" t="str">
        <f>AN55/Sum(AN1:AN$67)</f>
      </c>
      <c r="O55" t="s">
        <v>78</v>
      </c>
      <c r="P55" t="n">
        <v>7</v>
      </c>
      <c r="Q55" s="10"/>
      <c r="R55" s="10"/>
      <c r="S55" s="10"/>
      <c r="T55" s="10"/>
      <c r="U55" s="10" t="n">
        <v>-11400.0415750472</v>
      </c>
      <c r="V55" s="10" t="n">
        <v>0</v>
      </c>
      <c r="W55" s="10" t="n">
        <v>762808.35644188</v>
      </c>
      <c r="X55" s="10" t="n">
        <v>461571296.86791</v>
      </c>
      <c r="Y55" s="10" t="n">
        <v>1032545525.76262</v>
      </c>
      <c r="Z55" s="10" t="n">
        <v>3182289305.31524</v>
      </c>
      <c r="AA55" s="10" t="n">
        <v>4047090254.39387</v>
      </c>
      <c r="AB55" s="10" t="n">
        <v>4544284546.95069</v>
      </c>
      <c r="AC55" s="10" t="n">
        <v>3012013272.73651</v>
      </c>
      <c r="AD55" s="10" t="n">
        <v>2583636975.89195</v>
      </c>
      <c r="AE55" s="10" t="n">
        <v>1416883993.45382</v>
      </c>
      <c r="AF55" s="10" t="n">
        <v>834651952.991745</v>
      </c>
      <c r="AG55" s="10" t="n">
        <v>396897055.064614</v>
      </c>
      <c r="AH55" s="10" t="n">
        <v>61610376.0818868</v>
      </c>
      <c r="AI55" s="10" t="n">
        <v>-32936939.2045942</v>
      </c>
      <c r="AJ55" s="10" t="n">
        <v>-40869190.535478</v>
      </c>
      <c r="AK55" s="10" t="n">
        <v>-6970664.30431388</v>
      </c>
      <c r="AL55" s="10" t="n">
        <v>-5299768.58135699</v>
      </c>
      <c r="AM55" s="10" t="n">
        <v>-9795723.5255</v>
      </c>
      <c r="AN55" s="10" t="n">
        <v>-5706979.65475282</v>
      </c>
      <c r="AO55" s="10"/>
    </row>
    <row r="56">
      <c r="A56" t="str">
        <f>O56</f>
      </c>
      <c r="B56" t="str">
        <f>P56</f>
      </c>
      <c r="C56" s="10" t="str">
        <f>AF56</f>
      </c>
      <c r="D56" s="10" t="str">
        <f>AL56</f>
      </c>
      <c r="E56" s="10" t="str">
        <f>AM56</f>
      </c>
      <c r="F56" s="10" t="str">
        <f>AN56</f>
      </c>
      <c r="G56" s="6" t="str">
        <f>AM56/AL56-1</f>
      </c>
      <c r="H56" s="6" t="str">
        <f>AM56/AF56-1</f>
      </c>
      <c r="I56" s="6" t="str">
        <f>AN56/AM56</f>
      </c>
      <c r="J56" s="6" t="str">
        <f>AM56/Sum(AM$1:AM$67)</f>
      </c>
      <c r="K56" s="6" t="str">
        <f>AN56/Sum(AN1:AN$67)</f>
      </c>
      <c r="O56" t="s">
        <v>79</v>
      </c>
      <c r="P56" t="n">
        <v>1916</v>
      </c>
      <c r="Q56" s="10" t="n">
        <v>520420124.712709</v>
      </c>
      <c r="R56" s="10" t="n">
        <v>438581840.921122</v>
      </c>
      <c r="S56" s="10" t="n">
        <v>757513869.534038</v>
      </c>
      <c r="T56" s="10" t="n">
        <v>617797152.955541</v>
      </c>
      <c r="U56" s="10" t="n">
        <v>60723413.2593164</v>
      </c>
      <c r="V56" s="10" t="n">
        <v>12923891.4348389</v>
      </c>
      <c r="W56" s="10" t="n">
        <v>17414648.1532649</v>
      </c>
      <c r="X56" s="10" t="n">
        <v>-7006557.95103731</v>
      </c>
      <c r="Y56" s="10" t="n">
        <v>416488.780710749</v>
      </c>
      <c r="Z56" s="10" t="n">
        <v>-935981.839307822</v>
      </c>
      <c r="AA56" s="10" t="n">
        <v>-16601301.2209793</v>
      </c>
      <c r="AB56" s="10" t="n">
        <v>-5862553.27914596</v>
      </c>
      <c r="AC56" s="10"/>
      <c r="AD56" s="10" t="n">
        <v>-683875.113902003</v>
      </c>
      <c r="AE56" s="10" t="n">
        <v>-33064.5107968294</v>
      </c>
      <c r="AF56" s="10"/>
      <c r="AG56" s="10" t="n">
        <v>1480186.57099324</v>
      </c>
      <c r="AH56" s="10"/>
      <c r="AI56" s="10" t="n">
        <v>102357.529843038</v>
      </c>
      <c r="AJ56" s="10"/>
      <c r="AK56" s="10"/>
      <c r="AL56" s="10"/>
      <c r="AM56" s="10" t="n">
        <v>0</v>
      </c>
      <c r="AN56" s="10"/>
      <c r="AO56" s="10"/>
    </row>
    <row r="57">
      <c r="A57" t="str">
        <f>O57</f>
      </c>
      <c r="B57" t="str">
        <f>P57</f>
      </c>
      <c r="C57" s="10" t="str">
        <f>AF57</f>
      </c>
      <c r="D57" s="10" t="str">
        <f>AL57</f>
      </c>
      <c r="E57" s="10" t="str">
        <f>AM57</f>
      </c>
      <c r="F57" s="10" t="str">
        <f>AN57</f>
      </c>
      <c r="G57" s="6" t="str">
        <f>AM57/AL57-1</f>
      </c>
      <c r="H57" s="6" t="str">
        <f>AM57/AF57-1</f>
      </c>
      <c r="I57" s="6" t="str">
        <f>AN57/AM57</f>
      </c>
      <c r="J57" s="6" t="str">
        <f>AM57/Sum(AM$1:AM$67)</f>
      </c>
      <c r="K57" s="6" t="str">
        <f>AN57/Sum(AN1:AN$67)</f>
      </c>
      <c r="O57" t="s">
        <v>143</v>
      </c>
      <c r="P57" t="n">
        <v>44</v>
      </c>
      <c r="Q57" s="10"/>
      <c r="R57" s="10"/>
      <c r="S57" s="10"/>
      <c r="T57" s="10"/>
      <c r="U57" s="10" t="n">
        <v>538997794.440025</v>
      </c>
      <c r="V57" s="10" t="n">
        <v>331670972.157498</v>
      </c>
      <c r="W57" s="10" t="n">
        <v>964481146.414597</v>
      </c>
      <c r="X57" s="10" t="n">
        <v>570020106.669378</v>
      </c>
      <c r="Y57" s="10" t="n">
        <v>602940671.416663</v>
      </c>
      <c r="Z57" s="10" t="n">
        <v>150298161.182358</v>
      </c>
      <c r="AA57" s="10" t="n">
        <v>90847237.2279975</v>
      </c>
      <c r="AB57" s="10" t="n">
        <v>91210683.4637743</v>
      </c>
      <c r="AC57" s="10" t="n">
        <v>198311913.858248</v>
      </c>
      <c r="AD57" s="10" t="n">
        <v>37139524.5496837</v>
      </c>
      <c r="AE57" s="10" t="n">
        <v>28473409.8986925</v>
      </c>
      <c r="AF57" s="10" t="n">
        <v>135762449.775292</v>
      </c>
      <c r="AG57" s="10" t="n">
        <v>219584093.214138</v>
      </c>
      <c r="AH57" s="10" t="n">
        <v>500270698.391138</v>
      </c>
      <c r="AI57" s="10" t="n">
        <v>294621131.775229</v>
      </c>
      <c r="AJ57" s="10" t="n">
        <v>51945828.8191197</v>
      </c>
      <c r="AK57" s="10" t="n">
        <v>16801567.6057968</v>
      </c>
      <c r="AL57" s="10" t="n">
        <v>12816911.5690263</v>
      </c>
      <c r="AM57" s="10" t="n">
        <v>138156456.2864</v>
      </c>
      <c r="AN57" s="10" t="n">
        <v>-1891469.89218718</v>
      </c>
      <c r="AO57" s="10"/>
    </row>
    <row r="58">
      <c r="A58" t="str">
        <f>O58</f>
      </c>
      <c r="B58" t="str">
        <f>P58</f>
      </c>
      <c r="C58" s="10" t="str">
        <f>AF58</f>
      </c>
      <c r="D58" s="10" t="str">
        <f>AL58</f>
      </c>
      <c r="E58" s="10" t="str">
        <f>AM58</f>
      </c>
      <c r="F58" s="10" t="str">
        <f>AN58</f>
      </c>
      <c r="G58" s="6" t="str">
        <f>AM58/AL58-1</f>
      </c>
      <c r="H58" s="6" t="str">
        <f>AM58/AF58-1</f>
      </c>
      <c r="I58" s="6" t="str">
        <f>AN58/AM58</f>
      </c>
      <c r="J58" s="6" t="str">
        <f>AM58/Sum(AM$1:AM$67)</f>
      </c>
      <c r="K58" s="6" t="str">
        <f>AN58/Sum(AN1:AN$67)</f>
      </c>
      <c r="O58" t="s">
        <v>80</v>
      </c>
      <c r="P58" t="n">
        <v>1819</v>
      </c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 t="n">
        <v>2612135.30658605</v>
      </c>
      <c r="AB58" s="10"/>
      <c r="AC58" s="10" t="n">
        <v>805316.132052596</v>
      </c>
      <c r="AD58" s="10" t="n">
        <v>12029192.6556719</v>
      </c>
      <c r="AE58" s="10" t="n">
        <v>45482512.1632548</v>
      </c>
      <c r="AF58" s="10" t="n">
        <v>1413099397.23622</v>
      </c>
      <c r="AG58" s="10" t="n">
        <v>52200144.9790241</v>
      </c>
      <c r="AH58" s="10" t="n">
        <v>1841331687.10851</v>
      </c>
      <c r="AI58" s="10" t="n">
        <v>4456009819.13505</v>
      </c>
      <c r="AJ58" s="10" t="n">
        <v>1262016110.91906</v>
      </c>
      <c r="AK58" s="10" t="n">
        <v>679874352.903876</v>
      </c>
      <c r="AL58" s="10" t="n">
        <v>550315468.115461</v>
      </c>
      <c r="AM58" s="10" t="n">
        <v>153662063.9002</v>
      </c>
      <c r="AN58" s="10" t="n">
        <v>6224746.02550045</v>
      </c>
      <c r="AO58" s="10"/>
    </row>
    <row r="59">
      <c r="A59" t="str">
        <f>O59</f>
      </c>
      <c r="B59" t="str">
        <f>P59</f>
      </c>
      <c r="C59" s="10" t="str">
        <f>AF59</f>
      </c>
      <c r="D59" s="10" t="str">
        <f>AL59</f>
      </c>
      <c r="E59" s="10" t="str">
        <f>AM59</f>
      </c>
      <c r="F59" s="10" t="str">
        <f>AN59</f>
      </c>
      <c r="G59" s="6" t="str">
        <f>AM59/AL59-1</f>
      </c>
      <c r="H59" s="6" t="str">
        <f>AM59/AF59-1</f>
      </c>
      <c r="I59" s="6" t="str">
        <f>AN59/AM59</f>
      </c>
      <c r="J59" s="6" t="str">
        <f>AM59/Sum(AM$1:AM$67)</f>
      </c>
      <c r="K59" s="6" t="str">
        <f>AN59/Sum(AN1:AN$67)</f>
      </c>
      <c r="O59" t="s">
        <v>144</v>
      </c>
      <c r="P59" t="n">
        <v>65</v>
      </c>
      <c r="Q59" s="10"/>
      <c r="R59" s="10"/>
      <c r="S59" s="10"/>
      <c r="T59" s="10"/>
      <c r="U59" s="10"/>
      <c r="V59" s="10"/>
      <c r="W59" s="10"/>
      <c r="X59" s="10" t="n">
        <v>43543.8299051978</v>
      </c>
      <c r="Y59" s="10"/>
      <c r="Z59" s="10"/>
      <c r="AA59" s="10"/>
      <c r="AB59" s="10"/>
      <c r="AC59" s="10"/>
      <c r="AD59" s="10"/>
      <c r="AE59" s="10"/>
      <c r="AF59" s="10" t="n">
        <v>-22153.9394180912</v>
      </c>
      <c r="AG59" s="10"/>
      <c r="AH59" s="10"/>
      <c r="AI59" s="10"/>
      <c r="AJ59" s="10"/>
      <c r="AK59" s="10"/>
      <c r="AL59" s="10"/>
      <c r="AM59" s="10"/>
      <c r="AN59" s="10"/>
      <c r="AO59" s="10"/>
    </row>
    <row r="60">
      <c r="A60" t="str">
        <f>O60</f>
      </c>
      <c r="B60" t="str">
        <f>P60</f>
      </c>
      <c r="C60" s="10" t="str">
        <f>AF60</f>
      </c>
      <c r="D60" s="10" t="str">
        <f>AL60</f>
      </c>
      <c r="E60" s="10" t="str">
        <f>AM60</f>
      </c>
      <c r="F60" s="10" t="str">
        <f>AN60</f>
      </c>
      <c r="G60" s="6" t="str">
        <f>AM60/AL60-1</f>
      </c>
      <c r="H60" s="6" t="str">
        <f>AM60/AF60-1</f>
      </c>
      <c r="I60" s="6" t="str">
        <f>AN60/AM60</f>
      </c>
      <c r="J60" s="6" t="str">
        <f>AM60/Sum(AM$1:AM$67)</f>
      </c>
      <c r="K60" s="6" t="str">
        <f>AN60/Sum(AN1:AN$67)</f>
      </c>
      <c r="O60" t="s">
        <v>145</v>
      </c>
      <c r="P60" t="n">
        <v>848</v>
      </c>
      <c r="Q60" s="10" t="n">
        <v>61833024.4138265</v>
      </c>
      <c r="R60" s="10" t="n">
        <v>13239713.5776019</v>
      </c>
      <c r="S60" s="10" t="n">
        <v>40173643.8194296</v>
      </c>
      <c r="T60" s="10" t="n">
        <v>68394660.0242919</v>
      </c>
      <c r="U60" s="10"/>
      <c r="V60" s="10"/>
      <c r="W60" s="10"/>
      <c r="X60" s="10"/>
      <c r="Y60" s="10"/>
      <c r="Z60" s="10"/>
      <c r="AA60" s="10" t="n">
        <v>-457.879700630455</v>
      </c>
      <c r="AB60" s="10" t="n">
        <v>-359738.256598228</v>
      </c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</row>
    <row r="61">
      <c r="A61" t="str">
        <f>O61</f>
      </c>
      <c r="B61" t="str">
        <f>P61</f>
      </c>
      <c r="C61" s="10" t="str">
        <f>AF61</f>
      </c>
      <c r="D61" s="10" t="str">
        <f>AL61</f>
      </c>
      <c r="E61" s="10" t="str">
        <f>AM61</f>
      </c>
      <c r="F61" s="10" t="str">
        <f>AN61</f>
      </c>
      <c r="G61" s="6" t="str">
        <f>AM61/AL61-1</f>
      </c>
      <c r="H61" s="6" t="str">
        <f>AM61/AF61-1</f>
      </c>
      <c r="I61" s="6" t="str">
        <f>AN61/AM61</f>
      </c>
      <c r="J61" s="6" t="str">
        <f>AM61/Sum(AM$1:AM$67)</f>
      </c>
      <c r="K61" s="6" t="str">
        <f>AN61/Sum(AN1:AN$67)</f>
      </c>
      <c r="O61" t="s">
        <v>146</v>
      </c>
      <c r="P61" t="n">
        <v>856</v>
      </c>
      <c r="Q61" s="10"/>
      <c r="R61" s="10" t="n">
        <v>35089.4014977275</v>
      </c>
      <c r="S61" s="10"/>
      <c r="T61" s="10" t="n">
        <v>343000.770976863</v>
      </c>
      <c r="U61" s="10"/>
      <c r="V61" s="10"/>
      <c r="W61" s="10"/>
      <c r="X61" s="10"/>
      <c r="Y61" s="10"/>
      <c r="Z61" s="10" t="n">
        <v>-57.2972922913541</v>
      </c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</row>
    <row r="62">
      <c r="A62" t="str">
        <f>O62</f>
      </c>
      <c r="B62" t="str">
        <f>P62</f>
      </c>
      <c r="C62" s="10" t="str">
        <f>AF62</f>
      </c>
      <c r="D62" s="10" t="str">
        <f>AL62</f>
      </c>
      <c r="E62" s="10" t="str">
        <f>AM62</f>
      </c>
      <c r="F62" s="10" t="str">
        <f>AN62</f>
      </c>
      <c r="G62" s="6" t="str">
        <f>AM62/AL62-1</f>
      </c>
      <c r="H62" s="6" t="str">
        <f>AM62/AF62-1</f>
      </c>
      <c r="I62" s="6" t="str">
        <f>AN62/AM62</f>
      </c>
      <c r="J62" s="6" t="str">
        <f>AM62/Sum(AM$1:AM$67)</f>
      </c>
      <c r="K62" s="6" t="str">
        <f>AN62/Sum(AN1:AN$67)</f>
      </c>
      <c r="O62" t="s">
        <v>147</v>
      </c>
      <c r="P62" t="n">
        <v>1383</v>
      </c>
      <c r="Q62" s="10"/>
      <c r="R62" s="10"/>
      <c r="S62" s="10"/>
      <c r="T62" s="10"/>
      <c r="U62" s="10" t="n">
        <v>9424039.82279659</v>
      </c>
      <c r="V62" s="10" t="n">
        <v>90458490.0526986</v>
      </c>
      <c r="W62" s="10" t="n">
        <v>116387362.3296</v>
      </c>
      <c r="X62" s="10" t="n">
        <v>134938815.003</v>
      </c>
      <c r="Y62" s="10" t="n">
        <v>29724012.2413451</v>
      </c>
      <c r="Z62" s="10" t="n">
        <v>617127178.346029</v>
      </c>
      <c r="AA62" s="10" t="n">
        <v>159816684.957587</v>
      </c>
      <c r="AB62" s="10" t="n">
        <v>275040412.020595</v>
      </c>
      <c r="AC62" s="10" t="n">
        <v>2999919.57102762</v>
      </c>
      <c r="AD62" s="10" t="n">
        <v>1541587.00235895</v>
      </c>
      <c r="AE62" s="10" t="n">
        <v>2002836.57931658</v>
      </c>
      <c r="AF62" s="10" t="n">
        <v>1987103.1943179</v>
      </c>
      <c r="AG62" s="10" t="n">
        <v>93686.9730223251</v>
      </c>
      <c r="AH62" s="10" t="n">
        <v>42696131.6980358</v>
      </c>
      <c r="AI62" s="10" t="n">
        <v>76937361.0237325</v>
      </c>
      <c r="AJ62" s="10" t="n">
        <v>57891604.6549055</v>
      </c>
      <c r="AK62" s="10" t="n">
        <v>589884165.554055</v>
      </c>
      <c r="AL62" s="10" t="n">
        <v>237282776.577524</v>
      </c>
      <c r="AM62" s="10" t="n">
        <v>229226198</v>
      </c>
      <c r="AN62" s="10" t="n">
        <v>191508751.936136</v>
      </c>
      <c r="AO62" s="10"/>
    </row>
    <row r="63">
      <c r="A63" t="str">
        <f>O63</f>
      </c>
      <c r="B63" t="str">
        <f>P63</f>
      </c>
      <c r="C63" s="10" t="str">
        <f>AF63</f>
      </c>
      <c r="D63" s="10" t="str">
        <f>AL63</f>
      </c>
      <c r="E63" s="10" t="str">
        <f>AM63</f>
      </c>
      <c r="F63" s="10" t="str">
        <f>AN63</f>
      </c>
      <c r="G63" s="6" t="str">
        <f>AM63/AL63-1</f>
      </c>
      <c r="H63" s="6" t="str">
        <f>AM63/AF63-1</f>
      </c>
      <c r="I63" s="6" t="str">
        <f>AN63/AM63</f>
      </c>
      <c r="J63" s="6" t="str">
        <f>AM63/Sum(AM$1:AM$67)</f>
      </c>
      <c r="K63" s="6" t="str">
        <f>AN63/Sum(AN1:AN$67)</f>
      </c>
      <c r="O63" t="s">
        <v>148</v>
      </c>
      <c r="P63" t="n">
        <v>46</v>
      </c>
      <c r="Q63" s="10"/>
      <c r="R63" s="10"/>
      <c r="S63" s="10"/>
      <c r="T63" s="10"/>
      <c r="U63" s="10"/>
      <c r="V63" s="10" t="n">
        <v>0</v>
      </c>
      <c r="W63" s="10" t="n">
        <v>11733980.3901111</v>
      </c>
      <c r="X63" s="10" t="n">
        <v>15298726.7694531</v>
      </c>
      <c r="Y63" s="10" t="n">
        <v>6953938.37410235</v>
      </c>
      <c r="Z63" s="10" t="n">
        <v>103840632.148516</v>
      </c>
      <c r="AA63" s="10" t="n">
        <v>11833313.1162439</v>
      </c>
      <c r="AB63" s="10" t="n">
        <v>40308795.1161104</v>
      </c>
      <c r="AC63" s="10" t="n">
        <v>54875880.8165033</v>
      </c>
      <c r="AD63" s="10" t="n">
        <v>-198270.434616756</v>
      </c>
      <c r="AE63" s="10" t="n">
        <v>11657245.1938991</v>
      </c>
      <c r="AF63" s="10" t="n">
        <v>12922180.4751565</v>
      </c>
      <c r="AG63" s="10" t="n">
        <v>13755544.1638961</v>
      </c>
      <c r="AH63" s="10" t="n">
        <v>283729.213114725</v>
      </c>
      <c r="AI63" s="10" t="n">
        <v>-71282.9241732546</v>
      </c>
      <c r="AJ63" s="10" t="n">
        <v>-1268446.03628745</v>
      </c>
      <c r="AK63" s="10"/>
      <c r="AL63" s="10" t="n">
        <v>0</v>
      </c>
      <c r="AM63" s="10" t="n">
        <v>356140979.125</v>
      </c>
      <c r="AN63" s="10" t="n">
        <v>179081185.399969</v>
      </c>
      <c r="AO63" s="10"/>
    </row>
    <row r="64">
      <c r="A64" t="str">
        <f>O64</f>
      </c>
      <c r="B64" t="str">
        <f>P64</f>
      </c>
      <c r="C64" s="10" t="str">
        <f>AF64</f>
      </c>
      <c r="D64" s="10" t="str">
        <f>AL64</f>
      </c>
      <c r="E64" s="10" t="str">
        <f>AM64</f>
      </c>
      <c r="F64" s="10" t="str">
        <f>AN64</f>
      </c>
      <c r="G64" s="6" t="str">
        <f>AM64/AL64-1</f>
      </c>
      <c r="H64" s="6" t="str">
        <f>AM64/AF64-1</f>
      </c>
      <c r="I64" s="6" t="str">
        <f>AN64/AM64</f>
      </c>
      <c r="J64" s="6" t="str">
        <f>AM64/Sum(AM$1:AM$67)</f>
      </c>
      <c r="K64" s="6" t="str">
        <f>AN64/Sum(AN1:AN$67)</f>
      </c>
      <c r="O64" t="s">
        <v>149</v>
      </c>
      <c r="P64" t="n">
        <v>152</v>
      </c>
      <c r="Q64" s="10" t="n">
        <v>20938278.0295597</v>
      </c>
      <c r="R64" s="10" t="n">
        <v>28168444.5486056</v>
      </c>
      <c r="S64" s="10" t="n">
        <v>21931076.7763374</v>
      </c>
      <c r="T64" s="10" t="n">
        <v>17591931.8562902</v>
      </c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</row>
    <row r="65">
      <c r="A65" t="str">
        <f>O65</f>
      </c>
      <c r="B65" t="str">
        <f>P65</f>
      </c>
      <c r="C65" s="10" t="str">
        <f>AF65</f>
      </c>
      <c r="D65" s="10" t="str">
        <f>AL65</f>
      </c>
      <c r="E65" s="10" t="str">
        <f>AM65</f>
      </c>
      <c r="F65" s="10" t="str">
        <f>AN65</f>
      </c>
      <c r="G65" s="6" t="str">
        <f>AM65/AL65-1</f>
      </c>
      <c r="H65" s="6" t="str">
        <f>AM65/AF65-1</f>
      </c>
      <c r="I65" s="6" t="str">
        <f>AN65/AM65</f>
      </c>
      <c r="J65" s="6" t="str">
        <f>AM65/Sum(AM$1:AM$67)</f>
      </c>
      <c r="K65" s="6" t="str">
        <f>AN65/Sum(AN1:AN$67)</f>
      </c>
      <c r="O65" t="s">
        <v>150</v>
      </c>
      <c r="P65" t="n">
        <v>1830</v>
      </c>
      <c r="Q65" s="10"/>
      <c r="R65" s="10"/>
      <c r="S65" s="10"/>
      <c r="T65" s="10"/>
      <c r="U65" s="10"/>
      <c r="V65" s="10" t="n">
        <v>121412.804440268</v>
      </c>
      <c r="W65" s="10"/>
      <c r="X65" s="10"/>
      <c r="Y65" s="10" t="n">
        <v>4282243.84961219</v>
      </c>
      <c r="Z65" s="10" t="n">
        <v>36347511.8469377</v>
      </c>
      <c r="AA65" s="10" t="n">
        <v>66159775.1433639</v>
      </c>
      <c r="AB65" s="10" t="n">
        <v>91593642.502563</v>
      </c>
      <c r="AC65" s="10" t="n">
        <v>54074562.4740971</v>
      </c>
      <c r="AD65" s="10" t="n">
        <v>433463.203896466</v>
      </c>
      <c r="AE65" s="10" t="n">
        <v>-5332828.48910266</v>
      </c>
      <c r="AF65" s="10" t="n">
        <v>-607581.527074847</v>
      </c>
      <c r="AG65" s="10" t="n">
        <v>-952452.244312898</v>
      </c>
      <c r="AH65" s="10" t="n">
        <v>-2518938.91330523</v>
      </c>
      <c r="AI65" s="10"/>
      <c r="AJ65" s="10"/>
      <c r="AK65" s="10"/>
      <c r="AL65" s="10"/>
      <c r="AM65" s="10"/>
      <c r="AN65" s="10"/>
      <c r="AO65" s="10"/>
    </row>
    <row r="66">
      <c r="A66" t="str">
        <f>O66</f>
      </c>
      <c r="B66" t="str">
        <f>P66</f>
      </c>
      <c r="C66" s="10" t="str">
        <f>AF66</f>
      </c>
      <c r="D66" s="10" t="str">
        <f>AL66</f>
      </c>
      <c r="E66" s="10" t="str">
        <f>AM66</f>
      </c>
      <c r="F66" s="10" t="str">
        <f>AN66</f>
      </c>
      <c r="G66" s="6" t="str">
        <f>AM66/AL66-1</f>
      </c>
      <c r="H66" s="6" t="str">
        <f>AM66/AF66-1</f>
      </c>
      <c r="I66" s="6" t="str">
        <f>AN66/AM66</f>
      </c>
      <c r="J66" s="6" t="str">
        <f>AM66/Sum(AM$1:AM$67)</f>
      </c>
      <c r="K66" s="6" t="str">
        <f>AN66/Sum(AN1:AN$67)</f>
      </c>
      <c r="O66" t="s">
        <v>81</v>
      </c>
      <c r="P66" t="n">
        <v>1922</v>
      </c>
      <c r="Q66" s="10" t="n">
        <v>690552658.363074</v>
      </c>
      <c r="R66" s="10" t="n">
        <v>895241702.372441</v>
      </c>
      <c r="S66" s="10" t="n">
        <v>1197160979.0429</v>
      </c>
      <c r="T66" s="10" t="n">
        <v>1119858397.2617</v>
      </c>
      <c r="U66" s="10" t="n">
        <v>909958821.366004</v>
      </c>
      <c r="V66" s="10" t="n">
        <v>921066396.028761</v>
      </c>
      <c r="W66" s="10" t="n">
        <v>1106237781.8312</v>
      </c>
      <c r="X66" s="10" t="n">
        <v>789982214.340274</v>
      </c>
      <c r="Y66" s="10" t="n">
        <v>538016246.798891</v>
      </c>
      <c r="Z66" s="10" t="n">
        <v>549955525.121219</v>
      </c>
      <c r="AA66" s="10" t="n">
        <v>375738228.178271</v>
      </c>
      <c r="AB66" s="10" t="n">
        <v>188989674.478016</v>
      </c>
      <c r="AC66" s="10" t="n">
        <v>68741460.0098279</v>
      </c>
      <c r="AD66" s="10" t="n">
        <v>33605565.4797484</v>
      </c>
      <c r="AE66" s="10" t="n">
        <v>-8171821.99782364</v>
      </c>
      <c r="AF66" s="10" t="n">
        <v>-640784.556062817</v>
      </c>
      <c r="AG66" s="10" t="n">
        <v>-1263803.34243011</v>
      </c>
      <c r="AH66" s="10" t="n">
        <v>-1948451.63379081</v>
      </c>
      <c r="AI66" s="10" t="n">
        <v>-6847131.82897433</v>
      </c>
      <c r="AJ66" s="10" t="n">
        <v>-709718.839827428</v>
      </c>
      <c r="AK66" s="10" t="n">
        <v>-857659.119302521</v>
      </c>
      <c r="AL66" s="10"/>
      <c r="AM66" s="10"/>
      <c r="AN66" s="10"/>
      <c r="AO66" s="10"/>
    </row>
    <row r="67">
      <c r="A67" t="str">
        <f>O67</f>
      </c>
      <c r="B67" t="str">
        <f>P67</f>
      </c>
      <c r="C67" s="10" t="str">
        <f>AF67</f>
      </c>
      <c r="D67" s="10" t="str">
        <f>AL67</f>
      </c>
      <c r="E67" s="10" t="str">
        <f>AM67</f>
      </c>
      <c r="F67" s="10" t="str">
        <f>AN67</f>
      </c>
      <c r="G67" s="6" t="str">
        <f>AM67/AL67-1</f>
      </c>
      <c r="H67" s="6" t="str">
        <f>AM67/AF67-1</f>
      </c>
      <c r="I67" s="6" t="str">
        <f>AN67/AM67</f>
      </c>
      <c r="J67" s="6" t="str">
        <f>AM67/Sum(AM$1:AM$67)</f>
      </c>
      <c r="K67" s="6" t="str">
        <f>AN67/Sum(AN1:AN$67)</f>
      </c>
      <c r="O67"/>
      <c r="P67"/>
      <c r="Q67" s="10" t="n">
        <v>0</v>
      </c>
      <c r="R67" s="10" t="n">
        <v>71935167.6203862</v>
      </c>
      <c r="S67" s="10" t="n">
        <v>41397818.8380462</v>
      </c>
      <c r="T67" s="10" t="n">
        <v>75365670.3043614</v>
      </c>
      <c r="U67" s="10" t="n">
        <v>134418979.046251</v>
      </c>
      <c r="V67" s="10" t="n">
        <v>114331305.643785</v>
      </c>
      <c r="W67" s="10" t="n">
        <v>54419788.9200964</v>
      </c>
      <c r="X67" s="10" t="n">
        <v>79431788.5988949</v>
      </c>
      <c r="Y67" s="10" t="n">
        <v>592441278.85982</v>
      </c>
      <c r="Z67" s="10" t="n">
        <v>1045113613.00688</v>
      </c>
      <c r="AA67" s="10" t="n">
        <v>716806912.74655</v>
      </c>
      <c r="AB67" s="10" t="n">
        <v>533642922.747148</v>
      </c>
      <c r="AC67" s="10" t="n">
        <v>896771540.109896</v>
      </c>
      <c r="AD67" s="10" t="n">
        <v>98124542.3943036</v>
      </c>
      <c r="AE67" s="10" t="n">
        <v>92330371.1556243</v>
      </c>
      <c r="AF67" s="10" t="n">
        <v>73314687.7668141</v>
      </c>
      <c r="AG67" s="10" t="n">
        <v>58430351.0281265</v>
      </c>
      <c r="AH67" s="10" t="n">
        <v>41789722.3947888</v>
      </c>
      <c r="AI67" s="10" t="n">
        <v>156885957.941945</v>
      </c>
      <c r="AJ67" s="10" t="n">
        <v>230796747.946451</v>
      </c>
      <c r="AK67" s="10" t="n">
        <v>262964794.656281</v>
      </c>
      <c r="AL67" s="10" t="n">
        <v>802757744.323426</v>
      </c>
      <c r="AM67" s="10" t="n">
        <v>1504968056.2708</v>
      </c>
      <c r="AN67" s="10" t="n">
        <v>578759062.351869</v>
      </c>
      <c r="AO67" s="10"/>
    </row>
    <row r="68">
      <c r="A68" t="str">
        <f>O68</f>
      </c>
      <c r="B68" t="str">
        <f>P68</f>
      </c>
      <c r="C68" s="10" t="str">
        <f>AF68</f>
      </c>
      <c r="D68" s="10" t="str">
        <f>AL68</f>
      </c>
      <c r="E68" s="10" t="str">
        <f>AM68</f>
      </c>
      <c r="F68" s="10" t="str">
        <f>AN68</f>
      </c>
      <c r="G68" s="6" t="str">
        <f>AM68/AL68-1</f>
      </c>
      <c r="H68" s="6" t="str">
        <f>AM68/AF68-1</f>
      </c>
      <c r="I68" s="6" t="str">
        <f>AN68/AM68</f>
      </c>
      <c r="J68" s="6" t="str">
        <f>Sum(J$1:J$67)</f>
      </c>
      <c r="K68" s="6" t="str">
        <f>Sum(K$1:K$67)</f>
      </c>
      <c r="O68" t="s">
        <v>151</v>
      </c>
      <c r="P68" t="s">
        <v>152</v>
      </c>
      <c r="Q68" s="10" t="str">
        <f>Sum(Q2:Q67)</f>
      </c>
      <c r="R68" s="10" t="str">
        <f>Sum(R2:R67)</f>
      </c>
      <c r="S68" s="10" t="str">
        <f>Sum(S2:S67)</f>
      </c>
      <c r="T68" s="10" t="str">
        <f>Sum(T2:T67)</f>
      </c>
      <c r="U68" s="10" t="str">
        <f>Sum(U2:U67)</f>
      </c>
      <c r="V68" s="10" t="str">
        <f>Sum(V2:V67)</f>
      </c>
      <c r="W68" s="10" t="str">
        <f>Sum(W2:W67)</f>
      </c>
      <c r="X68" s="10" t="str">
        <f>Sum(X2:X67)</f>
      </c>
      <c r="Y68" s="10" t="str">
        <f>Sum(Y2:Y67)</f>
      </c>
      <c r="Z68" s="10" t="str">
        <f>Sum(Z2:Z67)</f>
      </c>
      <c r="AA68" s="10" t="str">
        <f>Sum(AA2:AA67)</f>
      </c>
      <c r="AB68" s="10" t="str">
        <f>Sum(AB2:AB67)</f>
      </c>
      <c r="AC68" s="10" t="str">
        <f>Sum(AC2:AC67)</f>
      </c>
      <c r="AD68" s="10" t="str">
        <f>Sum(AD2:AD67)</f>
      </c>
      <c r="AE68" s="10" t="str">
        <f>Sum(AE2:AE67)</f>
      </c>
      <c r="AF68" s="10" t="str">
        <f>Sum(AF2:AF67)</f>
      </c>
      <c r="AG68" s="10" t="str">
        <f>Sum(AG2:AG67)</f>
      </c>
      <c r="AH68" s="10" t="str">
        <f>Sum(AH2:AH67)</f>
      </c>
      <c r="AI68" s="10" t="str">
        <f>Sum(AI2:AI67)</f>
      </c>
      <c r="AJ68" s="10" t="str">
        <f>Sum(AJ2:AJ67)</f>
      </c>
      <c r="AK68" s="10" t="str">
        <f>Sum(AK2:AK67)</f>
      </c>
      <c r="AL68" s="10" t="str">
        <f>Sum(AL2:AL67)</f>
      </c>
      <c r="AM68" s="10" t="str">
        <f>Sum(AM2:AM67)</f>
      </c>
      <c r="AN68" s="10"/>
      <c r="AO68" s="10"/>
    </row>
    <row r="69">
      <c r="P69" t="str">
        <f>Sum(A2:A67)</f>
      </c>
    </row>
    <row r="70">
      <c r="P70" t="str">
        <f>Sum(B2:B67)</f>
      </c>
    </row>
    <row r="71">
      <c r="P71" t="str">
        <f>Sum(C2:C67)</f>
      </c>
    </row>
    <row r="72">
      <c r="P72" t="str">
        <f>Sum(D2:D67)</f>
      </c>
    </row>
    <row r="73">
      <c r="P73" t="str">
        <f>Sum(E2:E67)</f>
      </c>
    </row>
    <row r="74">
      <c r="P74" t="str">
        <f>Sum(F2:F67)</f>
      </c>
    </row>
    <row r="75">
      <c r="P75" t="str">
        <f>Sum(G2:G67)</f>
      </c>
    </row>
    <row r="76">
      <c r="P76" t="str">
        <f>Sum(H2:H67)</f>
      </c>
    </row>
    <row r="77">
      <c r="P77" t="str">
        <f>Sum(I2:I67)</f>
      </c>
    </row>
    <row r="78">
      <c r="P78" t="str">
        <f>Sum(J2:J67)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153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</row>
    <row r="2">
      <c r="A2" t="str">
        <f>K2</f>
      </c>
      <c r="K2" t="s">
        <v>154</v>
      </c>
      <c r="L2" s="11" t="n">
        <v>1432975000</v>
      </c>
      <c r="M2" s="11" t="n">
        <v>2873347000</v>
      </c>
      <c r="N2" s="11" t="n">
        <v>1681217544</v>
      </c>
      <c r="O2" s="11" t="n">
        <v>2589136106</v>
      </c>
      <c r="P2" s="11" t="n">
        <v>2314521002</v>
      </c>
      <c r="Q2" s="11" t="n">
        <v>1705078056</v>
      </c>
      <c r="R2" s="11" t="n">
        <v>1909163887</v>
      </c>
      <c r="S2" s="11" t="n">
        <v>2762269589</v>
      </c>
      <c r="T2" s="11" t="n">
        <v>2240706687</v>
      </c>
      <c r="U2" s="11" t="n">
        <v>2417392837</v>
      </c>
      <c r="V2" s="11" t="n">
        <v>1956089394</v>
      </c>
      <c r="W2" s="11" t="n">
        <v>2333167521</v>
      </c>
      <c r="X2" s="11" t="n">
        <v>3686493905</v>
      </c>
      <c r="Y2" s="11" t="n">
        <v>3859708035.5938</v>
      </c>
      <c r="Z2" s="11" t="n">
        <v>4701775050.5</v>
      </c>
      <c r="AA2" s="11" t="n">
        <v>4989676208.4375</v>
      </c>
      <c r="AB2" s="11" t="n">
        <v>5349510640.2774</v>
      </c>
      <c r="AC2" s="11" t="n">
        <v>6454278531.9266</v>
      </c>
      <c r="AD2" s="11" t="n">
        <v>6842656824.9687</v>
      </c>
      <c r="AE2" s="11" t="n">
        <v>8782040594.9943</v>
      </c>
      <c r="AF2" s="11" t="n">
        <v>9044332642.7514</v>
      </c>
      <c r="AG2" s="11" t="n">
        <v>9518788736.0017</v>
      </c>
      <c r="AH2" s="11" t="n">
        <v>9753797077.6346</v>
      </c>
      <c r="AI2" s="11" t="n">
        <v>9435215707.1776</v>
      </c>
      <c r="AJ2" s="11" t="n">
        <v>6915351196.4803</v>
      </c>
      <c r="AK2" s="11" t="n">
        <v>7753678427.5827</v>
      </c>
      <c r="AL2" s="11" t="n">
        <v>8246446764.1197</v>
      </c>
      <c r="AM2" s="11" t="n">
        <v>6744481998.578</v>
      </c>
      <c r="AN2" s="11" t="n">
        <v>11226960692.4651</v>
      </c>
      <c r="AO2" s="11" t="n">
        <v>12636733508.8779</v>
      </c>
      <c r="AP2" s="11" t="n">
        <v>17092189454.2241</v>
      </c>
      <c r="AQ2" s="11" t="n">
        <v>9822494446.2365</v>
      </c>
      <c r="AR2" s="11" t="n">
        <v>11464418960.5359</v>
      </c>
      <c r="AS2" s="11" t="n">
        <v>5108059191.9642</v>
      </c>
      <c r="AT2" s="11"/>
      <c r="AU2" s="11"/>
    </row>
    <row r="3">
      <c r="A3" t="str">
        <f>K3</f>
      </c>
      <c r="K3" t="s">
        <v>155</v>
      </c>
      <c r="L3" s="11" t="n">
        <v>1017171000</v>
      </c>
      <c r="M3" s="11" t="n">
        <v>1181414006</v>
      </c>
      <c r="N3" s="11" t="n">
        <v>1039353460</v>
      </c>
      <c r="O3" s="11" t="n">
        <v>1248675104</v>
      </c>
      <c r="P3" s="11" t="n">
        <v>892313975</v>
      </c>
      <c r="Q3" s="11" t="n">
        <v>961250693</v>
      </c>
      <c r="R3" s="11" t="n">
        <v>945542939</v>
      </c>
      <c r="S3" s="11" t="n">
        <v>624096603</v>
      </c>
      <c r="T3" s="11" t="n">
        <v>701362390</v>
      </c>
      <c r="U3" s="11" t="n">
        <v>642641793</v>
      </c>
      <c r="V3" s="11" t="n">
        <v>542180671</v>
      </c>
      <c r="W3" s="11" t="n">
        <v>475271278</v>
      </c>
      <c r="X3" s="11" t="n">
        <v>474854089.625</v>
      </c>
      <c r="Y3" s="11" t="n">
        <v>474248296.5</v>
      </c>
      <c r="Z3" s="11" t="n">
        <v>509169915.8438</v>
      </c>
      <c r="AA3" s="11" t="n">
        <v>658697179</v>
      </c>
      <c r="AB3" s="11" t="n">
        <v>606685920.5938</v>
      </c>
      <c r="AC3" s="11" t="n">
        <v>849038487.1386</v>
      </c>
      <c r="AD3" s="11" t="n">
        <v>630781331.9479</v>
      </c>
      <c r="AE3" s="11" t="n">
        <v>551301821.6089</v>
      </c>
      <c r="AF3" s="11" t="n">
        <v>460507744.1652</v>
      </c>
      <c r="AG3" s="11" t="n">
        <v>376206571.7946</v>
      </c>
      <c r="AH3" s="11" t="n">
        <v>372595687.0724</v>
      </c>
      <c r="AI3" s="11" t="n">
        <v>405092566.7254</v>
      </c>
      <c r="AJ3" s="11" t="n">
        <v>447099360.8152</v>
      </c>
      <c r="AK3" s="11" t="n">
        <v>675576535.9282</v>
      </c>
      <c r="AL3" s="11" t="n">
        <v>678267402.8444</v>
      </c>
      <c r="AM3" s="11" t="n">
        <v>697770536.0834</v>
      </c>
      <c r="AN3" s="11" t="n">
        <v>972267599.7899</v>
      </c>
      <c r="AO3" s="11" t="n">
        <v>754993809.4825</v>
      </c>
      <c r="AP3" s="11" t="n">
        <v>782798380.7414</v>
      </c>
      <c r="AQ3" s="11" t="n">
        <v>815172703.9814</v>
      </c>
      <c r="AR3" s="11" t="n">
        <v>591918045.894</v>
      </c>
      <c r="AS3" s="11" t="n">
        <v>346460056.5721</v>
      </c>
      <c r="AT3" s="11"/>
      <c r="AU3" s="11"/>
    </row>
    <row r="4">
      <c r="A4" t="str">
        <f>K4</f>
      </c>
      <c r="K4" t="s">
        <v>156</v>
      </c>
      <c r="L4" s="11" t="n">
        <v>430527000</v>
      </c>
      <c r="M4" s="11" t="n">
        <v>816080176</v>
      </c>
      <c r="N4" s="11" t="n">
        <v>733016996</v>
      </c>
      <c r="O4" s="11" t="n">
        <v>622544824</v>
      </c>
      <c r="P4" s="11" t="n">
        <v>666168878</v>
      </c>
      <c r="Q4" s="11" t="n">
        <v>401957849</v>
      </c>
      <c r="R4" s="11" t="n">
        <v>458796338</v>
      </c>
      <c r="S4" s="11" t="n">
        <v>290295638</v>
      </c>
      <c r="T4" s="11" t="n">
        <v>295672531</v>
      </c>
      <c r="U4" s="11" t="n">
        <v>308132629</v>
      </c>
      <c r="V4" s="11" t="n">
        <v>197472848</v>
      </c>
      <c r="W4" s="11" t="n">
        <v>270730505</v>
      </c>
      <c r="X4" s="11" t="n">
        <v>258688587</v>
      </c>
      <c r="Y4" s="11" t="n">
        <v>341207098</v>
      </c>
      <c r="Z4" s="11" t="n">
        <v>356662742.1875</v>
      </c>
      <c r="AA4" s="11" t="n">
        <v>412487724</v>
      </c>
      <c r="AB4" s="11" t="n">
        <v>346680124.035</v>
      </c>
      <c r="AC4" s="11" t="n">
        <v>492563818.5525</v>
      </c>
      <c r="AD4" s="11" t="n">
        <v>683005871.9599</v>
      </c>
      <c r="AE4" s="11" t="n">
        <v>529951233.7209</v>
      </c>
      <c r="AF4" s="11" t="n">
        <v>439864141.9574</v>
      </c>
      <c r="AG4" s="11" t="n">
        <v>417438319.6548</v>
      </c>
      <c r="AH4" s="11" t="n">
        <v>505260857.5506</v>
      </c>
      <c r="AI4" s="11" t="n">
        <v>485897392.8519</v>
      </c>
      <c r="AJ4" s="11" t="n">
        <v>633466998.5488</v>
      </c>
      <c r="AK4" s="11" t="n">
        <v>433630077.6578</v>
      </c>
      <c r="AL4" s="11" t="n">
        <v>485988121.3176</v>
      </c>
      <c r="AM4" s="11" t="n">
        <v>475591623.1785</v>
      </c>
      <c r="AN4" s="11" t="n">
        <v>589542434.2768</v>
      </c>
      <c r="AO4" s="11" t="n">
        <v>633531583.9358</v>
      </c>
      <c r="AP4" s="11" t="n">
        <v>640836882.0949</v>
      </c>
      <c r="AQ4" s="11" t="n">
        <v>590682027.3981</v>
      </c>
      <c r="AR4" s="11" t="n">
        <v>866488253.1489</v>
      </c>
      <c r="AS4" s="11" t="n">
        <v>514049584.9121</v>
      </c>
      <c r="AT4" s="11"/>
      <c r="AU4" s="11"/>
    </row>
    <row r="5">
      <c r="A5" t="str">
        <f>K5</f>
      </c>
      <c r="K5" t="s">
        <v>157</v>
      </c>
      <c r="L5" s="11" t="n">
        <v>135475000</v>
      </c>
      <c r="M5" s="11" t="n">
        <v>320155321</v>
      </c>
      <c r="N5" s="11" t="n">
        <v>452878678</v>
      </c>
      <c r="O5" s="11" t="n">
        <v>495842653</v>
      </c>
      <c r="P5" s="11" t="n">
        <v>390585414</v>
      </c>
      <c r="Q5" s="11" t="n">
        <v>407748411</v>
      </c>
      <c r="R5" s="11" t="n">
        <v>386123487</v>
      </c>
      <c r="S5" s="11" t="n">
        <v>335372176</v>
      </c>
      <c r="T5" s="11" t="n">
        <v>362426141</v>
      </c>
      <c r="U5" s="11" t="n">
        <v>297296805</v>
      </c>
      <c r="V5" s="11" t="n">
        <v>305296204</v>
      </c>
      <c r="W5" s="11" t="n">
        <v>285090413</v>
      </c>
      <c r="X5" s="11" t="n">
        <v>306554363.2031</v>
      </c>
      <c r="Y5" s="11" t="n">
        <v>361268694</v>
      </c>
      <c r="Z5" s="11" t="n">
        <v>425017740.0547</v>
      </c>
      <c r="AA5" s="11" t="n">
        <v>431828609.7188</v>
      </c>
      <c r="AB5" s="11" t="n">
        <v>459227409.8526</v>
      </c>
      <c r="AC5" s="11" t="n">
        <v>512336926.6142</v>
      </c>
      <c r="AD5" s="11" t="n">
        <v>605296907.0273</v>
      </c>
      <c r="AE5" s="11" t="n">
        <v>636376103.4555</v>
      </c>
      <c r="AF5" s="11" t="n">
        <v>597952227.7745</v>
      </c>
      <c r="AG5" s="11" t="n">
        <v>597897248.1941</v>
      </c>
      <c r="AH5" s="11" t="n">
        <v>575767776.7386</v>
      </c>
      <c r="AI5" s="11" t="n">
        <v>480865479.6875</v>
      </c>
      <c r="AJ5" s="11" t="n">
        <v>520540181.5498</v>
      </c>
      <c r="AK5" s="11" t="n">
        <v>516501410.4043</v>
      </c>
      <c r="AL5" s="11" t="n">
        <v>575139369.8185</v>
      </c>
      <c r="AM5" s="11" t="n">
        <v>715365976.4962</v>
      </c>
      <c r="AN5" s="11" t="n">
        <v>638272946.3497</v>
      </c>
      <c r="AO5" s="11" t="n">
        <v>803722956.7674</v>
      </c>
      <c r="AP5" s="11" t="n">
        <v>853150855.1613</v>
      </c>
      <c r="AQ5" s="11" t="n">
        <v>869191227.2421</v>
      </c>
      <c r="AR5" s="11" t="n">
        <v>894465270.1275</v>
      </c>
      <c r="AS5" s="11" t="n">
        <v>442196887.3717</v>
      </c>
      <c r="AT5" s="11"/>
      <c r="AU5" s="11"/>
    </row>
    <row r="6">
      <c r="A6" t="str">
        <f>K6</f>
      </c>
      <c r="K6" t="s">
        <v>158</v>
      </c>
      <c r="L6" s="11" t="n">
        <v>19186000</v>
      </c>
      <c r="M6" s="11" t="n">
        <v>15018780</v>
      </c>
      <c r="N6" s="11" t="n">
        <v>12087914</v>
      </c>
      <c r="O6" s="11" t="n">
        <v>35220024</v>
      </c>
      <c r="P6" s="11" t="n">
        <v>25704388</v>
      </c>
      <c r="Q6" s="11" t="n">
        <v>10321398</v>
      </c>
      <c r="R6" s="11" t="n">
        <v>15998245</v>
      </c>
      <c r="S6" s="11" t="n">
        <v>426455</v>
      </c>
      <c r="T6" s="11" t="n">
        <v>2535454</v>
      </c>
      <c r="U6" s="11" t="n">
        <v>78887</v>
      </c>
      <c r="V6" s="11"/>
      <c r="W6" s="11" t="n">
        <v>31799.3999</v>
      </c>
      <c r="X6" s="11"/>
      <c r="Y6" s="11"/>
      <c r="Z6" s="11"/>
      <c r="AA6" s="11" t="n">
        <v>17973</v>
      </c>
      <c r="AB6" s="11" t="n">
        <v>1123841.5699</v>
      </c>
      <c r="AC6" s="11"/>
      <c r="AD6" s="11"/>
      <c r="AE6" s="11"/>
      <c r="AF6" s="11"/>
      <c r="AG6" s="11"/>
      <c r="AH6" s="11"/>
      <c r="AI6" s="11" t="n">
        <v>866040</v>
      </c>
      <c r="AJ6" s="11" t="n">
        <v>0</v>
      </c>
      <c r="AK6" s="11" t="n">
        <v>0</v>
      </c>
      <c r="AL6" s="11"/>
      <c r="AM6" s="11"/>
      <c r="AN6" s="11"/>
      <c r="AO6" s="11" t="n">
        <v>98917.8603</v>
      </c>
      <c r="AP6" s="11" t="n">
        <v>77045.2216</v>
      </c>
      <c r="AQ6" s="11"/>
      <c r="AR6" s="11"/>
      <c r="AS6" s="11"/>
      <c r="AT6" s="11"/>
      <c r="AU6" s="11"/>
    </row>
    <row r="7">
      <c r="A7" t="str">
        <f>K7</f>
      </c>
      <c r="K7" t="s">
        <v>151</v>
      </c>
      <c r="L7" s="11" t="str">
        <f>Sum(L2:L6)</f>
      </c>
      <c r="M7" s="11" t="str">
        <f>Sum(M2:M6)</f>
      </c>
      <c r="N7" s="11" t="str">
        <f>Sum(N2:N6)</f>
      </c>
      <c r="O7" s="11" t="str">
        <f>Sum(O2:O6)</f>
      </c>
      <c r="P7" s="11" t="str">
        <f>Sum(P2:P6)</f>
      </c>
      <c r="Q7" s="11" t="str">
        <f>Sum(Q2:Q6)</f>
      </c>
      <c r="R7" s="11" t="str">
        <f>Sum(R2:R6)</f>
      </c>
      <c r="S7" s="11" t="str">
        <f>Sum(S2:S6)</f>
      </c>
      <c r="T7" s="11" t="str">
        <f>Sum(T2:T6)</f>
      </c>
      <c r="U7" s="11" t="str">
        <f>Sum(U2:U6)</f>
      </c>
      <c r="V7" s="11" t="str">
        <f>Sum(V2:V6)</f>
      </c>
      <c r="W7" s="11" t="str">
        <f>Sum(W2:W6)</f>
      </c>
      <c r="X7" s="11" t="str">
        <f>Sum(X2:X6)</f>
      </c>
      <c r="Y7" s="11" t="str">
        <f>Sum(Y2:Y6)</f>
      </c>
      <c r="Z7" s="11" t="str">
        <f>Sum(Z2:Z6)</f>
      </c>
      <c r="AA7" s="11" t="str">
        <f>Sum(AA2:AA6)</f>
      </c>
      <c r="AB7" s="11" t="str">
        <f>Sum(AB2:AB6)</f>
      </c>
      <c r="AC7" s="11" t="str">
        <f>Sum(AC2:AC6)</f>
      </c>
      <c r="AD7" s="11" t="str">
        <f>Sum(AD2:AD6)</f>
      </c>
      <c r="AE7" s="11" t="str">
        <f>Sum(AE2:AE6)</f>
      </c>
      <c r="AF7" s="11" t="str">
        <f>Sum(AF2:AF6)</f>
      </c>
      <c r="AG7" s="11" t="str">
        <f>Sum(AG2:AG6)</f>
      </c>
      <c r="AH7" s="11" t="str">
        <f>Sum(AH2:AH6)</f>
      </c>
      <c r="AI7" s="11" t="str">
        <f>Sum(AI2:AI6)</f>
      </c>
      <c r="AJ7" s="11" t="str">
        <f>Sum(AJ2:AJ6)</f>
      </c>
      <c r="AK7" s="11" t="str">
        <f>Sum(AK2:AK6)</f>
      </c>
      <c r="AL7" s="11" t="str">
        <f>Sum(AL2:AL6)</f>
      </c>
      <c r="AM7" s="11" t="str">
        <f>Sum(AM2:AM6)</f>
      </c>
      <c r="AN7" s="11" t="str">
        <f>Sum(AN2:AN6)</f>
      </c>
      <c r="AO7" s="11" t="str">
        <f>Sum(AO2:AO6)</f>
      </c>
      <c r="AP7" s="11" t="str">
        <f>Sum(AP2:AP6)</f>
      </c>
      <c r="AQ7" s="11" t="str">
        <f>Sum(AQ2:AQ6)</f>
      </c>
      <c r="AR7" s="11" t="str">
        <f>Sum(AR2:AR6)</f>
      </c>
      <c r="AS7" s="11" t="str">
        <f>Sum(AS2:AS6)</f>
      </c>
      <c r="AT7" s="11"/>
      <c r="AU7" s="11"/>
    </row>
    <row r="10">
      <c r="A10" t="str">
        <f>K10</f>
      </c>
      <c r="K10" t="s">
        <v>153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  <c r="AI10" t="s">
        <v>24</v>
      </c>
      <c r="AJ10" t="s">
        <v>25</v>
      </c>
      <c r="AK10" t="s">
        <v>26</v>
      </c>
      <c r="AL10" t="s">
        <v>27</v>
      </c>
      <c r="AM10" t="s">
        <v>28</v>
      </c>
      <c r="AN10" t="s">
        <v>29</v>
      </c>
      <c r="AO10" t="s">
        <v>30</v>
      </c>
      <c r="AP10" t="s">
        <v>31</v>
      </c>
      <c r="AQ10" t="s">
        <v>32</v>
      </c>
      <c r="AR10" t="s">
        <v>33</v>
      </c>
      <c r="AS10" t="s">
        <v>34</v>
      </c>
    </row>
    <row r="11">
      <c r="A11" t="str">
        <f>K11</f>
      </c>
      <c r="K11" t="s">
        <v>154</v>
      </c>
      <c r="L11" s="11" t="n">
        <v>2848083046.57377</v>
      </c>
      <c r="M11" s="11" t="n">
        <v>5514181469.17173</v>
      </c>
      <c r="N11" s="11" t="n">
        <v>3147721158.47736</v>
      </c>
      <c r="O11" s="11" t="n">
        <v>4736343841.81866</v>
      </c>
      <c r="P11" s="11" t="n">
        <v>4143696753.59944</v>
      </c>
      <c r="Q11" s="11" t="n">
        <v>2989286921.19106</v>
      </c>
      <c r="R11" s="11" t="n">
        <v>3285337638.8338</v>
      </c>
      <c r="S11" s="11" t="n">
        <v>4670416342.31618</v>
      </c>
      <c r="T11" s="11" t="n">
        <v>3741840512.52231</v>
      </c>
      <c r="U11" s="11" t="n">
        <v>3987194238.49616</v>
      </c>
      <c r="V11" s="11" t="n">
        <v>3160512413.92057</v>
      </c>
      <c r="W11" s="11" t="n">
        <v>3680518427.70304</v>
      </c>
      <c r="X11" s="11" t="n">
        <v>5724999105.3752</v>
      </c>
      <c r="Y11" s="11" t="n">
        <v>5881571069.14686</v>
      </c>
      <c r="Z11" s="11" t="n">
        <v>6993793195.74893</v>
      </c>
      <c r="AA11" s="11" t="n">
        <v>7203369540.37743</v>
      </c>
      <c r="AB11" s="11" t="n">
        <v>7479336900.01347</v>
      </c>
      <c r="AC11" s="11" t="n">
        <v>8783091587.00644</v>
      </c>
      <c r="AD11" s="11" t="n">
        <v>9121369467.68605</v>
      </c>
      <c r="AE11" s="11" t="n">
        <v>11588833415.1526</v>
      </c>
      <c r="AF11" s="11" t="n">
        <v>11832046636.7579</v>
      </c>
      <c r="AG11" s="11" t="n">
        <v>12206731822.5687</v>
      </c>
      <c r="AH11" s="11" t="n">
        <v>12282956657.5217</v>
      </c>
      <c r="AI11" s="11" t="n">
        <v>11668238372.5489</v>
      </c>
      <c r="AJ11" s="11" t="n">
        <v>8389693413.80677</v>
      </c>
      <c r="AK11" s="11" t="n">
        <v>9300130725.85047</v>
      </c>
      <c r="AL11" s="11" t="n">
        <v>9809890814.05018</v>
      </c>
      <c r="AM11" s="11" t="n">
        <v>7882437294.70561</v>
      </c>
      <c r="AN11" s="11" t="n">
        <v>12820195501.0552</v>
      </c>
      <c r="AO11" s="11" t="n">
        <v>14152826850.3299</v>
      </c>
      <c r="AP11" s="11" t="n">
        <v>18890814631.7805</v>
      </c>
      <c r="AQ11" s="11" t="n">
        <v>10503071462.5735</v>
      </c>
      <c r="AR11" s="11" t="n">
        <v>11464418960.5359</v>
      </c>
      <c r="AS11" s="11" t="n">
        <v>4872058579.35514</v>
      </c>
      <c r="AT11" s="11"/>
      <c r="AU11" s="11"/>
    </row>
    <row r="12">
      <c r="A12" t="str">
        <f>K12</f>
      </c>
      <c r="K12" t="s">
        <v>155</v>
      </c>
      <c r="L12" s="11" t="n">
        <v>2021659471.07695</v>
      </c>
      <c r="M12" s="11" t="n">
        <v>2267227459.58116</v>
      </c>
      <c r="N12" s="11" t="n">
        <v>1945967604.76029</v>
      </c>
      <c r="O12" s="11" t="n">
        <v>2284219290.58011</v>
      </c>
      <c r="P12" s="11" t="n">
        <v>1597513489.05622</v>
      </c>
      <c r="Q12" s="11" t="n">
        <v>1685233185.92914</v>
      </c>
      <c r="R12" s="11" t="n">
        <v>1627114271.21722</v>
      </c>
      <c r="S12" s="11" t="n">
        <v>1055215966.40769</v>
      </c>
      <c r="T12" s="11" t="n">
        <v>1171231478.03659</v>
      </c>
      <c r="U12" s="11" t="n">
        <v>1059959149.06669</v>
      </c>
      <c r="V12" s="11" t="n">
        <v>876017602.538713</v>
      </c>
      <c r="W12" s="11" t="n">
        <v>749729576.248878</v>
      </c>
      <c r="X12" s="11" t="n">
        <v>737432180.370547</v>
      </c>
      <c r="Y12" s="11" t="n">
        <v>722677734.834794</v>
      </c>
      <c r="Z12" s="11" t="n">
        <v>757379724.606292</v>
      </c>
      <c r="AA12" s="11" t="n">
        <v>950931282.378134</v>
      </c>
      <c r="AB12" s="11" t="n">
        <v>848228688.144184</v>
      </c>
      <c r="AC12" s="11" t="n">
        <v>1155385959.33599</v>
      </c>
      <c r="AD12" s="11" t="n">
        <v>840841463.950259</v>
      </c>
      <c r="AE12" s="11" t="n">
        <v>727501188.702928</v>
      </c>
      <c r="AF12" s="11" t="n">
        <v>602448994.389622</v>
      </c>
      <c r="AG12" s="11" t="n">
        <v>482440871.328085</v>
      </c>
      <c r="AH12" s="11" t="n">
        <v>469209748.640748</v>
      </c>
      <c r="AI12" s="11" t="n">
        <v>500965402.190424</v>
      </c>
      <c r="AJ12" s="11" t="n">
        <v>542420255.482853</v>
      </c>
      <c r="AK12" s="11" t="n">
        <v>810318632.392427</v>
      </c>
      <c r="AL12" s="11" t="n">
        <v>806860136.851103</v>
      </c>
      <c r="AM12" s="11" t="n">
        <v>815501101.186149</v>
      </c>
      <c r="AN12" s="11" t="n">
        <v>1110243551.22342</v>
      </c>
      <c r="AO12" s="11" t="n">
        <v>845574265.783945</v>
      </c>
      <c r="AP12" s="11" t="n">
        <v>865172899.25014</v>
      </c>
      <c r="AQ12" s="11" t="n">
        <v>871654060.088206</v>
      </c>
      <c r="AR12" s="11" t="n">
        <v>591918045.894</v>
      </c>
      <c r="AS12" s="11" t="n">
        <v>330453040.497538</v>
      </c>
      <c r="AT12" s="11"/>
      <c r="AU12" s="11"/>
    </row>
    <row r="13">
      <c r="A13" t="str">
        <f>K13</f>
      </c>
      <c r="K13" t="s">
        <v>156</v>
      </c>
      <c r="L13" s="11" t="n">
        <v>855686002.751105</v>
      </c>
      <c r="M13" s="11" t="n">
        <v>1566122777.3247</v>
      </c>
      <c r="N13" s="11" t="n">
        <v>1372417933.69765</v>
      </c>
      <c r="O13" s="11" t="n">
        <v>1138830182.22777</v>
      </c>
      <c r="P13" s="11" t="n">
        <v>1192644964.00434</v>
      </c>
      <c r="Q13" s="11" t="n">
        <v>704699316.642775</v>
      </c>
      <c r="R13" s="11" t="n">
        <v>789508374.872437</v>
      </c>
      <c r="S13" s="11" t="n">
        <v>490828808.751115</v>
      </c>
      <c r="T13" s="11" t="n">
        <v>493754698.620136</v>
      </c>
      <c r="U13" s="11" t="n">
        <v>508227138.02948</v>
      </c>
      <c r="V13" s="11" t="n">
        <v>319062814.5271</v>
      </c>
      <c r="W13" s="11" t="n">
        <v>427071182.684208</v>
      </c>
      <c r="X13" s="11" t="n">
        <v>401734538.917073</v>
      </c>
      <c r="Y13" s="11" t="n">
        <v>519944456.336479</v>
      </c>
      <c r="Z13" s="11" t="n">
        <v>530528456.316265</v>
      </c>
      <c r="AA13" s="11" t="n">
        <v>595489843.973596</v>
      </c>
      <c r="AB13" s="11" t="n">
        <v>484705540.105584</v>
      </c>
      <c r="AC13" s="11" t="n">
        <v>670289190.246776</v>
      </c>
      <c r="AD13" s="11" t="n">
        <v>910457599.453531</v>
      </c>
      <c r="AE13" s="11" t="n">
        <v>699326824.934826</v>
      </c>
      <c r="AF13" s="11" t="n">
        <v>575442461.821503</v>
      </c>
      <c r="AG13" s="11" t="n">
        <v>535315759.369422</v>
      </c>
      <c r="AH13" s="11" t="n">
        <v>636274997.792069</v>
      </c>
      <c r="AI13" s="11" t="n">
        <v>600894222.278673</v>
      </c>
      <c r="AJ13" s="11" t="n">
        <v>768521186.3562</v>
      </c>
      <c r="AK13" s="11" t="n">
        <v>520116541.657443</v>
      </c>
      <c r="AL13" s="11" t="n">
        <v>578126621.491621</v>
      </c>
      <c r="AM13" s="11" t="n">
        <v>555835295.932613</v>
      </c>
      <c r="AN13" s="11" t="n">
        <v>673205284.193173</v>
      </c>
      <c r="AO13" s="11" t="n">
        <v>709539597.820862</v>
      </c>
      <c r="AP13" s="11" t="n">
        <v>708272675.147017</v>
      </c>
      <c r="AQ13" s="11" t="n">
        <v>631608964.441521</v>
      </c>
      <c r="AR13" s="11" t="n">
        <v>866488253.1489</v>
      </c>
      <c r="AS13" s="11" t="n">
        <v>490299661.03856</v>
      </c>
      <c r="AT13" s="11"/>
      <c r="AU13" s="11"/>
    </row>
    <row r="14">
      <c r="A14" t="str">
        <f>K14</f>
      </c>
      <c r="K14" t="s">
        <v>157</v>
      </c>
      <c r="L14" s="11" t="n">
        <v>269260838.978057</v>
      </c>
      <c r="M14" s="11" t="n">
        <v>614403529.512769</v>
      </c>
      <c r="N14" s="11" t="n">
        <v>847918701.56921</v>
      </c>
      <c r="O14" s="11" t="n">
        <v>907052082.200416</v>
      </c>
      <c r="P14" s="11" t="n">
        <v>699266721.104089</v>
      </c>
      <c r="Q14" s="11" t="n">
        <v>714851140.010646</v>
      </c>
      <c r="R14" s="11" t="n">
        <v>664451089.671619</v>
      </c>
      <c r="S14" s="11" t="n">
        <v>567043744.675038</v>
      </c>
      <c r="T14" s="11" t="n">
        <v>605229066.820258</v>
      </c>
      <c r="U14" s="11" t="n">
        <v>490354769.765257</v>
      </c>
      <c r="V14" s="11" t="n">
        <v>493276250.883259</v>
      </c>
      <c r="W14" s="11" t="n">
        <v>449723609.283849</v>
      </c>
      <c r="X14" s="11" t="n">
        <v>476068454.285594</v>
      </c>
      <c r="Y14" s="11" t="n">
        <v>550515085.396083</v>
      </c>
      <c r="Z14" s="11" t="n">
        <v>632205102.65608</v>
      </c>
      <c r="AA14" s="11" t="n">
        <v>623411404.662271</v>
      </c>
      <c r="AB14" s="11" t="n">
        <v>642061815.177557</v>
      </c>
      <c r="AC14" s="11" t="n">
        <v>697196770.731042</v>
      </c>
      <c r="AD14" s="11" t="n">
        <v>806870323.599616</v>
      </c>
      <c r="AE14" s="11" t="n">
        <v>839765721.025398</v>
      </c>
      <c r="AF14" s="11" t="n">
        <v>782257677.270576</v>
      </c>
      <c r="AG14" s="11" t="n">
        <v>766733201.94128</v>
      </c>
      <c r="AH14" s="11" t="n">
        <v>725064361.108577</v>
      </c>
      <c r="AI14" s="11" t="n">
        <v>594671411.471336</v>
      </c>
      <c r="AJ14" s="11" t="n">
        <v>631518546.012948</v>
      </c>
      <c r="AK14" s="11" t="n">
        <v>619516360.100543</v>
      </c>
      <c r="AL14" s="11" t="n">
        <v>684180057.443613</v>
      </c>
      <c r="AM14" s="11" t="n">
        <v>836065312.901129</v>
      </c>
      <c r="AN14" s="11" t="n">
        <v>728851216.227155</v>
      </c>
      <c r="AO14" s="11" t="n">
        <v>900149697.291059</v>
      </c>
      <c r="AP14" s="11" t="n">
        <v>942928622.512672</v>
      </c>
      <c r="AQ14" s="11" t="n">
        <v>929415396.907002</v>
      </c>
      <c r="AR14" s="11" t="n">
        <v>894465270.1275</v>
      </c>
      <c r="AS14" s="11" t="n">
        <v>421766674.56647</v>
      </c>
      <c r="AT14" s="11"/>
      <c r="AU14" s="11"/>
    </row>
    <row r="15">
      <c r="A15" t="str">
        <f>K15</f>
      </c>
      <c r="K15" t="s">
        <v>158</v>
      </c>
      <c r="L15" s="11" t="n">
        <v>38132780.6357852</v>
      </c>
      <c r="M15" s="11" t="n">
        <v>28822233.5713602</v>
      </c>
      <c r="N15" s="11" t="n">
        <v>22632039.9733199</v>
      </c>
      <c r="O15" s="11" t="n">
        <v>64428495.4331039</v>
      </c>
      <c r="P15" s="11" t="n">
        <v>46018674.7136116</v>
      </c>
      <c r="Q15" s="11" t="n">
        <v>18095136.4315767</v>
      </c>
      <c r="R15" s="11" t="n">
        <v>27530185.7591572</v>
      </c>
      <c r="S15" s="11" t="n">
        <v>721045.624653708</v>
      </c>
      <c r="T15" s="11" t="n">
        <v>4234050.15474778</v>
      </c>
      <c r="U15" s="11" t="n">
        <v>130114.471706051</v>
      </c>
      <c r="V15" s="11"/>
      <c r="W15" s="11" t="n">
        <v>50162.8264016317</v>
      </c>
      <c r="X15" s="11"/>
      <c r="Y15" s="11"/>
      <c r="Z15" s="11"/>
      <c r="AA15" s="11" t="n">
        <v>25946.8060332807</v>
      </c>
      <c r="AB15" s="11" t="n">
        <v>1571281.98983941</v>
      </c>
      <c r="AC15" s="11"/>
      <c r="AD15" s="11"/>
      <c r="AE15" s="11"/>
      <c r="AF15" s="11"/>
      <c r="AG15" s="11"/>
      <c r="AH15" s="11"/>
      <c r="AI15" s="11" t="n">
        <v>1071004.78396853</v>
      </c>
      <c r="AJ15" s="11" t="n">
        <v>0</v>
      </c>
      <c r="AK15" s="11" t="n">
        <v>0</v>
      </c>
      <c r="AL15" s="11"/>
      <c r="AM15" s="11"/>
      <c r="AN15" s="11"/>
      <c r="AO15" s="11" t="n">
        <v>110785.540285983</v>
      </c>
      <c r="AP15" s="11" t="n">
        <v>85152.7537421695</v>
      </c>
      <c r="AQ15" s="11"/>
      <c r="AR15" s="11"/>
      <c r="AS15" s="11"/>
      <c r="AT15" s="11"/>
      <c r="AU15" s="11"/>
    </row>
    <row r="16">
      <c r="A16" t="str">
        <f>K16</f>
      </c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../output/AcqTrends/Platform//Missile_Defense/DoD_Missile_Defense_Contracts.xlsx</dc:creator>
  <cp:lastModifiedBy>../output/AcqTrends/Platform//Missile_Defense/DoD_Missile_Defense_Contracts.xlsx</cp:lastModifiedBy>
  <dcterms:created xsi:type="dcterms:W3CDTF">2023-11-12T22:34:30Z</dcterms:created>
</coreProperties>
</file>