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SR" sheetId="1" state="visible" r:id="rId1"/>
    <sheet name="Cust" sheetId="2" state="visible" r:id="rId2"/>
    <sheet name="Price" sheetId="3" state="visible" r:id="rId3"/>
    <sheet name="Veh" sheetId="4" state="visible" r:id="rId4"/>
    <sheet name="FYQ" sheetId="5" state="visible" r:id="rId5"/>
    <sheet name="Proj" sheetId="6" state="visible" r:id="rId6"/>
    <sheet name="PSC" sheetId="7" state="visible" r:id="rId7"/>
    <sheet name="AllProj" sheetId="8" state="visible" r:id="rId8"/>
    <sheet name="AllPSC" sheetId="9" state="visible" r:id="rId9"/>
    <sheet name="vend" sheetId="10" state="visible" r:id="rId10"/>
  </sheets>
</workbook>
</file>

<file path=xl/sharedStrings.xml><?xml version="1.0" encoding="utf-8"?>
<sst xmlns="http://schemas.openxmlformats.org/spreadsheetml/2006/main" count="204" uniqueCount="204">
  <si>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</si>
  <si>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</si>
  <si>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</si>
  <si>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</si>
  <si>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</si>
  <si>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</si>
  <si>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</si>
  <si>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</si>
  <si>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</si>
  <si>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</si>
  <si>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</si>
  <si>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</si>
  <si>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</si>
  <si>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</si>
  <si>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</si>
  <si>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</si>
  <si>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</si>
  <si>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</si>
  <si>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</si>
  <si>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</si>
  <si>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</si>
  <si>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</si>
  <si>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</si>
  <si>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</si>
  <si>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</si>
  <si>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</si>
  <si>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</si>
  <si>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</si>
  <si>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</si>
  <si>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</si>
  <si>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</si>
  <si>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</si>
  <si>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</si>
  <si>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</si>
  <si>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</si>
  <si>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</si>
  <si>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</si>
  <si>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</si>
  <si>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SubCustomer.JPO</t>
  </si>
  <si>
    <t xml:space="preserve">SubCustomer.sum</t>
  </si>
  <si>
    <t xml:space="preserve">Air Force</t>
  </si>
  <si>
    <t xml:space="preserve">Army</t>
  </si>
  <si>
    <t xml:space="preserve">DLA</t>
  </si>
  <si>
    <t xml:space="preserve">Other DoD</t>
  </si>
  <si>
    <t xml:space="preserve">Navy</t>
  </si>
  <si>
    <t xml:space="preserve">PricingUCA.sumlong</t>
  </si>
  <si>
    <t xml:space="preserve">PricingUCA</t>
  </si>
  <si>
    <t xml:space="preserve">Firm-Fixed-Price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</si>
  <si>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</si>
  <si>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</si>
  <si>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</si>
  <si>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</si>
  <si>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</si>
  <si>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</si>
  <si>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</si>
  <si>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</si>
  <si>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</si>
  <si>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</si>
  <si>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</si>
  <si>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>Vehicle.AwardTask</t>
  </si>
  <si>
    <t xml:space="preserve">Vehicle.sum7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</si>
  <si>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</si>
  <si>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</si>
  <si>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</si>
  <si>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</si>
  <si>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</si>
  <si>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</si>
  <si>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</si>
  <si>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</si>
  <si>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</si>
  <si>
    <t xml:space="preserve">TopProject</t>
  </si>
  <si>
    <t xml:space="preserve">BRAC ACTIVITIES</t>
  </si>
  <si>
    <t xml:space="preserve">CHEM DEMIL-ACWA</t>
  </si>
  <si>
    <t xml:space="preserve">DEF ENVIR &amp; RESTORA PRG (</t>
  </si>
  <si>
    <t xml:space="preserve">DERP</t>
  </si>
  <si>
    <t xml:space="preserve">EPA SUPERFUND</t>
  </si>
  <si>
    <t xml:space="preserve">HURRICANE KATRINA</t>
  </si>
  <si>
    <t xml:space="preserve">OTHER ENVIRONMENTAL PROGR</t>
  </si>
  <si>
    <t xml:space="preserve">Other Labeled Project</t>
  </si>
  <si>
    <t xml:space="preserve">STATUS OF FORCES AGREEMENT</t>
  </si>
  <si>
    <t xml:space="preserve">TopPStext</t>
  </si>
  <si>
    <t xml:space="preserve">A/E SVCS. (INCL
LANDSCAPING INTERIO</t>
  </si>
  <si>
    <t xml:space="preserve">ARCHITECT AND
ENGINEERING-
GENERAL: OTHER</t>
  </si>
  <si>
    <t xml:space="preserve">CONSTRUCT/MISC
BLDGS</t>
  </si>
  <si>
    <t xml:space="preserve">CONSTRUCTION OF
MISCELLANEOUS
BUILDINGS</t>
  </si>
  <si>
    <t xml:space="preserve">CONTRUCT/ALL OTHER
NON-BLDG FACS</t>
  </si>
  <si>
    <t xml:space="preserve">CUSTODIAL
JANITORIAL SERVICES</t>
  </si>
  <si>
    <t xml:space="preserve">ELECTRIC SERVICES</t>
  </si>
  <si>
    <t xml:space="preserve">FACILITIES
OPERATIONS SUPPORT
SVCS</t>
  </si>
  <si>
    <t xml:space="preserve">MAINT-REP-ALT/MISC
BLDGS</t>
  </si>
  <si>
    <t xml:space="preserve">OTHER ENVIR
SVC/STUD/SUP</t>
  </si>
  <si>
    <t xml:space="preserve">Other Labeled PSC</t>
  </si>
  <si>
    <t xml:space="preserve">REPAIR OR
ALTERATION OF
MISCELLANEOUS
BUILDINGS</t>
  </si>
  <si>
    <t xml:space="preserve">Project.Name</t>
  </si>
  <si>
    <t xml:space="preserve">ProjectID</t>
  </si>
  <si>
    <t xml:space="preserve">442</t>
  </si>
  <si>
    <t xml:space="preserve">466</t>
  </si>
  <si>
    <t xml:space="preserve">716</t>
  </si>
  <si>
    <t xml:space="preserve">8711</t>
  </si>
  <si>
    <t xml:space="preserve">8712</t>
  </si>
  <si>
    <t xml:space="preserve">ACWS</t>
  </si>
  <si>
    <t xml:space="preserve">AF INT COM CTRL SYS</t>
  </si>
  <si>
    <t xml:space="preserve">AH-64E New Build</t>
  </si>
  <si>
    <t xml:space="preserve">AIR CONDITIONERS</t>
  </si>
  <si>
    <t xml:space="preserve">AIR TRAFFIC CNTL COMM CON</t>
  </si>
  <si>
    <t xml:space="preserve">AN/FRT-84 TRANSMITTER</t>
  </si>
  <si>
    <t xml:space="preserve">AN/TVQ-2 LASER DESIGNATOR</t>
  </si>
  <si>
    <t xml:space="preserve">ATM</t>
  </si>
  <si>
    <t xml:space="preserve">ATS</t>
  </si>
  <si>
    <t xml:space="preserve">AUTO CHEM AGENT ALARM</t>
  </si>
  <si>
    <t xml:space="preserve">AUTO TEST SUPPORT SYS</t>
  </si>
  <si>
    <t xml:space="preserve">Air Force Integrated Personnel and Pay System Increment 1 (AFIPPS Inc 1)</t>
  </si>
  <si>
    <t xml:space="preserve">BARRACKS SHIP SELF-PROP-A</t>
  </si>
  <si>
    <t xml:space="preserve">BASE REALIGN &amp; CLOS (BRAC</t>
  </si>
  <si>
    <t xml:space="preserve">BIOMETRICS</t>
  </si>
  <si>
    <t xml:space="preserve">BSM</t>
  </si>
  <si>
    <t xml:space="preserve">BSM ENERGY</t>
  </si>
  <si>
    <t xml:space="preserve">CARGO SHIP-AK</t>
  </si>
  <si>
    <t xml:space="preserve">CBDP</t>
  </si>
  <si>
    <t xml:space="preserve">CHCS II</t>
  </si>
  <si>
    <t xml:space="preserve">CHEM AGENT DETECTOR NETWO</t>
  </si>
  <si>
    <t xml:space="preserve">CHEM DEMIL-CMA</t>
  </si>
  <si>
    <t xml:space="preserve">COLL PROT EQUIP, TEMPER T</t>
  </si>
  <si>
    <t xml:space="preserve">CONTAINERIZED KITCHEN</t>
  </si>
  <si>
    <t xml:space="preserve">DADS</t>
  </si>
  <si>
    <t xml:space="preserve">DEAMS Inc 1</t>
  </si>
  <si>
    <t xml:space="preserve">DEMOLITION MUNITIONS ALL</t>
  </si>
  <si>
    <t xml:space="preserve">DIMHRS</t>
  </si>
  <si>
    <t xml:space="preserve">DMLSS</t>
  </si>
  <si>
    <t xml:space="preserve">DPPS</t>
  </si>
  <si>
    <t xml:space="preserve">DRAGON</t>
  </si>
  <si>
    <t xml:space="preserve">DTS</t>
  </si>
  <si>
    <t xml:space="preserve">Defense Enterprise Office Solution (DEOS)</t>
  </si>
  <si>
    <t xml:space="preserve">Department of Defense Healthcare Management System Modernization (DHMSM)</t>
  </si>
  <si>
    <t xml:space="preserve">EASTERN TEST RANGE</t>
  </si>
  <si>
    <t xml:space="preserve">ENVIR PROTECT AGENCY SUPE</t>
  </si>
  <si>
    <t xml:space="preserve">FCA</t>
  </si>
  <si>
    <t xml:space="preserve">FORK LIFT FRONT/SIDE LOAD</t>
  </si>
  <si>
    <t xml:space="preserve">FORKLIFT 6000 LB</t>
  </si>
  <si>
    <t xml:space="preserve">FWD AREA REFUELING SYS AD</t>
  </si>
  <si>
    <t xml:space="preserve">GBSD</t>
  </si>
  <si>
    <t xml:space="preserve">GFEBS</t>
  </si>
  <si>
    <t xml:space="preserve">GIL</t>
  </si>
  <si>
    <t xml:space="preserve">HANGER AIRCRAFT</t>
  </si>
  <si>
    <t xml:space="preserve">HEATER H-1</t>
  </si>
  <si>
    <t xml:space="preserve">HURRICANE RITA</t>
  </si>
  <si>
    <t xml:space="preserve">HUSH HOUSE</t>
  </si>
  <si>
    <t xml:space="preserve">IMDS</t>
  </si>
  <si>
    <t xml:space="preserve">IMPRVD CHEMICAL AGENT MON</t>
  </si>
  <si>
    <t xml:space="preserve">INLAND PETROLEUM DIST SYS</t>
  </si>
  <si>
    <t xml:space="preserve">INTGR FAMILY OF TEST EQUI</t>
  </si>
  <si>
    <t xml:space="preserve">JADC2</t>
  </si>
  <si>
    <t xml:space="preserve">JCALS</t>
  </si>
  <si>
    <t xml:space="preserve">JMPS</t>
  </si>
  <si>
    <t xml:space="preserve">Joint Operational Medicine Information Systems (OMIS)</t>
  </si>
  <si>
    <t xml:space="preserve">KMI</t>
  </si>
  <si>
    <t xml:space="preserve">LAB PETROLEUM MODULAR BAS</t>
  </si>
  <si>
    <t xml:space="preserve">LAND COMBAT SUPT SYS (LCS</t>
  </si>
  <si>
    <t xml:space="preserve">LOADER A/C 25K</t>
  </si>
  <si>
    <t xml:space="preserve">MASK, PROTECTIVE NBC ALL</t>
  </si>
  <si>
    <t xml:space="preserve">MISSION DISTRIBUTION SYS</t>
  </si>
  <si>
    <t xml:space="preserve">MK-27</t>
  </si>
  <si>
    <t xml:space="preserve">MQ-1C Gray Eagle</t>
  </si>
  <si>
    <t xml:space="preserve">MQ-9 Reaper</t>
  </si>
  <si>
    <t xml:space="preserve">MSE</t>
  </si>
  <si>
    <t xml:space="preserve">MULTI SYS TEST EQUIP (MTE</t>
  </si>
  <si>
    <t xml:space="preserve">N78</t>
  </si>
  <si>
    <t xml:space="preserve">NAVY EPS</t>
  </si>
  <si>
    <t xml:space="preserve">NCES</t>
  </si>
  <si>
    <t xml:space="preserve">NSIPS</t>
  </si>
  <si>
    <t xml:space="preserve">NTCSS</t>
  </si>
  <si>
    <t xml:space="preserve">Other UAS</t>
  </si>
  <si>
    <t xml:space="preserve">PCTE</t>
  </si>
  <si>
    <t xml:space="preserve">PKI</t>
  </si>
  <si>
    <t xml:space="preserve">PKI INC 2</t>
  </si>
  <si>
    <t xml:space="preserve">PRV</t>
  </si>
  <si>
    <t xml:space="preserve">PUMP, ASSY LIQ GAS WHL 35</t>
  </si>
  <si>
    <t xml:space="preserve">QM-107 GD MSL TGT SYS</t>
  </si>
  <si>
    <t xml:space="preserve">RAIL GARRISON</t>
  </si>
  <si>
    <t xml:space="preserve">RCAS</t>
  </si>
  <si>
    <t xml:space="preserve">REMOTE SENSING CHEM AGENT</t>
  </si>
  <si>
    <t xml:space="preserve">RESCH SHP OCEANOGRAPHIC-A</t>
  </si>
  <si>
    <t xml:space="preserve">RSA DINING FACILITY</t>
  </si>
  <si>
    <t xml:space="preserve">SHELTER SYSTEM M51 CB</t>
  </si>
  <si>
    <t xml:space="preserve">SIMP COLL PROT EQMT, M20</t>
  </si>
  <si>
    <t xml:space="preserve">SPS</t>
  </si>
  <si>
    <t xml:space="preserve">TMIP</t>
  </si>
  <si>
    <t xml:space="preserve">TOOL OUTFIT HYD REPAIR</t>
  </si>
  <si>
    <t xml:space="preserve">TOW FLIGHTLINE</t>
  </si>
  <si>
    <t xml:space="preserve">TRACTOR 32,000 GVW</t>
  </si>
  <si>
    <t xml:space="preserve">TYPE 15 PERISCOPE</t>
  </si>
  <si>
    <t xml:space="preserve">WAREHOUSING SYSTEM AUTOMA</t>
  </si>
  <si>
    <t xml:space="preserve">ZBL</t>
  </si>
  <si>
    <t xml:space="preserve">Grand Total</t>
  </si>
  <si>
    <t xml:space="preserve"/>
  </si>
  <si>
    <t xml:space="preserve">Shiny.VendorSize</t>
  </si>
  <si>
    <t xml:space="preserve">Big Five</t>
  </si>
  <si>
    <t xml:space="preserve">Large</t>
  </si>
  <si>
    <t xml:space="preserve">Medium</t>
  </si>
  <si>
    <t xml:space="preserve">Small</t>
  </si>
  <si>
    <t xml:space="preserve">Unlabeled</t>
  </si>
  <si>
    <t xml:space="preserve">Firm Fixed-Price</t>
  </si>
  <si>
    <t xml:space="preserve">2024</t>
  </si>
  <si>
    <t xml:space="preserve">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</si>
</sst>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206" formatCode="0.00,,,&quot;B&quot;"/>
    <numFmt numFmtId="191" formatCode="0.00,,,&quot;B&quot;"/>
    <numFmt numFmtId="205" formatCode="0.00,,,&quot;B&quot;"/>
    <numFmt numFmtId="204" formatCode="0.00,,,&quot;B&quot;"/>
    <numFmt numFmtId="203" formatCode="0.00,,,&quot;B&quot;"/>
    <numFmt numFmtId="184" formatCode="0.00,,,&quot;B&quot;"/>
    <numFmt numFmtId="186" formatCode="0.00,,,&quot;B&quot;"/>
    <numFmt numFmtId="175" formatCode="0.00,,,&quot;B&quot;"/>
    <numFmt numFmtId="187" formatCode="0.00,,,&quot;B&quot;"/>
    <numFmt numFmtId="195" formatCode="0.00,,,&quot;B&quot;"/>
    <numFmt numFmtId="207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206" fontId="1" fillId="0" borderId="0" xfId="0" applyFont="1" applyNumberFormat="1"/>
    <xf numFmtId="191" fontId="1" fillId="0" borderId="0" xfId="0" applyFont="1" applyNumberFormat="1"/>
    <xf numFmtId="205" fontId="1" fillId="0" borderId="0" xfId="0" applyFont="1" applyNumberFormat="1"/>
    <xf numFmtId="204" fontId="1" fillId="0" borderId="0" xfId="0" applyFont="1" applyNumberFormat="1"/>
    <xf numFmtId="203" fontId="1" fillId="0" borderId="0" xfId="0" applyFont="1" applyNumberFormat="1"/>
    <xf numFmtId="10" fontId="1" fillId="0" borderId="0" xfId="0" applyFont="1" applyNumberFormat="1"/>
    <xf numFmtId="184" fontId="1" fillId="0" borderId="0" xfId="0" applyFont="1" applyNumberFormat="1"/>
    <xf numFmtId="186" fontId="1" fillId="0" borderId="0" xfId="0" applyFont="1" applyNumberFormat="1"/>
    <xf numFmtId="175" fontId="1" fillId="0" borderId="0" xfId="0" applyFont="1" applyNumberFormat="1"/>
    <xf numFmtId="187" fontId="1" fillId="0" borderId="0" xfId="0" applyFont="1" applyNumberFormat="1"/>
    <xf numFmtId="195" fontId="1" fillId="0" borderId="0" xfId="0" applyFont="1" applyNumberFormat="1"/>
    <xf numFmtId="207" fontId="1" fillId="0" borderId="0" xfId="0" applyFont="1" applyNumberFormat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_rels/sheet8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printerSettings" Target="../printerSettings/printerSettings8.bin"/><Relationship Id="rIdvml" Type="http://schemas.openxmlformats.org/officeDocument/2006/relationships/vmlDrawing" Target="../drawings/vmlDrawing8.vml"/></Relationships>
</file>

<file path=xl/worksheets/_rels/sheet9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9.xml"/><Relationship Id="rId2" Type="http://schemas.openxmlformats.org/officeDocument/2006/relationships/printerSettings" Target="../printerSettings/printerSettings9.bin"/><Relationship Id="rIdvml" Type="http://schemas.openxmlformats.org/officeDocument/2006/relationships/vmlDrawing" Target="../drawings/vmlDrawing9.vml"/></Relationships>
</file>

<file path=xl/worksheets/_rels/sheet10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0.xml"/><Relationship Id="rId2" Type="http://schemas.openxmlformats.org/officeDocument/2006/relationships/printerSettings" Target="../printerSettings/printerSettings10.bin"/><Relationship Id="rIdvml" Type="http://schemas.openxmlformats.org/officeDocument/2006/relationships/vmlDrawing" Target="../drawings/vmlDrawing10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tru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0</v>
      </c>
      <c r="N1" t="s">
        <v>1</v>
      </c>
      <c r="O1" t="s">
        <v>2</v>
      </c>
      <c r="P1" t="s">
        <v>3</v>
      </c>
      <c r="Q1" t="s">
        <v>4</v>
      </c>
      <c r="R1" t="s">
        <v>5</v>
      </c>
      <c r="S1" t="s">
        <v>6</v>
      </c>
      <c r="T1" t="s">
        <v>7</v>
      </c>
      <c r="U1" t="s">
        <v>8</v>
      </c>
      <c r="V1" t="s">
        <v>9</v>
      </c>
      <c r="W1" t="s">
        <v>10</v>
      </c>
      <c r="X1" t="s">
        <v>11</v>
      </c>
      <c r="Y1" t="s">
        <v>12</v>
      </c>
      <c r="Z1" t="s">
        <v>13</v>
      </c>
      <c r="AA1" t="s">
        <v>14</v>
      </c>
      <c r="AB1" t="s">
        <v>15</v>
      </c>
      <c r="AC1" t="s">
        <v>16</v>
      </c>
      <c r="AD1" t="s">
        <v>17</v>
      </c>
      <c r="AE1" t="s">
        <v>18</v>
      </c>
      <c r="AF1" t="s">
        <v>19</v>
      </c>
      <c r="AG1" t="s">
        <v>20</v>
      </c>
      <c r="AH1" t="s">
        <v>21</v>
      </c>
      <c r="AI1" t="s">
        <v>22</v>
      </c>
      <c r="AJ1" t="s">
        <v>23</v>
      </c>
      <c r="AK1" t="s">
        <v>24</v>
      </c>
      <c r="AL1" t="s">
        <v>25</v>
      </c>
      <c r="AM1" t="s">
        <v>26</v>
      </c>
      <c r="AN1" t="s">
        <v>27</v>
      </c>
      <c r="AO1" t="s">
        <v>28</v>
      </c>
      <c r="AP1" t="s">
        <v>29</v>
      </c>
      <c r="AQ1" t="s">
        <v>30</v>
      </c>
      <c r="AR1" t="s">
        <v>31</v>
      </c>
      <c r="AS1" t="s">
        <v>32</v>
      </c>
      <c r="AT1" t="s">
        <v>33</v>
      </c>
      <c r="AU1" t="s">
        <v>34</v>
      </c>
      <c r="AV1" t="s">
        <v>202</v>
      </c>
      <c r="AW1" t="s">
        <v>203</v>
      </c>
    </row>
    <row r="2">
      <c r="A2" t="str">
        <f>M2</f>
      </c>
      <c r="M2" t="s">
        <v>35</v>
      </c>
      <c r="N2" s="1" t="n">
        <v>1681863769</v>
      </c>
      <c r="O2" s="1" t="n">
        <v>2125063788</v>
      </c>
      <c r="P2" s="1" t="n">
        <v>1831233742</v>
      </c>
      <c r="Q2" s="1" t="n">
        <v>1636938796</v>
      </c>
      <c r="R2" s="1" t="n">
        <v>1584011967</v>
      </c>
      <c r="S2" s="1" t="n">
        <v>1706925272</v>
      </c>
      <c r="T2" s="1" t="n">
        <v>1518877723</v>
      </c>
      <c r="U2" s="1" t="n">
        <v>1644299326</v>
      </c>
      <c r="V2" s="1" t="n">
        <v>1618658410</v>
      </c>
      <c r="W2" s="1" t="n">
        <v>2121817744</v>
      </c>
      <c r="X2" s="1" t="n">
        <v>1665379208</v>
      </c>
      <c r="Y2" s="1" t="n">
        <v>1982549260.22</v>
      </c>
      <c r="Z2" s="1" t="n">
        <v>2694954548.4116</v>
      </c>
      <c r="AA2" s="1" t="n">
        <v>3961331927.4866</v>
      </c>
      <c r="AB2" s="1" t="n">
        <v>4585604093.6099</v>
      </c>
      <c r="AC2" s="1" t="n">
        <v>5266883423.6697</v>
      </c>
      <c r="AD2" s="1" t="n">
        <v>6202627182.1701</v>
      </c>
      <c r="AE2" s="1" t="n">
        <v>6411446429.8079</v>
      </c>
      <c r="AF2" s="1" t="n">
        <v>7430362574.2195</v>
      </c>
      <c r="AG2" s="1" t="n">
        <v>7904084457.9937</v>
      </c>
      <c r="AH2" s="1" t="n">
        <v>8006672818.1334</v>
      </c>
      <c r="AI2" s="1" t="n">
        <v>7971316702.7309</v>
      </c>
      <c r="AJ2" s="1" t="n">
        <v>6005706366.7175</v>
      </c>
      <c r="AK2" s="1" t="n">
        <v>4410878676.8274</v>
      </c>
      <c r="AL2" s="1" t="n">
        <v>4628152101.768</v>
      </c>
      <c r="AM2" s="1" t="n">
        <v>4668778991.1913</v>
      </c>
      <c r="AN2" s="1" t="n">
        <v>4566358477.3699</v>
      </c>
      <c r="AO2" s="1" t="n">
        <v>5425946630.0602</v>
      </c>
      <c r="AP2" s="1" t="n">
        <v>6191706127.0193</v>
      </c>
      <c r="AQ2" s="1" t="n">
        <v>6041165121.4569</v>
      </c>
      <c r="AR2" s="1" t="n">
        <v>6150257891.9175</v>
      </c>
      <c r="AS2" s="1" t="n">
        <v>7716113562.2849</v>
      </c>
      <c r="AT2" s="1" t="n">
        <v>7546005535.2749</v>
      </c>
      <c r="AU2" s="1" t="n">
        <v>7235776346.2998</v>
      </c>
      <c r="AV2" s="1" t="n">
        <v>7500191247.34</v>
      </c>
      <c r="AW2" s="1" t="n">
        <v>2768880415.46</v>
      </c>
      <c r="AX2" s="1"/>
      <c r="AY2" s="1"/>
    </row>
    <row r="3">
      <c r="A3" t="str">
        <f>M3</f>
      </c>
      <c r="M3" t="s">
        <v>36</v>
      </c>
      <c r="N3" s="1" t="n">
        <v>258292000</v>
      </c>
      <c r="O3" s="1" t="n">
        <v>164572171</v>
      </c>
      <c r="P3" s="1" t="n">
        <v>164531351</v>
      </c>
      <c r="Q3" s="1" t="n">
        <v>137242101</v>
      </c>
      <c r="R3" s="1" t="n">
        <v>157160798</v>
      </c>
      <c r="S3" s="1" t="n">
        <v>225685359</v>
      </c>
      <c r="T3" s="1" t="n">
        <v>145450442</v>
      </c>
      <c r="U3" s="1" t="n">
        <v>216436955</v>
      </c>
      <c r="V3" s="1" t="n">
        <v>102172835</v>
      </c>
      <c r="W3" s="1" t="n">
        <v>112728220</v>
      </c>
      <c r="X3" s="1" t="n">
        <v>108233267</v>
      </c>
      <c r="Y3" s="1" t="n">
        <v>130641086</v>
      </c>
      <c r="Z3" s="1" t="n">
        <v>132868860</v>
      </c>
      <c r="AA3" s="1" t="n">
        <v>79054936</v>
      </c>
      <c r="AB3" s="1" t="n">
        <v>114975332</v>
      </c>
      <c r="AC3" s="1" t="n">
        <v>239753604.03</v>
      </c>
      <c r="AD3" s="1" t="n">
        <v>127752082.679</v>
      </c>
      <c r="AE3" s="1" t="n">
        <v>130744352.3058</v>
      </c>
      <c r="AF3" s="1" t="n">
        <v>125498604.8314</v>
      </c>
      <c r="AG3" s="1" t="n">
        <v>166814714.8208</v>
      </c>
      <c r="AH3" s="1" t="n">
        <v>134687139.1557</v>
      </c>
      <c r="AI3" s="1" t="n">
        <v>134905925.9147</v>
      </c>
      <c r="AJ3" s="1" t="n">
        <v>78081512.3668</v>
      </c>
      <c r="AK3" s="1" t="n">
        <v>55716104.37</v>
      </c>
      <c r="AL3" s="1" t="n">
        <v>75581169.8288</v>
      </c>
      <c r="AM3" s="1" t="n">
        <v>86143089.6424</v>
      </c>
      <c r="AN3" s="1" t="n">
        <v>111377844.3126</v>
      </c>
      <c r="AO3" s="1" t="n">
        <v>128062592.5942</v>
      </c>
      <c r="AP3" s="1" t="n">
        <v>159541059.1137</v>
      </c>
      <c r="AQ3" s="1" t="n">
        <v>114983650.221</v>
      </c>
      <c r="AR3" s="1" t="n">
        <v>210889647.7701</v>
      </c>
      <c r="AS3" s="1" t="n">
        <v>156526414.3933</v>
      </c>
      <c r="AT3" s="1" t="n">
        <v>152603678.4511</v>
      </c>
      <c r="AU3" s="1" t="n">
        <v>143169818.2631</v>
      </c>
      <c r="AV3" s="1" t="n">
        <v>123354920.78</v>
      </c>
      <c r="AW3" s="1" t="n">
        <v>64220893.44</v>
      </c>
      <c r="AX3" s="1"/>
      <c r="AY3" s="1"/>
    </row>
    <row r="4">
      <c r="A4" t="str">
        <f>M4</f>
      </c>
      <c r="M4" t="s">
        <v>37</v>
      </c>
      <c r="N4" s="1" t="n">
        <v>10329990618.56</v>
      </c>
      <c r="O4" s="1" t="n">
        <v>16257223909</v>
      </c>
      <c r="P4" s="1" t="n">
        <v>16039233837</v>
      </c>
      <c r="Q4" s="1" t="n">
        <v>15495469972</v>
      </c>
      <c r="R4" s="1" t="n">
        <v>18672247192.16</v>
      </c>
      <c r="S4" s="1" t="n">
        <v>18320842851</v>
      </c>
      <c r="T4" s="1" t="n">
        <v>18832566420</v>
      </c>
      <c r="U4" s="1" t="n">
        <v>20236631777</v>
      </c>
      <c r="V4" s="1" t="n">
        <v>20535601869.02</v>
      </c>
      <c r="W4" s="1" t="n">
        <v>23408173621.99</v>
      </c>
      <c r="X4" s="1" t="n">
        <v>19026317334.0744</v>
      </c>
      <c r="Y4" s="1" t="n">
        <v>20953091361.9784</v>
      </c>
      <c r="Z4" s="1" t="n">
        <v>23234941547.8533</v>
      </c>
      <c r="AA4" s="1" t="n">
        <v>30406487086.6116</v>
      </c>
      <c r="AB4" s="1" t="n">
        <v>31002553796.0321</v>
      </c>
      <c r="AC4" s="1" t="n">
        <v>34053531254.6157</v>
      </c>
      <c r="AD4" s="1" t="n">
        <v>39218989368.4377</v>
      </c>
      <c r="AE4" s="1" t="n">
        <v>39654839405.7485</v>
      </c>
      <c r="AF4" s="1" t="n">
        <v>49733949913.2182</v>
      </c>
      <c r="AG4" s="1" t="n">
        <v>58293267442.0026</v>
      </c>
      <c r="AH4" s="1" t="n">
        <v>53094665383.9147</v>
      </c>
      <c r="AI4" s="1" t="n">
        <v>46474975400.9543</v>
      </c>
      <c r="AJ4" s="1" t="n">
        <v>42924196780.9182</v>
      </c>
      <c r="AK4" s="1" t="n">
        <v>35052760265.655</v>
      </c>
      <c r="AL4" s="1" t="n">
        <v>37493881383.8992</v>
      </c>
      <c r="AM4" s="1" t="n">
        <v>33340216803.8596</v>
      </c>
      <c r="AN4" s="1" t="n">
        <v>33867802752.3647</v>
      </c>
      <c r="AO4" s="1" t="n">
        <v>32926190934.8838</v>
      </c>
      <c r="AP4" s="1" t="n">
        <v>40606619223.6059</v>
      </c>
      <c r="AQ4" s="1" t="n">
        <v>45921854287.2376</v>
      </c>
      <c r="AR4" s="1" t="n">
        <v>53838857882.2752</v>
      </c>
      <c r="AS4" s="1" t="n">
        <v>43441875584.6082</v>
      </c>
      <c r="AT4" s="1" t="n">
        <v>49670507428.6132</v>
      </c>
      <c r="AU4" s="1" t="n">
        <v>57652947465.6497</v>
      </c>
      <c r="AV4" s="1" t="n">
        <v>58644789160.7782</v>
      </c>
      <c r="AW4" s="1" t="n">
        <v>19216132001.62</v>
      </c>
      <c r="AX4" s="1"/>
      <c r="AY4" s="1"/>
    </row>
    <row r="5">
      <c r="A5" t="str">
        <f>M5</f>
      </c>
      <c r="M5" t="s">
        <v>193</v>
      </c>
      <c r="N5" s="1" t="str">
        <f>Sum(N2:N4)</f>
      </c>
      <c r="O5" s="1" t="str">
        <f>Sum(O2:O4)</f>
      </c>
      <c r="P5" s="1" t="str">
        <f>Sum(P2:P4)</f>
      </c>
      <c r="Q5" s="1" t="str">
        <f>Sum(Q2:Q4)</f>
      </c>
      <c r="R5" s="1" t="str">
        <f>Sum(R2:R4)</f>
      </c>
      <c r="S5" s="1" t="str">
        <f>Sum(S2:S4)</f>
      </c>
      <c r="T5" s="1" t="str">
        <f>Sum(T2:T4)</f>
      </c>
      <c r="U5" s="1" t="str">
        <f>Sum(U2:U4)</f>
      </c>
      <c r="V5" s="1" t="str">
        <f>Sum(V2:V4)</f>
      </c>
      <c r="W5" s="1" t="str">
        <f>Sum(W2:W4)</f>
      </c>
      <c r="X5" s="1" t="str">
        <f>Sum(X2:X4)</f>
      </c>
      <c r="Y5" s="1" t="str">
        <f>Sum(Y2:Y4)</f>
      </c>
      <c r="Z5" s="1" t="str">
        <f>Sum(Z2:Z4)</f>
      </c>
      <c r="AA5" s="1" t="str">
        <f>Sum(AA2:AA4)</f>
      </c>
      <c r="AB5" s="1" t="str">
        <f>Sum(AB2:AB4)</f>
      </c>
      <c r="AC5" s="1" t="str">
        <f>Sum(AC2:AC4)</f>
      </c>
      <c r="AD5" s="1" t="str">
        <f>Sum(AD2:AD4)</f>
      </c>
      <c r="AE5" s="1" t="str">
        <f>Sum(AE2:AE4)</f>
      </c>
      <c r="AF5" s="1" t="str">
        <f>Sum(AF2:AF4)</f>
      </c>
      <c r="AG5" s="1" t="str">
        <f>Sum(AG2:AG4)</f>
      </c>
      <c r="AH5" s="1" t="str">
        <f>Sum(AH2:AH4)</f>
      </c>
      <c r="AI5" s="1" t="str">
        <f>Sum(AI2:AI4)</f>
      </c>
      <c r="AJ5" s="1" t="str">
        <f>Sum(AJ2:AJ4)</f>
      </c>
      <c r="AK5" s="1" t="str">
        <f>Sum(AK2:AK4)</f>
      </c>
      <c r="AL5" s="1" t="str">
        <f>Sum(AL2:AL4)</f>
      </c>
      <c r="AM5" s="1" t="str">
        <f>Sum(AM2:AM4)</f>
      </c>
      <c r="AN5" s="1" t="str">
        <f>Sum(AN2:AN4)</f>
      </c>
      <c r="AO5" s="1" t="str">
        <f>Sum(AO2:AO4)</f>
      </c>
      <c r="AP5" s="1" t="str">
        <f>Sum(AP2:AP4)</f>
      </c>
      <c r="AQ5" s="1" t="str">
        <f>Sum(AQ2:AQ4)</f>
      </c>
      <c r="AR5" s="1" t="str">
        <f>Sum(AR2:AR4)</f>
      </c>
      <c r="AS5" s="1" t="str">
        <f>Sum(AS2:AS4)</f>
      </c>
      <c r="AT5" s="1" t="str">
        <f>Sum(AT2:AT4)</f>
      </c>
      <c r="AU5" s="1" t="str">
        <f>Sum(AU2:AU4)</f>
      </c>
      <c r="AV5" s="1" t="str">
        <f>Sum(AV2:AV4)</f>
      </c>
      <c r="AW5" s="1" t="str">
        <f>Sum(AW2:AW4)</f>
      </c>
      <c r="AX5" s="1" t="str">
        <f>Sum(AX2:AX4)</f>
      </c>
      <c r="AY5" s="1"/>
    </row>
    <row r="8">
      <c r="A8" t="str">
        <f>M8</f>
      </c>
      <c r="M8" t="s">
        <v>0</v>
      </c>
      <c r="N8" t="s">
        <v>1</v>
      </c>
      <c r="O8" t="s">
        <v>2</v>
      </c>
      <c r="P8" t="s">
        <v>3</v>
      </c>
      <c r="Q8" t="s">
        <v>4</v>
      </c>
      <c r="R8" t="s">
        <v>5</v>
      </c>
      <c r="S8" t="s">
        <v>6</v>
      </c>
      <c r="T8" t="s">
        <v>7</v>
      </c>
      <c r="U8" t="s">
        <v>8</v>
      </c>
      <c r="V8" t="s">
        <v>9</v>
      </c>
      <c r="W8" t="s">
        <v>10</v>
      </c>
      <c r="X8" t="s">
        <v>11</v>
      </c>
      <c r="Y8" t="s">
        <v>12</v>
      </c>
      <c r="Z8" t="s">
        <v>13</v>
      </c>
      <c r="AA8" t="s">
        <v>14</v>
      </c>
      <c r="AB8" t="s">
        <v>15</v>
      </c>
      <c r="AC8" t="s">
        <v>16</v>
      </c>
      <c r="AD8" t="s">
        <v>17</v>
      </c>
      <c r="AE8" t="s">
        <v>18</v>
      </c>
      <c r="AF8" t="s">
        <v>19</v>
      </c>
      <c r="AG8" t="s">
        <v>20</v>
      </c>
      <c r="AH8" t="s">
        <v>21</v>
      </c>
      <c r="AI8" t="s">
        <v>22</v>
      </c>
      <c r="AJ8" t="s">
        <v>23</v>
      </c>
      <c r="AK8" t="s">
        <v>24</v>
      </c>
      <c r="AL8" t="s">
        <v>25</v>
      </c>
      <c r="AM8" t="s">
        <v>26</v>
      </c>
      <c r="AN8" t="s">
        <v>27</v>
      </c>
      <c r="AO8" t="s">
        <v>28</v>
      </c>
      <c r="AP8" t="s">
        <v>29</v>
      </c>
      <c r="AQ8" t="s">
        <v>30</v>
      </c>
      <c r="AR8" t="s">
        <v>31</v>
      </c>
      <c r="AS8" t="s">
        <v>32</v>
      </c>
      <c r="AT8" t="s">
        <v>33</v>
      </c>
      <c r="AU8" t="s">
        <v>34</v>
      </c>
      <c r="AV8" t="s">
        <v>202</v>
      </c>
      <c r="AW8" t="s">
        <v>203</v>
      </c>
    </row>
    <row r="9">
      <c r="A9" t="str">
        <f>M9</f>
      </c>
      <c r="M9" t="s">
        <v>35</v>
      </c>
      <c r="N9" s="1" t="n">
        <v>3478568454.29336</v>
      </c>
      <c r="O9" s="1" t="n">
        <v>4243522600.96796</v>
      </c>
      <c r="P9" s="1" t="n">
        <v>3567486481.33194</v>
      </c>
      <c r="Q9" s="1" t="n">
        <v>3115875858.29339</v>
      </c>
      <c r="R9" s="1" t="n">
        <v>2950714800.97577</v>
      </c>
      <c r="S9" s="1" t="n">
        <v>3113633713.56551</v>
      </c>
      <c r="T9" s="1" t="n">
        <v>2719410436.99216</v>
      </c>
      <c r="U9" s="1" t="n">
        <v>2892630332.92433</v>
      </c>
      <c r="V9" s="1" t="n">
        <v>2812263482.31661</v>
      </c>
      <c r="W9" s="1" t="n">
        <v>3641364991.99075</v>
      </c>
      <c r="X9" s="1" t="n">
        <v>2799791211.04171</v>
      </c>
      <c r="Y9" s="1" t="n">
        <v>3254131881.91989</v>
      </c>
      <c r="Z9" s="1" t="n">
        <v>4354952367.31576</v>
      </c>
      <c r="AA9" s="1" t="n">
        <v>6280812937.81956</v>
      </c>
      <c r="AB9" s="1" t="n">
        <v>7097308123.89037</v>
      </c>
      <c r="AC9" s="1" t="n">
        <v>7911018332.40817</v>
      </c>
      <c r="AD9" s="1" t="n">
        <v>9023414370.44831</v>
      </c>
      <c r="AE9" s="1" t="n">
        <v>9077305333.72774</v>
      </c>
      <c r="AF9" s="1" t="n">
        <v>10305923861.6961</v>
      </c>
      <c r="AG9" s="1" t="n">
        <v>10852003028.1676</v>
      </c>
      <c r="AH9" s="1" t="n">
        <v>10898467334.4259</v>
      </c>
      <c r="AI9" s="1" t="n">
        <v>10636845545.7482</v>
      </c>
      <c r="AJ9" s="1" t="n">
        <v>7871124935.21715</v>
      </c>
      <c r="AK9" s="1" t="n">
        <v>5677907412.17111</v>
      </c>
      <c r="AL9" s="1" t="n">
        <v>5850854671.43376</v>
      </c>
      <c r="AM9" s="1" t="n">
        <v>5841716394.47784</v>
      </c>
      <c r="AN9" s="1" t="n">
        <v>5668246690.77639</v>
      </c>
      <c r="AO9" s="1" t="n">
        <v>6623453052.58685</v>
      </c>
      <c r="AP9" s="1" t="n">
        <v>7394067371.0364</v>
      </c>
      <c r="AQ9" s="1" t="n">
        <v>7083325585.24003</v>
      </c>
      <c r="AR9" s="1" t="n">
        <v>7118251453.0676</v>
      </c>
      <c r="AS9" s="1" t="n">
        <v>8633418721.78493</v>
      </c>
      <c r="AT9" s="1" t="n">
        <v>7891209592.24167</v>
      </c>
      <c r="AU9" s="1" t="n">
        <v>7235776346.2998</v>
      </c>
      <c r="AV9" s="1" t="n">
        <v>7305101299.69165</v>
      </c>
      <c r="AW9" s="1" t="n">
        <v>2638954031.29151</v>
      </c>
      <c r="AX9" s="1"/>
      <c r="AY9" s="1"/>
    </row>
    <row r="10">
      <c r="A10" t="str">
        <f>M10</f>
      </c>
      <c r="M10" t="s">
        <v>36</v>
      </c>
      <c r="N10" s="1" t="n">
        <v>534220678.129336</v>
      </c>
      <c r="O10" s="1" t="n">
        <v>328632830.257829</v>
      </c>
      <c r="P10" s="1" t="n">
        <v>320528918.28365</v>
      </c>
      <c r="Q10" s="1" t="n">
        <v>261237225.418758</v>
      </c>
      <c r="R10" s="1" t="n">
        <v>292760851.845107</v>
      </c>
      <c r="S10" s="1" t="n">
        <v>411676805.052621</v>
      </c>
      <c r="T10" s="1" t="n">
        <v>260415597.681343</v>
      </c>
      <c r="U10" s="1" t="n">
        <v>380753121.587534</v>
      </c>
      <c r="V10" s="1" t="n">
        <v>177515485.033844</v>
      </c>
      <c r="W10" s="1" t="n">
        <v>193458931.653383</v>
      </c>
      <c r="X10" s="1" t="n">
        <v>181958888.542177</v>
      </c>
      <c r="Y10" s="1" t="n">
        <v>214432665.846629</v>
      </c>
      <c r="Z10" s="1" t="n">
        <v>214711434.276542</v>
      </c>
      <c r="AA10" s="1" t="n">
        <v>125344019.111859</v>
      </c>
      <c r="AB10" s="1" t="n">
        <v>177951550.372114</v>
      </c>
      <c r="AC10" s="1" t="n">
        <v>360117170.66271</v>
      </c>
      <c r="AD10" s="1" t="n">
        <v>185850276.801108</v>
      </c>
      <c r="AE10" s="1" t="n">
        <v>185107435.511362</v>
      </c>
      <c r="AF10" s="1" t="n">
        <v>174066750.205303</v>
      </c>
      <c r="AG10" s="1" t="n">
        <v>229030167.88332</v>
      </c>
      <c r="AH10" s="1" t="n">
        <v>183332505.248775</v>
      </c>
      <c r="AI10" s="1" t="n">
        <v>180017122.725685</v>
      </c>
      <c r="AJ10" s="1" t="n">
        <v>102334230.387241</v>
      </c>
      <c r="AK10" s="1" t="n">
        <v>71720603.7975324</v>
      </c>
      <c r="AL10" s="1" t="n">
        <v>95548813.1853602</v>
      </c>
      <c r="AM10" s="1" t="n">
        <v>107784819.111041</v>
      </c>
      <c r="AN10" s="1" t="n">
        <v>138253950.183588</v>
      </c>
      <c r="AO10" s="1" t="n">
        <v>156326006.80977</v>
      </c>
      <c r="AP10" s="1" t="n">
        <v>190522178.432439</v>
      </c>
      <c r="AQ10" s="1" t="n">
        <v>134819461.99449</v>
      </c>
      <c r="AR10" s="1" t="n">
        <v>244081722.759824</v>
      </c>
      <c r="AS10" s="1" t="n">
        <v>175134549.999653</v>
      </c>
      <c r="AT10" s="1" t="n">
        <v>159584777.081775</v>
      </c>
      <c r="AU10" s="1" t="n">
        <v>143169818.2631</v>
      </c>
      <c r="AV10" s="1" t="n">
        <v>120146295.260528</v>
      </c>
      <c r="AW10" s="1" t="n">
        <v>61207405.2351138</v>
      </c>
      <c r="AX10" s="1"/>
      <c r="AY10" s="1"/>
    </row>
    <row r="11">
      <c r="A11" t="str">
        <f>M11</f>
      </c>
      <c r="M11" t="s">
        <v>37</v>
      </c>
      <c r="N11" s="1" t="n">
        <v>21365333008.056</v>
      </c>
      <c r="O11" s="1" t="n">
        <v>32463918248.6686</v>
      </c>
      <c r="P11" s="1" t="n">
        <v>31246557210.0731</v>
      </c>
      <c r="Q11" s="1" t="n">
        <v>29495275520.7745</v>
      </c>
      <c r="R11" s="1" t="n">
        <v>34782866105.3195</v>
      </c>
      <c r="S11" s="1" t="n">
        <v>33419385662.3674</v>
      </c>
      <c r="T11" s="1" t="n">
        <v>33717972752.1068</v>
      </c>
      <c r="U11" s="1" t="n">
        <v>35600023662.8271</v>
      </c>
      <c r="V11" s="1" t="n">
        <v>35678635385.2371</v>
      </c>
      <c r="W11" s="1" t="n">
        <v>40172019578.3015</v>
      </c>
      <c r="X11" s="1" t="n">
        <v>31986538437.9364</v>
      </c>
      <c r="Y11" s="1" t="n">
        <v>34392145503.7278</v>
      </c>
      <c r="Z11" s="1" t="n">
        <v>37546853529.6473</v>
      </c>
      <c r="AA11" s="1" t="n">
        <v>48210415330.7864</v>
      </c>
      <c r="AB11" s="1" t="n">
        <v>47983792849.572</v>
      </c>
      <c r="AC11" s="1" t="n">
        <v>51149434754.4902</v>
      </c>
      <c r="AD11" s="1" t="n">
        <v>57054725661.8776</v>
      </c>
      <c r="AE11" s="1" t="n">
        <v>56143194704.4597</v>
      </c>
      <c r="AF11" s="1" t="n">
        <v>68981061963.975</v>
      </c>
      <c r="AG11" s="1" t="n">
        <v>80034407294.6519</v>
      </c>
      <c r="AH11" s="1" t="n">
        <v>72271028111.4955</v>
      </c>
      <c r="AI11" s="1" t="n">
        <v>62015743887.4606</v>
      </c>
      <c r="AJ11" s="1" t="n">
        <v>56256782296.0542</v>
      </c>
      <c r="AK11" s="1" t="n">
        <v>45121696131.6589</v>
      </c>
      <c r="AL11" s="1" t="n">
        <v>47399317529.2074</v>
      </c>
      <c r="AM11" s="1" t="n">
        <v>41716279880.8893</v>
      </c>
      <c r="AN11" s="1" t="n">
        <v>42040295746.8922</v>
      </c>
      <c r="AO11" s="1" t="n">
        <v>40193001281.9337</v>
      </c>
      <c r="AP11" s="1" t="n">
        <v>48491978154.3159</v>
      </c>
      <c r="AQ11" s="1" t="n">
        <v>53843826290.9141</v>
      </c>
      <c r="AR11" s="1" t="n">
        <v>62312594867.8749</v>
      </c>
      <c r="AS11" s="1" t="n">
        <v>48606322205.3652</v>
      </c>
      <c r="AT11" s="1" t="n">
        <v>51942764001.4188</v>
      </c>
      <c r="AU11" s="1" t="n">
        <v>57652947465.6497</v>
      </c>
      <c r="AV11" s="1" t="n">
        <v>57119360212.3787</v>
      </c>
      <c r="AW11" s="1" t="n">
        <v>18314438113.0957</v>
      </c>
      <c r="AX11" s="1"/>
      <c r="AY11" s="1"/>
    </row>
    <row r="12">
      <c r="A12" t="str">
        <f>M12</f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</row>
  </sheetData>
  <pageMargins left="0.7" right="0.7" top="0.75" bottom="0.75" header="0.3" footer="0.3"/>
  <pageSetup paperSize="9" orientation="portrait" horizontalDpi="300" verticalDpi="300"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38</v>
      </c>
      <c r="N1" t="s">
        <v>39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40</v>
      </c>
      <c r="N2" t="s">
        <v>40</v>
      </c>
      <c r="O2" s="12" t="n">
        <v>3316082000</v>
      </c>
      <c r="P2" s="12" t="n">
        <v>4363274000</v>
      </c>
      <c r="Q2" s="12" t="n">
        <v>4452553494</v>
      </c>
      <c r="R2" s="12" t="n">
        <v>3866317331</v>
      </c>
      <c r="S2" s="12" t="n">
        <v>4615162948</v>
      </c>
      <c r="T2" s="12" t="n">
        <v>4685524807</v>
      </c>
      <c r="U2" s="12" t="n">
        <v>4566837966</v>
      </c>
      <c r="V2" s="12" t="n">
        <v>4509646594</v>
      </c>
      <c r="W2" s="12" t="n">
        <v>4710846623</v>
      </c>
      <c r="X2" s="12" t="n">
        <v>5418018722</v>
      </c>
      <c r="Y2" s="12" t="n">
        <v>4105935540.28</v>
      </c>
      <c r="Z2" s="12" t="n">
        <v>3936262679.5313</v>
      </c>
      <c r="AA2" s="12" t="n">
        <v>4496416502.6259</v>
      </c>
      <c r="AB2" s="12" t="n">
        <v>6361775495.3044</v>
      </c>
      <c r="AC2" s="12" t="n">
        <v>6568857900.9579</v>
      </c>
      <c r="AD2" s="12" t="n">
        <v>7146031366.0226</v>
      </c>
      <c r="AE2" s="12" t="n">
        <v>7755593010.3825</v>
      </c>
      <c r="AF2" s="12" t="n">
        <v>7762482771.9264</v>
      </c>
      <c r="AG2" s="12" t="n">
        <v>7470428609.8583</v>
      </c>
      <c r="AH2" s="12" t="n">
        <v>8248430328.9917</v>
      </c>
      <c r="AI2" s="12" t="n">
        <v>7372846183.7068</v>
      </c>
      <c r="AJ2" s="12" t="n">
        <v>6780768863.6914</v>
      </c>
      <c r="AK2" s="12" t="n">
        <v>6049658104.1339</v>
      </c>
      <c r="AL2" s="12" t="n">
        <v>4799210106.3539</v>
      </c>
      <c r="AM2" s="12" t="n">
        <v>5899630453.3596</v>
      </c>
      <c r="AN2" s="12" t="n">
        <v>5450747529.045</v>
      </c>
      <c r="AO2" s="12" t="n">
        <v>5506613943.8793</v>
      </c>
      <c r="AP2" s="12" t="n">
        <v>5338345265.0776</v>
      </c>
      <c r="AQ2" s="12" t="n">
        <v>5387276146.8303</v>
      </c>
      <c r="AR2" s="12" t="n">
        <v>5925322052.269</v>
      </c>
      <c r="AS2" s="12" t="n">
        <v>6378944763.0077</v>
      </c>
      <c r="AT2" s="12" t="n">
        <v>6520806251.1334</v>
      </c>
      <c r="AU2" s="12" t="n">
        <v>7654003502.7021</v>
      </c>
      <c r="AV2" s="12" t="n">
        <v>7379601101.0017</v>
      </c>
      <c r="AW2" s="12" t="n">
        <v>8016250936.4418</v>
      </c>
      <c r="AX2" s="12" t="n">
        <v>2940425145.22</v>
      </c>
      <c r="AY2" s="12"/>
    </row>
    <row r="3">
      <c r="A3" t="str">
        <f>M3</f>
      </c>
      <c r="B3" t="str">
        <f>N3</f>
      </c>
      <c r="M3" t="s">
        <v>41</v>
      </c>
      <c r="N3" t="s">
        <v>41</v>
      </c>
      <c r="O3" s="12" t="n">
        <v>4945058000</v>
      </c>
      <c r="P3" s="12" t="n">
        <v>8722018000</v>
      </c>
      <c r="Q3" s="12" t="n">
        <v>8669804464</v>
      </c>
      <c r="R3" s="12" t="n">
        <v>8638763409</v>
      </c>
      <c r="S3" s="12" t="n">
        <v>8389731188</v>
      </c>
      <c r="T3" s="12" t="n">
        <v>9498373095</v>
      </c>
      <c r="U3" s="12" t="n">
        <v>9534790721</v>
      </c>
      <c r="V3" s="12" t="n">
        <v>10275166566</v>
      </c>
      <c r="W3" s="12" t="n">
        <v>10693576261</v>
      </c>
      <c r="X3" s="12" t="n">
        <v>11764336797.14</v>
      </c>
      <c r="Y3" s="12" t="n">
        <v>10486717040.6205</v>
      </c>
      <c r="Z3" s="12" t="n">
        <v>11721061581.0003</v>
      </c>
      <c r="AA3" s="12" t="n">
        <v>13479107970.5395</v>
      </c>
      <c r="AB3" s="12" t="n">
        <v>18125945424.6083</v>
      </c>
      <c r="AC3" s="12" t="n">
        <v>20244387139.1126</v>
      </c>
      <c r="AD3" s="12" t="n">
        <v>22144303830.5388</v>
      </c>
      <c r="AE3" s="12" t="n">
        <v>25683154872.2044</v>
      </c>
      <c r="AF3" s="12" t="n">
        <v>26366193100.1999</v>
      </c>
      <c r="AG3" s="12" t="n">
        <v>35824151340.5435</v>
      </c>
      <c r="AH3" s="12" t="n">
        <v>43489222718.1489</v>
      </c>
      <c r="AI3" s="12" t="n">
        <v>39069817838.9679</v>
      </c>
      <c r="AJ3" s="12" t="n">
        <v>33243526816.2061</v>
      </c>
      <c r="AK3" s="12" t="n">
        <v>29867124512.629</v>
      </c>
      <c r="AL3" s="12" t="n">
        <v>23384798280.8141</v>
      </c>
      <c r="AM3" s="12" t="n">
        <v>24156494035.3892</v>
      </c>
      <c r="AN3" s="12" t="n">
        <v>20946799774.3094</v>
      </c>
      <c r="AO3" s="12" t="n">
        <v>20700340335.5077</v>
      </c>
      <c r="AP3" s="12" t="n">
        <v>20630190562.0529</v>
      </c>
      <c r="AQ3" s="12" t="n">
        <v>26589283680.1986</v>
      </c>
      <c r="AR3" s="12" t="n">
        <v>29900704148.6086</v>
      </c>
      <c r="AS3" s="12" t="n">
        <v>34080384113.2849</v>
      </c>
      <c r="AT3" s="12" t="n">
        <v>25618507824.6236</v>
      </c>
      <c r="AU3" s="12" t="n">
        <v>29253651853.5212</v>
      </c>
      <c r="AV3" s="12" t="n">
        <v>34750408866.6942</v>
      </c>
      <c r="AW3" s="12" t="n">
        <v>33389206990.3719</v>
      </c>
      <c r="AX3" s="12" t="n">
        <v>10072158217.22</v>
      </c>
      <c r="AY3" s="12"/>
    </row>
    <row r="4">
      <c r="A4" t="str">
        <f>M4</f>
      </c>
      <c r="B4" t="str">
        <f>N4</f>
      </c>
      <c r="M4" t="s">
        <v>42</v>
      </c>
      <c r="N4" t="s">
        <v>43</v>
      </c>
      <c r="O4" s="12" t="n">
        <v>457904000</v>
      </c>
      <c r="P4" s="12" t="n">
        <v>624999000</v>
      </c>
      <c r="Q4" s="12" t="n">
        <v>526296983</v>
      </c>
      <c r="R4" s="12" t="n">
        <v>571309653</v>
      </c>
      <c r="S4" s="12" t="n">
        <v>406694132</v>
      </c>
      <c r="T4" s="12" t="n">
        <v>459448682</v>
      </c>
      <c r="U4" s="12" t="n">
        <v>387755780</v>
      </c>
      <c r="V4" s="12" t="n">
        <v>437735241</v>
      </c>
      <c r="W4" s="12" t="n">
        <v>338719975</v>
      </c>
      <c r="X4" s="12" t="n">
        <v>842341719</v>
      </c>
      <c r="Y4" s="12" t="n">
        <v>451251383.9147</v>
      </c>
      <c r="Z4" s="12" t="n">
        <v>652565387.1182</v>
      </c>
      <c r="AA4" s="12" t="n">
        <v>794001838.3973</v>
      </c>
      <c r="AB4" s="12" t="n">
        <v>1124423631.5606</v>
      </c>
      <c r="AC4" s="12" t="n">
        <v>1767291335.37</v>
      </c>
      <c r="AD4" s="12" t="n">
        <v>2345014834.2459</v>
      </c>
      <c r="AE4" s="12" t="n">
        <v>3426476795.9895</v>
      </c>
      <c r="AF4" s="12" t="n">
        <v>2857485897.3668</v>
      </c>
      <c r="AG4" s="12" t="n">
        <v>2565512608.1199</v>
      </c>
      <c r="AH4" s="12" t="n">
        <v>2184060752.9425</v>
      </c>
      <c r="AI4" s="12" t="n">
        <v>2552987098.8469</v>
      </c>
      <c r="AJ4" s="12" t="n">
        <v>2652108555.2654</v>
      </c>
      <c r="AK4" s="12" t="n">
        <v>2201027751.7365</v>
      </c>
      <c r="AL4" s="12" t="n">
        <v>2322363537.0654</v>
      </c>
      <c r="AM4" s="12" t="n">
        <v>2499183532.6523</v>
      </c>
      <c r="AN4" s="12" t="n">
        <v>2787411732.0528</v>
      </c>
      <c r="AO4" s="12" t="n">
        <v>2803285707.5699</v>
      </c>
      <c r="AP4" s="12" t="n">
        <v>3199500865.3156</v>
      </c>
      <c r="AQ4" s="12" t="n">
        <v>4336579778.6884</v>
      </c>
      <c r="AR4" s="12" t="n">
        <v>4198193182.7024</v>
      </c>
      <c r="AS4" s="12" t="n">
        <v>4032389503.0703</v>
      </c>
      <c r="AT4" s="12" t="n">
        <v>5627529373.1309</v>
      </c>
      <c r="AU4" s="12" t="n">
        <v>6190941170.0766</v>
      </c>
      <c r="AV4" s="12" t="n">
        <v>5494024838.1589</v>
      </c>
      <c r="AW4" s="12" t="n">
        <v>5662555498.09</v>
      </c>
      <c r="AX4" s="12" t="n">
        <v>2891845487.88</v>
      </c>
      <c r="AY4" s="12"/>
    </row>
    <row r="5">
      <c r="A5" t="str">
        <f>M5</f>
      </c>
      <c r="B5" t="str">
        <f>N5</f>
      </c>
      <c r="M5" t="s">
        <v>44</v>
      </c>
      <c r="N5" t="s">
        <v>44</v>
      </c>
      <c r="O5" s="12" t="n">
        <v>3490219387.56</v>
      </c>
      <c r="P5" s="12" t="n">
        <v>4747984868</v>
      </c>
      <c r="Q5" s="12" t="n">
        <v>4241534785</v>
      </c>
      <c r="R5" s="12" t="n">
        <v>4043345362</v>
      </c>
      <c r="S5" s="12" t="n">
        <v>6683153629.16</v>
      </c>
      <c r="T5" s="12" t="n">
        <v>5385169601</v>
      </c>
      <c r="U5" s="12" t="n">
        <v>5854810223</v>
      </c>
      <c r="V5" s="12" t="n">
        <v>6437180234</v>
      </c>
      <c r="W5" s="12" t="n">
        <v>6240578537.02</v>
      </c>
      <c r="X5" s="12" t="n">
        <v>7248814660.85</v>
      </c>
      <c r="Y5" s="12" t="n">
        <v>5272048928.8593</v>
      </c>
      <c r="Z5" s="12" t="n">
        <v>6211171864.2288</v>
      </c>
      <c r="AA5" s="12" t="n">
        <v>6162968262.9022</v>
      </c>
      <c r="AB5" s="12" t="n">
        <v>7761429186.4927</v>
      </c>
      <c r="AC5" s="12" t="n">
        <v>6210379233.3369</v>
      </c>
      <c r="AD5" s="12" t="n">
        <v>7188130934.3992</v>
      </c>
      <c r="AE5" s="12" t="n">
        <v>7878685445.3705</v>
      </c>
      <c r="AF5" s="12" t="n">
        <v>8706066044.144</v>
      </c>
      <c r="AG5" s="12" t="n">
        <v>10981882824.5635</v>
      </c>
      <c r="AH5" s="12" t="n">
        <v>11881816019.2997</v>
      </c>
      <c r="AI5" s="12" t="n">
        <v>11728432205.8337</v>
      </c>
      <c r="AJ5" s="12" t="n">
        <v>11553951673.0486</v>
      </c>
      <c r="AK5" s="12" t="n">
        <v>10517710706.0635</v>
      </c>
      <c r="AL5" s="12" t="n">
        <v>8664210188.4388</v>
      </c>
      <c r="AM5" s="12" t="n">
        <v>9338056029.21</v>
      </c>
      <c r="AN5" s="12" t="n">
        <v>8546013575.3695</v>
      </c>
      <c r="AO5" s="12" t="n">
        <v>9198011878.7597</v>
      </c>
      <c r="AP5" s="12" t="n">
        <v>8972838519.8775</v>
      </c>
      <c r="AQ5" s="12" t="n">
        <v>10244817106.264</v>
      </c>
      <c r="AR5" s="12" t="n">
        <v>11621919263.333</v>
      </c>
      <c r="AS5" s="12" t="n">
        <v>15292548733.5267</v>
      </c>
      <c r="AT5" s="12" t="n">
        <v>13063516753.7457</v>
      </c>
      <c r="AU5" s="12" t="n">
        <v>13799942654.5837</v>
      </c>
      <c r="AV5" s="12" t="n">
        <v>16762448718.1882</v>
      </c>
      <c r="AW5" s="12" t="n">
        <v>18474473083.0045</v>
      </c>
      <c r="AX5" s="12" t="n">
        <v>5914123556.68</v>
      </c>
      <c r="AY5" s="12"/>
    </row>
    <row r="6">
      <c r="A6" t="str">
        <f>M6</f>
      </c>
      <c r="B6" t="str">
        <f>N6</f>
      </c>
      <c r="M6" t="s">
        <v>43</v>
      </c>
      <c r="N6" t="s">
        <v>43</v>
      </c>
      <c r="O6" s="12" t="n">
        <v>60883000</v>
      </c>
      <c r="P6" s="12" t="n">
        <v>88584000</v>
      </c>
      <c r="Q6" s="12" t="n">
        <v>144809204</v>
      </c>
      <c r="R6" s="12" t="n">
        <v>149915114</v>
      </c>
      <c r="S6" s="12" t="n">
        <v>318678060</v>
      </c>
      <c r="T6" s="12" t="n">
        <v>224937297</v>
      </c>
      <c r="U6" s="12" t="n">
        <v>152699895</v>
      </c>
      <c r="V6" s="12" t="n">
        <v>437639423</v>
      </c>
      <c r="W6" s="12" t="n">
        <v>272711718</v>
      </c>
      <c r="X6" s="12" t="n">
        <v>369207687</v>
      </c>
      <c r="Y6" s="12" t="n">
        <v>483976915.3999</v>
      </c>
      <c r="Z6" s="12" t="n">
        <v>545220196.3198</v>
      </c>
      <c r="AA6" s="12" t="n">
        <v>1130270381.8</v>
      </c>
      <c r="AB6" s="12" t="n">
        <v>1073300212.1322</v>
      </c>
      <c r="AC6" s="12" t="n">
        <v>912217612.8646</v>
      </c>
      <c r="AD6" s="12" t="n">
        <v>736687317.1089</v>
      </c>
      <c r="AE6" s="12" t="n">
        <v>805458509.3399</v>
      </c>
      <c r="AF6" s="12" t="n">
        <v>504802374.2251</v>
      </c>
      <c r="AG6" s="12" t="n">
        <v>447835709.1839</v>
      </c>
      <c r="AH6" s="12" t="n">
        <v>560636795.4343</v>
      </c>
      <c r="AI6" s="12" t="n">
        <v>511942013.8485</v>
      </c>
      <c r="AJ6" s="12" t="n">
        <v>350842121.3884</v>
      </c>
      <c r="AK6" s="12" t="n">
        <v>372463585.4396</v>
      </c>
      <c r="AL6" s="12" t="n">
        <v>348772934.1802</v>
      </c>
      <c r="AM6" s="12" t="n">
        <v>304250604.8849</v>
      </c>
      <c r="AN6" s="12" t="n">
        <v>364166273.9166</v>
      </c>
      <c r="AO6" s="12" t="n">
        <v>337287208.3306</v>
      </c>
      <c r="AP6" s="12" t="n">
        <v>339324945.2146</v>
      </c>
      <c r="AQ6" s="12" t="n">
        <v>399909697.7576</v>
      </c>
      <c r="AR6" s="12" t="n">
        <v>431864412.0025</v>
      </c>
      <c r="AS6" s="12" t="n">
        <v>415738309.0732</v>
      </c>
      <c r="AT6" s="12" t="n">
        <v>484155358.6528</v>
      </c>
      <c r="AU6" s="12" t="n">
        <v>470577461.4556</v>
      </c>
      <c r="AV6" s="12" t="n">
        <v>645410106.1696</v>
      </c>
      <c r="AW6" s="12" t="n">
        <v>725848820.99</v>
      </c>
      <c r="AX6" s="12" t="n">
        <v>230680903.52</v>
      </c>
      <c r="AY6" s="12"/>
    </row>
    <row r="7">
      <c r="A7" t="str">
        <f>M7</f>
      </c>
      <c r="B7" t="str">
        <f>N7</f>
      </c>
      <c r="M7" t="s">
        <v>193</v>
      </c>
      <c r="N7" t="s">
        <v>194</v>
      </c>
      <c r="O7" s="12" t="str">
        <f>Sum(O2:O6)</f>
      </c>
      <c r="P7" s="12" t="str">
        <f>Sum(P2:P6)</f>
      </c>
      <c r="Q7" s="12" t="str">
        <f>Sum(Q2:Q6)</f>
      </c>
      <c r="R7" s="12" t="str">
        <f>Sum(R2:R6)</f>
      </c>
      <c r="S7" s="12" t="str">
        <f>Sum(S2:S6)</f>
      </c>
      <c r="T7" s="12" t="str">
        <f>Sum(T2:T6)</f>
      </c>
      <c r="U7" s="12" t="str">
        <f>Sum(U2:U6)</f>
      </c>
      <c r="V7" s="12" t="str">
        <f>Sum(V2:V6)</f>
      </c>
      <c r="W7" s="12" t="str">
        <f>Sum(W2:W6)</f>
      </c>
      <c r="X7" s="12" t="str">
        <f>Sum(X2:X6)</f>
      </c>
      <c r="Y7" s="12" t="str">
        <f>Sum(Y2:Y6)</f>
      </c>
      <c r="Z7" s="12" t="str">
        <f>Sum(Z2:Z6)</f>
      </c>
      <c r="AA7" s="12" t="str">
        <f>Sum(AA2:AA6)</f>
      </c>
      <c r="AB7" s="12" t="str">
        <f>Sum(AB2:AB6)</f>
      </c>
      <c r="AC7" s="12" t="str">
        <f>Sum(AC2:AC6)</f>
      </c>
      <c r="AD7" s="12" t="str">
        <f>Sum(AD2:AD6)</f>
      </c>
      <c r="AE7" s="12" t="str">
        <f>Sum(AE2:AE6)</f>
      </c>
      <c r="AF7" s="12" t="str">
        <f>Sum(AF2:AF6)</f>
      </c>
      <c r="AG7" s="12" t="str">
        <f>Sum(AG2:AG6)</f>
      </c>
      <c r="AH7" s="12" t="str">
        <f>Sum(AH2:AH6)</f>
      </c>
      <c r="AI7" s="12" t="str">
        <f>Sum(AI2:AI6)</f>
      </c>
      <c r="AJ7" s="12" t="str">
        <f>Sum(AJ2:AJ6)</f>
      </c>
      <c r="AK7" s="12" t="str">
        <f>Sum(AK2:AK6)</f>
      </c>
      <c r="AL7" s="12" t="str">
        <f>Sum(AL2:AL6)</f>
      </c>
      <c r="AM7" s="12" t="str">
        <f>Sum(AM2:AM6)</f>
      </c>
      <c r="AN7" s="12" t="str">
        <f>Sum(AN2:AN6)</f>
      </c>
      <c r="AO7" s="12" t="str">
        <f>Sum(AO2:AO6)</f>
      </c>
      <c r="AP7" s="12" t="str">
        <f>Sum(AP2:AP6)</f>
      </c>
      <c r="AQ7" s="12" t="str">
        <f>Sum(AQ2:AQ6)</f>
      </c>
      <c r="AR7" s="12" t="str">
        <f>Sum(AR2:AR6)</f>
      </c>
      <c r="AS7" s="12" t="str">
        <f>Sum(AS2:AS6)</f>
      </c>
      <c r="AT7" s="12" t="str">
        <f>Sum(AT2:AT6)</f>
      </c>
      <c r="AU7" s="12" t="str">
        <f>Sum(AU2:AU6)</f>
      </c>
      <c r="AV7" s="12" t="str">
        <f>Sum(AV2:AV6)</f>
      </c>
      <c r="AW7" s="12" t="str">
        <f>Sum(AW2:AW6)</f>
      </c>
      <c r="AX7" s="12" t="str">
        <f>Sum(AX2:AX6)</f>
      </c>
      <c r="AY7" s="12"/>
    </row>
    <row r="10">
      <c r="A10" t="str">
        <f>M10</f>
      </c>
      <c r="B10" t="str">
        <f>N10</f>
      </c>
      <c r="M10" t="s">
        <v>38</v>
      </c>
      <c r="N10" t="s">
        <v>39</v>
      </c>
      <c r="O10" t="s">
        <v>1</v>
      </c>
      <c r="P10" t="s">
        <v>2</v>
      </c>
      <c r="Q10" t="s">
        <v>3</v>
      </c>
      <c r="R10" t="s">
        <v>4</v>
      </c>
      <c r="S10" t="s">
        <v>5</v>
      </c>
      <c r="T10" t="s">
        <v>6</v>
      </c>
      <c r="U10" t="s">
        <v>7</v>
      </c>
      <c r="V10" t="s">
        <v>8</v>
      </c>
      <c r="W10" t="s">
        <v>9</v>
      </c>
      <c r="X10" t="s">
        <v>10</v>
      </c>
      <c r="Y10" t="s">
        <v>11</v>
      </c>
      <c r="Z10" t="s">
        <v>12</v>
      </c>
      <c r="AA10" t="s">
        <v>13</v>
      </c>
      <c r="AB10" t="s">
        <v>14</v>
      </c>
      <c r="AC10" t="s">
        <v>15</v>
      </c>
      <c r="AD10" t="s">
        <v>16</v>
      </c>
      <c r="AE10" t="s">
        <v>17</v>
      </c>
      <c r="AF10" t="s">
        <v>18</v>
      </c>
      <c r="AG10" t="s">
        <v>19</v>
      </c>
      <c r="AH10" t="s">
        <v>20</v>
      </c>
      <c r="AI10" t="s">
        <v>21</v>
      </c>
      <c r="AJ10" t="s">
        <v>22</v>
      </c>
      <c r="AK10" t="s">
        <v>23</v>
      </c>
      <c r="AL10" t="s">
        <v>24</v>
      </c>
      <c r="AM10" t="s">
        <v>25</v>
      </c>
      <c r="AN10" t="s">
        <v>26</v>
      </c>
      <c r="AO10" t="s">
        <v>27</v>
      </c>
      <c r="AP10" t="s">
        <v>28</v>
      </c>
      <c r="AQ10" t="s">
        <v>29</v>
      </c>
      <c r="AR10" t="s">
        <v>30</v>
      </c>
      <c r="AS10" t="s">
        <v>31</v>
      </c>
      <c r="AT10" t="s">
        <v>32</v>
      </c>
      <c r="AU10" t="s">
        <v>33</v>
      </c>
      <c r="AV10" t="s">
        <v>34</v>
      </c>
      <c r="AW10" t="s">
        <v>202</v>
      </c>
      <c r="AX10" t="s">
        <v>203</v>
      </c>
    </row>
    <row r="11">
      <c r="A11" t="str">
        <f>M11</f>
      </c>
      <c r="B11" t="str">
        <f>N11</f>
      </c>
      <c r="M11" t="s">
        <v>40</v>
      </c>
      <c r="N11" t="s">
        <v>40</v>
      </c>
      <c r="O11" s="12" t="n">
        <v>6858592502.95203</v>
      </c>
      <c r="P11" s="12" t="n">
        <v>8712986376.11336</v>
      </c>
      <c r="Q11" s="12" t="n">
        <v>8674165418.06616</v>
      </c>
      <c r="R11" s="12" t="n">
        <v>7359447318.12943</v>
      </c>
      <c r="S11" s="12" t="n">
        <v>8597175970.43797</v>
      </c>
      <c r="T11" s="12" t="n">
        <v>8546951787.6016</v>
      </c>
      <c r="U11" s="12" t="n">
        <v>8176502058.54816</v>
      </c>
      <c r="V11" s="12" t="n">
        <v>7933312580.20189</v>
      </c>
      <c r="W11" s="12" t="n">
        <v>8184643434.84145</v>
      </c>
      <c r="X11" s="12" t="n">
        <v>9298151905.85061</v>
      </c>
      <c r="Y11" s="12" t="n">
        <v>6902789577.02691</v>
      </c>
      <c r="Z11" s="12" t="n">
        <v>6460932970.53955</v>
      </c>
      <c r="AA11" s="12" t="n">
        <v>7266051928.07044</v>
      </c>
      <c r="AB11" s="12" t="n">
        <v>10086789637.8892</v>
      </c>
      <c r="AC11" s="12" t="n">
        <v>10166862989.7895</v>
      </c>
      <c r="AD11" s="12" t="n">
        <v>10733555424.1639</v>
      </c>
      <c r="AE11" s="12" t="n">
        <v>11282627081.3764</v>
      </c>
      <c r="AF11" s="12" t="n">
        <v>10990098262.5364</v>
      </c>
      <c r="AG11" s="12" t="n">
        <v>10361495512.2864</v>
      </c>
      <c r="AH11" s="12" t="n">
        <v>11324776624.4857</v>
      </c>
      <c r="AI11" s="12" t="n">
        <v>10035719595.3971</v>
      </c>
      <c r="AJ11" s="12" t="n">
        <v>9048190377.3556</v>
      </c>
      <c r="AK11" s="12" t="n">
        <v>7928728420.16965</v>
      </c>
      <c r="AL11" s="12" t="n">
        <v>6177787382.49789</v>
      </c>
      <c r="AM11" s="12" t="n">
        <v>7458242434.29375</v>
      </c>
      <c r="AN11" s="12" t="n">
        <v>6820138897.69859</v>
      </c>
      <c r="AO11" s="12" t="n">
        <v>6835391137.04335</v>
      </c>
      <c r="AP11" s="12" t="n">
        <v>6516518066.33205</v>
      </c>
      <c r="AQ11" s="12" t="n">
        <v>6433425934.44704</v>
      </c>
      <c r="AR11" s="12" t="n">
        <v>6947498446.04515</v>
      </c>
      <c r="AS11" s="12" t="n">
        <v>7382931517.06534</v>
      </c>
      <c r="AT11" s="12" t="n">
        <v>7296011173.92014</v>
      </c>
      <c r="AU11" s="12" t="n">
        <v>8004148098.9152</v>
      </c>
      <c r="AV11" s="12" t="n">
        <v>7379601101.0017</v>
      </c>
      <c r="AW11" s="12" t="n">
        <v>7807737590.05465</v>
      </c>
      <c r="AX11" s="12" t="n">
        <v>2802449230.87446</v>
      </c>
      <c r="AY11" s="12"/>
    </row>
    <row r="12">
      <c r="A12" t="str">
        <f>M12</f>
      </c>
      <c r="B12" t="str">
        <f>N12</f>
      </c>
      <c r="M12" t="s">
        <v>41</v>
      </c>
      <c r="N12" t="s">
        <v>41</v>
      </c>
      <c r="O12" s="12" t="n">
        <v>10227774139.9226</v>
      </c>
      <c r="P12" s="12" t="n">
        <v>17416926832.0567</v>
      </c>
      <c r="Q12" s="12" t="n">
        <v>16889930275.8213</v>
      </c>
      <c r="R12" s="12" t="n">
        <v>16443690147.3568</v>
      </c>
      <c r="S12" s="12" t="n">
        <v>15628482933.4497</v>
      </c>
      <c r="T12" s="12" t="n">
        <v>17326156673.4924</v>
      </c>
      <c r="U12" s="12" t="n">
        <v>17071163141.4344</v>
      </c>
      <c r="V12" s="12" t="n">
        <v>18075941536.1224</v>
      </c>
      <c r="W12" s="12" t="n">
        <v>18579061418.016</v>
      </c>
      <c r="X12" s="12" t="n">
        <v>20189408015.0053</v>
      </c>
      <c r="Y12" s="12" t="n">
        <v>17629989651.5885</v>
      </c>
      <c r="Z12" s="12" t="n">
        <v>19238805787.0738</v>
      </c>
      <c r="AA12" s="12" t="n">
        <v>21781767414.2979</v>
      </c>
      <c r="AB12" s="12" t="n">
        <v>28739240896.0095</v>
      </c>
      <c r="AC12" s="12" t="n">
        <v>31332982606.5504</v>
      </c>
      <c r="AD12" s="12" t="n">
        <v>33261414667.8321</v>
      </c>
      <c r="AE12" s="12" t="n">
        <v>37363159504.1662</v>
      </c>
      <c r="AF12" s="12" t="n">
        <v>37329171799.0243</v>
      </c>
      <c r="AG12" s="12" t="n">
        <v>49688150805.2523</v>
      </c>
      <c r="AH12" s="12" t="n">
        <v>59709025015.8842</v>
      </c>
      <c r="AI12" s="12" t="n">
        <v>53180783472.9567</v>
      </c>
      <c r="AJ12" s="12" t="n">
        <v>44359830794.1747</v>
      </c>
      <c r="AK12" s="12" t="n">
        <v>39144083000.3615</v>
      </c>
      <c r="AL12" s="12" t="n">
        <v>30102101920.9403</v>
      </c>
      <c r="AM12" s="12" t="n">
        <v>30538351563.3436</v>
      </c>
      <c r="AN12" s="12" t="n">
        <v>26209264538.8222</v>
      </c>
      <c r="AO12" s="12" t="n">
        <v>25695449927.1525</v>
      </c>
      <c r="AP12" s="12" t="n">
        <v>25183273623.9357</v>
      </c>
      <c r="AQ12" s="12" t="n">
        <v>31752630187.1875</v>
      </c>
      <c r="AR12" s="12" t="n">
        <v>35058870011.7263</v>
      </c>
      <c r="AS12" s="12" t="n">
        <v>39444320546.997</v>
      </c>
      <c r="AT12" s="12" t="n">
        <v>28664081119.5895</v>
      </c>
      <c r="AU12" s="12" t="n">
        <v>30591906808.9042</v>
      </c>
      <c r="AV12" s="12" t="n">
        <v>34750408866.6942</v>
      </c>
      <c r="AW12" s="12" t="n">
        <v>32520709317.585</v>
      </c>
      <c r="AX12" s="12" t="n">
        <v>9599534303.7315</v>
      </c>
      <c r="AY12" s="12"/>
    </row>
    <row r="13">
      <c r="A13" t="str">
        <f>M13</f>
      </c>
      <c r="B13" t="str">
        <f>N13</f>
      </c>
      <c r="M13" t="s">
        <v>42</v>
      </c>
      <c r="N13" t="s">
        <v>43</v>
      </c>
      <c r="O13" s="12" t="n">
        <v>947074572.182396</v>
      </c>
      <c r="P13" s="12" t="n">
        <v>1248055421.705</v>
      </c>
      <c r="Q13" s="12" t="n">
        <v>1025296404.79849</v>
      </c>
      <c r="R13" s="12" t="n">
        <v>1087474962.25428</v>
      </c>
      <c r="S13" s="12" t="n">
        <v>757594273.126091</v>
      </c>
      <c r="T13" s="12" t="n">
        <v>838088772.481682</v>
      </c>
      <c r="U13" s="12" t="n">
        <v>694240951.176315</v>
      </c>
      <c r="V13" s="12" t="n">
        <v>770058234.461955</v>
      </c>
      <c r="W13" s="12" t="n">
        <v>588493415.620467</v>
      </c>
      <c r="X13" s="12" t="n">
        <v>1445587706.82988</v>
      </c>
      <c r="Y13" s="12" t="n">
        <v>758631819.459334</v>
      </c>
      <c r="Z13" s="12" t="n">
        <v>1071112770.74804</v>
      </c>
      <c r="AA13" s="12" t="n">
        <v>1283079222.17814</v>
      </c>
      <c r="AB13" s="12" t="n">
        <v>1782808061.01921</v>
      </c>
      <c r="AC13" s="12" t="n">
        <v>2735301804.46267</v>
      </c>
      <c r="AD13" s="12" t="n">
        <v>3522283265.30203</v>
      </c>
      <c r="AE13" s="12" t="n">
        <v>4984745826.7066</v>
      </c>
      <c r="AF13" s="12" t="n">
        <v>4045619387.3239</v>
      </c>
      <c r="AG13" s="12" t="n">
        <v>3558369775.55331</v>
      </c>
      <c r="AH13" s="12" t="n">
        <v>2998631154.63852</v>
      </c>
      <c r="AI13" s="12" t="n">
        <v>3475057259.61213</v>
      </c>
      <c r="AJ13" s="12" t="n">
        <v>3538947218.50041</v>
      </c>
      <c r="AK13" s="12" t="n">
        <v>2884683892.60714</v>
      </c>
      <c r="AL13" s="12" t="n">
        <v>2989464482.46995</v>
      </c>
      <c r="AM13" s="12" t="n">
        <v>3159438005.76544</v>
      </c>
      <c r="AN13" s="12" t="n">
        <v>3487693215.72402</v>
      </c>
      <c r="AO13" s="12" t="n">
        <v>3479734456.67496</v>
      </c>
      <c r="AP13" s="12" t="n">
        <v>3905630707.04102</v>
      </c>
      <c r="AQ13" s="12" t="n">
        <v>5178695885.3831</v>
      </c>
      <c r="AR13" s="12" t="n">
        <v>4922422841.44763</v>
      </c>
      <c r="AS13" s="12" t="n">
        <v>4667050218.70483</v>
      </c>
      <c r="AT13" s="12" t="n">
        <v>6296539968.62586</v>
      </c>
      <c r="AU13" s="12" t="n">
        <v>6474155646.71099</v>
      </c>
      <c r="AV13" s="12" t="n">
        <v>5494024838.1589</v>
      </c>
      <c r="AW13" s="12" t="n">
        <v>5515264899.85758</v>
      </c>
      <c r="AX13" s="12" t="n">
        <v>2756149115.54252</v>
      </c>
      <c r="AY13" s="12"/>
    </row>
    <row r="14">
      <c r="A14" t="str">
        <f>M14</f>
      </c>
      <c r="B14" t="str">
        <f>N14</f>
      </c>
      <c r="M14" t="s">
        <v>44</v>
      </c>
      <c r="N14" t="s">
        <v>44</v>
      </c>
      <c r="O14" s="12" t="n">
        <v>7218757716.23767</v>
      </c>
      <c r="P14" s="12" t="n">
        <v>9481212380.62895</v>
      </c>
      <c r="Q14" s="12" t="n">
        <v>8263072953.78935</v>
      </c>
      <c r="R14" s="12" t="n">
        <v>7696416158.61509</v>
      </c>
      <c r="S14" s="12" t="n">
        <v>12449451608.6932</v>
      </c>
      <c r="T14" s="12" t="n">
        <v>9823186695.97959</v>
      </c>
      <c r="U14" s="12" t="n">
        <v>10482497561.1513</v>
      </c>
      <c r="V14" s="12" t="n">
        <v>11324205093.8902</v>
      </c>
      <c r="W14" s="12" t="n">
        <v>10842405673.5912</v>
      </c>
      <c r="X14" s="12" t="n">
        <v>12440078802.2859</v>
      </c>
      <c r="Y14" s="12" t="n">
        <v>8863228377.23462</v>
      </c>
      <c r="Z14" s="12" t="n">
        <v>10194940823.4264</v>
      </c>
      <c r="AA14" s="12" t="n">
        <v>9959141330.24504</v>
      </c>
      <c r="AB14" s="12" t="n">
        <v>12305983377.0162</v>
      </c>
      <c r="AC14" s="12" t="n">
        <v>9612032370.30948</v>
      </c>
      <c r="AD14" s="12" t="n">
        <v>10796790250.2314</v>
      </c>
      <c r="AE14" s="12" t="n">
        <v>11461698628.6648</v>
      </c>
      <c r="AF14" s="12" t="n">
        <v>12326020439.1448</v>
      </c>
      <c r="AG14" s="12" t="n">
        <v>15231887692.8975</v>
      </c>
      <c r="AH14" s="12" t="n">
        <v>16313275004.4399</v>
      </c>
      <c r="AI14" s="12" t="n">
        <v>15964425946.0456</v>
      </c>
      <c r="AJ14" s="12" t="n">
        <v>15417477936.5061</v>
      </c>
      <c r="AK14" s="12" t="n">
        <v>13784592509.9972</v>
      </c>
      <c r="AL14" s="12" t="n">
        <v>11153012098.9247</v>
      </c>
      <c r="AM14" s="12" t="n">
        <v>11805059025.5541</v>
      </c>
      <c r="AN14" s="12" t="n">
        <v>10693028670.849</v>
      </c>
      <c r="AO14" s="12" t="n">
        <v>11417544341.2693</v>
      </c>
      <c r="AP14" s="12" t="n">
        <v>10953143983.3186</v>
      </c>
      <c r="AQ14" s="12" t="n">
        <v>12234247933.2314</v>
      </c>
      <c r="AR14" s="12" t="n">
        <v>13626814763.7897</v>
      </c>
      <c r="AS14" s="12" t="n">
        <v>17699454097.1346</v>
      </c>
      <c r="AT14" s="12" t="n">
        <v>14616530615.2832</v>
      </c>
      <c r="AU14" s="12" t="n">
        <v>14431243038.3433</v>
      </c>
      <c r="AV14" s="12" t="n">
        <v>16762448718.1882</v>
      </c>
      <c r="AW14" s="12" t="n">
        <v>17993927471.8679</v>
      </c>
      <c r="AX14" s="12" t="n">
        <v>5636610419.97869</v>
      </c>
      <c r="AY14" s="12"/>
    </row>
    <row r="15">
      <c r="A15" t="str">
        <f>M15</f>
      </c>
      <c r="B15" t="str">
        <f>N15</f>
      </c>
      <c r="M15" t="s">
        <v>43</v>
      </c>
      <c r="N15" t="s">
        <v>43</v>
      </c>
      <c r="O15" s="12" t="n">
        <v>125923209.183979</v>
      </c>
      <c r="P15" s="12" t="n">
        <v>176892669.390377</v>
      </c>
      <c r="Q15" s="12" t="n">
        <v>282107557.213436</v>
      </c>
      <c r="R15" s="12" t="n">
        <v>285360018.131002</v>
      </c>
      <c r="S15" s="12" t="n">
        <v>593636972.433457</v>
      </c>
      <c r="T15" s="12" t="n">
        <v>410312251.430242</v>
      </c>
      <c r="U15" s="12" t="n">
        <v>273395074.47013</v>
      </c>
      <c r="V15" s="12" t="n">
        <v>769889672.662496</v>
      </c>
      <c r="W15" s="12" t="n">
        <v>473810410.518439</v>
      </c>
      <c r="X15" s="12" t="n">
        <v>633617071.973962</v>
      </c>
      <c r="Y15" s="12" t="n">
        <v>813649112.210915</v>
      </c>
      <c r="Z15" s="12" t="n">
        <v>894917699.706487</v>
      </c>
      <c r="AA15" s="12" t="n">
        <v>1826477436.44804</v>
      </c>
      <c r="AB15" s="12" t="n">
        <v>1701750315.78371</v>
      </c>
      <c r="AC15" s="12" t="n">
        <v>1411872752.72233</v>
      </c>
      <c r="AD15" s="12" t="n">
        <v>1106526650.03177</v>
      </c>
      <c r="AE15" s="12" t="n">
        <v>1171759268.21297</v>
      </c>
      <c r="AF15" s="12" t="n">
        <v>714697585.669326</v>
      </c>
      <c r="AG15" s="12" t="n">
        <v>621148789.886983</v>
      </c>
      <c r="AH15" s="12" t="n">
        <v>769732691.254607</v>
      </c>
      <c r="AI15" s="12" t="n">
        <v>696841677.158577</v>
      </c>
      <c r="AJ15" s="12" t="n">
        <v>468160229.397552</v>
      </c>
      <c r="AK15" s="12" t="n">
        <v>488153638.523021</v>
      </c>
      <c r="AL15" s="12" t="n">
        <v>448958262.794657</v>
      </c>
      <c r="AM15" s="12" t="n">
        <v>384629984.869628</v>
      </c>
      <c r="AN15" s="12" t="n">
        <v>455655771.384391</v>
      </c>
      <c r="AO15" s="12" t="n">
        <v>418676525.712079</v>
      </c>
      <c r="AP15" s="12" t="n">
        <v>414213960.703033</v>
      </c>
      <c r="AQ15" s="12" t="n">
        <v>477567763.535636</v>
      </c>
      <c r="AR15" s="12" t="n">
        <v>506365275.139876</v>
      </c>
      <c r="AS15" s="12" t="n">
        <v>481171663.800512</v>
      </c>
      <c r="AT15" s="12" t="n">
        <v>541712599.731078</v>
      </c>
      <c r="AU15" s="12" t="n">
        <v>492104777.868532</v>
      </c>
      <c r="AV15" s="12" t="n">
        <v>645410106.1696</v>
      </c>
      <c r="AW15" s="12" t="n">
        <v>706968527.965769</v>
      </c>
      <c r="AX15" s="12" t="n">
        <v>219856479.495138</v>
      </c>
      <c r="AY15" s="12"/>
    </row>
    <row r="16">
      <c r="A16" t="str">
        <f>M16</f>
      </c>
      <c r="B16" t="str">
        <f>N16</f>
      </c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</row>
  </sheetData>
  <pageMargins left="0.7" right="0.7" top="0.75" bottom="0.75" header="0.3" footer="0.3"/>
  <pageSetup paperSize="9" orientation="portrait" horizontalDpi="300" verticalDpi="300"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M1" t="s">
        <v>45</v>
      </c>
      <c r="N1" t="s">
        <v>45</v>
      </c>
      <c r="O1" t="s">
        <v>46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M2" t="s">
        <v>47</v>
      </c>
      <c r="N2" t="s">
        <v>52</v>
      </c>
      <c r="O2" t="s">
        <v>52</v>
      </c>
      <c r="P2" s="3"/>
      <c r="Q2" s="3"/>
      <c r="R2" s="3" t="n">
        <v>229000</v>
      </c>
      <c r="S2" s="3"/>
      <c r="T2" s="3"/>
      <c r="U2" s="3"/>
      <c r="V2" s="3"/>
      <c r="W2" s="3" t="n">
        <v>28563387</v>
      </c>
      <c r="X2" s="3" t="n">
        <v>13951376</v>
      </c>
      <c r="Y2" s="3" t="n">
        <v>24770561</v>
      </c>
      <c r="Z2" s="3" t="n">
        <v>320538683</v>
      </c>
      <c r="AA2" s="3" t="n">
        <v>432788435</v>
      </c>
      <c r="AB2" s="3" t="n">
        <v>780298065</v>
      </c>
      <c r="AC2" s="3" t="n">
        <v>665235544</v>
      </c>
      <c r="AD2" s="3" t="n">
        <v>757233366.49</v>
      </c>
      <c r="AE2" s="3" t="n">
        <v>803798139.8198</v>
      </c>
      <c r="AF2" s="3" t="n">
        <v>688398227.5294</v>
      </c>
      <c r="AG2" s="3" t="n">
        <v>702293995.3092</v>
      </c>
      <c r="AH2" s="3" t="n">
        <v>471628806.0348</v>
      </c>
      <c r="AI2" s="3" t="n">
        <v>480834626.5032</v>
      </c>
      <c r="AJ2" s="3" t="n">
        <v>2207101804.554</v>
      </c>
      <c r="AK2" s="3" t="n">
        <v>713710110.1468</v>
      </c>
      <c r="AL2" s="3" t="n">
        <v>559266700.9425</v>
      </c>
      <c r="AM2" s="3" t="n">
        <v>448624934.0483</v>
      </c>
      <c r="AN2" s="3" t="n">
        <v>633829987.4618</v>
      </c>
      <c r="AO2" s="3" t="n">
        <v>506989326.035</v>
      </c>
      <c r="AP2" s="3" t="n">
        <v>1129069715.038</v>
      </c>
      <c r="AQ2" s="3" t="n">
        <v>319862672.9312</v>
      </c>
      <c r="AR2" s="3" t="n">
        <v>390634038.1385</v>
      </c>
      <c r="AS2" s="3" t="n">
        <v>242226745.0399</v>
      </c>
      <c r="AT2" s="3" t="n">
        <v>314714626.2189</v>
      </c>
      <c r="AU2" s="3" t="n">
        <v>379215964.8456</v>
      </c>
      <c r="AV2" s="3" t="n">
        <v>452727503.9615</v>
      </c>
      <c r="AW2" s="3" t="n">
        <v>477462206.6811</v>
      </c>
      <c r="AX2" s="3" t="n">
        <v>411746576.4</v>
      </c>
      <c r="AY2" s="3" t="n">
        <v>79224684.7</v>
      </c>
      <c r="AZ2" s="3"/>
    </row>
    <row r="3">
      <c r="A3" t="str">
        <f>N3</f>
      </c>
      <c r="B3" t="str">
        <f>O3</f>
      </c>
      <c r="M3" t="s">
        <v>49</v>
      </c>
      <c r="N3"/>
      <c r="O3" t="s">
        <v>58</v>
      </c>
      <c r="P3" s="3" t="n">
        <v>0</v>
      </c>
      <c r="Q3" s="3"/>
      <c r="R3" s="3"/>
      <c r="S3" s="3"/>
      <c r="T3" s="3"/>
      <c r="U3" s="3" t="n">
        <v>9193</v>
      </c>
      <c r="V3" s="3"/>
      <c r="W3" s="3"/>
      <c r="X3" s="3"/>
      <c r="Y3" s="3"/>
      <c r="Z3" s="3" t="n">
        <v>2894007</v>
      </c>
      <c r="AA3" s="3" t="n">
        <v>9715337.1</v>
      </c>
      <c r="AB3" s="3" t="n">
        <v>22434545.75</v>
      </c>
      <c r="AC3" s="3" t="n">
        <v>36882262.91</v>
      </c>
      <c r="AD3" s="3" t="n">
        <v>60732928.4</v>
      </c>
      <c r="AE3" s="3" t="n">
        <v>109271192.02</v>
      </c>
      <c r="AF3" s="3" t="n">
        <v>414833532.4045</v>
      </c>
      <c r="AG3" s="3" t="n">
        <v>1166186783.7625</v>
      </c>
      <c r="AH3" s="3" t="n">
        <v>2311835404.0266</v>
      </c>
      <c r="AI3" s="3" t="n">
        <v>3259704386.0485</v>
      </c>
      <c r="AJ3" s="3" t="n">
        <v>56540240.8928</v>
      </c>
      <c r="AK3" s="3" t="n">
        <v>7968213.2844</v>
      </c>
      <c r="AL3" s="3" t="n">
        <v>-3798944.3907</v>
      </c>
      <c r="AM3" s="3" t="n">
        <v>-1927663.39</v>
      </c>
      <c r="AN3" s="3" t="n">
        <v>-453257.22</v>
      </c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</row>
    <row r="4">
      <c r="A4" t="str">
        <f>N4</f>
      </c>
      <c r="B4" t="str">
        <f>O4</f>
      </c>
      <c r="M4" t="s">
        <v>49</v>
      </c>
      <c r="N4"/>
      <c r="O4" t="s">
        <v>48</v>
      </c>
      <c r="P4" s="3" t="n">
        <v>77272082.56</v>
      </c>
      <c r="Q4" s="3" t="n">
        <v>47200000</v>
      </c>
      <c r="R4" s="3" t="n">
        <v>55289019</v>
      </c>
      <c r="S4" s="3" t="n">
        <v>71684000</v>
      </c>
      <c r="T4" s="3" t="n">
        <v>57005000</v>
      </c>
      <c r="U4" s="3" t="n">
        <v>71862000</v>
      </c>
      <c r="V4" s="3" t="n">
        <v>152856000</v>
      </c>
      <c r="W4" s="3" t="n">
        <v>1139279713</v>
      </c>
      <c r="X4" s="3" t="n">
        <v>1921812582.02</v>
      </c>
      <c r="Y4" s="3" t="n">
        <v>3934216661.99</v>
      </c>
      <c r="Z4" s="3" t="n">
        <v>15347896871.2731</v>
      </c>
      <c r="AA4" s="3" t="n">
        <v>17532963248.4185</v>
      </c>
      <c r="AB4" s="3" t="n">
        <v>18942203550.6048</v>
      </c>
      <c r="AC4" s="3" t="n">
        <v>25477712382.4181</v>
      </c>
      <c r="AD4" s="3" t="n">
        <v>25080066117.923</v>
      </c>
      <c r="AE4" s="3" t="n">
        <v>29581586706.9939</v>
      </c>
      <c r="AF4" s="3" t="n">
        <v>35507608452.4823</v>
      </c>
      <c r="AG4" s="3" t="n">
        <v>36973729698.0832</v>
      </c>
      <c r="AH4" s="3" t="n">
        <v>47091283556.3663</v>
      </c>
      <c r="AI4" s="3" t="n">
        <v>54371696781.0611</v>
      </c>
      <c r="AJ4" s="3" t="n">
        <v>50766982375.9</v>
      </c>
      <c r="AK4" s="3" t="n">
        <v>46387679940.1174</v>
      </c>
      <c r="AL4" s="3" t="n">
        <v>42396463016.434</v>
      </c>
      <c r="AM4" s="3" t="n">
        <v>33666500110.3529</v>
      </c>
      <c r="AN4" s="3" t="n">
        <v>36788211417.6882</v>
      </c>
      <c r="AO4" s="3" t="n">
        <v>33652911280.9919</v>
      </c>
      <c r="AP4" s="3" t="n">
        <v>33257871037.4075</v>
      </c>
      <c r="AQ4" s="3" t="n">
        <v>34226729850.8762</v>
      </c>
      <c r="AR4" s="3" t="n">
        <v>40749054408.6131</v>
      </c>
      <c r="AS4" s="3" t="n">
        <v>44514955949.7553</v>
      </c>
      <c r="AT4" s="3" t="n">
        <v>52074580234.1158</v>
      </c>
      <c r="AU4" s="3" t="n">
        <v>45256773786.0252</v>
      </c>
      <c r="AV4" s="3" t="n">
        <v>49670581573.2146</v>
      </c>
      <c r="AW4" s="3" t="n">
        <v>56718871419.3924</v>
      </c>
      <c r="AX4" s="3" t="n">
        <v>57100353673.8838</v>
      </c>
      <c r="AY4" s="3" t="n">
        <v>19210521224.55</v>
      </c>
      <c r="AZ4" s="3"/>
    </row>
    <row r="5">
      <c r="A5" t="str">
        <f>N5</f>
      </c>
      <c r="B5" t="str">
        <f>O5</f>
      </c>
      <c r="M5" t="s">
        <v>52</v>
      </c>
      <c r="N5"/>
      <c r="O5" t="s">
        <v>54</v>
      </c>
      <c r="P5" s="3" t="n">
        <v>9638000</v>
      </c>
      <c r="Q5" s="3" t="n">
        <v>6827000</v>
      </c>
      <c r="R5" s="3" t="n">
        <v>320675000</v>
      </c>
      <c r="S5" s="3" t="n">
        <v>13687000</v>
      </c>
      <c r="T5" s="3" t="n">
        <v>4103000</v>
      </c>
      <c r="U5" s="3" t="n">
        <v>-3387118</v>
      </c>
      <c r="V5" s="3" t="n">
        <v>13952000</v>
      </c>
      <c r="W5" s="3" t="n">
        <v>483315587</v>
      </c>
      <c r="X5" s="3" t="n">
        <v>477796309</v>
      </c>
      <c r="Y5" s="3" t="n">
        <v>550972127</v>
      </c>
      <c r="Z5" s="3" t="n">
        <v>2537273698.9317</v>
      </c>
      <c r="AA5" s="3" t="n">
        <v>2771675463.32</v>
      </c>
      <c r="AB5" s="3" t="n">
        <v>3559746163.4</v>
      </c>
      <c r="AC5" s="3" t="n">
        <v>4688023773</v>
      </c>
      <c r="AD5" s="3" t="n">
        <v>6361660625.1563</v>
      </c>
      <c r="AE5" s="3" t="n">
        <v>5739866388.7286</v>
      </c>
      <c r="AF5" s="3" t="n">
        <v>5547565114.9927</v>
      </c>
      <c r="AG5" s="3" t="n">
        <v>4890509606.4107</v>
      </c>
      <c r="AH5" s="3" t="n">
        <v>5462891022.968</v>
      </c>
      <c r="AI5" s="3" t="n">
        <v>4962849384.2297</v>
      </c>
      <c r="AJ5" s="3" t="n">
        <v>4285755751.4415</v>
      </c>
      <c r="AK5" s="3" t="n">
        <v>4744246703.8897</v>
      </c>
      <c r="AL5" s="3" t="n">
        <v>3909466953.7726</v>
      </c>
      <c r="AM5" s="3" t="n">
        <v>3787132001.5735</v>
      </c>
      <c r="AN5" s="3" t="n">
        <v>3319198156.0548</v>
      </c>
      <c r="AO5" s="3" t="n">
        <v>2705748974.6892</v>
      </c>
      <c r="AP5" s="3" t="n">
        <v>2622456546.8725</v>
      </c>
      <c r="AQ5" s="3" t="n">
        <v>2533426072.8956</v>
      </c>
      <c r="AR5" s="3" t="n">
        <v>3125670389.555</v>
      </c>
      <c r="AS5" s="3" t="n">
        <v>2775854420.245</v>
      </c>
      <c r="AT5" s="3" t="n">
        <v>3378485051.7343</v>
      </c>
      <c r="AU5" s="3" t="n">
        <v>3006613205.2751</v>
      </c>
      <c r="AV5" s="3" t="n">
        <v>3040724673.4144</v>
      </c>
      <c r="AW5" s="3" t="n">
        <v>4239566885.4717</v>
      </c>
      <c r="AX5" s="3" t="n">
        <v>4375089289.12</v>
      </c>
      <c r="AY5" s="3" t="n">
        <v>1100812721.12</v>
      </c>
      <c r="AZ5" s="3"/>
    </row>
    <row r="6">
      <c r="A6" t="str">
        <f>N6</f>
      </c>
      <c r="B6" t="str">
        <f>O6</f>
      </c>
      <c r="M6" t="s">
        <v>53</v>
      </c>
      <c r="N6"/>
      <c r="O6" t="s">
        <v>50</v>
      </c>
      <c r="P6" s="3"/>
      <c r="Q6" s="3" t="n">
        <v>0</v>
      </c>
      <c r="R6" s="3" t="n">
        <v>1090000</v>
      </c>
      <c r="S6" s="3" t="n">
        <v>1424000</v>
      </c>
      <c r="T6" s="3" t="n">
        <v>6309413.16</v>
      </c>
      <c r="U6" s="3" t="n">
        <v>36178000</v>
      </c>
      <c r="V6" s="3" t="n">
        <v>46566000</v>
      </c>
      <c r="W6" s="3" t="n">
        <v>43320843</v>
      </c>
      <c r="X6" s="3" t="n">
        <v>59547836</v>
      </c>
      <c r="Y6" s="3" t="n">
        <v>139570138</v>
      </c>
      <c r="Z6" s="3" t="n">
        <v>615402061</v>
      </c>
      <c r="AA6" s="3" t="n">
        <v>745958680</v>
      </c>
      <c r="AB6" s="3" t="n">
        <v>763204574</v>
      </c>
      <c r="AC6" s="3" t="n">
        <v>1089949614.08</v>
      </c>
      <c r="AD6" s="3" t="n">
        <v>954418528.5317</v>
      </c>
      <c r="AE6" s="3" t="n">
        <v>1464531876.6877</v>
      </c>
      <c r="AF6" s="3" t="n">
        <v>1750260990.1871</v>
      </c>
      <c r="AG6" s="3" t="n">
        <v>1239623520.2719</v>
      </c>
      <c r="AH6" s="3" t="n">
        <v>703965703.374</v>
      </c>
      <c r="AI6" s="3" t="n">
        <v>683141130.9328</v>
      </c>
      <c r="AJ6" s="3" t="n">
        <v>1461555443.4388</v>
      </c>
      <c r="AK6" s="3" t="n">
        <v>1594126904.4358</v>
      </c>
      <c r="AL6" s="3" t="n">
        <v>1197342149.3044</v>
      </c>
      <c r="AM6" s="3" t="n">
        <v>1055062689.9626</v>
      </c>
      <c r="AN6" s="3" t="n">
        <v>907606716.2504</v>
      </c>
      <c r="AO6" s="3" t="n">
        <v>831127222.9489</v>
      </c>
      <c r="AP6" s="3" t="n">
        <v>883072002.6422</v>
      </c>
      <c r="AQ6" s="3" t="n">
        <v>842521209.7383</v>
      </c>
      <c r="AR6" s="3" t="n">
        <v>923462534.2812</v>
      </c>
      <c r="AS6" s="3" t="n">
        <v>1162966478.5382</v>
      </c>
      <c r="AT6" s="3" t="n">
        <v>1525451369.4627</v>
      </c>
      <c r="AU6" s="3" t="n">
        <v>1637069248.8302</v>
      </c>
      <c r="AV6" s="3" t="n">
        <v>2551534130.9993</v>
      </c>
      <c r="AW6" s="3" t="n">
        <v>2327551742.2086</v>
      </c>
      <c r="AX6" s="3" t="n">
        <v>3226814882.63</v>
      </c>
      <c r="AY6" s="3" t="n">
        <v>1235843922.89</v>
      </c>
      <c r="AZ6" s="3"/>
    </row>
    <row r="7">
      <c r="A7" t="str">
        <f>N7</f>
      </c>
      <c r="B7" t="str">
        <f>O7</f>
      </c>
      <c r="M7" t="s">
        <v>55</v>
      </c>
      <c r="N7"/>
      <c r="O7" t="s">
        <v>51</v>
      </c>
      <c r="P7" s="3"/>
      <c r="Q7" s="3"/>
      <c r="R7" s="3"/>
      <c r="S7" s="3" t="n">
        <v>4649000</v>
      </c>
      <c r="T7" s="3" t="n">
        <v>13276000</v>
      </c>
      <c r="U7" s="3" t="n">
        <v>10759000</v>
      </c>
      <c r="V7" s="3"/>
      <c r="W7" s="3" t="n">
        <v>67153495</v>
      </c>
      <c r="X7" s="3" t="n">
        <v>88563854</v>
      </c>
      <c r="Y7" s="3" t="n">
        <v>150005828</v>
      </c>
      <c r="Z7" s="3" t="n">
        <v>353605860</v>
      </c>
      <c r="AA7" s="3" t="n">
        <v>501638178</v>
      </c>
      <c r="AB7" s="3" t="n">
        <v>526446374</v>
      </c>
      <c r="AC7" s="3" t="n">
        <v>798199438</v>
      </c>
      <c r="AD7" s="3" t="n">
        <v>911358315.6309</v>
      </c>
      <c r="AE7" s="3" t="n">
        <v>676042983.87</v>
      </c>
      <c r="AF7" s="3" t="n">
        <v>694448016.4002</v>
      </c>
      <c r="AG7" s="3" t="n">
        <v>679765460.9664</v>
      </c>
      <c r="AH7" s="3" t="n">
        <v>559492990.3227</v>
      </c>
      <c r="AI7" s="3" t="n">
        <v>1139154818.4791</v>
      </c>
      <c r="AJ7" s="3" t="n">
        <v>969845816.7901</v>
      </c>
      <c r="AK7" s="3" t="n">
        <v>643487748.8766</v>
      </c>
      <c r="AL7" s="3" t="n">
        <v>543768425.8874</v>
      </c>
      <c r="AM7" s="3" t="n">
        <v>82434551.1216</v>
      </c>
      <c r="AN7" s="3" t="n">
        <v>168378109.9497</v>
      </c>
      <c r="AO7" s="3" t="n">
        <v>165370581.1536</v>
      </c>
      <c r="AP7" s="3" t="n">
        <v>64668392.6153</v>
      </c>
      <c r="AQ7" s="3" t="n">
        <v>49852652.8775</v>
      </c>
      <c r="AR7" s="3" t="n">
        <v>839778098.8481</v>
      </c>
      <c r="AS7" s="3" t="n">
        <v>165662651.9614</v>
      </c>
      <c r="AT7" s="3" t="n">
        <v>68572497.4845</v>
      </c>
      <c r="AU7" s="3" t="n">
        <v>145467602.8879</v>
      </c>
      <c r="AV7" s="3" t="n">
        <v>103136588.3404</v>
      </c>
      <c r="AW7" s="3" t="n">
        <v>120913469.8797</v>
      </c>
      <c r="AX7" s="3" t="n">
        <v>154572207.33</v>
      </c>
      <c r="AY7" s="3" t="n">
        <v>38866270.7</v>
      </c>
      <c r="AZ7" s="3"/>
    </row>
    <row r="8">
      <c r="A8" t="str">
        <f>N8</f>
      </c>
      <c r="B8" t="str">
        <f>O8</f>
      </c>
      <c r="M8" t="s">
        <v>57</v>
      </c>
      <c r="N8"/>
      <c r="O8" t="s">
        <v>56</v>
      </c>
      <c r="P8" s="3"/>
      <c r="Q8" s="3" t="n">
        <v>3000</v>
      </c>
      <c r="R8" s="3"/>
      <c r="S8" s="3"/>
      <c r="T8" s="3" t="n">
        <v>208000</v>
      </c>
      <c r="U8" s="3"/>
      <c r="V8" s="3"/>
      <c r="W8" s="3" t="n">
        <v>12174807</v>
      </c>
      <c r="X8" s="3" t="n">
        <v>1167560</v>
      </c>
      <c r="Y8" s="3" t="n">
        <v>11218529</v>
      </c>
      <c r="Z8" s="3" t="n">
        <v>95357103</v>
      </c>
      <c r="AA8" s="3" t="n">
        <v>96374621</v>
      </c>
      <c r="AB8" s="3" t="n">
        <v>176283335</v>
      </c>
      <c r="AC8" s="3" t="n">
        <v>176782492</v>
      </c>
      <c r="AD8" s="3" t="n">
        <v>66516179.1191</v>
      </c>
      <c r="AE8" s="3" t="n">
        <v>6858606</v>
      </c>
      <c r="AF8" s="3" t="n">
        <v>226945815.1757</v>
      </c>
      <c r="AG8" s="3" t="n">
        <v>514318806.8778</v>
      </c>
      <c r="AH8" s="3" t="n">
        <v>481931252.3148</v>
      </c>
      <c r="AI8" s="3" t="n">
        <v>1558601007.6312</v>
      </c>
      <c r="AJ8" s="3" t="n">
        <v>1457206863.7986</v>
      </c>
      <c r="AK8" s="3" t="n">
        <v>487738998.5735</v>
      </c>
      <c r="AL8" s="3" t="n">
        <v>330776992.5109</v>
      </c>
      <c r="AM8" s="3" t="n">
        <v>428289894.953</v>
      </c>
      <c r="AN8" s="3" t="n">
        <v>342009239.1519</v>
      </c>
      <c r="AO8" s="3" t="n">
        <v>221834279.0135</v>
      </c>
      <c r="AP8" s="3" t="n">
        <v>561574772.9069</v>
      </c>
      <c r="AQ8" s="3" t="n">
        <v>492547013.9469</v>
      </c>
      <c r="AR8" s="3" t="n">
        <v>929266940.303</v>
      </c>
      <c r="AS8" s="3" t="n">
        <v>3216336813.3757</v>
      </c>
      <c r="AT8" s="3" t="n">
        <v>2838201642.9466</v>
      </c>
      <c r="AU8" s="3" t="n">
        <v>889375753.4224</v>
      </c>
      <c r="AV8" s="3" t="n">
        <v>1550412172.409</v>
      </c>
      <c r="AW8" s="3" t="n">
        <v>1147527906.5791</v>
      </c>
      <c r="AX8" s="3" t="n">
        <v>999758699.5344</v>
      </c>
      <c r="AY8" s="3" t="n">
        <v>383964486.56</v>
      </c>
      <c r="AZ8" s="3"/>
    </row>
    <row r="9">
      <c r="A9" t="str">
        <f>N9</f>
      </c>
      <c r="B9" t="str">
        <f>O9</f>
      </c>
      <c r="M9" t="s">
        <v>57</v>
      </c>
      <c r="N9"/>
      <c r="O9"/>
      <c r="P9" s="3" t="n">
        <v>12183236305</v>
      </c>
      <c r="Q9" s="3" t="n">
        <v>18492829868</v>
      </c>
      <c r="R9" s="3" t="n">
        <v>17657715911</v>
      </c>
      <c r="S9" s="3" t="n">
        <v>17178206869</v>
      </c>
      <c r="T9" s="3" t="n">
        <v>20332518544</v>
      </c>
      <c r="U9" s="3" t="n">
        <v>20138032407</v>
      </c>
      <c r="V9" s="3" t="n">
        <v>20283520585</v>
      </c>
      <c r="W9" s="3" t="n">
        <v>20323560226</v>
      </c>
      <c r="X9" s="3" t="n">
        <v>19693593597</v>
      </c>
      <c r="Y9" s="3" t="n">
        <v>20831965741</v>
      </c>
      <c r="Z9" s="3" t="n">
        <v>1526961524.8696</v>
      </c>
      <c r="AA9" s="3" t="n">
        <v>975167745.3599</v>
      </c>
      <c r="AB9" s="3" t="n">
        <v>1292148348.5101</v>
      </c>
      <c r="AC9" s="3" t="n">
        <v>1514088443.6901</v>
      </c>
      <c r="AD9" s="3" t="n">
        <v>1511147160.391</v>
      </c>
      <c r="AE9" s="3" t="n">
        <v>1178212388.1954</v>
      </c>
      <c r="AF9" s="3" t="n">
        <v>719308484.1149</v>
      </c>
      <c r="AG9" s="3" t="n">
        <v>30602316.1805</v>
      </c>
      <c r="AH9" s="3" t="n">
        <v>206782356.8619</v>
      </c>
      <c r="AI9" s="3" t="n">
        <v>-91815520.0685</v>
      </c>
      <c r="AJ9" s="3" t="n">
        <v>31037044.388</v>
      </c>
      <c r="AK9" s="3" t="n">
        <v>2239410.2757</v>
      </c>
      <c r="AL9" s="3" t="n">
        <v>74699365.5414</v>
      </c>
      <c r="AM9" s="3" t="n">
        <v>53238528.2305</v>
      </c>
      <c r="AN9" s="3" t="n">
        <v>38834286.1592</v>
      </c>
      <c r="AO9" s="3" t="n">
        <v>11157219.8612</v>
      </c>
      <c r="AP9" s="3" t="n">
        <v>26826606.5648</v>
      </c>
      <c r="AQ9" s="3" t="n">
        <v>15260684.2725</v>
      </c>
      <c r="AR9" s="3" t="n">
        <v>0</v>
      </c>
      <c r="AS9" s="3" t="n">
        <v>0</v>
      </c>
      <c r="AT9" s="3" t="n">
        <v>0</v>
      </c>
      <c r="AU9" s="3" t="n">
        <v>0</v>
      </c>
      <c r="AV9" s="3" t="n">
        <v>0</v>
      </c>
      <c r="AW9" s="3" t="n">
        <v>0</v>
      </c>
      <c r="AX9" s="3" t="n">
        <v>0</v>
      </c>
      <c r="AY9" s="3" t="n">
        <v>0</v>
      </c>
      <c r="AZ9" s="3"/>
    </row>
    <row r="10">
      <c r="A10" t="str">
        <f>N10</f>
      </c>
      <c r="B10" t="str">
        <f>O10</f>
      </c>
      <c r="N10" t="s">
        <v>193</v>
      </c>
      <c r="O10" t="s">
        <v>194</v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 t="str">
        <f>Sum(AY2:AY9)</f>
      </c>
      <c r="AZ10" s="3"/>
    </row>
    <row r="13">
      <c r="A13" t="str">
        <f>N13</f>
      </c>
      <c r="B13" t="str">
        <f>O13</f>
      </c>
      <c r="M13" t="s">
        <v>45</v>
      </c>
      <c r="N13" t="s">
        <v>45</v>
      </c>
      <c r="O13" t="s">
        <v>46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M14" t="s">
        <v>47</v>
      </c>
      <c r="N14" t="s">
        <v>52</v>
      </c>
      <c r="O14" t="s">
        <v>52</v>
      </c>
      <c r="P14" s="3"/>
      <c r="Q14" s="3"/>
      <c r="R14" s="3" t="n">
        <v>446122.406707496</v>
      </c>
      <c r="S14" s="3"/>
      <c r="T14" s="3"/>
      <c r="U14" s="3"/>
      <c r="V14" s="3"/>
      <c r="W14" s="3" t="n">
        <v>50248344.8973064</v>
      </c>
      <c r="X14" s="3" t="n">
        <v>24239175.4866107</v>
      </c>
      <c r="Y14" s="3" t="n">
        <v>42510085.4738499</v>
      </c>
      <c r="Z14" s="3" t="n">
        <v>538881104.766551</v>
      </c>
      <c r="AA14" s="3" t="n">
        <v>710373594.602855</v>
      </c>
      <c r="AB14" s="3" t="n">
        <v>1260934403.28577</v>
      </c>
      <c r="AC14" s="3" t="n">
        <v>1054751302.8285</v>
      </c>
      <c r="AD14" s="3" t="n">
        <v>1171997933.96022</v>
      </c>
      <c r="AE14" s="3" t="n">
        <v>1207329137.2072</v>
      </c>
      <c r="AF14" s="3" t="n">
        <v>1001463134.32088</v>
      </c>
      <c r="AG14" s="3" t="n">
        <v>994305590.674049</v>
      </c>
      <c r="AH14" s="3" t="n">
        <v>654149850.350724</v>
      </c>
      <c r="AI14" s="3" t="n">
        <v>660167392.010011</v>
      </c>
      <c r="AJ14" s="3" t="n">
        <v>3004247515.42325</v>
      </c>
      <c r="AK14" s="3" t="n">
        <v>952367656.333313</v>
      </c>
      <c r="AL14" s="3" t="n">
        <v>732979237.816309</v>
      </c>
      <c r="AM14" s="3" t="n">
        <v>577492836.449941</v>
      </c>
      <c r="AN14" s="3" t="n">
        <v>801280308.315496</v>
      </c>
      <c r="AO14" s="3" t="n">
        <v>634360260.64027</v>
      </c>
      <c r="AP14" s="3" t="n">
        <v>1401520644.43397</v>
      </c>
      <c r="AQ14" s="3" t="n">
        <v>390456364.922122</v>
      </c>
      <c r="AR14" s="3" t="n">
        <v>466490872.81643</v>
      </c>
      <c r="AS14" s="3" t="n">
        <v>284013243.484521</v>
      </c>
      <c r="AT14" s="3" t="n">
        <v>364247790.052567</v>
      </c>
      <c r="AU14" s="3" t="n">
        <v>424297826.110307</v>
      </c>
      <c r="AV14" s="3" t="n">
        <v>473438245.603204</v>
      </c>
      <c r="AW14" s="3" t="n">
        <v>477462206.6811</v>
      </c>
      <c r="AX14" s="3" t="n">
        <v>401036500.431904</v>
      </c>
      <c r="AY14" s="3" t="n">
        <v>75507161.6309332</v>
      </c>
      <c r="AZ14" s="3"/>
    </row>
    <row r="15">
      <c r="A15" t="str">
        <f>N15</f>
      </c>
      <c r="B15" t="str">
        <f>O15</f>
      </c>
      <c r="M15" t="s">
        <v>49</v>
      </c>
      <c r="N15"/>
      <c r="O15" t="s">
        <v>58</v>
      </c>
      <c r="P15" s="3" t="n">
        <v>0</v>
      </c>
      <c r="Q15" s="3"/>
      <c r="R15" s="3"/>
      <c r="S15" s="3"/>
      <c r="T15" s="3"/>
      <c r="U15" s="3" t="n">
        <v>16769.1200068</v>
      </c>
      <c r="V15" s="3"/>
      <c r="W15" s="3"/>
      <c r="X15" s="3"/>
      <c r="Y15" s="3"/>
      <c r="Z15" s="3" t="n">
        <v>4865327.56285809</v>
      </c>
      <c r="AA15" s="3" t="n">
        <v>15946634.3838543</v>
      </c>
      <c r="AB15" s="3" t="n">
        <v>36253441.8924435</v>
      </c>
      <c r="AC15" s="3" t="n">
        <v>58477955.9758247</v>
      </c>
      <c r="AD15" s="3" t="n">
        <v>93998587.1701468</v>
      </c>
      <c r="AE15" s="3" t="n">
        <v>164128638.08404</v>
      </c>
      <c r="AF15" s="3" t="n">
        <v>603488610.181624</v>
      </c>
      <c r="AG15" s="3" t="n">
        <v>1651083515.75002</v>
      </c>
      <c r="AH15" s="3" t="n">
        <v>3206519118.91047</v>
      </c>
      <c r="AI15" s="3" t="n">
        <v>4475448365.5035</v>
      </c>
      <c r="AJ15" s="3" t="n">
        <v>76961052.6678678</v>
      </c>
      <c r="AK15" s="3" t="n">
        <v>10632704.375264</v>
      </c>
      <c r="AL15" s="3" t="n">
        <v>-4978925.72418345</v>
      </c>
      <c r="AM15" s="3" t="n">
        <v>-2481386.37495338</v>
      </c>
      <c r="AN15" s="3" t="n">
        <v>-573002.369992337</v>
      </c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</row>
    <row r="16">
      <c r="A16" t="str">
        <f>N16</f>
      </c>
      <c r="B16" t="str">
        <f>O16</f>
      </c>
      <c r="M16" t="s">
        <v>49</v>
      </c>
      <c r="N16"/>
      <c r="O16" t="s">
        <v>48</v>
      </c>
      <c r="P16" s="3" t="n">
        <v>159820452.610492</v>
      </c>
      <c r="Q16" s="3" t="n">
        <v>94253296.2524358</v>
      </c>
      <c r="R16" s="3" t="n">
        <v>107710350.309068</v>
      </c>
      <c r="S16" s="3" t="n">
        <v>136448867.588512</v>
      </c>
      <c r="T16" s="3" t="n">
        <v>106189536.906209</v>
      </c>
      <c r="U16" s="3" t="n">
        <v>131084792.98691</v>
      </c>
      <c r="V16" s="3" t="n">
        <v>273674566.07096</v>
      </c>
      <c r="W16" s="3" t="n">
        <v>2004206292.24847</v>
      </c>
      <c r="X16" s="3" t="n">
        <v>3338964732.07799</v>
      </c>
      <c r="Y16" s="3" t="n">
        <v>6751719776.30378</v>
      </c>
      <c r="Z16" s="3" t="n">
        <v>25802475833.579</v>
      </c>
      <c r="AA16" s="3" t="n">
        <v>28778389438.2917</v>
      </c>
      <c r="AB16" s="3" t="n">
        <v>30609938948.1371</v>
      </c>
      <c r="AC16" s="3" t="n">
        <v>40395692278.9522</v>
      </c>
      <c r="AD16" s="3" t="n">
        <v>38817340828.5484</v>
      </c>
      <c r="AE16" s="3" t="n">
        <v>44432438676.9314</v>
      </c>
      <c r="AF16" s="3" t="n">
        <v>51655509022.2725</v>
      </c>
      <c r="AG16" s="3" t="n">
        <v>52347288161.9748</v>
      </c>
      <c r="AH16" s="3" t="n">
        <v>65315679825.0095</v>
      </c>
      <c r="AI16" s="3" t="n">
        <v>74650242067.9417</v>
      </c>
      <c r="AJ16" s="3" t="n">
        <v>69102648710.4673</v>
      </c>
      <c r="AK16" s="3" t="n">
        <v>61899257694.728</v>
      </c>
      <c r="AL16" s="3" t="n">
        <v>55565130367.1808</v>
      </c>
      <c r="AM16" s="3" t="n">
        <v>43337231541.3408</v>
      </c>
      <c r="AN16" s="3" t="n">
        <v>46507217976.8355</v>
      </c>
      <c r="AO16" s="3" t="n">
        <v>42107532595.3512</v>
      </c>
      <c r="AP16" s="3" t="n">
        <v>41283184047.9226</v>
      </c>
      <c r="AQ16" s="3" t="n">
        <v>41780569136.9906</v>
      </c>
      <c r="AR16" s="3" t="n">
        <v>48662072685.9917</v>
      </c>
      <c r="AS16" s="3" t="n">
        <v>52194224138.1233</v>
      </c>
      <c r="AT16" s="3" t="n">
        <v>60270636277.9547</v>
      </c>
      <c r="AU16" s="3" t="n">
        <v>50636978698.9184</v>
      </c>
      <c r="AV16" s="3" t="n">
        <v>51942841537.8832</v>
      </c>
      <c r="AW16" s="3" t="n">
        <v>56718871419.3924</v>
      </c>
      <c r="AX16" s="3" t="n">
        <v>55615097546.1963</v>
      </c>
      <c r="AY16" s="3" t="n">
        <v>18309090614.9933</v>
      </c>
      <c r="AZ16" s="3"/>
    </row>
    <row r="17">
      <c r="A17" t="str">
        <f>N17</f>
      </c>
      <c r="B17" t="str">
        <f>O17</f>
      </c>
      <c r="M17" t="s">
        <v>52</v>
      </c>
      <c r="N17"/>
      <c r="O17" t="s">
        <v>54</v>
      </c>
      <c r="P17" s="3" t="n">
        <v>19934101.3109602</v>
      </c>
      <c r="Q17" s="3" t="n">
        <v>13632780.7948174</v>
      </c>
      <c r="R17" s="3" t="n">
        <v>624717479.349023</v>
      </c>
      <c r="S17" s="3" t="n">
        <v>26052893.9607719</v>
      </c>
      <c r="T17" s="3" t="n">
        <v>7643113.23438606</v>
      </c>
      <c r="U17" s="3" t="n">
        <v>-6178504.1030341</v>
      </c>
      <c r="V17" s="3" t="n">
        <v>24979768.8400981</v>
      </c>
      <c r="W17" s="3" t="n">
        <v>850242595.873526</v>
      </c>
      <c r="X17" s="3" t="n">
        <v>830125184.835237</v>
      </c>
      <c r="Y17" s="3" t="n">
        <v>945552755.647273</v>
      </c>
      <c r="Z17" s="3" t="n">
        <v>4265597029.28407</v>
      </c>
      <c r="AA17" s="3" t="n">
        <v>4549393890.2299</v>
      </c>
      <c r="AB17" s="3" t="n">
        <v>5752425394.5133</v>
      </c>
      <c r="AC17" s="3" t="n">
        <v>7433005086.48518</v>
      </c>
      <c r="AD17" s="3" t="n">
        <v>9846176144.87769</v>
      </c>
      <c r="AE17" s="3" t="n">
        <v>8621453063.25525</v>
      </c>
      <c r="AF17" s="3" t="n">
        <v>8070447781.14637</v>
      </c>
      <c r="AG17" s="3" t="n">
        <v>6923967847.3378</v>
      </c>
      <c r="AH17" s="3" t="n">
        <v>7577037915.05295</v>
      </c>
      <c r="AI17" s="3" t="n">
        <v>6813800742.1635</v>
      </c>
      <c r="AJ17" s="3" t="n">
        <v>5833655267.47002</v>
      </c>
      <c r="AK17" s="3" t="n">
        <v>6330675508.46538</v>
      </c>
      <c r="AL17" s="3" t="n">
        <v>5123777445.0278</v>
      </c>
      <c r="AM17" s="3" t="n">
        <v>4874988962.07931</v>
      </c>
      <c r="AN17" s="3" t="n">
        <v>4196090709.58339</v>
      </c>
      <c r="AO17" s="3" t="n">
        <v>3385514322.8252</v>
      </c>
      <c r="AP17" s="3" t="n">
        <v>3255270193.34597</v>
      </c>
      <c r="AQ17" s="3" t="n">
        <v>3092553207.77774</v>
      </c>
      <c r="AR17" s="3" t="n">
        <v>3732641208.40133</v>
      </c>
      <c r="AS17" s="3" t="n">
        <v>3254716638.3496</v>
      </c>
      <c r="AT17" s="3" t="n">
        <v>3910227270.35223</v>
      </c>
      <c r="AU17" s="3" t="n">
        <v>3364044674.31158</v>
      </c>
      <c r="AV17" s="3" t="n">
        <v>3179827472.70003</v>
      </c>
      <c r="AW17" s="3" t="n">
        <v>4239566885.4717</v>
      </c>
      <c r="AX17" s="3" t="n">
        <v>4261287398.97833</v>
      </c>
      <c r="AY17" s="3" t="n">
        <v>1049158407.80866</v>
      </c>
      <c r="AZ17" s="3"/>
    </row>
    <row r="18">
      <c r="A18" t="str">
        <f>N18</f>
      </c>
      <c r="B18" t="str">
        <f>O18</f>
      </c>
      <c r="M18" t="s">
        <v>53</v>
      </c>
      <c r="N18"/>
      <c r="O18" t="s">
        <v>50</v>
      </c>
      <c r="P18" s="3"/>
      <c r="Q18" s="3" t="n">
        <v>0</v>
      </c>
      <c r="R18" s="3" t="n">
        <v>2123464.73061647</v>
      </c>
      <c r="S18" s="3" t="n">
        <v>2710551.69139615</v>
      </c>
      <c r="T18" s="3" t="n">
        <v>11753243.7787974</v>
      </c>
      <c r="U18" s="3" t="n">
        <v>65992953.7263147</v>
      </c>
      <c r="V18" s="3" t="n">
        <v>83372126.99312</v>
      </c>
      <c r="W18" s="3" t="n">
        <v>76209472.6478363</v>
      </c>
      <c r="X18" s="3" t="n">
        <v>103458644.269348</v>
      </c>
      <c r="Y18" s="3" t="n">
        <v>239523783.735743</v>
      </c>
      <c r="Z18" s="3" t="n">
        <v>1034597569.95162</v>
      </c>
      <c r="AA18" s="3" t="n">
        <v>1224407368.78008</v>
      </c>
      <c r="AB18" s="3" t="n">
        <v>1233311919.21085</v>
      </c>
      <c r="AC18" s="3" t="n">
        <v>1728148451.83363</v>
      </c>
      <c r="AD18" s="3" t="n">
        <v>1477188662.13917</v>
      </c>
      <c r="AE18" s="3" t="n">
        <v>2199771210.58055</v>
      </c>
      <c r="AF18" s="3" t="n">
        <v>2546232379.77102</v>
      </c>
      <c r="AG18" s="3" t="n">
        <v>1755055012.24559</v>
      </c>
      <c r="AH18" s="3" t="n">
        <v>976401470.015734</v>
      </c>
      <c r="AI18" s="3" t="n">
        <v>937926417.784046</v>
      </c>
      <c r="AJ18" s="3" t="n">
        <v>1989429894.23708</v>
      </c>
      <c r="AK18" s="3" t="n">
        <v>2127187050.16401</v>
      </c>
      <c r="AL18" s="3" t="n">
        <v>1569245825.87067</v>
      </c>
      <c r="AM18" s="3" t="n">
        <v>1358130365.07108</v>
      </c>
      <c r="AN18" s="3" t="n">
        <v>1147385582.58916</v>
      </c>
      <c r="AO18" s="3" t="n">
        <v>1039931325.37605</v>
      </c>
      <c r="AP18" s="3" t="n">
        <v>1096162288.06831</v>
      </c>
      <c r="AQ18" s="3" t="n">
        <v>1028465640.92511</v>
      </c>
      <c r="AR18" s="3" t="n">
        <v>1102788803.76874</v>
      </c>
      <c r="AS18" s="3" t="n">
        <v>1363589646.46534</v>
      </c>
      <c r="AT18" s="3" t="n">
        <v>1765543269.58091</v>
      </c>
      <c r="AU18" s="3" t="n">
        <v>1831686922.13024</v>
      </c>
      <c r="AV18" s="3" t="n">
        <v>2668258128.80088</v>
      </c>
      <c r="AW18" s="3" t="n">
        <v>2327551742.2086</v>
      </c>
      <c r="AX18" s="3" t="n">
        <v>3142881136.70766</v>
      </c>
      <c r="AY18" s="3" t="n">
        <v>1177853432.79835</v>
      </c>
      <c r="AZ18" s="3"/>
    </row>
    <row r="19">
      <c r="A19" t="str">
        <f>N19</f>
      </c>
      <c r="B19" t="str">
        <f>O19</f>
      </c>
      <c r="M19" t="s">
        <v>55</v>
      </c>
      <c r="N19"/>
      <c r="O19" t="s">
        <v>51</v>
      </c>
      <c r="P19" s="3"/>
      <c r="Q19" s="3"/>
      <c r="R19" s="3"/>
      <c r="S19" s="3" t="n">
        <v>8849266.02057634</v>
      </c>
      <c r="T19" s="3" t="n">
        <v>24730677.8697805</v>
      </c>
      <c r="U19" s="3" t="n">
        <v>19625689.3454978</v>
      </c>
      <c r="V19" s="3"/>
      <c r="W19" s="3" t="n">
        <v>118135569.070277</v>
      </c>
      <c r="X19" s="3" t="n">
        <v>153871187.96573</v>
      </c>
      <c r="Y19" s="3" t="n">
        <v>257433029.871856</v>
      </c>
      <c r="Z19" s="3" t="n">
        <v>594472762.866897</v>
      </c>
      <c r="AA19" s="3" t="n">
        <v>823382712.839558</v>
      </c>
      <c r="AB19" s="3" t="n">
        <v>850718942.205307</v>
      </c>
      <c r="AC19" s="3" t="n">
        <v>1265569623.78348</v>
      </c>
      <c r="AD19" s="3" t="n">
        <v>1410542786.78697</v>
      </c>
      <c r="AE19" s="3" t="n">
        <v>1015437025.78576</v>
      </c>
      <c r="AF19" s="3" t="n">
        <v>1010264203.64709</v>
      </c>
      <c r="AG19" s="3" t="n">
        <v>962409763.860271</v>
      </c>
      <c r="AH19" s="3" t="n">
        <v>776017603.693333</v>
      </c>
      <c r="AI19" s="3" t="n">
        <v>1564015618.17633</v>
      </c>
      <c r="AJ19" s="3" t="n">
        <v>1320127997.45958</v>
      </c>
      <c r="AK19" s="3" t="n">
        <v>858663637.468657</v>
      </c>
      <c r="AL19" s="3" t="n">
        <v>712667079.38061</v>
      </c>
      <c r="AM19" s="3" t="n">
        <v>106113947.611225</v>
      </c>
      <c r="AN19" s="3" t="n">
        <v>212861597.783282</v>
      </c>
      <c r="AO19" s="3" t="n">
        <v>206916634.287462</v>
      </c>
      <c r="AP19" s="3" t="n">
        <v>80273242.7285536</v>
      </c>
      <c r="AQ19" s="3" t="n">
        <v>60855133.3792545</v>
      </c>
      <c r="AR19" s="3" t="n">
        <v>1002853771.19358</v>
      </c>
      <c r="AS19" s="3" t="n">
        <v>194241090.51234</v>
      </c>
      <c r="AT19" s="3" t="n">
        <v>79365172.7191774</v>
      </c>
      <c r="AU19" s="3" t="n">
        <v>162761047.520622</v>
      </c>
      <c r="AV19" s="3" t="n">
        <v>107854736.047871</v>
      </c>
      <c r="AW19" s="3" t="n">
        <v>120913469.8797</v>
      </c>
      <c r="AX19" s="3" t="n">
        <v>150551578.676485</v>
      </c>
      <c r="AY19" s="3" t="n">
        <v>37042517.6805595</v>
      </c>
      <c r="AZ19" s="3"/>
    </row>
    <row r="20">
      <c r="A20" t="str">
        <f>N20</f>
      </c>
      <c r="B20" t="str">
        <f>O20</f>
      </c>
      <c r="M20" t="s">
        <v>57</v>
      </c>
      <c r="N20"/>
      <c r="O20" t="s">
        <v>56</v>
      </c>
      <c r="P20" s="3"/>
      <c r="Q20" s="3" t="n">
        <v>5990.67560926499</v>
      </c>
      <c r="R20" s="3"/>
      <c r="S20" s="3"/>
      <c r="T20" s="3" t="n">
        <v>387464.672861881</v>
      </c>
      <c r="U20" s="3"/>
      <c r="V20" s="3"/>
      <c r="W20" s="3" t="n">
        <v>21417764.6787526</v>
      </c>
      <c r="X20" s="3" t="n">
        <v>2028523.33211772</v>
      </c>
      <c r="Y20" s="3" t="n">
        <v>19252718.0422302</v>
      </c>
      <c r="Z20" s="3" t="n">
        <v>160311824.242373</v>
      </c>
      <c r="AA20" s="3" t="n">
        <v>158188113.201911</v>
      </c>
      <c r="AB20" s="3" t="n">
        <v>284867708.633176</v>
      </c>
      <c r="AC20" s="3" t="n">
        <v>280294048.380357</v>
      </c>
      <c r="AD20" s="3" t="n">
        <v>102949537.028282</v>
      </c>
      <c r="AE20" s="3" t="n">
        <v>10301833.8239505</v>
      </c>
      <c r="AF20" s="3" t="n">
        <v>330154637.676135</v>
      </c>
      <c r="AG20" s="3" t="n">
        <v>728170920.559064</v>
      </c>
      <c r="AH20" s="3" t="n">
        <v>668439358.553094</v>
      </c>
      <c r="AI20" s="3" t="n">
        <v>2139899054.01544</v>
      </c>
      <c r="AJ20" s="3" t="n">
        <v>1983510724.78476</v>
      </c>
      <c r="AK20" s="3" t="n">
        <v>650834057.651585</v>
      </c>
      <c r="AL20" s="3" t="n">
        <v>433518869.350202</v>
      </c>
      <c r="AM20" s="3" t="n">
        <v>551316539.692434</v>
      </c>
      <c r="AN20" s="3" t="n">
        <v>432363999.835049</v>
      </c>
      <c r="AO20" s="3" t="n">
        <v>277565707.654041</v>
      </c>
      <c r="AP20" s="3" t="n">
        <v>697085952.390327</v>
      </c>
      <c r="AQ20" s="3" t="n">
        <v>601252140.040481</v>
      </c>
      <c r="AR20" s="3" t="n">
        <v>1109720361.61299</v>
      </c>
      <c r="AS20" s="3" t="n">
        <v>3771186581.21353</v>
      </c>
      <c r="AT20" s="3" t="n">
        <v>3284908263.04272</v>
      </c>
      <c r="AU20" s="3" t="n">
        <v>995106308.158691</v>
      </c>
      <c r="AV20" s="3" t="n">
        <v>1621338249.70703</v>
      </c>
      <c r="AW20" s="3" t="n">
        <v>1147527906.5791</v>
      </c>
      <c r="AX20" s="3" t="n">
        <v>973753646.34028</v>
      </c>
      <c r="AY20" s="3" t="n">
        <v>365947414.710559</v>
      </c>
      <c r="AZ20" s="3"/>
    </row>
    <row r="21">
      <c r="A21" t="str">
        <f>N21</f>
      </c>
      <c r="B21" t="str">
        <f>O21</f>
      </c>
      <c r="M21" t="s">
        <v>57</v>
      </c>
      <c r="N21"/>
      <c r="O21"/>
      <c r="P21" s="3" t="n">
        <v>25198367586.5573</v>
      </c>
      <c r="Q21" s="3" t="n">
        <v>36928181612.1716</v>
      </c>
      <c r="R21" s="3" t="n">
        <v>34399575192.8933</v>
      </c>
      <c r="S21" s="3" t="n">
        <v>32698327025.2254</v>
      </c>
      <c r="T21" s="3" t="n">
        <v>37875637721.6784</v>
      </c>
      <c r="U21" s="3" t="n">
        <v>36734154479.9098</v>
      </c>
      <c r="V21" s="3" t="n">
        <v>36315772324.8761</v>
      </c>
      <c r="W21" s="3" t="n">
        <v>35752947077.9228</v>
      </c>
      <c r="X21" s="3" t="n">
        <v>34215726904.6205</v>
      </c>
      <c r="Y21" s="3" t="n">
        <v>35750851352.8709</v>
      </c>
      <c r="Z21" s="3" t="n">
        <v>2567087085.26686</v>
      </c>
      <c r="AA21" s="3" t="n">
        <v>1600628299.1644</v>
      </c>
      <c r="AB21" s="3" t="n">
        <v>2088066573.36165</v>
      </c>
      <c r="AC21" s="3" t="n">
        <v>2400633539.47863</v>
      </c>
      <c r="AD21" s="3" t="n">
        <v>2338858043.32355</v>
      </c>
      <c r="AE21" s="3" t="n">
        <v>1769710671.89293</v>
      </c>
      <c r="AF21" s="3" t="n">
        <v>1046430540.11138</v>
      </c>
      <c r="AG21" s="3" t="n">
        <v>43326661.2972384</v>
      </c>
      <c r="AH21" s="3" t="n">
        <v>286807434.290604</v>
      </c>
      <c r="AI21" s="3" t="n">
        <v>-126059166.891678</v>
      </c>
      <c r="AJ21" s="3" t="n">
        <v>42246788.6602867</v>
      </c>
      <c r="AK21" s="3" t="n">
        <v>2988246.74824695</v>
      </c>
      <c r="AL21" s="3" t="n">
        <v>97901562.7564183</v>
      </c>
      <c r="AM21" s="3" t="n">
        <v>68531341.7576154</v>
      </c>
      <c r="AN21" s="3" t="n">
        <v>49093841.254602</v>
      </c>
      <c r="AO21" s="3" t="n">
        <v>13960248.3439326</v>
      </c>
      <c r="AP21" s="3" t="n">
        <v>33300018.9624338</v>
      </c>
      <c r="AQ21" s="3" t="n">
        <v>18628717.2950193</v>
      </c>
      <c r="AR21" s="3" t="n">
        <v>0</v>
      </c>
      <c r="AS21" s="3" t="n">
        <v>0</v>
      </c>
      <c r="AT21" s="3" t="n">
        <v>0</v>
      </c>
      <c r="AU21" s="3" t="n">
        <v>0</v>
      </c>
      <c r="AV21" s="3" t="n">
        <v>0</v>
      </c>
      <c r="AW21" s="3" t="n">
        <v>0</v>
      </c>
      <c r="AX21" s="3" t="n">
        <v>0</v>
      </c>
      <c r="AY21" s="3" t="n">
        <v>0</v>
      </c>
      <c r="AZ21" s="3"/>
    </row>
    <row r="22">
      <c r="A22" t="str">
        <f>N22</f>
      </c>
      <c r="B22" t="str">
        <f>O22</f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</row>
  </sheetData>
  <pageMargins left="0.7" right="0.7" top="0.75" bottom="0.75" header="0.3" footer="0.3"/>
  <pageSetup paperSize="9" orientation="portrait" horizontalDpi="300" verticalDpi="300"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59</v>
      </c>
      <c r="O1" t="s">
        <v>60</v>
      </c>
      <c r="P1" t="s">
        <v>1</v>
      </c>
      <c r="Q1" t="s">
        <v>2</v>
      </c>
      <c r="R1" t="s">
        <v>3</v>
      </c>
      <c r="S1" t="s">
        <v>4</v>
      </c>
      <c r="T1" t="s">
        <v>5</v>
      </c>
      <c r="U1" t="s">
        <v>6</v>
      </c>
      <c r="V1" t="s">
        <v>7</v>
      </c>
      <c r="W1" t="s">
        <v>8</v>
      </c>
      <c r="X1" t="s">
        <v>9</v>
      </c>
      <c r="Y1" t="s">
        <v>10</v>
      </c>
      <c r="Z1" t="s">
        <v>11</v>
      </c>
      <c r="AA1" t="s">
        <v>12</v>
      </c>
      <c r="AB1" t="s">
        <v>13</v>
      </c>
      <c r="AC1" t="s">
        <v>14</v>
      </c>
      <c r="AD1" t="s">
        <v>15</v>
      </c>
      <c r="AE1" t="s">
        <v>16</v>
      </c>
      <c r="AF1" t="s">
        <v>17</v>
      </c>
      <c r="AG1" t="s">
        <v>18</v>
      </c>
      <c r="AH1" t="s">
        <v>19</v>
      </c>
      <c r="AI1" t="s">
        <v>20</v>
      </c>
      <c r="AJ1" t="s">
        <v>21</v>
      </c>
      <c r="AK1" t="s">
        <v>22</v>
      </c>
      <c r="AL1" t="s">
        <v>23</v>
      </c>
      <c r="AM1" t="s">
        <v>24</v>
      </c>
      <c r="AN1" t="s">
        <v>25</v>
      </c>
      <c r="AO1" t="s">
        <v>26</v>
      </c>
      <c r="AP1" t="s">
        <v>27</v>
      </c>
      <c r="AQ1" t="s">
        <v>28</v>
      </c>
      <c r="AR1" t="s">
        <v>29</v>
      </c>
      <c r="AS1" t="s">
        <v>30</v>
      </c>
      <c r="AT1" t="s">
        <v>31</v>
      </c>
      <c r="AU1" t="s">
        <v>32</v>
      </c>
      <c r="AV1" t="s">
        <v>33</v>
      </c>
      <c r="AW1" t="s">
        <v>34</v>
      </c>
      <c r="AX1" t="s">
        <v>202</v>
      </c>
      <c r="AY1" t="s">
        <v>203</v>
      </c>
    </row>
    <row r="2">
      <c r="A2" t="str">
        <f>N2</f>
      </c>
      <c r="B2" t="str">
        <f>O2</f>
      </c>
      <c r="N2" t="s">
        <v>61</v>
      </c>
      <c r="O2" t="s">
        <v>62</v>
      </c>
      <c r="P2" s="4" t="n">
        <v>51292082.56</v>
      </c>
      <c r="Q2" s="4" t="n">
        <v>15799000</v>
      </c>
      <c r="R2" s="4" t="n">
        <v>26625019</v>
      </c>
      <c r="S2" s="4" t="n">
        <v>21914000</v>
      </c>
      <c r="T2" s="4" t="n">
        <v>8941413.16</v>
      </c>
      <c r="U2" s="4" t="n">
        <v>29288193</v>
      </c>
      <c r="V2" s="4" t="n">
        <v>71392000</v>
      </c>
      <c r="W2" s="4" t="n">
        <v>993226594</v>
      </c>
      <c r="X2" s="4" t="n">
        <v>1152837931.02</v>
      </c>
      <c r="Y2" s="4" t="n">
        <v>1678560718</v>
      </c>
      <c r="Z2" s="4" t="n">
        <v>10966677089.5315</v>
      </c>
      <c r="AA2" s="4" t="n">
        <v>12061548554.27</v>
      </c>
      <c r="AB2" s="4" t="n">
        <v>13452725841.96</v>
      </c>
      <c r="AC2" s="4" t="n">
        <v>14199015747.39</v>
      </c>
      <c r="AD2" s="4" t="n">
        <v>13367195159.5</v>
      </c>
      <c r="AE2" s="4" t="n">
        <v>15011090117.94</v>
      </c>
      <c r="AF2" s="4" t="n">
        <v>18206533999.4</v>
      </c>
      <c r="AG2" s="4" t="n">
        <v>18851856729.58</v>
      </c>
      <c r="AH2" s="4" t="n">
        <v>24329050043.86</v>
      </c>
      <c r="AI2" s="4" t="n">
        <v>30884988487.93</v>
      </c>
      <c r="AJ2" s="4" t="n">
        <v>28775128170.0151</v>
      </c>
      <c r="AK2" s="4" t="n">
        <v>23663111182.9942</v>
      </c>
      <c r="AL2" s="4" t="n">
        <v>21703668101.1561</v>
      </c>
      <c r="AM2" s="4" t="n">
        <v>18509880873.3216</v>
      </c>
      <c r="AN2" s="4" t="n">
        <v>19018646371.9148</v>
      </c>
      <c r="AO2" s="4" t="n">
        <v>17305489468.3361</v>
      </c>
      <c r="AP2" s="4" t="n">
        <v>17593731047.1012</v>
      </c>
      <c r="AQ2" s="4" t="n">
        <v>17900279968.55</v>
      </c>
      <c r="AR2" s="4" t="n">
        <v>20751718237.84</v>
      </c>
      <c r="AS2" s="4" t="n">
        <v>26167824755.09</v>
      </c>
      <c r="AT2" s="4" t="n">
        <v>28005714288.53</v>
      </c>
      <c r="AU2" s="4" t="n">
        <v>23154038451.13</v>
      </c>
      <c r="AV2" s="4" t="n">
        <v>25906020010.7</v>
      </c>
      <c r="AW2" s="4" t="n">
        <v>28481125060.9</v>
      </c>
      <c r="AX2" s="4" t="n">
        <v>27879118784.34</v>
      </c>
      <c r="AY2" s="4" t="n">
        <v>8018023970.57</v>
      </c>
      <c r="AZ2" s="4"/>
    </row>
    <row r="3">
      <c r="A3" t="str">
        <f>N3</f>
      </c>
      <c r="B3" t="str">
        <f>O3</f>
      </c>
      <c r="N3" t="s">
        <v>61</v>
      </c>
      <c r="O3" t="s">
        <v>63</v>
      </c>
      <c r="P3" s="4" t="n">
        <v>2736000</v>
      </c>
      <c r="Q3" s="4" t="n">
        <v>7226000</v>
      </c>
      <c r="R3" s="4" t="n">
        <v>5439000</v>
      </c>
      <c r="S3" s="4" t="n">
        <v>7364000</v>
      </c>
      <c r="T3" s="4" t="n">
        <v>13727000</v>
      </c>
      <c r="U3" s="4" t="n">
        <v>5184000</v>
      </c>
      <c r="V3" s="4" t="n">
        <v>4562000</v>
      </c>
      <c r="W3" s="4" t="n">
        <v>8470406</v>
      </c>
      <c r="X3" s="4" t="n">
        <v>77590839</v>
      </c>
      <c r="Y3" s="4" t="n">
        <v>192428587</v>
      </c>
      <c r="Z3" s="4" t="n">
        <v>602980370</v>
      </c>
      <c r="AA3" s="4" t="n">
        <v>672942744.9</v>
      </c>
      <c r="AB3" s="4" t="n">
        <v>845521603.29</v>
      </c>
      <c r="AC3" s="4" t="n">
        <v>1151094189.82</v>
      </c>
      <c r="AD3" s="4" t="n">
        <v>1463430559.51</v>
      </c>
      <c r="AE3" s="4" t="n">
        <v>1822118252.2</v>
      </c>
      <c r="AF3" s="4" t="n">
        <v>1672208289.96</v>
      </c>
      <c r="AG3" s="4" t="n">
        <v>1868527801.25</v>
      </c>
      <c r="AH3" s="4" t="n">
        <v>1986204178.25</v>
      </c>
      <c r="AI3" s="4" t="n">
        <v>2396353315.17</v>
      </c>
      <c r="AJ3" s="4" t="n">
        <v>2469656603.9355</v>
      </c>
      <c r="AK3" s="4" t="n">
        <v>2321475390.2972</v>
      </c>
      <c r="AL3" s="4" t="n">
        <v>1683029323.8831</v>
      </c>
      <c r="AM3" s="4" t="n">
        <v>1235414929.3634</v>
      </c>
      <c r="AN3" s="4" t="n">
        <v>1496583256.0877</v>
      </c>
      <c r="AO3" s="4" t="n">
        <v>1510783955.8129</v>
      </c>
      <c r="AP3" s="4" t="n">
        <v>1463057069.172</v>
      </c>
      <c r="AQ3" s="4" t="n">
        <v>1536342327.1533</v>
      </c>
      <c r="AR3" s="4" t="n">
        <v>1838561335.12</v>
      </c>
      <c r="AS3" s="4" t="n">
        <v>1839358514.88</v>
      </c>
      <c r="AT3" s="4" t="n">
        <v>1926635473.28</v>
      </c>
      <c r="AU3" s="4" t="n">
        <v>1850917537.75</v>
      </c>
      <c r="AV3" s="4" t="n">
        <v>1853834730.85</v>
      </c>
      <c r="AW3" s="4" t="n">
        <v>2312237183.93</v>
      </c>
      <c r="AX3" s="4" t="n">
        <v>2339640217.02</v>
      </c>
      <c r="AY3" s="4" t="n">
        <v>885696287.36</v>
      </c>
      <c r="AZ3" s="4"/>
    </row>
    <row r="4">
      <c r="A4" t="str">
        <f>N4</f>
      </c>
      <c r="B4" t="str">
        <f>O4</f>
      </c>
      <c r="N4" t="s">
        <v>64</v>
      </c>
      <c r="O4" t="s">
        <v>65</v>
      </c>
      <c r="P4" s="4" t="n">
        <v>682000</v>
      </c>
      <c r="Q4" s="4" t="n">
        <v>661000</v>
      </c>
      <c r="R4" s="4" t="n">
        <v>479000</v>
      </c>
      <c r="S4" s="4" t="n">
        <v>26000</v>
      </c>
      <c r="T4" s="4"/>
      <c r="U4" s="4"/>
      <c r="V4" s="4"/>
      <c r="W4" s="4" t="n">
        <v>134638</v>
      </c>
      <c r="X4" s="4" t="n">
        <v>457852</v>
      </c>
      <c r="Y4" s="4" t="n">
        <v>634697</v>
      </c>
      <c r="Z4" s="4" t="n">
        <v>3899658</v>
      </c>
      <c r="AA4" s="4" t="n">
        <v>6131674</v>
      </c>
      <c r="AB4" s="4" t="n">
        <v>6584364</v>
      </c>
      <c r="AC4" s="4" t="n">
        <v>5445288</v>
      </c>
      <c r="AD4" s="4" t="n">
        <v>20229111</v>
      </c>
      <c r="AE4" s="4" t="n">
        <v>13291376</v>
      </c>
      <c r="AF4" s="4" t="n">
        <v>24467017</v>
      </c>
      <c r="AG4" s="4" t="n">
        <v>10613082.49</v>
      </c>
      <c r="AH4" s="4" t="n">
        <v>15800318.0413</v>
      </c>
      <c r="AI4" s="4" t="n">
        <v>14181477.1564</v>
      </c>
      <c r="AJ4" s="4" t="n">
        <v>297354740.3828</v>
      </c>
      <c r="AK4" s="4" t="n">
        <v>383027360.5023</v>
      </c>
      <c r="AL4" s="4" t="n">
        <v>464904529.6339</v>
      </c>
      <c r="AM4" s="4" t="n">
        <v>432212675.8587</v>
      </c>
      <c r="AN4" s="4" t="n">
        <v>503614293.8332</v>
      </c>
      <c r="AO4" s="4" t="n">
        <v>470878509.5135</v>
      </c>
      <c r="AP4" s="4" t="n">
        <v>660329919.6383</v>
      </c>
      <c r="AQ4" s="4" t="n">
        <v>536962597.6498</v>
      </c>
      <c r="AR4" s="4" t="n">
        <v>1348144447.5701</v>
      </c>
      <c r="AS4" s="4" t="n">
        <v>484656126.2158</v>
      </c>
      <c r="AT4" s="4" t="n">
        <v>520847682.4598</v>
      </c>
      <c r="AU4" s="4" t="n">
        <v>426574743.5733</v>
      </c>
      <c r="AV4" s="4" t="n">
        <v>420918462.3498</v>
      </c>
      <c r="AW4" s="4" t="n">
        <v>674679825.3825</v>
      </c>
      <c r="AX4" s="4" t="n">
        <v>669082813.42</v>
      </c>
      <c r="AY4" s="4" t="n">
        <v>226296495.09</v>
      </c>
      <c r="AZ4" s="4"/>
    </row>
    <row r="5">
      <c r="A5" t="str">
        <f>N5</f>
      </c>
      <c r="B5" t="str">
        <f>O5</f>
      </c>
      <c r="N5" t="s">
        <v>64</v>
      </c>
      <c r="O5" t="s">
        <v>66</v>
      </c>
      <c r="P5" s="4" t="n">
        <v>647000</v>
      </c>
      <c r="Q5" s="4" t="n">
        <v>120000</v>
      </c>
      <c r="R5" s="4" t="n">
        <v>1049000</v>
      </c>
      <c r="S5" s="4" t="n">
        <v>2064000</v>
      </c>
      <c r="T5" s="4" t="n">
        <v>6311000</v>
      </c>
      <c r="U5" s="4" t="n">
        <v>36567000</v>
      </c>
      <c r="V5" s="4" t="n">
        <v>49846000</v>
      </c>
      <c r="W5" s="4" t="n">
        <v>84522659</v>
      </c>
      <c r="X5" s="4" t="n">
        <v>118434244</v>
      </c>
      <c r="Y5" s="4" t="n">
        <v>192687057</v>
      </c>
      <c r="Z5" s="4" t="n">
        <v>648831254</v>
      </c>
      <c r="AA5" s="4" t="n">
        <v>795746043.3198</v>
      </c>
      <c r="AB5" s="4" t="n">
        <v>1143346589.4518</v>
      </c>
      <c r="AC5" s="4" t="n">
        <v>1532457513.1538</v>
      </c>
      <c r="AD5" s="4" t="n">
        <v>1610665203.2631</v>
      </c>
      <c r="AE5" s="4" t="n">
        <v>1412387296.6507</v>
      </c>
      <c r="AF5" s="4" t="n">
        <v>1482230302.3479</v>
      </c>
      <c r="AG5" s="4" t="n">
        <v>1701912545.3883</v>
      </c>
      <c r="AH5" s="4" t="n">
        <v>1600896075.6622</v>
      </c>
      <c r="AI5" s="4" t="n">
        <v>1639091332.395</v>
      </c>
      <c r="AJ5" s="4" t="n">
        <v>1506554445.842</v>
      </c>
      <c r="AK5" s="4" t="n">
        <v>1365108458.9599</v>
      </c>
      <c r="AL5" s="4" t="n">
        <v>1089169263.6071</v>
      </c>
      <c r="AM5" s="4" t="n">
        <v>741573455.9405</v>
      </c>
      <c r="AN5" s="4" t="n">
        <v>779186163.7465</v>
      </c>
      <c r="AO5" s="4" t="n">
        <v>626853620.1244</v>
      </c>
      <c r="AP5" s="4" t="n">
        <v>667230064.0101</v>
      </c>
      <c r="AQ5" s="4" t="n">
        <v>608154107.7818</v>
      </c>
      <c r="AR5" s="4" t="n">
        <v>666310812.4929</v>
      </c>
      <c r="AS5" s="4" t="n">
        <v>624460035.228</v>
      </c>
      <c r="AT5" s="4" t="n">
        <v>719169143.0866</v>
      </c>
      <c r="AU5" s="4" t="n">
        <v>774405169.3669</v>
      </c>
      <c r="AV5" s="4" t="n">
        <v>866114362.8638</v>
      </c>
      <c r="AW5" s="4" t="n">
        <v>991730587.7387</v>
      </c>
      <c r="AX5" s="4" t="n">
        <v>1192050869.64</v>
      </c>
      <c r="AY5" s="4" t="n">
        <v>250027397.8</v>
      </c>
      <c r="AZ5" s="4"/>
    </row>
    <row r="6">
      <c r="A6" t="str">
        <f>N6</f>
      </c>
      <c r="B6" t="str">
        <f>O6</f>
      </c>
      <c r="N6" t="s">
        <v>64</v>
      </c>
      <c r="O6" t="s">
        <v>67</v>
      </c>
      <c r="P6" s="4"/>
      <c r="Q6" s="4"/>
      <c r="R6" s="4"/>
      <c r="S6" s="4"/>
      <c r="T6" s="4"/>
      <c r="U6" s="4" t="n">
        <v>117882</v>
      </c>
      <c r="V6" s="4"/>
      <c r="W6" s="4" t="n">
        <v>240963211</v>
      </c>
      <c r="X6" s="4" t="n">
        <v>343007515</v>
      </c>
      <c r="Y6" s="4" t="n">
        <v>547076377</v>
      </c>
      <c r="Z6" s="4" t="n">
        <v>1632534420.2197</v>
      </c>
      <c r="AA6" s="4" t="n">
        <v>1938592579.5201</v>
      </c>
      <c r="AB6" s="4" t="n">
        <v>2709926492.0601</v>
      </c>
      <c r="AC6" s="4" t="n">
        <v>4409544026.3213</v>
      </c>
      <c r="AD6" s="4" t="n">
        <v>6107044321.3398</v>
      </c>
      <c r="AE6" s="4" t="n">
        <v>6535074757.8474</v>
      </c>
      <c r="AF6" s="4" t="n">
        <v>8705817872.4977</v>
      </c>
      <c r="AG6" s="4" t="n">
        <v>7889330717.6959</v>
      </c>
      <c r="AH6" s="4" t="n">
        <v>11339736858.8419</v>
      </c>
      <c r="AI6" s="4" t="n">
        <v>12744949983.055</v>
      </c>
      <c r="AJ6" s="4" t="n">
        <v>12273843080.9538</v>
      </c>
      <c r="AK6" s="4" t="n">
        <v>11396839554.0924</v>
      </c>
      <c r="AL6" s="4" t="n">
        <v>9555758340.9579</v>
      </c>
      <c r="AM6" s="4" t="n">
        <v>7777441494.8956</v>
      </c>
      <c r="AN6" s="4" t="n">
        <v>9215751394.5244</v>
      </c>
      <c r="AO6" s="4" t="n">
        <v>7640894717.4768</v>
      </c>
      <c r="AP6" s="4" t="n">
        <v>7413004000.0862</v>
      </c>
      <c r="AQ6" s="4" t="n">
        <v>7468652269.3829</v>
      </c>
      <c r="AR6" s="4" t="n">
        <v>9554577873.649</v>
      </c>
      <c r="AS6" s="4" t="n">
        <v>10690427360.011</v>
      </c>
      <c r="AT6" s="4" t="n">
        <v>15927642830.5231</v>
      </c>
      <c r="AU6" s="4" t="n">
        <v>11180203450.3117</v>
      </c>
      <c r="AV6" s="4" t="n">
        <v>13299140416.6856</v>
      </c>
      <c r="AW6" s="4" t="n">
        <v>16104449494.7756</v>
      </c>
      <c r="AX6" s="4" t="n">
        <v>17612292924.2717</v>
      </c>
      <c r="AY6" s="4" t="n">
        <v>4567490183.28</v>
      </c>
      <c r="AZ6" s="4"/>
    </row>
    <row r="7">
      <c r="A7" t="str">
        <f>N7</f>
      </c>
      <c r="B7" t="str">
        <f>O7</f>
      </c>
      <c r="N7" t="s">
        <v>64</v>
      </c>
      <c r="O7" t="s">
        <v>68</v>
      </c>
      <c r="P7" s="4" t="n">
        <v>31553000</v>
      </c>
      <c r="Q7" s="4" t="n">
        <v>30220000</v>
      </c>
      <c r="R7" s="4" t="n">
        <v>343691000</v>
      </c>
      <c r="S7" s="4" t="n">
        <v>60267000</v>
      </c>
      <c r="T7" s="4" t="n">
        <v>51996000</v>
      </c>
      <c r="U7" s="4" t="n">
        <v>43925000</v>
      </c>
      <c r="V7" s="4" t="n">
        <v>86759000</v>
      </c>
      <c r="W7" s="4" t="n">
        <v>530392950</v>
      </c>
      <c r="X7" s="4" t="n">
        <v>981749826</v>
      </c>
      <c r="Y7" s="4" t="n">
        <v>2385996445.99</v>
      </c>
      <c r="Z7" s="4" t="n">
        <v>6817417160.3232</v>
      </c>
      <c r="AA7" s="4" t="n">
        <v>7508782351.1885</v>
      </c>
      <c r="AB7" s="4" t="n">
        <v>7861920791.503</v>
      </c>
      <c r="AC7" s="4" t="n">
        <v>13107462376.4131</v>
      </c>
      <c r="AD7" s="4" t="n">
        <v>13069958915.0291</v>
      </c>
      <c r="AE7" s="4" t="n">
        <v>14688207053.6773</v>
      </c>
      <c r="AF7" s="4" t="n">
        <v>15435306684.591</v>
      </c>
      <c r="AG7" s="4" t="n">
        <v>15858656918.138</v>
      </c>
      <c r="AH7" s="4" t="n">
        <v>18014754542.0148</v>
      </c>
      <c r="AI7" s="4" t="n">
        <v>18684525908.2708</v>
      </c>
      <c r="AJ7" s="4" t="n">
        <v>15913240755.2894</v>
      </c>
      <c r="AK7" s="4" t="n">
        <v>15451587261.2432</v>
      </c>
      <c r="AL7" s="4" t="n">
        <v>14511229333.9844</v>
      </c>
      <c r="AM7" s="4" t="n">
        <v>10822775050.9626</v>
      </c>
      <c r="AN7" s="4" t="n">
        <v>11183772858.6994</v>
      </c>
      <c r="AO7" s="4" t="n">
        <v>10540231636.6298</v>
      </c>
      <c r="AP7" s="4" t="n">
        <v>10748108320.9994</v>
      </c>
      <c r="AQ7" s="4" t="n">
        <v>10429648511.1803</v>
      </c>
      <c r="AR7" s="4" t="n">
        <v>12796350351.1652</v>
      </c>
      <c r="AS7" s="4" t="n">
        <v>12270124351.9907</v>
      </c>
      <c r="AT7" s="4" t="n">
        <v>13098514464.9583</v>
      </c>
      <c r="AU7" s="4" t="n">
        <v>13926445640.0295</v>
      </c>
      <c r="AV7" s="4" t="n">
        <v>15021781810.765</v>
      </c>
      <c r="AW7" s="4" t="n">
        <v>16467671477.4858</v>
      </c>
      <c r="AX7" s="4" t="n">
        <v>16576128536.9465</v>
      </c>
      <c r="AY7" s="4" t="n">
        <v>8101698976.42</v>
      </c>
      <c r="AZ7" s="4"/>
    </row>
    <row r="8">
      <c r="A8" t="str">
        <f>N8</f>
      </c>
      <c r="B8" t="str">
        <f>O8</f>
      </c>
      <c r="N8" t="s">
        <v>64</v>
      </c>
      <c r="O8" t="s">
        <v>69</v>
      </c>
      <c r="P8" s="4"/>
      <c r="Q8" s="4" t="n">
        <v>4000</v>
      </c>
      <c r="R8" s="4"/>
      <c r="S8" s="4"/>
      <c r="T8" s="4"/>
      <c r="U8" s="4" t="n">
        <v>466000</v>
      </c>
      <c r="V8" s="4" t="n">
        <v>1539000</v>
      </c>
      <c r="W8" s="4" t="n">
        <v>11144883</v>
      </c>
      <c r="X8" s="4" t="n">
        <v>17736646</v>
      </c>
      <c r="Y8" s="4" t="n">
        <v>40506313</v>
      </c>
      <c r="Z8" s="4" t="n">
        <v>127589857</v>
      </c>
      <c r="AA8" s="4" t="n">
        <v>82537761</v>
      </c>
      <c r="AB8" s="4" t="n">
        <v>42739274</v>
      </c>
      <c r="AC8" s="4" t="n">
        <v>41854809</v>
      </c>
      <c r="AD8" s="4" t="n">
        <v>64609952</v>
      </c>
      <c r="AE8" s="4" t="n">
        <v>77999428</v>
      </c>
      <c r="AF8" s="4" t="n">
        <v>22804467.4902</v>
      </c>
      <c r="AG8" s="4" t="n">
        <v>16132393.32</v>
      </c>
      <c r="AH8" s="4" t="n">
        <v>3369075.5989</v>
      </c>
      <c r="AI8" s="4" t="n">
        <v>76110.8399</v>
      </c>
      <c r="AJ8" s="4" t="n">
        <v>247544.7852</v>
      </c>
      <c r="AK8" s="4" t="n">
        <v>48821.5107</v>
      </c>
      <c r="AL8" s="4" t="n">
        <v>225766.78</v>
      </c>
      <c r="AM8" s="4" t="n">
        <v>56566.51</v>
      </c>
      <c r="AN8" s="4" t="n">
        <v>60316.69</v>
      </c>
      <c r="AO8" s="4" t="n">
        <v>6976.7998</v>
      </c>
      <c r="AP8" s="4" t="n">
        <v>78653.04</v>
      </c>
      <c r="AQ8" s="4" t="n">
        <v>160375.8401</v>
      </c>
      <c r="AR8" s="4" t="n">
        <v>2203351.9017</v>
      </c>
      <c r="AS8" s="4" t="n">
        <v>1151915.5</v>
      </c>
      <c r="AT8" s="4" t="n">
        <v>1481539.125</v>
      </c>
      <c r="AU8" s="4" t="n">
        <v>1930569.125</v>
      </c>
      <c r="AV8" s="4" t="n">
        <v>1306848.125</v>
      </c>
      <c r="AW8" s="4"/>
      <c r="AX8" s="4" t="n">
        <v>21183.26</v>
      </c>
      <c r="AY8" s="4"/>
      <c r="AZ8" s="4"/>
    </row>
    <row r="9">
      <c r="A9" t="str">
        <f>N9</f>
      </c>
      <c r="B9" t="str">
        <f>O9</f>
      </c>
      <c r="N9"/>
      <c r="O9"/>
      <c r="P9" s="4" t="n">
        <v>12183236305</v>
      </c>
      <c r="Q9" s="4" t="n">
        <v>18492829868</v>
      </c>
      <c r="R9" s="4" t="n">
        <v>17657715911</v>
      </c>
      <c r="S9" s="4" t="n">
        <v>17178015869</v>
      </c>
      <c r="T9" s="4" t="n">
        <v>20332444544</v>
      </c>
      <c r="U9" s="4" t="n">
        <v>20137905407</v>
      </c>
      <c r="V9" s="4" t="n">
        <v>20282796585</v>
      </c>
      <c r="W9" s="4" t="n">
        <v>20228512717</v>
      </c>
      <c r="X9" s="4" t="n">
        <v>19564618261</v>
      </c>
      <c r="Y9" s="4" t="n">
        <v>20604829391</v>
      </c>
      <c r="Z9" s="4" t="n">
        <v>0</v>
      </c>
      <c r="AA9" s="4" t="n">
        <v>0</v>
      </c>
      <c r="AB9" s="4" t="n">
        <v>0</v>
      </c>
      <c r="AC9" s="4" t="n">
        <v>0</v>
      </c>
      <c r="AD9" s="4" t="n">
        <v>0</v>
      </c>
      <c r="AE9" s="4" t="n">
        <v>0</v>
      </c>
      <c r="AF9" s="4" t="n">
        <v>0</v>
      </c>
      <c r="AG9" s="4" t="n">
        <v>0</v>
      </c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 t="n">
        <v>0</v>
      </c>
      <c r="AU9" s="4"/>
      <c r="AV9" s="4" t="n">
        <v>0</v>
      </c>
      <c r="AW9" s="4" t="n">
        <v>0</v>
      </c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193</v>
      </c>
      <c r="O10" t="s">
        <v>194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59</v>
      </c>
      <c r="O13" t="s">
        <v>60</v>
      </c>
      <c r="P13" t="s">
        <v>1</v>
      </c>
      <c r="Q13" t="s">
        <v>2</v>
      </c>
      <c r="R13" t="s">
        <v>3</v>
      </c>
      <c r="S13" t="s">
        <v>4</v>
      </c>
      <c r="T13" t="s">
        <v>5</v>
      </c>
      <c r="U13" t="s">
        <v>6</v>
      </c>
      <c r="V13" t="s">
        <v>7</v>
      </c>
      <c r="W13" t="s">
        <v>8</v>
      </c>
      <c r="X13" t="s">
        <v>9</v>
      </c>
      <c r="Y13" t="s">
        <v>10</v>
      </c>
      <c r="Z13" t="s">
        <v>11</v>
      </c>
      <c r="AA13" t="s">
        <v>12</v>
      </c>
      <c r="AB13" t="s">
        <v>13</v>
      </c>
      <c r="AC13" t="s">
        <v>14</v>
      </c>
      <c r="AD13" t="s">
        <v>15</v>
      </c>
      <c r="AE13" t="s">
        <v>16</v>
      </c>
      <c r="AF13" t="s">
        <v>17</v>
      </c>
      <c r="AG13" t="s">
        <v>18</v>
      </c>
      <c r="AH13" t="s">
        <v>19</v>
      </c>
      <c r="AI13" t="s">
        <v>20</v>
      </c>
      <c r="AJ13" t="s">
        <v>21</v>
      </c>
      <c r="AK13" t="s">
        <v>22</v>
      </c>
      <c r="AL13" t="s">
        <v>23</v>
      </c>
      <c r="AM13" t="s">
        <v>24</v>
      </c>
      <c r="AN13" t="s">
        <v>25</v>
      </c>
      <c r="AO13" t="s">
        <v>26</v>
      </c>
      <c r="AP13" t="s">
        <v>27</v>
      </c>
      <c r="AQ13" t="s">
        <v>28</v>
      </c>
      <c r="AR13" t="s">
        <v>29</v>
      </c>
      <c r="AS13" t="s">
        <v>30</v>
      </c>
      <c r="AT13" t="s">
        <v>31</v>
      </c>
      <c r="AU13" t="s">
        <v>32</v>
      </c>
      <c r="AV13" t="s">
        <v>33</v>
      </c>
      <c r="AW13" t="s">
        <v>34</v>
      </c>
      <c r="AX13" t="s">
        <v>202</v>
      </c>
      <c r="AY13" t="s">
        <v>203</v>
      </c>
    </row>
    <row r="14">
      <c r="A14" t="str">
        <f>N14</f>
      </c>
      <c r="B14" t="str">
        <f>O14</f>
      </c>
      <c r="N14" t="s">
        <v>61</v>
      </c>
      <c r="O14" t="s">
        <v>62</v>
      </c>
      <c r="P14" s="4" t="n">
        <v>106086487.881425</v>
      </c>
      <c r="Q14" s="4" t="n">
        <v>31548894.6502592</v>
      </c>
      <c r="R14" s="4" t="n">
        <v>51869072.2921957</v>
      </c>
      <c r="S14" s="4" t="n">
        <v>41712801.8014433</v>
      </c>
      <c r="T14" s="4" t="n">
        <v>16656162.1392419</v>
      </c>
      <c r="U14" s="4" t="n">
        <v>53425130.338227</v>
      </c>
      <c r="V14" s="4" t="n">
        <v>127820789.638209</v>
      </c>
      <c r="W14" s="4" t="n">
        <v>1747271514.28117</v>
      </c>
      <c r="X14" s="4" t="n">
        <v>2002945151.6191</v>
      </c>
      <c r="Y14" s="4" t="n">
        <v>2880667886.17451</v>
      </c>
      <c r="Z14" s="4" t="n">
        <v>18436885714.7415</v>
      </c>
      <c r="AA14" s="4" t="n">
        <v>19797676901.8184</v>
      </c>
      <c r="AB14" s="4" t="n">
        <v>21739134816.5126</v>
      </c>
      <c r="AC14" s="4" t="n">
        <v>22512973778.2652</v>
      </c>
      <c r="AD14" s="4" t="n">
        <v>20688899622.0479</v>
      </c>
      <c r="AE14" s="4" t="n">
        <v>22547111747.1048</v>
      </c>
      <c r="AF14" s="4" t="n">
        <v>26486373548.0493</v>
      </c>
      <c r="AG14" s="4" t="n">
        <v>26690398417.1969</v>
      </c>
      <c r="AH14" s="4" t="n">
        <v>33744428333.735</v>
      </c>
      <c r="AI14" s="4" t="n">
        <v>42403897678.1142</v>
      </c>
      <c r="AJ14" s="4" t="n">
        <v>39167929242.0416</v>
      </c>
      <c r="AK14" s="4" t="n">
        <v>31575819675.957</v>
      </c>
      <c r="AL14" s="4" t="n">
        <v>28444994268.0194</v>
      </c>
      <c r="AM14" s="4" t="n">
        <v>23826860249.2214</v>
      </c>
      <c r="AN14" s="4" t="n">
        <v>24043145843.6632</v>
      </c>
      <c r="AO14" s="4" t="n">
        <v>21653147799.9663</v>
      </c>
      <c r="AP14" s="4" t="n">
        <v>21839198188.3079</v>
      </c>
      <c r="AQ14" s="4" t="n">
        <v>21850871761.8065</v>
      </c>
      <c r="AR14" s="4" t="n">
        <v>24781473727.5362</v>
      </c>
      <c r="AS14" s="4" t="n">
        <v>30682032169.5007</v>
      </c>
      <c r="AT14" s="4" t="n">
        <v>32413554021.939</v>
      </c>
      <c r="AU14" s="4" t="n">
        <v>25906631289.8744</v>
      </c>
      <c r="AV14" s="4" t="n">
        <v>27091132208.9023</v>
      </c>
      <c r="AW14" s="4" t="n">
        <v>28481125060.9</v>
      </c>
      <c r="AX14" s="4" t="n">
        <v>27153945832.7772</v>
      </c>
      <c r="AY14" s="4" t="n">
        <v>7641787836.69587</v>
      </c>
      <c r="AZ14" s="4"/>
    </row>
    <row r="15">
      <c r="A15" t="str">
        <f>N15</f>
      </c>
      <c r="B15" t="str">
        <f>O15</f>
      </c>
      <c r="N15" t="s">
        <v>61</v>
      </c>
      <c r="O15" t="s">
        <v>63</v>
      </c>
      <c r="P15" s="4" t="n">
        <v>5658819.38024354</v>
      </c>
      <c r="Q15" s="4" t="n">
        <v>14429540.6508496</v>
      </c>
      <c r="R15" s="4" t="n">
        <v>10595894.1924981</v>
      </c>
      <c r="S15" s="4" t="n">
        <v>14017206.9209559</v>
      </c>
      <c r="T15" s="4" t="n">
        <v>25570805.597957</v>
      </c>
      <c r="U15" s="4" t="n">
        <v>9456229.5349996</v>
      </c>
      <c r="V15" s="4" t="n">
        <v>8167840.126758</v>
      </c>
      <c r="W15" s="4" t="n">
        <v>14901029.843142</v>
      </c>
      <c r="X15" s="4" t="n">
        <v>134806628.584475</v>
      </c>
      <c r="Y15" s="4" t="n">
        <v>330236997.094339</v>
      </c>
      <c r="Z15" s="4" t="n">
        <v>1013714553.56652</v>
      </c>
      <c r="AA15" s="4" t="n">
        <v>1104559914.26047</v>
      </c>
      <c r="AB15" s="4" t="n">
        <v>1366333361.73877</v>
      </c>
      <c r="AC15" s="4" t="n">
        <v>1825095046.92215</v>
      </c>
      <c r="AD15" s="4" t="n">
        <v>2265005305.02259</v>
      </c>
      <c r="AE15" s="4" t="n">
        <v>2736876770.84112</v>
      </c>
      <c r="AF15" s="4" t="n">
        <v>2432683421.20938</v>
      </c>
      <c r="AG15" s="4" t="n">
        <v>2645455680.2736</v>
      </c>
      <c r="AH15" s="4" t="n">
        <v>2754868127.94965</v>
      </c>
      <c r="AI15" s="4" t="n">
        <v>3290100652.5157</v>
      </c>
      <c r="AJ15" s="4" t="n">
        <v>3361630034.92317</v>
      </c>
      <c r="AK15" s="4" t="n">
        <v>3097753619.09621</v>
      </c>
      <c r="AL15" s="4" t="n">
        <v>2205791170.76589</v>
      </c>
      <c r="AM15" s="4" t="n">
        <v>1590288942.06282</v>
      </c>
      <c r="AN15" s="4" t="n">
        <v>1891962697.53651</v>
      </c>
      <c r="AO15" s="4" t="n">
        <v>1890338227.58321</v>
      </c>
      <c r="AP15" s="4" t="n">
        <v>1816101042.40605</v>
      </c>
      <c r="AQ15" s="4" t="n">
        <v>1875413079.1163</v>
      </c>
      <c r="AR15" s="4" t="n">
        <v>2195589729.03068</v>
      </c>
      <c r="AS15" s="4" t="n">
        <v>2156665968.72236</v>
      </c>
      <c r="AT15" s="4" t="n">
        <v>2229870031.17867</v>
      </c>
      <c r="AU15" s="4" t="n">
        <v>2070957871.9781</v>
      </c>
      <c r="AV15" s="4" t="n">
        <v>1938641356.95752</v>
      </c>
      <c r="AW15" s="4" t="n">
        <v>2312237183.93</v>
      </c>
      <c r="AX15" s="4" t="n">
        <v>2278783063.8619</v>
      </c>
      <c r="AY15" s="4" t="n">
        <v>844136054.044895</v>
      </c>
      <c r="AZ15" s="4"/>
    </row>
    <row r="16">
      <c r="A16" t="str">
        <f>N16</f>
      </c>
      <c r="B16" t="str">
        <f>O16</f>
      </c>
      <c r="N16" t="s">
        <v>64</v>
      </c>
      <c r="O16" t="s">
        <v>65</v>
      </c>
      <c r="P16" s="4" t="n">
        <v>1410568.28118644</v>
      </c>
      <c r="Q16" s="4" t="n">
        <v>1319945.52590805</v>
      </c>
      <c r="R16" s="4" t="n">
        <v>933155.601803016</v>
      </c>
      <c r="S16" s="4" t="n">
        <v>49490.4100957163</v>
      </c>
      <c r="T16" s="4"/>
      <c r="U16" s="4"/>
      <c r="V16" s="4"/>
      <c r="W16" s="4" t="n">
        <v>236853.446696764</v>
      </c>
      <c r="X16" s="4" t="n">
        <v>795473.864004217</v>
      </c>
      <c r="Y16" s="4" t="n">
        <v>1089237.49122985</v>
      </c>
      <c r="Z16" s="4" t="n">
        <v>6556001.26506953</v>
      </c>
      <c r="AA16" s="4" t="n">
        <v>10064454.0104517</v>
      </c>
      <c r="AB16" s="4" t="n">
        <v>10640102.1145122</v>
      </c>
      <c r="AC16" s="4" t="n">
        <v>8633670.68112705</v>
      </c>
      <c r="AD16" s="4" t="n">
        <v>31309339.1641572</v>
      </c>
      <c r="AE16" s="4" t="n">
        <v>19964049.0857244</v>
      </c>
      <c r="AF16" s="4" t="n">
        <v>35593954.9993331</v>
      </c>
      <c r="AG16" s="4" t="n">
        <v>15025968.2192581</v>
      </c>
      <c r="AH16" s="4" t="n">
        <v>21915064.4531403</v>
      </c>
      <c r="AI16" s="4" t="n">
        <v>19470621.0267655</v>
      </c>
      <c r="AJ16" s="4" t="n">
        <v>404751261.655043</v>
      </c>
      <c r="AK16" s="4" t="n">
        <v>511107891.631351</v>
      </c>
      <c r="AL16" s="4" t="n">
        <v>609307450.656607</v>
      </c>
      <c r="AM16" s="4" t="n">
        <v>556366142.824302</v>
      </c>
      <c r="AN16" s="4" t="n">
        <v>636663181.953154</v>
      </c>
      <c r="AO16" s="4" t="n">
        <v>589177323.240657</v>
      </c>
      <c r="AP16" s="4" t="n">
        <v>819671276.436065</v>
      </c>
      <c r="AQ16" s="4" t="n">
        <v>655470243.077027</v>
      </c>
      <c r="AR16" s="4" t="n">
        <v>1609939274.68917</v>
      </c>
      <c r="AS16" s="4" t="n">
        <v>568264079.833625</v>
      </c>
      <c r="AT16" s="4" t="n">
        <v>602824277.884134</v>
      </c>
      <c r="AU16" s="4" t="n">
        <v>477286699.797584</v>
      </c>
      <c r="AV16" s="4" t="n">
        <v>440174048.656506</v>
      </c>
      <c r="AW16" s="4" t="n">
        <v>674679825.3825</v>
      </c>
      <c r="AX16" s="4" t="n">
        <v>651679079.736701</v>
      </c>
      <c r="AY16" s="4" t="n">
        <v>215677804.158864</v>
      </c>
      <c r="AZ16" s="4"/>
    </row>
    <row r="17">
      <c r="A17" t="str">
        <f>N17</f>
      </c>
      <c r="B17" t="str">
        <f>O17</f>
      </c>
      <c r="N17" t="s">
        <v>64</v>
      </c>
      <c r="O17" t="s">
        <v>66</v>
      </c>
      <c r="P17" s="4" t="n">
        <v>1338178.41338361</v>
      </c>
      <c r="Q17" s="4" t="n">
        <v>239627.0243706</v>
      </c>
      <c r="R17" s="4" t="n">
        <v>2043591.2866208</v>
      </c>
      <c r="S17" s="4" t="n">
        <v>3928777.17067532</v>
      </c>
      <c r="T17" s="4" t="n">
        <v>11756199.7616891</v>
      </c>
      <c r="U17" s="4" t="n">
        <v>66702535.76511</v>
      </c>
      <c r="V17" s="4" t="n">
        <v>89244664.392455</v>
      </c>
      <c r="W17" s="4" t="n">
        <v>148691180.113529</v>
      </c>
      <c r="X17" s="4" t="n">
        <v>205768120.932306</v>
      </c>
      <c r="Y17" s="4" t="n">
        <v>330680571.294876</v>
      </c>
      <c r="Z17" s="4" t="n">
        <v>1090797839.71842</v>
      </c>
      <c r="AA17" s="4" t="n">
        <v>1306127732.32743</v>
      </c>
      <c r="AB17" s="4" t="n">
        <v>1847608131.02776</v>
      </c>
      <c r="AC17" s="4" t="n">
        <v>2429758260.97515</v>
      </c>
      <c r="AD17" s="4" t="n">
        <v>2492885778.76065</v>
      </c>
      <c r="AE17" s="4" t="n">
        <v>2121448472.93374</v>
      </c>
      <c r="AF17" s="4" t="n">
        <v>2156308579.84932</v>
      </c>
      <c r="AG17" s="4" t="n">
        <v>2409562334.32247</v>
      </c>
      <c r="AH17" s="4" t="n">
        <v>2220445220.73619</v>
      </c>
      <c r="AI17" s="4" t="n">
        <v>2250409164.66988</v>
      </c>
      <c r="AJ17" s="4" t="n">
        <v>2050681324.00231</v>
      </c>
      <c r="AK17" s="4" t="n">
        <v>1821587119.50012</v>
      </c>
      <c r="AL17" s="4" t="n">
        <v>1427473610.25838</v>
      </c>
      <c r="AM17" s="4" t="n">
        <v>954591075.985442</v>
      </c>
      <c r="AN17" s="4" t="n">
        <v>985037852.219942</v>
      </c>
      <c r="AO17" s="4" t="n">
        <v>784338062.805606</v>
      </c>
      <c r="AP17" s="4" t="n">
        <v>828236464.801185</v>
      </c>
      <c r="AQ17" s="4" t="n">
        <v>742373719.511853</v>
      </c>
      <c r="AR17" s="4" t="n">
        <v>795701045.326299</v>
      </c>
      <c r="AS17" s="4" t="n">
        <v>732185539.637039</v>
      </c>
      <c r="AT17" s="4" t="n">
        <v>832359697.388482</v>
      </c>
      <c r="AU17" s="4" t="n">
        <v>866467818.739494</v>
      </c>
      <c r="AV17" s="4" t="n">
        <v>905736145.601716</v>
      </c>
      <c r="AW17" s="4" t="n">
        <v>991730587.7387</v>
      </c>
      <c r="AX17" s="4" t="n">
        <v>1161044041.40282</v>
      </c>
      <c r="AY17" s="4" t="n">
        <v>238295162.79345</v>
      </c>
      <c r="AZ17" s="4"/>
    </row>
    <row r="18">
      <c r="A18" t="str">
        <f>N18</f>
      </c>
      <c r="B18" t="str">
        <f>O18</f>
      </c>
      <c r="N18" t="s">
        <v>64</v>
      </c>
      <c r="O18" t="s">
        <v>67</v>
      </c>
      <c r="P18" s="4"/>
      <c r="Q18" s="4"/>
      <c r="R18" s="4"/>
      <c r="S18" s="4"/>
      <c r="T18" s="4"/>
      <c r="U18" s="4" t="n">
        <v>215030.719530251</v>
      </c>
      <c r="V18" s="4"/>
      <c r="W18" s="4" t="n">
        <v>423899397.291029</v>
      </c>
      <c r="X18" s="4" t="n">
        <v>595942604.465055</v>
      </c>
      <c r="Y18" s="4" t="n">
        <v>938867050.568379</v>
      </c>
      <c r="Z18" s="4" t="n">
        <v>2744573427.78005</v>
      </c>
      <c r="AA18" s="4" t="n">
        <v>3181981928.84732</v>
      </c>
      <c r="AB18" s="4" t="n">
        <v>4379146505.01422</v>
      </c>
      <c r="AC18" s="4" t="n">
        <v>6991466930.15854</v>
      </c>
      <c r="AD18" s="4" t="n">
        <v>9452097126.1351</v>
      </c>
      <c r="AE18" s="4" t="n">
        <v>9815880104.85475</v>
      </c>
      <c r="AF18" s="4" t="n">
        <v>12664988526.6387</v>
      </c>
      <c r="AG18" s="4" t="n">
        <v>11169689178.1452</v>
      </c>
      <c r="AH18" s="4" t="n">
        <v>15728231766.8287</v>
      </c>
      <c r="AI18" s="4" t="n">
        <v>17498324637.7234</v>
      </c>
      <c r="AJ18" s="4" t="n">
        <v>16706824535.4915</v>
      </c>
      <c r="AK18" s="4" t="n">
        <v>15207829091.1492</v>
      </c>
      <c r="AL18" s="4" t="n">
        <v>12523850344.94</v>
      </c>
      <c r="AM18" s="4" t="n">
        <v>10011518327.0825</v>
      </c>
      <c r="AN18" s="4" t="n">
        <v>11650442965.5255</v>
      </c>
      <c r="AO18" s="4" t="n">
        <v>9560516791.17369</v>
      </c>
      <c r="AP18" s="4" t="n">
        <v>9201803932.04749</v>
      </c>
      <c r="AQ18" s="4" t="n">
        <v>9116983826.98708</v>
      </c>
      <c r="AR18" s="4" t="n">
        <v>11409971831.7194</v>
      </c>
      <c r="AS18" s="4" t="n">
        <v>12534631335.8265</v>
      </c>
      <c r="AT18" s="4" t="n">
        <v>18434506115.802</v>
      </c>
      <c r="AU18" s="4" t="n">
        <v>12509325711.9849</v>
      </c>
      <c r="AV18" s="4" t="n">
        <v>13907530803.4339</v>
      </c>
      <c r="AW18" s="4" t="n">
        <v>16104449494.7756</v>
      </c>
      <c r="AX18" s="4" t="n">
        <v>17154173765.5393</v>
      </c>
      <c r="AY18" s="4" t="n">
        <v>4353166198.42128</v>
      </c>
      <c r="AZ18" s="4"/>
    </row>
    <row r="19">
      <c r="A19" t="str">
        <f>N19</f>
      </c>
      <c r="B19" t="str">
        <f>O19</f>
      </c>
      <c r="N19" t="s">
        <v>64</v>
      </c>
      <c r="O19" t="s">
        <v>68</v>
      </c>
      <c r="P19" s="4" t="n">
        <v>65260499.9652136</v>
      </c>
      <c r="Q19" s="4" t="n">
        <v>60346072.303996</v>
      </c>
      <c r="R19" s="4" t="n">
        <v>669555703.422297</v>
      </c>
      <c r="S19" s="4" t="n">
        <v>114716867.124559</v>
      </c>
      <c r="T19" s="4" t="n">
        <v>96858716.9717615</v>
      </c>
      <c r="U19" s="4" t="n">
        <v>80124398.596616</v>
      </c>
      <c r="V19" s="4" t="n">
        <v>155333985.435642</v>
      </c>
      <c r="W19" s="4" t="n">
        <v>933060490.434829</v>
      </c>
      <c r="X19" s="4" t="n">
        <v>1705696005.6387</v>
      </c>
      <c r="Y19" s="4" t="n">
        <v>4094736201.54735</v>
      </c>
      <c r="Z19" s="4" t="n">
        <v>11461260327.8507</v>
      </c>
      <c r="AA19" s="4" t="n">
        <v>12324822658.2216</v>
      </c>
      <c r="AB19" s="4" t="n">
        <v>12704589241.6942</v>
      </c>
      <c r="AC19" s="4" t="n">
        <v>20782282520.8168</v>
      </c>
      <c r="AD19" s="4" t="n">
        <v>20228856153.503</v>
      </c>
      <c r="AE19" s="4" t="n">
        <v>22062131610.8202</v>
      </c>
      <c r="AF19" s="4" t="n">
        <v>22454866955.4706</v>
      </c>
      <c r="AG19" s="4" t="n">
        <v>22452635704.715</v>
      </c>
      <c r="AH19" s="4" t="n">
        <v>24986491149.3436</v>
      </c>
      <c r="AI19" s="4" t="n">
        <v>25653133239.406</v>
      </c>
      <c r="AJ19" s="4" t="n">
        <v>21660674601.7639</v>
      </c>
      <c r="AK19" s="4" t="n">
        <v>20618444011.6633</v>
      </c>
      <c r="AL19" s="4" t="n">
        <v>19018528725.3409</v>
      </c>
      <c r="AM19" s="4" t="n">
        <v>13931626595.1619</v>
      </c>
      <c r="AN19" s="4" t="n">
        <v>14138392221.2882</v>
      </c>
      <c r="AO19" s="4" t="n">
        <v>13188254160.1275</v>
      </c>
      <c r="AP19" s="4" t="n">
        <v>13341687851.3885</v>
      </c>
      <c r="AQ19" s="4" t="n">
        <v>12731471940.0435</v>
      </c>
      <c r="AR19" s="4" t="n">
        <v>15281260876.8707</v>
      </c>
      <c r="AS19" s="4" t="n">
        <v>14386841612.3631</v>
      </c>
      <c r="AT19" s="4" t="n">
        <v>15160099179.8649</v>
      </c>
      <c r="AU19" s="4" t="n">
        <v>15582046006.1953</v>
      </c>
      <c r="AV19" s="4" t="n">
        <v>15708977175.2138</v>
      </c>
      <c r="AW19" s="4" t="n">
        <v>16467671477.4858</v>
      </c>
      <c r="AX19" s="4" t="n">
        <v>16144961391.7578</v>
      </c>
      <c r="AY19" s="4" t="n">
        <v>7721536493.50795</v>
      </c>
      <c r="AZ19" s="4"/>
    </row>
    <row r="20">
      <c r="A20" t="str">
        <f>N20</f>
      </c>
      <c r="B20" t="str">
        <f>O20</f>
      </c>
      <c r="N20" t="s">
        <v>64</v>
      </c>
      <c r="O20" t="s">
        <v>69</v>
      </c>
      <c r="P20" s="4"/>
      <c r="Q20" s="4" t="n">
        <v>7987.56747901999</v>
      </c>
      <c r="R20" s="4"/>
      <c r="S20" s="4"/>
      <c r="T20" s="4"/>
      <c r="U20" s="4" t="n">
        <v>850039.151873035</v>
      </c>
      <c r="V20" s="4" t="n">
        <v>2755437.51755383</v>
      </c>
      <c r="W20" s="4" t="n">
        <v>19605935.5574368</v>
      </c>
      <c r="X20" s="4" t="n">
        <v>30815718.4594475</v>
      </c>
      <c r="Y20" s="4" t="n">
        <v>69515051.6720439</v>
      </c>
      <c r="Z20" s="4" t="n">
        <v>214500672.597966</v>
      </c>
      <c r="AA20" s="4" t="n">
        <v>135476462.008605</v>
      </c>
      <c r="AB20" s="4" t="n">
        <v>69065173.1374691</v>
      </c>
      <c r="AC20" s="4" t="n">
        <v>66362079.8987074</v>
      </c>
      <c r="AD20" s="4" t="n">
        <v>99999199.2009889</v>
      </c>
      <c r="AE20" s="4" t="n">
        <v>117157501.920826</v>
      </c>
      <c r="AF20" s="4" t="n">
        <v>33175322.9104281</v>
      </c>
      <c r="AG20" s="4" t="n">
        <v>22840190.8263027</v>
      </c>
      <c r="AH20" s="4" t="n">
        <v>4672912.83026104</v>
      </c>
      <c r="AI20" s="4" t="n">
        <v>104497.246893138</v>
      </c>
      <c r="AJ20" s="4" t="n">
        <v>336951.292576811</v>
      </c>
      <c r="AK20" s="4" t="n">
        <v>65146.9371989801</v>
      </c>
      <c r="AL20" s="4" t="n">
        <v>295891.677530174</v>
      </c>
      <c r="AM20" s="4" t="n">
        <v>72815.2891842096</v>
      </c>
      <c r="AN20" s="4" t="n">
        <v>76251.6398968627</v>
      </c>
      <c r="AO20" s="4" t="n">
        <v>8729.58129942454</v>
      </c>
      <c r="AP20" s="4" t="n">
        <v>97632.4648861747</v>
      </c>
      <c r="AQ20" s="4" t="n">
        <v>195770.788047678</v>
      </c>
      <c r="AR20" s="4" t="n">
        <v>2631218.61229448</v>
      </c>
      <c r="AS20" s="4" t="n">
        <v>1350632.26532315</v>
      </c>
      <c r="AT20" s="4" t="n">
        <v>1714719.64503586</v>
      </c>
      <c r="AU20" s="4" t="n">
        <v>2160078.58009537</v>
      </c>
      <c r="AV20" s="4" t="n">
        <v>1366631.97653318</v>
      </c>
      <c r="AW20" s="4"/>
      <c r="AX20" s="4" t="n">
        <v>20632.2552391698</v>
      </c>
      <c r="AY20" s="4"/>
      <c r="AZ20" s="4"/>
    </row>
    <row r="21">
      <c r="A21" t="str">
        <f>N21</f>
      </c>
      <c r="B21" t="str">
        <f>O21</f>
      </c>
      <c r="N21"/>
      <c r="O21"/>
      <c r="P21" s="4" t="n">
        <v>25198367586.5573</v>
      </c>
      <c r="Q21" s="4" t="n">
        <v>36928181612.1716</v>
      </c>
      <c r="R21" s="4" t="n">
        <v>34399575192.8933</v>
      </c>
      <c r="S21" s="4" t="n">
        <v>32697963461.0589</v>
      </c>
      <c r="T21" s="4" t="n">
        <v>37875499873.6697</v>
      </c>
      <c r="U21" s="4" t="n">
        <v>36733922816.8792</v>
      </c>
      <c r="V21" s="4" t="n">
        <v>36314476069.6697</v>
      </c>
      <c r="W21" s="4" t="n">
        <v>35585740716.3711</v>
      </c>
      <c r="X21" s="4" t="n">
        <v>33991644649.0244</v>
      </c>
      <c r="Y21" s="4" t="n">
        <v>35361050506.1029</v>
      </c>
      <c r="Z21" s="4" t="n">
        <v>0</v>
      </c>
      <c r="AA21" s="4" t="n">
        <v>0</v>
      </c>
      <c r="AB21" s="4" t="n">
        <v>0</v>
      </c>
      <c r="AC21" s="4" t="n">
        <v>0</v>
      </c>
      <c r="AD21" s="4" t="n">
        <v>0</v>
      </c>
      <c r="AE21" s="4" t="n">
        <v>0</v>
      </c>
      <c r="AF21" s="4" t="n">
        <v>0</v>
      </c>
      <c r="AG21" s="4" t="n">
        <v>0</v>
      </c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 t="n">
        <v>0</v>
      </c>
      <c r="AU21" s="4"/>
      <c r="AV21" s="4" t="n">
        <v>0</v>
      </c>
      <c r="AW21" s="4" t="n">
        <v>0</v>
      </c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59</v>
      </c>
      <c r="N1" t="s">
        <v>60</v>
      </c>
      <c r="O1" t="s">
        <v>1</v>
      </c>
      <c r="P1" t="s">
        <v>2</v>
      </c>
      <c r="Q1" t="s">
        <v>3</v>
      </c>
      <c r="R1" t="s">
        <v>4</v>
      </c>
      <c r="S1" t="s">
        <v>5</v>
      </c>
      <c r="T1" t="s">
        <v>6</v>
      </c>
      <c r="U1" t="s">
        <v>7</v>
      </c>
      <c r="V1" t="s">
        <v>8</v>
      </c>
      <c r="W1" t="s">
        <v>9</v>
      </c>
      <c r="X1" t="s">
        <v>10</v>
      </c>
      <c r="Y1" t="s">
        <v>11</v>
      </c>
      <c r="Z1" t="s">
        <v>12</v>
      </c>
      <c r="AA1" t="s">
        <v>13</v>
      </c>
      <c r="AB1" t="s">
        <v>14</v>
      </c>
      <c r="AC1" t="s">
        <v>15</v>
      </c>
      <c r="AD1" t="s">
        <v>16</v>
      </c>
      <c r="AE1" t="s">
        <v>17</v>
      </c>
      <c r="AF1" t="s">
        <v>18</v>
      </c>
      <c r="AG1" t="s">
        <v>19</v>
      </c>
      <c r="AH1" t="s">
        <v>20</v>
      </c>
      <c r="AI1" t="s">
        <v>21</v>
      </c>
      <c r="AJ1" t="s">
        <v>22</v>
      </c>
      <c r="AK1" t="s">
        <v>23</v>
      </c>
      <c r="AL1" t="s">
        <v>24</v>
      </c>
      <c r="AM1" t="s">
        <v>25</v>
      </c>
      <c r="AN1" t="s">
        <v>26</v>
      </c>
      <c r="AO1" t="s">
        <v>27</v>
      </c>
      <c r="AP1" t="s">
        <v>28</v>
      </c>
      <c r="AQ1" t="s">
        <v>29</v>
      </c>
      <c r="AR1" t="s">
        <v>30</v>
      </c>
      <c r="AS1" t="s">
        <v>31</v>
      </c>
      <c r="AT1" t="s">
        <v>32</v>
      </c>
      <c r="AU1" t="s">
        <v>33</v>
      </c>
      <c r="AV1" t="s">
        <v>34</v>
      </c>
      <c r="AW1" t="s">
        <v>202</v>
      </c>
      <c r="AX1" t="s">
        <v>203</v>
      </c>
    </row>
    <row r="2">
      <c r="A2" t="str">
        <f>M2</f>
      </c>
      <c r="B2" t="str">
        <f>N2</f>
      </c>
      <c r="M2" t="s">
        <v>61</v>
      </c>
      <c r="N2" t="s">
        <v>62</v>
      </c>
      <c r="O2" s="5" t="n">
        <v>51292082.56</v>
      </c>
      <c r="P2" s="5" t="n">
        <v>15799000</v>
      </c>
      <c r="Q2" s="5" t="n">
        <v>26625019</v>
      </c>
      <c r="R2" s="5" t="n">
        <v>21914000</v>
      </c>
      <c r="S2" s="5" t="n">
        <v>8941413.16</v>
      </c>
      <c r="T2" s="5" t="n">
        <v>29288193</v>
      </c>
      <c r="U2" s="5" t="n">
        <v>71392000</v>
      </c>
      <c r="V2" s="5" t="n">
        <v>993226594</v>
      </c>
      <c r="W2" s="5" t="n">
        <v>1152837931.02</v>
      </c>
      <c r="X2" s="5" t="n">
        <v>1678560718</v>
      </c>
      <c r="Y2" s="5" t="n">
        <v>10966677089.5315</v>
      </c>
      <c r="Z2" s="5" t="n">
        <v>12061548554.27</v>
      </c>
      <c r="AA2" s="5" t="n">
        <v>13452725841.96</v>
      </c>
      <c r="AB2" s="5" t="n">
        <v>14199015747.39</v>
      </c>
      <c r="AC2" s="5" t="n">
        <v>13367195159.5</v>
      </c>
      <c r="AD2" s="5" t="n">
        <v>15011090117.94</v>
      </c>
      <c r="AE2" s="5" t="n">
        <v>18206533999.4</v>
      </c>
      <c r="AF2" s="5" t="n">
        <v>18851856729.58</v>
      </c>
      <c r="AG2" s="5" t="n">
        <v>24329050043.86</v>
      </c>
      <c r="AH2" s="5" t="n">
        <v>30884988487.93</v>
      </c>
      <c r="AI2" s="5" t="n">
        <v>28775128170.0151</v>
      </c>
      <c r="AJ2" s="5" t="n">
        <v>23663111182.9942</v>
      </c>
      <c r="AK2" s="5" t="n">
        <v>21703668101.1561</v>
      </c>
      <c r="AL2" s="5" t="n">
        <v>18509880873.3216</v>
      </c>
      <c r="AM2" s="5" t="n">
        <v>19018646371.9148</v>
      </c>
      <c r="AN2" s="5" t="n">
        <v>17305489468.3361</v>
      </c>
      <c r="AO2" s="5" t="n">
        <v>17593731047.1012</v>
      </c>
      <c r="AP2" s="5" t="n">
        <v>17900279968.55</v>
      </c>
      <c r="AQ2" s="5" t="n">
        <v>20751718237.84</v>
      </c>
      <c r="AR2" s="5" t="n">
        <v>26167824755.09</v>
      </c>
      <c r="AS2" s="5" t="n">
        <v>28005714288.53</v>
      </c>
      <c r="AT2" s="5" t="n">
        <v>23154038451.13</v>
      </c>
      <c r="AU2" s="5" t="n">
        <v>25906020010.7</v>
      </c>
      <c r="AV2" s="5" t="n">
        <v>28481125060.9</v>
      </c>
      <c r="AW2" s="5" t="n">
        <v>27879118784.34</v>
      </c>
      <c r="AX2" s="5" t="n">
        <v>8018023970.57</v>
      </c>
      <c r="AY2" s="5"/>
    </row>
    <row r="3">
      <c r="A3" t="str">
        <f>M3</f>
      </c>
      <c r="B3" t="str">
        <f>N3</f>
      </c>
      <c r="M3" t="s">
        <v>61</v>
      </c>
      <c r="N3" t="s">
        <v>63</v>
      </c>
      <c r="O3" s="5" t="n">
        <v>2736000</v>
      </c>
      <c r="P3" s="5" t="n">
        <v>7226000</v>
      </c>
      <c r="Q3" s="5" t="n">
        <v>5439000</v>
      </c>
      <c r="R3" s="5" t="n">
        <v>7364000</v>
      </c>
      <c r="S3" s="5" t="n">
        <v>13727000</v>
      </c>
      <c r="T3" s="5" t="n">
        <v>5184000</v>
      </c>
      <c r="U3" s="5" t="n">
        <v>4562000</v>
      </c>
      <c r="V3" s="5" t="n">
        <v>8470406</v>
      </c>
      <c r="W3" s="5" t="n">
        <v>77590839</v>
      </c>
      <c r="X3" s="5" t="n">
        <v>192428587</v>
      </c>
      <c r="Y3" s="5" t="n">
        <v>602980370</v>
      </c>
      <c r="Z3" s="5" t="n">
        <v>672942744.9</v>
      </c>
      <c r="AA3" s="5" t="n">
        <v>845521603.29</v>
      </c>
      <c r="AB3" s="5" t="n">
        <v>1151094189.82</v>
      </c>
      <c r="AC3" s="5" t="n">
        <v>1463430559.51</v>
      </c>
      <c r="AD3" s="5" t="n">
        <v>1822118252.2</v>
      </c>
      <c r="AE3" s="5" t="n">
        <v>1672208289.96</v>
      </c>
      <c r="AF3" s="5" t="n">
        <v>1868527801.25</v>
      </c>
      <c r="AG3" s="5" t="n">
        <v>1986204178.25</v>
      </c>
      <c r="AH3" s="5" t="n">
        <v>2396353315.17</v>
      </c>
      <c r="AI3" s="5" t="n">
        <v>2469656603.9355</v>
      </c>
      <c r="AJ3" s="5" t="n">
        <v>2321475390.2972</v>
      </c>
      <c r="AK3" s="5" t="n">
        <v>1683029323.8831</v>
      </c>
      <c r="AL3" s="5" t="n">
        <v>1235414929.3634</v>
      </c>
      <c r="AM3" s="5" t="n">
        <v>1496583256.0877</v>
      </c>
      <c r="AN3" s="5" t="n">
        <v>1510783955.8129</v>
      </c>
      <c r="AO3" s="5" t="n">
        <v>1463057069.172</v>
      </c>
      <c r="AP3" s="5" t="n">
        <v>1536342327.1533</v>
      </c>
      <c r="AQ3" s="5" t="n">
        <v>1838561335.12</v>
      </c>
      <c r="AR3" s="5" t="n">
        <v>1839358514.88</v>
      </c>
      <c r="AS3" s="5" t="n">
        <v>1926635473.28</v>
      </c>
      <c r="AT3" s="5" t="n">
        <v>1850917537.75</v>
      </c>
      <c r="AU3" s="5" t="n">
        <v>1853834730.85</v>
      </c>
      <c r="AV3" s="5" t="n">
        <v>2312237183.93</v>
      </c>
      <c r="AW3" s="5" t="n">
        <v>2339640217.02</v>
      </c>
      <c r="AX3" s="5" t="n">
        <v>885696287.36</v>
      </c>
      <c r="AY3" s="5"/>
    </row>
    <row r="4">
      <c r="A4" t="str">
        <f>M4</f>
      </c>
      <c r="B4" t="str">
        <f>N4</f>
      </c>
      <c r="M4" t="s">
        <v>64</v>
      </c>
      <c r="N4" t="s">
        <v>65</v>
      </c>
      <c r="O4" s="5" t="n">
        <v>682000</v>
      </c>
      <c r="P4" s="5" t="n">
        <v>661000</v>
      </c>
      <c r="Q4" s="5" t="n">
        <v>479000</v>
      </c>
      <c r="R4" s="5" t="n">
        <v>26000</v>
      </c>
      <c r="S4" s="5"/>
      <c r="T4" s="5"/>
      <c r="U4" s="5"/>
      <c r="V4" s="5" t="n">
        <v>134638</v>
      </c>
      <c r="W4" s="5" t="n">
        <v>457852</v>
      </c>
      <c r="X4" s="5" t="n">
        <v>634697</v>
      </c>
      <c r="Y4" s="5" t="n">
        <v>3899658</v>
      </c>
      <c r="Z4" s="5" t="n">
        <v>6131674</v>
      </c>
      <c r="AA4" s="5" t="n">
        <v>6584364</v>
      </c>
      <c r="AB4" s="5" t="n">
        <v>5445288</v>
      </c>
      <c r="AC4" s="5" t="n">
        <v>20229111</v>
      </c>
      <c r="AD4" s="5" t="n">
        <v>13291376</v>
      </c>
      <c r="AE4" s="5" t="n">
        <v>24467017</v>
      </c>
      <c r="AF4" s="5" t="n">
        <v>10613082.49</v>
      </c>
      <c r="AG4" s="5" t="n">
        <v>15800318.0413</v>
      </c>
      <c r="AH4" s="5" t="n">
        <v>14181477.1564</v>
      </c>
      <c r="AI4" s="5" t="n">
        <v>297354740.3828</v>
      </c>
      <c r="AJ4" s="5" t="n">
        <v>383027360.5023</v>
      </c>
      <c r="AK4" s="5" t="n">
        <v>464904529.6339</v>
      </c>
      <c r="AL4" s="5" t="n">
        <v>432212675.8587</v>
      </c>
      <c r="AM4" s="5" t="n">
        <v>503614293.8332</v>
      </c>
      <c r="AN4" s="5" t="n">
        <v>470878509.5135</v>
      </c>
      <c r="AO4" s="5" t="n">
        <v>660329919.6383</v>
      </c>
      <c r="AP4" s="5" t="n">
        <v>536962597.6498</v>
      </c>
      <c r="AQ4" s="5" t="n">
        <v>1348144447.5701</v>
      </c>
      <c r="AR4" s="5" t="n">
        <v>484656126.2158</v>
      </c>
      <c r="AS4" s="5" t="n">
        <v>520847682.4598</v>
      </c>
      <c r="AT4" s="5" t="n">
        <v>426574743.5733</v>
      </c>
      <c r="AU4" s="5" t="n">
        <v>420918462.3498</v>
      </c>
      <c r="AV4" s="5" t="n">
        <v>674679825.3825</v>
      </c>
      <c r="AW4" s="5" t="n">
        <v>669082813.42</v>
      </c>
      <c r="AX4" s="5" t="n">
        <v>226296495.09</v>
      </c>
      <c r="AY4" s="5"/>
    </row>
    <row r="5">
      <c r="A5" t="str">
        <f>M5</f>
      </c>
      <c r="B5" t="str">
        <f>N5</f>
      </c>
      <c r="M5" t="s">
        <v>64</v>
      </c>
      <c r="N5" t="s">
        <v>66</v>
      </c>
      <c r="O5" s="5" t="n">
        <v>647000</v>
      </c>
      <c r="P5" s="5" t="n">
        <v>120000</v>
      </c>
      <c r="Q5" s="5" t="n">
        <v>1049000</v>
      </c>
      <c r="R5" s="5" t="n">
        <v>2064000</v>
      </c>
      <c r="S5" s="5" t="n">
        <v>6311000</v>
      </c>
      <c r="T5" s="5" t="n">
        <v>36567000</v>
      </c>
      <c r="U5" s="5" t="n">
        <v>49846000</v>
      </c>
      <c r="V5" s="5" t="n">
        <v>84522659</v>
      </c>
      <c r="W5" s="5" t="n">
        <v>118434244</v>
      </c>
      <c r="X5" s="5" t="n">
        <v>192687057</v>
      </c>
      <c r="Y5" s="5" t="n">
        <v>648831254</v>
      </c>
      <c r="Z5" s="5" t="n">
        <v>795746043.3198</v>
      </c>
      <c r="AA5" s="5" t="n">
        <v>1143346589.4518</v>
      </c>
      <c r="AB5" s="5" t="n">
        <v>1532457513.1538</v>
      </c>
      <c r="AC5" s="5" t="n">
        <v>1610665203.2631</v>
      </c>
      <c r="AD5" s="5" t="n">
        <v>1412387296.6507</v>
      </c>
      <c r="AE5" s="5" t="n">
        <v>1482230302.3479</v>
      </c>
      <c r="AF5" s="5" t="n">
        <v>1701912545.3883</v>
      </c>
      <c r="AG5" s="5" t="n">
        <v>1600896075.6622</v>
      </c>
      <c r="AH5" s="5" t="n">
        <v>1639091332.395</v>
      </c>
      <c r="AI5" s="5" t="n">
        <v>1506554445.842</v>
      </c>
      <c r="AJ5" s="5" t="n">
        <v>1365108458.9599</v>
      </c>
      <c r="AK5" s="5" t="n">
        <v>1089169263.6071</v>
      </c>
      <c r="AL5" s="5" t="n">
        <v>741573455.9405</v>
      </c>
      <c r="AM5" s="5" t="n">
        <v>779186163.7465</v>
      </c>
      <c r="AN5" s="5" t="n">
        <v>626853620.1244</v>
      </c>
      <c r="AO5" s="5" t="n">
        <v>667230064.0101</v>
      </c>
      <c r="AP5" s="5" t="n">
        <v>608154107.7818</v>
      </c>
      <c r="AQ5" s="5" t="n">
        <v>666310812.4929</v>
      </c>
      <c r="AR5" s="5" t="n">
        <v>624460035.228</v>
      </c>
      <c r="AS5" s="5" t="n">
        <v>719169143.0866</v>
      </c>
      <c r="AT5" s="5" t="n">
        <v>774405169.3669</v>
      </c>
      <c r="AU5" s="5" t="n">
        <v>866114362.8638</v>
      </c>
      <c r="AV5" s="5" t="n">
        <v>991730587.7387</v>
      </c>
      <c r="AW5" s="5" t="n">
        <v>1192050869.64</v>
      </c>
      <c r="AX5" s="5" t="n">
        <v>250027397.8</v>
      </c>
      <c r="AY5" s="5"/>
    </row>
    <row r="6">
      <c r="A6" t="str">
        <f>M6</f>
      </c>
      <c r="B6" t="str">
        <f>N6</f>
      </c>
      <c r="M6" t="s">
        <v>64</v>
      </c>
      <c r="N6" t="s">
        <v>67</v>
      </c>
      <c r="O6" s="5"/>
      <c r="P6" s="5"/>
      <c r="Q6" s="5"/>
      <c r="R6" s="5"/>
      <c r="S6" s="5"/>
      <c r="T6" s="5" t="n">
        <v>117882</v>
      </c>
      <c r="U6" s="5"/>
      <c r="V6" s="5" t="n">
        <v>240963211</v>
      </c>
      <c r="W6" s="5" t="n">
        <v>343007515</v>
      </c>
      <c r="X6" s="5" t="n">
        <v>547076377</v>
      </c>
      <c r="Y6" s="5" t="n">
        <v>1632534420.2197</v>
      </c>
      <c r="Z6" s="5" t="n">
        <v>1938592579.5201</v>
      </c>
      <c r="AA6" s="5" t="n">
        <v>2709926492.0601</v>
      </c>
      <c r="AB6" s="5" t="n">
        <v>4409544026.3213</v>
      </c>
      <c r="AC6" s="5" t="n">
        <v>6107044321.3398</v>
      </c>
      <c r="AD6" s="5" t="n">
        <v>6535074757.8474</v>
      </c>
      <c r="AE6" s="5" t="n">
        <v>8705817872.4977</v>
      </c>
      <c r="AF6" s="5" t="n">
        <v>7889330717.6959</v>
      </c>
      <c r="AG6" s="5" t="n">
        <v>11339736858.8419</v>
      </c>
      <c r="AH6" s="5" t="n">
        <v>12744949983.055</v>
      </c>
      <c r="AI6" s="5" t="n">
        <v>12273843080.9538</v>
      </c>
      <c r="AJ6" s="5" t="n">
        <v>11396839554.0924</v>
      </c>
      <c r="AK6" s="5" t="n">
        <v>9555758340.9579</v>
      </c>
      <c r="AL6" s="5" t="n">
        <v>7777441494.8956</v>
      </c>
      <c r="AM6" s="5" t="n">
        <v>9215751394.5244</v>
      </c>
      <c r="AN6" s="5" t="n">
        <v>7640894717.4768</v>
      </c>
      <c r="AO6" s="5" t="n">
        <v>7413004000.0862</v>
      </c>
      <c r="AP6" s="5" t="n">
        <v>7468652269.3829</v>
      </c>
      <c r="AQ6" s="5" t="n">
        <v>9554577873.649</v>
      </c>
      <c r="AR6" s="5" t="n">
        <v>10690427360.011</v>
      </c>
      <c r="AS6" s="5" t="n">
        <v>15927642830.5231</v>
      </c>
      <c r="AT6" s="5" t="n">
        <v>11180203450.3117</v>
      </c>
      <c r="AU6" s="5" t="n">
        <v>13299140416.6856</v>
      </c>
      <c r="AV6" s="5" t="n">
        <v>16104449494.7756</v>
      </c>
      <c r="AW6" s="5" t="n">
        <v>17612292924.2717</v>
      </c>
      <c r="AX6" s="5" t="n">
        <v>4567490183.28</v>
      </c>
      <c r="AY6" s="5"/>
    </row>
    <row r="7">
      <c r="A7" t="str">
        <f>M7</f>
      </c>
      <c r="B7" t="str">
        <f>N7</f>
      </c>
      <c r="M7" t="s">
        <v>64</v>
      </c>
      <c r="N7" t="s">
        <v>68</v>
      </c>
      <c r="O7" s="5" t="n">
        <v>31553000</v>
      </c>
      <c r="P7" s="5" t="n">
        <v>30220000</v>
      </c>
      <c r="Q7" s="5" t="n">
        <v>343691000</v>
      </c>
      <c r="R7" s="5" t="n">
        <v>60267000</v>
      </c>
      <c r="S7" s="5" t="n">
        <v>51996000</v>
      </c>
      <c r="T7" s="5" t="n">
        <v>43925000</v>
      </c>
      <c r="U7" s="5" t="n">
        <v>86759000</v>
      </c>
      <c r="V7" s="5" t="n">
        <v>530392950</v>
      </c>
      <c r="W7" s="5" t="n">
        <v>981749826</v>
      </c>
      <c r="X7" s="5" t="n">
        <v>2385996445.99</v>
      </c>
      <c r="Y7" s="5" t="n">
        <v>6817417160.3232</v>
      </c>
      <c r="Z7" s="5" t="n">
        <v>7508782351.1885</v>
      </c>
      <c r="AA7" s="5" t="n">
        <v>7861920791.503</v>
      </c>
      <c r="AB7" s="5" t="n">
        <v>13107462376.4131</v>
      </c>
      <c r="AC7" s="5" t="n">
        <v>13069958915.0291</v>
      </c>
      <c r="AD7" s="5" t="n">
        <v>14688207053.6773</v>
      </c>
      <c r="AE7" s="5" t="n">
        <v>15435306684.591</v>
      </c>
      <c r="AF7" s="5" t="n">
        <v>15858656918.138</v>
      </c>
      <c r="AG7" s="5" t="n">
        <v>18014754542.0148</v>
      </c>
      <c r="AH7" s="5" t="n">
        <v>18684525908.2708</v>
      </c>
      <c r="AI7" s="5" t="n">
        <v>15913240755.2894</v>
      </c>
      <c r="AJ7" s="5" t="n">
        <v>15451587261.2432</v>
      </c>
      <c r="AK7" s="5" t="n">
        <v>14511229333.9844</v>
      </c>
      <c r="AL7" s="5" t="n">
        <v>10822775050.9626</v>
      </c>
      <c r="AM7" s="5" t="n">
        <v>11183772858.6994</v>
      </c>
      <c r="AN7" s="5" t="n">
        <v>10540231636.6298</v>
      </c>
      <c r="AO7" s="5" t="n">
        <v>10748108320.9994</v>
      </c>
      <c r="AP7" s="5" t="n">
        <v>10429648511.1803</v>
      </c>
      <c r="AQ7" s="5" t="n">
        <v>12796350351.1652</v>
      </c>
      <c r="AR7" s="5" t="n">
        <v>12270124351.9907</v>
      </c>
      <c r="AS7" s="5" t="n">
        <v>13098514464.9583</v>
      </c>
      <c r="AT7" s="5" t="n">
        <v>13926445640.0295</v>
      </c>
      <c r="AU7" s="5" t="n">
        <v>15021781810.765</v>
      </c>
      <c r="AV7" s="5" t="n">
        <v>16467671477.4858</v>
      </c>
      <c r="AW7" s="5" t="n">
        <v>16576128536.9465</v>
      </c>
      <c r="AX7" s="5" t="n">
        <v>8101698976.42</v>
      </c>
      <c r="AY7" s="5"/>
    </row>
    <row r="8">
      <c r="A8" t="str">
        <f>M8</f>
      </c>
      <c r="B8" t="str">
        <f>N8</f>
      </c>
      <c r="M8" t="s">
        <v>64</v>
      </c>
      <c r="N8" t="s">
        <v>69</v>
      </c>
      <c r="O8" s="5"/>
      <c r="P8" s="5" t="n">
        <v>4000</v>
      </c>
      <c r="Q8" s="5"/>
      <c r="R8" s="5"/>
      <c r="S8" s="5"/>
      <c r="T8" s="5" t="n">
        <v>466000</v>
      </c>
      <c r="U8" s="5" t="n">
        <v>1539000</v>
      </c>
      <c r="V8" s="5" t="n">
        <v>11144883</v>
      </c>
      <c r="W8" s="5" t="n">
        <v>17736646</v>
      </c>
      <c r="X8" s="5" t="n">
        <v>40506313</v>
      </c>
      <c r="Y8" s="5" t="n">
        <v>127589857</v>
      </c>
      <c r="Z8" s="5" t="n">
        <v>82537761</v>
      </c>
      <c r="AA8" s="5" t="n">
        <v>42739274</v>
      </c>
      <c r="AB8" s="5" t="n">
        <v>41854809</v>
      </c>
      <c r="AC8" s="5" t="n">
        <v>64609952</v>
      </c>
      <c r="AD8" s="5" t="n">
        <v>77999428</v>
      </c>
      <c r="AE8" s="5" t="n">
        <v>22804467.4902</v>
      </c>
      <c r="AF8" s="5" t="n">
        <v>16132393.32</v>
      </c>
      <c r="AG8" s="5" t="n">
        <v>3369075.5989</v>
      </c>
      <c r="AH8" s="5" t="n">
        <v>76110.8399</v>
      </c>
      <c r="AI8" s="5" t="n">
        <v>247544.7852</v>
      </c>
      <c r="AJ8" s="5" t="n">
        <v>48821.5107</v>
      </c>
      <c r="AK8" s="5" t="n">
        <v>225766.78</v>
      </c>
      <c r="AL8" s="5" t="n">
        <v>56566.51</v>
      </c>
      <c r="AM8" s="5" t="n">
        <v>60316.69</v>
      </c>
      <c r="AN8" s="5" t="n">
        <v>6976.7998</v>
      </c>
      <c r="AO8" s="5" t="n">
        <v>78653.04</v>
      </c>
      <c r="AP8" s="5" t="n">
        <v>160375.8401</v>
      </c>
      <c r="AQ8" s="5" t="n">
        <v>2203351.9017</v>
      </c>
      <c r="AR8" s="5" t="n">
        <v>1151915.5</v>
      </c>
      <c r="AS8" s="5" t="n">
        <v>1481539.125</v>
      </c>
      <c r="AT8" s="5" t="n">
        <v>1930569.125</v>
      </c>
      <c r="AU8" s="5" t="n">
        <v>1306848.125</v>
      </c>
      <c r="AV8" s="5"/>
      <c r="AW8" s="5" t="n">
        <v>21183.26</v>
      </c>
      <c r="AX8" s="5"/>
      <c r="AY8" s="5"/>
    </row>
    <row r="9">
      <c r="A9" t="str">
        <f>M9</f>
      </c>
      <c r="B9" t="str">
        <f>N9</f>
      </c>
      <c r="M9"/>
      <c r="N9"/>
      <c r="O9" s="5" t="n">
        <v>12183236305</v>
      </c>
      <c r="P9" s="5" t="n">
        <v>18492829868</v>
      </c>
      <c r="Q9" s="5" t="n">
        <v>17657715911</v>
      </c>
      <c r="R9" s="5" t="n">
        <v>17178015869</v>
      </c>
      <c r="S9" s="5" t="n">
        <v>20332444544</v>
      </c>
      <c r="T9" s="5" t="n">
        <v>20137905407</v>
      </c>
      <c r="U9" s="5" t="n">
        <v>20282796585</v>
      </c>
      <c r="V9" s="5" t="n">
        <v>20228512717</v>
      </c>
      <c r="W9" s="5" t="n">
        <v>19564618261</v>
      </c>
      <c r="X9" s="5" t="n">
        <v>20604829391</v>
      </c>
      <c r="Y9" s="5" t="n">
        <v>0</v>
      </c>
      <c r="Z9" s="5" t="n">
        <v>0</v>
      </c>
      <c r="AA9" s="5" t="n">
        <v>0</v>
      </c>
      <c r="AB9" s="5" t="n">
        <v>0</v>
      </c>
      <c r="AC9" s="5" t="n">
        <v>0</v>
      </c>
      <c r="AD9" s="5" t="n">
        <v>0</v>
      </c>
      <c r="AE9" s="5" t="n">
        <v>0</v>
      </c>
      <c r="AF9" s="5" t="n">
        <v>0</v>
      </c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 t="n">
        <v>0</v>
      </c>
      <c r="AT9" s="5"/>
      <c r="AU9" s="5" t="n">
        <v>0</v>
      </c>
      <c r="AV9" s="5" t="n">
        <v>0</v>
      </c>
      <c r="AW9" s="5" t="n">
        <v>0</v>
      </c>
      <c r="AX9" s="5" t="n">
        <v>0</v>
      </c>
      <c r="AY9" s="5"/>
    </row>
    <row r="10">
      <c r="A10" t="str">
        <f>M10</f>
      </c>
      <c r="B10" t="str">
        <f>N10</f>
      </c>
      <c r="M10" t="s">
        <v>193</v>
      </c>
      <c r="N10" t="s">
        <v>194</v>
      </c>
      <c r="O10" s="5" t="str">
        <f>Sum(O2:O9)</f>
      </c>
      <c r="P10" s="5" t="str">
        <f>Sum(P2:P9)</f>
      </c>
      <c r="Q10" s="5" t="str">
        <f>Sum(Q2:Q9)</f>
      </c>
      <c r="R10" s="5" t="str">
        <f>Sum(R2:R9)</f>
      </c>
      <c r="S10" s="5" t="str">
        <f>Sum(S2:S9)</f>
      </c>
      <c r="T10" s="5" t="str">
        <f>Sum(T2:T9)</f>
      </c>
      <c r="U10" s="5" t="str">
        <f>Sum(U2:U9)</f>
      </c>
      <c r="V10" s="5" t="str">
        <f>Sum(V2:V9)</f>
      </c>
      <c r="W10" s="5" t="str">
        <f>Sum(W2:W9)</f>
      </c>
      <c r="X10" s="5" t="str">
        <f>Sum(X2:X9)</f>
      </c>
      <c r="Y10" s="5" t="str">
        <f>Sum(Y2:Y9)</f>
      </c>
      <c r="Z10" s="5" t="str">
        <f>Sum(Z2:Z9)</f>
      </c>
      <c r="AA10" s="5" t="str">
        <f>Sum(AA2:AA9)</f>
      </c>
      <c r="AB10" s="5" t="str">
        <f>Sum(AB2:AB9)</f>
      </c>
      <c r="AC10" s="5" t="str">
        <f>Sum(AC2:AC9)</f>
      </c>
      <c r="AD10" s="5" t="str">
        <f>Sum(AD2:AD9)</f>
      </c>
      <c r="AE10" s="5" t="str">
        <f>Sum(AE2:AE9)</f>
      </c>
      <c r="AF10" s="5" t="str">
        <f>Sum(AF2:AF9)</f>
      </c>
      <c r="AG10" s="5" t="str">
        <f>Sum(AG2:AG9)</f>
      </c>
      <c r="AH10" s="5" t="str">
        <f>Sum(AH2:AH9)</f>
      </c>
      <c r="AI10" s="5" t="str">
        <f>Sum(AI2:AI9)</f>
      </c>
      <c r="AJ10" s="5" t="str">
        <f>Sum(AJ2:AJ9)</f>
      </c>
      <c r="AK10" s="5" t="str">
        <f>Sum(AK2:AK9)</f>
      </c>
      <c r="AL10" s="5" t="str">
        <f>Sum(AL2:AL9)</f>
      </c>
      <c r="AM10" s="5" t="str">
        <f>Sum(AM2:AM9)</f>
      </c>
      <c r="AN10" s="5" t="str">
        <f>Sum(AN2:AN9)</f>
      </c>
      <c r="AO10" s="5" t="str">
        <f>Sum(AO2:AO9)</f>
      </c>
      <c r="AP10" s="5" t="str">
        <f>Sum(AP2:AP9)</f>
      </c>
      <c r="AQ10" s="5" t="str">
        <f>Sum(AQ2:AQ9)</f>
      </c>
      <c r="AR10" s="5" t="str">
        <f>Sum(AR2:AR9)</f>
      </c>
      <c r="AS10" s="5" t="str">
        <f>Sum(AS2:AS9)</f>
      </c>
      <c r="AT10" s="5" t="str">
        <f>Sum(AT2:AT9)</f>
      </c>
      <c r="AU10" s="5" t="str">
        <f>Sum(AU2:AU9)</f>
      </c>
      <c r="AV10" s="5" t="str">
        <f>Sum(AV2:AV9)</f>
      </c>
      <c r="AW10" s="5" t="str">
        <f>Sum(AW2:AW9)</f>
      </c>
      <c r="AX10" s="5" t="str">
        <f>Sum(AX2:AX9)</f>
      </c>
      <c r="AY10" s="5"/>
    </row>
    <row r="13">
      <c r="A13" t="str">
        <f>M13</f>
      </c>
      <c r="B13" t="str">
        <f>N13</f>
      </c>
      <c r="M13" t="s">
        <v>59</v>
      </c>
      <c r="N13" t="s">
        <v>60</v>
      </c>
      <c r="O13" t="s">
        <v>1</v>
      </c>
      <c r="P13" t="s">
        <v>2</v>
      </c>
      <c r="Q13" t="s">
        <v>3</v>
      </c>
      <c r="R13" t="s">
        <v>4</v>
      </c>
      <c r="S13" t="s">
        <v>5</v>
      </c>
      <c r="T13" t="s">
        <v>6</v>
      </c>
      <c r="U13" t="s">
        <v>7</v>
      </c>
      <c r="V13" t="s">
        <v>8</v>
      </c>
      <c r="W13" t="s">
        <v>9</v>
      </c>
      <c r="X13" t="s">
        <v>10</v>
      </c>
      <c r="Y13" t="s">
        <v>11</v>
      </c>
      <c r="Z13" t="s">
        <v>12</v>
      </c>
      <c r="AA13" t="s">
        <v>13</v>
      </c>
      <c r="AB13" t="s">
        <v>14</v>
      </c>
      <c r="AC13" t="s">
        <v>15</v>
      </c>
      <c r="AD13" t="s">
        <v>16</v>
      </c>
      <c r="AE13" t="s">
        <v>17</v>
      </c>
      <c r="AF13" t="s">
        <v>18</v>
      </c>
      <c r="AG13" t="s">
        <v>19</v>
      </c>
      <c r="AH13" t="s">
        <v>20</v>
      </c>
      <c r="AI13" t="s">
        <v>21</v>
      </c>
      <c r="AJ13" t="s">
        <v>22</v>
      </c>
      <c r="AK13" t="s">
        <v>23</v>
      </c>
      <c r="AL13" t="s">
        <v>24</v>
      </c>
      <c r="AM13" t="s">
        <v>25</v>
      </c>
      <c r="AN13" t="s">
        <v>26</v>
      </c>
      <c r="AO13" t="s">
        <v>27</v>
      </c>
      <c r="AP13" t="s">
        <v>28</v>
      </c>
      <c r="AQ13" t="s">
        <v>29</v>
      </c>
      <c r="AR13" t="s">
        <v>30</v>
      </c>
      <c r="AS13" t="s">
        <v>31</v>
      </c>
      <c r="AT13" t="s">
        <v>32</v>
      </c>
      <c r="AU13" t="s">
        <v>33</v>
      </c>
      <c r="AV13" t="s">
        <v>34</v>
      </c>
      <c r="AW13" t="s">
        <v>202</v>
      </c>
      <c r="AX13" t="s">
        <v>203</v>
      </c>
    </row>
    <row r="14">
      <c r="A14" t="str">
        <f>M14</f>
      </c>
      <c r="B14" t="str">
        <f>N14</f>
      </c>
      <c r="M14" t="s">
        <v>61</v>
      </c>
      <c r="N14" t="s">
        <v>62</v>
      </c>
      <c r="O14" s="5" t="n">
        <v>106086487.881425</v>
      </c>
      <c r="P14" s="5" t="n">
        <v>31548894.6502592</v>
      </c>
      <c r="Q14" s="5" t="n">
        <v>51869072.2921957</v>
      </c>
      <c r="R14" s="5" t="n">
        <v>41712801.8014433</v>
      </c>
      <c r="S14" s="5" t="n">
        <v>16656162.1392419</v>
      </c>
      <c r="T14" s="5" t="n">
        <v>53425130.338227</v>
      </c>
      <c r="U14" s="5" t="n">
        <v>127820789.638209</v>
      </c>
      <c r="V14" s="5" t="n">
        <v>1747271514.28117</v>
      </c>
      <c r="W14" s="5" t="n">
        <v>2002945151.6191</v>
      </c>
      <c r="X14" s="5" t="n">
        <v>2880667886.17451</v>
      </c>
      <c r="Y14" s="5" t="n">
        <v>18436885714.7415</v>
      </c>
      <c r="Z14" s="5" t="n">
        <v>19797676901.8184</v>
      </c>
      <c r="AA14" s="5" t="n">
        <v>21739134816.5126</v>
      </c>
      <c r="AB14" s="5" t="n">
        <v>22512973778.2652</v>
      </c>
      <c r="AC14" s="5" t="n">
        <v>20688899622.0479</v>
      </c>
      <c r="AD14" s="5" t="n">
        <v>22547111747.1048</v>
      </c>
      <c r="AE14" s="5" t="n">
        <v>26486373548.0493</v>
      </c>
      <c r="AF14" s="5" t="n">
        <v>26690398417.1969</v>
      </c>
      <c r="AG14" s="5" t="n">
        <v>33744428333.735</v>
      </c>
      <c r="AH14" s="5" t="n">
        <v>42403897678.1142</v>
      </c>
      <c r="AI14" s="5" t="n">
        <v>39167929242.0416</v>
      </c>
      <c r="AJ14" s="5" t="n">
        <v>31575819675.957</v>
      </c>
      <c r="AK14" s="5" t="n">
        <v>28444994268.0194</v>
      </c>
      <c r="AL14" s="5" t="n">
        <v>23826860249.2214</v>
      </c>
      <c r="AM14" s="5" t="n">
        <v>24043145843.6632</v>
      </c>
      <c r="AN14" s="5" t="n">
        <v>21653147799.9663</v>
      </c>
      <c r="AO14" s="5" t="n">
        <v>21839198188.3079</v>
      </c>
      <c r="AP14" s="5" t="n">
        <v>21850871761.8065</v>
      </c>
      <c r="AQ14" s="5" t="n">
        <v>24781473727.5362</v>
      </c>
      <c r="AR14" s="5" t="n">
        <v>30682032169.5007</v>
      </c>
      <c r="AS14" s="5" t="n">
        <v>32413554021.939</v>
      </c>
      <c r="AT14" s="5" t="n">
        <v>25906631289.8744</v>
      </c>
      <c r="AU14" s="5" t="n">
        <v>27091132208.9023</v>
      </c>
      <c r="AV14" s="5" t="n">
        <v>28481125060.9</v>
      </c>
      <c r="AW14" s="5" t="n">
        <v>27153945832.7772</v>
      </c>
      <c r="AX14" s="5" t="n">
        <v>7641787836.69587</v>
      </c>
      <c r="AY14" s="5"/>
    </row>
    <row r="15">
      <c r="A15" t="str">
        <f>M15</f>
      </c>
      <c r="B15" t="str">
        <f>N15</f>
      </c>
      <c r="M15" t="s">
        <v>61</v>
      </c>
      <c r="N15" t="s">
        <v>63</v>
      </c>
      <c r="O15" s="5" t="n">
        <v>5658819.38024354</v>
      </c>
      <c r="P15" s="5" t="n">
        <v>14429540.6508496</v>
      </c>
      <c r="Q15" s="5" t="n">
        <v>10595894.1924981</v>
      </c>
      <c r="R15" s="5" t="n">
        <v>14017206.9209559</v>
      </c>
      <c r="S15" s="5" t="n">
        <v>25570805.597957</v>
      </c>
      <c r="T15" s="5" t="n">
        <v>9456229.5349996</v>
      </c>
      <c r="U15" s="5" t="n">
        <v>8167840.126758</v>
      </c>
      <c r="V15" s="5" t="n">
        <v>14901029.843142</v>
      </c>
      <c r="W15" s="5" t="n">
        <v>134806628.584475</v>
      </c>
      <c r="X15" s="5" t="n">
        <v>330236997.094339</v>
      </c>
      <c r="Y15" s="5" t="n">
        <v>1013714553.56652</v>
      </c>
      <c r="Z15" s="5" t="n">
        <v>1104559914.26047</v>
      </c>
      <c r="AA15" s="5" t="n">
        <v>1366333361.73877</v>
      </c>
      <c r="AB15" s="5" t="n">
        <v>1825095046.92215</v>
      </c>
      <c r="AC15" s="5" t="n">
        <v>2265005305.02259</v>
      </c>
      <c r="AD15" s="5" t="n">
        <v>2736876770.84112</v>
      </c>
      <c r="AE15" s="5" t="n">
        <v>2432683421.20938</v>
      </c>
      <c r="AF15" s="5" t="n">
        <v>2645455680.2736</v>
      </c>
      <c r="AG15" s="5" t="n">
        <v>2754868127.94965</v>
      </c>
      <c r="AH15" s="5" t="n">
        <v>3290100652.5157</v>
      </c>
      <c r="AI15" s="5" t="n">
        <v>3361630034.92317</v>
      </c>
      <c r="AJ15" s="5" t="n">
        <v>3097753619.09621</v>
      </c>
      <c r="AK15" s="5" t="n">
        <v>2205791170.76589</v>
      </c>
      <c r="AL15" s="5" t="n">
        <v>1590288942.06282</v>
      </c>
      <c r="AM15" s="5" t="n">
        <v>1891962697.53651</v>
      </c>
      <c r="AN15" s="5" t="n">
        <v>1890338227.58321</v>
      </c>
      <c r="AO15" s="5" t="n">
        <v>1816101042.40605</v>
      </c>
      <c r="AP15" s="5" t="n">
        <v>1875413079.1163</v>
      </c>
      <c r="AQ15" s="5" t="n">
        <v>2195589729.03068</v>
      </c>
      <c r="AR15" s="5" t="n">
        <v>2156665968.72236</v>
      </c>
      <c r="AS15" s="5" t="n">
        <v>2229870031.17867</v>
      </c>
      <c r="AT15" s="5" t="n">
        <v>2070957871.9781</v>
      </c>
      <c r="AU15" s="5" t="n">
        <v>1938641356.95752</v>
      </c>
      <c r="AV15" s="5" t="n">
        <v>2312237183.93</v>
      </c>
      <c r="AW15" s="5" t="n">
        <v>2278783063.8619</v>
      </c>
      <c r="AX15" s="5" t="n">
        <v>844136054.044895</v>
      </c>
      <c r="AY15" s="5"/>
    </row>
    <row r="16">
      <c r="A16" t="str">
        <f>M16</f>
      </c>
      <c r="B16" t="str">
        <f>N16</f>
      </c>
      <c r="M16" t="s">
        <v>64</v>
      </c>
      <c r="N16" t="s">
        <v>65</v>
      </c>
      <c r="O16" s="5" t="n">
        <v>1410568.28118644</v>
      </c>
      <c r="P16" s="5" t="n">
        <v>1319945.52590805</v>
      </c>
      <c r="Q16" s="5" t="n">
        <v>933155.601803016</v>
      </c>
      <c r="R16" s="5" t="n">
        <v>49490.4100957163</v>
      </c>
      <c r="S16" s="5"/>
      <c r="T16" s="5"/>
      <c r="U16" s="5"/>
      <c r="V16" s="5" t="n">
        <v>236853.446696764</v>
      </c>
      <c r="W16" s="5" t="n">
        <v>795473.864004217</v>
      </c>
      <c r="X16" s="5" t="n">
        <v>1089237.49122985</v>
      </c>
      <c r="Y16" s="5" t="n">
        <v>6556001.26506953</v>
      </c>
      <c r="Z16" s="5" t="n">
        <v>10064454.0104517</v>
      </c>
      <c r="AA16" s="5" t="n">
        <v>10640102.1145122</v>
      </c>
      <c r="AB16" s="5" t="n">
        <v>8633670.68112705</v>
      </c>
      <c r="AC16" s="5" t="n">
        <v>31309339.1641572</v>
      </c>
      <c r="AD16" s="5" t="n">
        <v>19964049.0857244</v>
      </c>
      <c r="AE16" s="5" t="n">
        <v>35593954.9993331</v>
      </c>
      <c r="AF16" s="5" t="n">
        <v>15025968.2192581</v>
      </c>
      <c r="AG16" s="5" t="n">
        <v>21915064.4531403</v>
      </c>
      <c r="AH16" s="5" t="n">
        <v>19470621.0267655</v>
      </c>
      <c r="AI16" s="5" t="n">
        <v>404751261.655043</v>
      </c>
      <c r="AJ16" s="5" t="n">
        <v>511107891.631351</v>
      </c>
      <c r="AK16" s="5" t="n">
        <v>609307450.656607</v>
      </c>
      <c r="AL16" s="5" t="n">
        <v>556366142.824302</v>
      </c>
      <c r="AM16" s="5" t="n">
        <v>636663181.953154</v>
      </c>
      <c r="AN16" s="5" t="n">
        <v>589177323.240657</v>
      </c>
      <c r="AO16" s="5" t="n">
        <v>819671276.436065</v>
      </c>
      <c r="AP16" s="5" t="n">
        <v>655470243.077027</v>
      </c>
      <c r="AQ16" s="5" t="n">
        <v>1609939274.68917</v>
      </c>
      <c r="AR16" s="5" t="n">
        <v>568264079.833625</v>
      </c>
      <c r="AS16" s="5" t="n">
        <v>602824277.884134</v>
      </c>
      <c r="AT16" s="5" t="n">
        <v>477286699.797584</v>
      </c>
      <c r="AU16" s="5" t="n">
        <v>440174048.656506</v>
      </c>
      <c r="AV16" s="5" t="n">
        <v>674679825.3825</v>
      </c>
      <c r="AW16" s="5" t="n">
        <v>651679079.736701</v>
      </c>
      <c r="AX16" s="5" t="n">
        <v>215677804.158864</v>
      </c>
      <c r="AY16" s="5"/>
    </row>
    <row r="17">
      <c r="A17" t="str">
        <f>M17</f>
      </c>
      <c r="B17" t="str">
        <f>N17</f>
      </c>
      <c r="M17" t="s">
        <v>64</v>
      </c>
      <c r="N17" t="s">
        <v>66</v>
      </c>
      <c r="O17" s="5" t="n">
        <v>1338178.41338361</v>
      </c>
      <c r="P17" s="5" t="n">
        <v>239627.0243706</v>
      </c>
      <c r="Q17" s="5" t="n">
        <v>2043591.2866208</v>
      </c>
      <c r="R17" s="5" t="n">
        <v>3928777.17067532</v>
      </c>
      <c r="S17" s="5" t="n">
        <v>11756199.7616891</v>
      </c>
      <c r="T17" s="5" t="n">
        <v>66702535.76511</v>
      </c>
      <c r="U17" s="5" t="n">
        <v>89244664.392455</v>
      </c>
      <c r="V17" s="5" t="n">
        <v>148691180.113529</v>
      </c>
      <c r="W17" s="5" t="n">
        <v>205768120.932306</v>
      </c>
      <c r="X17" s="5" t="n">
        <v>330680571.294876</v>
      </c>
      <c r="Y17" s="5" t="n">
        <v>1090797839.71842</v>
      </c>
      <c r="Z17" s="5" t="n">
        <v>1306127732.32743</v>
      </c>
      <c r="AA17" s="5" t="n">
        <v>1847608131.02776</v>
      </c>
      <c r="AB17" s="5" t="n">
        <v>2429758260.97515</v>
      </c>
      <c r="AC17" s="5" t="n">
        <v>2492885778.76065</v>
      </c>
      <c r="AD17" s="5" t="n">
        <v>2121448472.93374</v>
      </c>
      <c r="AE17" s="5" t="n">
        <v>2156308579.84932</v>
      </c>
      <c r="AF17" s="5" t="n">
        <v>2409562334.32247</v>
      </c>
      <c r="AG17" s="5" t="n">
        <v>2220445220.73619</v>
      </c>
      <c r="AH17" s="5" t="n">
        <v>2250409164.66988</v>
      </c>
      <c r="AI17" s="5" t="n">
        <v>2050681324.00231</v>
      </c>
      <c r="AJ17" s="5" t="n">
        <v>1821587119.50012</v>
      </c>
      <c r="AK17" s="5" t="n">
        <v>1427473610.25838</v>
      </c>
      <c r="AL17" s="5" t="n">
        <v>954591075.985442</v>
      </c>
      <c r="AM17" s="5" t="n">
        <v>985037852.219942</v>
      </c>
      <c r="AN17" s="5" t="n">
        <v>784338062.805606</v>
      </c>
      <c r="AO17" s="5" t="n">
        <v>828236464.801185</v>
      </c>
      <c r="AP17" s="5" t="n">
        <v>742373719.511853</v>
      </c>
      <c r="AQ17" s="5" t="n">
        <v>795701045.326299</v>
      </c>
      <c r="AR17" s="5" t="n">
        <v>732185539.637039</v>
      </c>
      <c r="AS17" s="5" t="n">
        <v>832359697.388482</v>
      </c>
      <c r="AT17" s="5" t="n">
        <v>866467818.739494</v>
      </c>
      <c r="AU17" s="5" t="n">
        <v>905736145.601716</v>
      </c>
      <c r="AV17" s="5" t="n">
        <v>991730587.7387</v>
      </c>
      <c r="AW17" s="5" t="n">
        <v>1161044041.40282</v>
      </c>
      <c r="AX17" s="5" t="n">
        <v>238295162.79345</v>
      </c>
      <c r="AY17" s="5"/>
    </row>
    <row r="18">
      <c r="A18" t="str">
        <f>M18</f>
      </c>
      <c r="B18" t="str">
        <f>N18</f>
      </c>
      <c r="M18" t="s">
        <v>64</v>
      </c>
      <c r="N18" t="s">
        <v>67</v>
      </c>
      <c r="O18" s="5"/>
      <c r="P18" s="5"/>
      <c r="Q18" s="5"/>
      <c r="R18" s="5"/>
      <c r="S18" s="5"/>
      <c r="T18" s="5" t="n">
        <v>215030.719530251</v>
      </c>
      <c r="U18" s="5"/>
      <c r="V18" s="5" t="n">
        <v>423899397.291029</v>
      </c>
      <c r="W18" s="5" t="n">
        <v>595942604.465055</v>
      </c>
      <c r="X18" s="5" t="n">
        <v>938867050.568379</v>
      </c>
      <c r="Y18" s="5" t="n">
        <v>2744573427.78005</v>
      </c>
      <c r="Z18" s="5" t="n">
        <v>3181981928.84732</v>
      </c>
      <c r="AA18" s="5" t="n">
        <v>4379146505.01422</v>
      </c>
      <c r="AB18" s="5" t="n">
        <v>6991466930.15854</v>
      </c>
      <c r="AC18" s="5" t="n">
        <v>9452097126.1351</v>
      </c>
      <c r="AD18" s="5" t="n">
        <v>9815880104.85475</v>
      </c>
      <c r="AE18" s="5" t="n">
        <v>12664988526.6387</v>
      </c>
      <c r="AF18" s="5" t="n">
        <v>11169689178.1452</v>
      </c>
      <c r="AG18" s="5" t="n">
        <v>15728231766.8287</v>
      </c>
      <c r="AH18" s="5" t="n">
        <v>17498324637.7234</v>
      </c>
      <c r="AI18" s="5" t="n">
        <v>16706824535.4915</v>
      </c>
      <c r="AJ18" s="5" t="n">
        <v>15207829091.1492</v>
      </c>
      <c r="AK18" s="5" t="n">
        <v>12523850344.94</v>
      </c>
      <c r="AL18" s="5" t="n">
        <v>10011518327.0825</v>
      </c>
      <c r="AM18" s="5" t="n">
        <v>11650442965.5255</v>
      </c>
      <c r="AN18" s="5" t="n">
        <v>9560516791.17369</v>
      </c>
      <c r="AO18" s="5" t="n">
        <v>9201803932.04749</v>
      </c>
      <c r="AP18" s="5" t="n">
        <v>9116983826.98708</v>
      </c>
      <c r="AQ18" s="5" t="n">
        <v>11409971831.7194</v>
      </c>
      <c r="AR18" s="5" t="n">
        <v>12534631335.8265</v>
      </c>
      <c r="AS18" s="5" t="n">
        <v>18434506115.802</v>
      </c>
      <c r="AT18" s="5" t="n">
        <v>12509325711.9849</v>
      </c>
      <c r="AU18" s="5" t="n">
        <v>13907530803.4339</v>
      </c>
      <c r="AV18" s="5" t="n">
        <v>16104449494.7756</v>
      </c>
      <c r="AW18" s="5" t="n">
        <v>17154173765.5393</v>
      </c>
      <c r="AX18" s="5" t="n">
        <v>4353166198.42128</v>
      </c>
      <c r="AY18" s="5"/>
    </row>
    <row r="19">
      <c r="A19" t="str">
        <f>M19</f>
      </c>
      <c r="B19" t="str">
        <f>N19</f>
      </c>
      <c r="M19" t="s">
        <v>64</v>
      </c>
      <c r="N19" t="s">
        <v>68</v>
      </c>
      <c r="O19" s="5" t="n">
        <v>65260499.9652136</v>
      </c>
      <c r="P19" s="5" t="n">
        <v>60346072.303996</v>
      </c>
      <c r="Q19" s="5" t="n">
        <v>669555703.422297</v>
      </c>
      <c r="R19" s="5" t="n">
        <v>114716867.124559</v>
      </c>
      <c r="S19" s="5" t="n">
        <v>96858716.9717615</v>
      </c>
      <c r="T19" s="5" t="n">
        <v>80124398.596616</v>
      </c>
      <c r="U19" s="5" t="n">
        <v>155333985.435642</v>
      </c>
      <c r="V19" s="5" t="n">
        <v>933060490.434829</v>
      </c>
      <c r="W19" s="5" t="n">
        <v>1705696005.6387</v>
      </c>
      <c r="X19" s="5" t="n">
        <v>4094736201.54735</v>
      </c>
      <c r="Y19" s="5" t="n">
        <v>11461260327.8507</v>
      </c>
      <c r="Z19" s="5" t="n">
        <v>12324822658.2216</v>
      </c>
      <c r="AA19" s="5" t="n">
        <v>12704589241.6942</v>
      </c>
      <c r="AB19" s="5" t="n">
        <v>20782282520.8168</v>
      </c>
      <c r="AC19" s="5" t="n">
        <v>20228856153.503</v>
      </c>
      <c r="AD19" s="5" t="n">
        <v>22062131610.8202</v>
      </c>
      <c r="AE19" s="5" t="n">
        <v>22454866955.4706</v>
      </c>
      <c r="AF19" s="5" t="n">
        <v>22452635704.715</v>
      </c>
      <c r="AG19" s="5" t="n">
        <v>24986491149.3436</v>
      </c>
      <c r="AH19" s="5" t="n">
        <v>25653133239.406</v>
      </c>
      <c r="AI19" s="5" t="n">
        <v>21660674601.7639</v>
      </c>
      <c r="AJ19" s="5" t="n">
        <v>20618444011.6633</v>
      </c>
      <c r="AK19" s="5" t="n">
        <v>19018528725.3409</v>
      </c>
      <c r="AL19" s="5" t="n">
        <v>13931626595.1619</v>
      </c>
      <c r="AM19" s="5" t="n">
        <v>14138392221.2882</v>
      </c>
      <c r="AN19" s="5" t="n">
        <v>13188254160.1275</v>
      </c>
      <c r="AO19" s="5" t="n">
        <v>13341687851.3885</v>
      </c>
      <c r="AP19" s="5" t="n">
        <v>12731471940.0435</v>
      </c>
      <c r="AQ19" s="5" t="n">
        <v>15281260876.8707</v>
      </c>
      <c r="AR19" s="5" t="n">
        <v>14386841612.3631</v>
      </c>
      <c r="AS19" s="5" t="n">
        <v>15160099179.8649</v>
      </c>
      <c r="AT19" s="5" t="n">
        <v>15582046006.1953</v>
      </c>
      <c r="AU19" s="5" t="n">
        <v>15708977175.2138</v>
      </c>
      <c r="AV19" s="5" t="n">
        <v>16467671477.4858</v>
      </c>
      <c r="AW19" s="5" t="n">
        <v>16144961391.7578</v>
      </c>
      <c r="AX19" s="5" t="n">
        <v>7721536493.50795</v>
      </c>
      <c r="AY19" s="5"/>
    </row>
    <row r="20">
      <c r="A20" t="str">
        <f>M20</f>
      </c>
      <c r="B20" t="str">
        <f>N20</f>
      </c>
      <c r="M20" t="s">
        <v>64</v>
      </c>
      <c r="N20" t="s">
        <v>69</v>
      </c>
      <c r="O20" s="5"/>
      <c r="P20" s="5" t="n">
        <v>7987.56747901999</v>
      </c>
      <c r="Q20" s="5"/>
      <c r="R20" s="5"/>
      <c r="S20" s="5"/>
      <c r="T20" s="5" t="n">
        <v>850039.151873035</v>
      </c>
      <c r="U20" s="5" t="n">
        <v>2755437.51755383</v>
      </c>
      <c r="V20" s="5" t="n">
        <v>19605935.5574368</v>
      </c>
      <c r="W20" s="5" t="n">
        <v>30815718.4594475</v>
      </c>
      <c r="X20" s="5" t="n">
        <v>69515051.6720439</v>
      </c>
      <c r="Y20" s="5" t="n">
        <v>214500672.597966</v>
      </c>
      <c r="Z20" s="5" t="n">
        <v>135476462.008605</v>
      </c>
      <c r="AA20" s="5" t="n">
        <v>69065173.1374691</v>
      </c>
      <c r="AB20" s="5" t="n">
        <v>66362079.8987074</v>
      </c>
      <c r="AC20" s="5" t="n">
        <v>99999199.2009889</v>
      </c>
      <c r="AD20" s="5" t="n">
        <v>117157501.920826</v>
      </c>
      <c r="AE20" s="5" t="n">
        <v>33175322.9104281</v>
      </c>
      <c r="AF20" s="5" t="n">
        <v>22840190.8263027</v>
      </c>
      <c r="AG20" s="5" t="n">
        <v>4672912.83026104</v>
      </c>
      <c r="AH20" s="5" t="n">
        <v>104497.246893138</v>
      </c>
      <c r="AI20" s="5" t="n">
        <v>336951.292576811</v>
      </c>
      <c r="AJ20" s="5" t="n">
        <v>65146.9371989801</v>
      </c>
      <c r="AK20" s="5" t="n">
        <v>295891.677530174</v>
      </c>
      <c r="AL20" s="5" t="n">
        <v>72815.2891842096</v>
      </c>
      <c r="AM20" s="5" t="n">
        <v>76251.6398968627</v>
      </c>
      <c r="AN20" s="5" t="n">
        <v>8729.58129942454</v>
      </c>
      <c r="AO20" s="5" t="n">
        <v>97632.4648861747</v>
      </c>
      <c r="AP20" s="5" t="n">
        <v>195770.788047678</v>
      </c>
      <c r="AQ20" s="5" t="n">
        <v>2631218.61229448</v>
      </c>
      <c r="AR20" s="5" t="n">
        <v>1350632.26532315</v>
      </c>
      <c r="AS20" s="5" t="n">
        <v>1714719.64503586</v>
      </c>
      <c r="AT20" s="5" t="n">
        <v>2160078.58009537</v>
      </c>
      <c r="AU20" s="5" t="n">
        <v>1366631.97653318</v>
      </c>
      <c r="AV20" s="5"/>
      <c r="AW20" s="5" t="n">
        <v>20632.2552391698</v>
      </c>
      <c r="AX20" s="5"/>
      <c r="AY20" s="5"/>
    </row>
    <row r="21">
      <c r="A21" t="str">
        <f>M21</f>
      </c>
      <c r="B21" t="str">
        <f>N21</f>
      </c>
      <c r="M21"/>
      <c r="N21"/>
      <c r="O21" s="5" t="n">
        <v>25198367586.5573</v>
      </c>
      <c r="P21" s="5" t="n">
        <v>36928181612.1716</v>
      </c>
      <c r="Q21" s="5" t="n">
        <v>34399575192.8933</v>
      </c>
      <c r="R21" s="5" t="n">
        <v>32697963461.0589</v>
      </c>
      <c r="S21" s="5" t="n">
        <v>37875499873.6697</v>
      </c>
      <c r="T21" s="5" t="n">
        <v>36733922816.8792</v>
      </c>
      <c r="U21" s="5" t="n">
        <v>36314476069.6697</v>
      </c>
      <c r="V21" s="5" t="n">
        <v>35585740716.3711</v>
      </c>
      <c r="W21" s="5" t="n">
        <v>33991644649.0244</v>
      </c>
      <c r="X21" s="5" t="n">
        <v>35361050506.1029</v>
      </c>
      <c r="Y21" s="5" t="n">
        <v>0</v>
      </c>
      <c r="Z21" s="5" t="n">
        <v>0</v>
      </c>
      <c r="AA21" s="5" t="n">
        <v>0</v>
      </c>
      <c r="AB21" s="5" t="n">
        <v>0</v>
      </c>
      <c r="AC21" s="5" t="n">
        <v>0</v>
      </c>
      <c r="AD21" s="5" t="n">
        <v>0</v>
      </c>
      <c r="AE21" s="5" t="n">
        <v>0</v>
      </c>
      <c r="AF21" s="5" t="n">
        <v>0</v>
      </c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 t="n">
        <v>0</v>
      </c>
      <c r="AT21" s="5"/>
      <c r="AU21" s="5" t="n">
        <v>0</v>
      </c>
      <c r="AV21" s="5" t="n">
        <v>0</v>
      </c>
      <c r="AW21" s="5" t="n">
        <v>0</v>
      </c>
      <c r="AX21" s="5" t="n">
        <v>0</v>
      </c>
      <c r="AY21" s="5"/>
    </row>
    <row r="22">
      <c r="A22" t="str">
        <f>M22</f>
      </c>
      <c r="B22" t="str">
        <f>N22</f>
      </c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</row>
  </sheetData>
  <pageMargins left="0.7" right="0.7" top="0.75" bottom="0.75" header="0.3" footer="0.3"/>
  <pageSetup paperSize="9" orientation="portrait" horizontalDpi="300" verticalDpi="300"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70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71</v>
      </c>
      <c r="N2" s="7" t="n">
        <v>27039649</v>
      </c>
      <c r="O2" s="7" t="n">
        <v>50914611</v>
      </c>
      <c r="P2" s="7" t="n">
        <v>73512779</v>
      </c>
      <c r="Q2" s="7" t="n">
        <v>49965641.5</v>
      </c>
      <c r="R2" s="7" t="n">
        <v>215862178.125</v>
      </c>
      <c r="S2" s="7" t="n">
        <v>281560954</v>
      </c>
      <c r="T2" s="7" t="n">
        <v>517390039.9531</v>
      </c>
      <c r="U2" s="7" t="n">
        <v>278108775.207</v>
      </c>
      <c r="V2" s="7" t="n">
        <v>271626626.9946</v>
      </c>
      <c r="W2" s="7" t="n">
        <v>289971538.0054</v>
      </c>
      <c r="X2" s="7" t="n">
        <v>230046388.4386</v>
      </c>
      <c r="Y2" s="7" t="n">
        <v>164643456.0032</v>
      </c>
      <c r="Z2" s="7" t="n">
        <v>146538272.9643</v>
      </c>
      <c r="AA2" s="7" t="n">
        <v>183794593.4596</v>
      </c>
      <c r="AB2" s="7" t="n">
        <v>126746848.81</v>
      </c>
      <c r="AC2" s="7" t="n">
        <v>84715995.148</v>
      </c>
      <c r="AD2" s="7" t="n">
        <v>131907417.1338</v>
      </c>
      <c r="AE2" s="7" t="n">
        <v>51028348.7409</v>
      </c>
      <c r="AF2" s="7" t="n">
        <v>26464744.8253</v>
      </c>
      <c r="AG2" s="7" t="n">
        <v>19164123.0599</v>
      </c>
      <c r="AH2" s="7" t="n">
        <v>16127355.0386</v>
      </c>
      <c r="AI2" s="7" t="n">
        <v>36291857.0845</v>
      </c>
      <c r="AJ2" s="7" t="n">
        <v>14399176.3782</v>
      </c>
      <c r="AK2" s="7" t="n">
        <v>12746687.1572</v>
      </c>
      <c r="AL2" s="7"/>
      <c r="AM2" s="7"/>
    </row>
    <row r="3">
      <c r="A3" t="str">
        <f>M3</f>
      </c>
      <c r="M3" t="s">
        <v>72</v>
      </c>
      <c r="N3" s="7"/>
      <c r="O3" s="7"/>
      <c r="P3" s="7"/>
      <c r="Q3" s="7"/>
      <c r="R3" s="7"/>
      <c r="S3" s="7"/>
      <c r="T3" s="7"/>
      <c r="U3" s="7" t="n">
        <v>9675574</v>
      </c>
      <c r="V3" s="7" t="n">
        <v>37525240</v>
      </c>
      <c r="W3" s="7" t="n">
        <v>197969503</v>
      </c>
      <c r="X3" s="7" t="n">
        <v>314895977</v>
      </c>
      <c r="Y3" s="7" t="n">
        <v>314139477.875</v>
      </c>
      <c r="Z3" s="7" t="n">
        <v>387470667.5</v>
      </c>
      <c r="AA3" s="7" t="n">
        <v>629930036.13</v>
      </c>
      <c r="AB3" s="7" t="n">
        <v>641856841</v>
      </c>
      <c r="AC3" s="7" t="n">
        <v>465336051.2705</v>
      </c>
      <c r="AD3" s="7" t="n">
        <v>482207532</v>
      </c>
      <c r="AE3" s="7" t="n">
        <v>443353641.0756</v>
      </c>
      <c r="AF3" s="7" t="n">
        <v>706829320.4912</v>
      </c>
      <c r="AG3" s="7" t="n">
        <v>484450149.5625</v>
      </c>
      <c r="AH3" s="7" t="n">
        <v>689596109.7501</v>
      </c>
      <c r="AI3" s="7" t="n">
        <v>727918562.2033</v>
      </c>
      <c r="AJ3" s="7" t="n">
        <v>787757338.9206</v>
      </c>
      <c r="AK3" s="7" t="n">
        <v>664643587.5147</v>
      </c>
      <c r="AL3" s="7"/>
      <c r="AM3" s="7"/>
    </row>
    <row r="4">
      <c r="A4" t="str">
        <f>M4</f>
      </c>
      <c r="M4" t="s">
        <v>73</v>
      </c>
      <c r="N4" s="7" t="n">
        <v>440528842</v>
      </c>
      <c r="O4" s="7" t="n">
        <v>420153030</v>
      </c>
      <c r="P4" s="7" t="n">
        <v>481833508</v>
      </c>
      <c r="Q4" s="7" t="n">
        <v>384021405</v>
      </c>
      <c r="R4" s="7" t="n">
        <v>1502708.9297</v>
      </c>
      <c r="S4" s="7"/>
      <c r="T4" s="7" t="n">
        <v>1202268.0898</v>
      </c>
      <c r="U4" s="7" t="n">
        <v>-2964</v>
      </c>
      <c r="V4" s="7" t="n">
        <v>36041.0903</v>
      </c>
      <c r="W4" s="7" t="n">
        <v>-810752.233</v>
      </c>
      <c r="X4" s="7" t="n">
        <v>6053.1204</v>
      </c>
      <c r="Y4" s="7" t="n">
        <v>-191424.3938</v>
      </c>
      <c r="Z4" s="7" t="n">
        <v>-25039.2207</v>
      </c>
      <c r="AA4" s="7"/>
      <c r="AB4" s="7"/>
      <c r="AC4" s="7"/>
      <c r="AD4" s="7"/>
      <c r="AE4" s="7" t="n">
        <v>-27284.9297</v>
      </c>
      <c r="AF4" s="7" t="n">
        <v>0</v>
      </c>
      <c r="AG4" s="7" t="n">
        <v>0</v>
      </c>
      <c r="AH4" s="7"/>
      <c r="AI4" s="7"/>
      <c r="AJ4" s="7"/>
      <c r="AK4" s="7"/>
      <c r="AL4" s="7"/>
      <c r="AM4" s="7"/>
    </row>
    <row r="5">
      <c r="A5" t="str">
        <f>M5</f>
      </c>
      <c r="M5" t="s">
        <v>74</v>
      </c>
      <c r="N5" s="7" t="n">
        <v>69456817.2695</v>
      </c>
      <c r="O5" s="7" t="n">
        <v>77021952</v>
      </c>
      <c r="P5" s="7" t="n">
        <v>39382285</v>
      </c>
      <c r="Q5" s="7" t="n">
        <v>116783532</v>
      </c>
      <c r="R5" s="7" t="n">
        <v>436314155</v>
      </c>
      <c r="S5" s="7" t="n">
        <v>245682253</v>
      </c>
      <c r="T5" s="7" t="n">
        <v>200630823.0191</v>
      </c>
      <c r="U5" s="7" t="n">
        <v>213595424.9641</v>
      </c>
      <c r="V5" s="7" t="n">
        <v>168138537.7832</v>
      </c>
      <c r="W5" s="7" t="n">
        <v>227643996.0586</v>
      </c>
      <c r="X5" s="7" t="n">
        <v>275257630.3702</v>
      </c>
      <c r="Y5" s="7" t="n">
        <v>257361662.7502</v>
      </c>
      <c r="Z5" s="7" t="n">
        <v>343596575.0978</v>
      </c>
      <c r="AA5" s="7" t="n">
        <v>249262058.379</v>
      </c>
      <c r="AB5" s="7" t="n">
        <v>258272568.1907</v>
      </c>
      <c r="AC5" s="7" t="n">
        <v>179116388.074</v>
      </c>
      <c r="AD5" s="7" t="n">
        <v>207873259.1737</v>
      </c>
      <c r="AE5" s="7" t="n">
        <v>163765731.2778</v>
      </c>
      <c r="AF5" s="7" t="n">
        <v>142808034.6928</v>
      </c>
      <c r="AG5" s="7" t="n">
        <v>203981514.4887</v>
      </c>
      <c r="AH5" s="7" t="n">
        <v>135936578.5017</v>
      </c>
      <c r="AI5" s="7" t="n">
        <v>169675266.5653</v>
      </c>
      <c r="AJ5" s="7" t="n">
        <v>146554377.2825</v>
      </c>
      <c r="AK5" s="7" t="n">
        <v>21456837.8815</v>
      </c>
      <c r="AL5" s="7"/>
      <c r="AM5" s="7"/>
    </row>
    <row r="6">
      <c r="A6" t="str">
        <f>M6</f>
      </c>
      <c r="M6" t="s">
        <v>75</v>
      </c>
      <c r="N6" s="7" t="n">
        <v>35846294</v>
      </c>
      <c r="O6" s="7" t="n">
        <v>70648338</v>
      </c>
      <c r="P6" s="7" t="n">
        <v>107818930</v>
      </c>
      <c r="Q6" s="7" t="n">
        <v>116012016</v>
      </c>
      <c r="R6" s="7" t="n">
        <v>228560767</v>
      </c>
      <c r="S6" s="7" t="n">
        <v>221739797</v>
      </c>
      <c r="T6" s="7" t="n">
        <v>181408615.4057</v>
      </c>
      <c r="U6" s="7" t="n">
        <v>190443188.8125</v>
      </c>
      <c r="V6" s="7" t="n">
        <v>149173877.372</v>
      </c>
      <c r="W6" s="7" t="n">
        <v>226423628.842</v>
      </c>
      <c r="X6" s="7" t="n">
        <v>216047931.1599</v>
      </c>
      <c r="Y6" s="7" t="n">
        <v>170801124.0067</v>
      </c>
      <c r="Z6" s="7" t="n">
        <v>102617709.1523</v>
      </c>
      <c r="AA6" s="7" t="n">
        <v>94149737.4186</v>
      </c>
      <c r="AB6" s="7" t="n">
        <v>106477184.3799</v>
      </c>
      <c r="AC6" s="7" t="n">
        <v>95274043.4356</v>
      </c>
      <c r="AD6" s="7" t="n">
        <v>204359912.1891</v>
      </c>
      <c r="AE6" s="7" t="n">
        <v>77770005.3768</v>
      </c>
      <c r="AF6" s="7" t="n">
        <v>106539510.3941</v>
      </c>
      <c r="AG6" s="7" t="n">
        <v>111917656.1595</v>
      </c>
      <c r="AH6" s="7" t="n">
        <v>101656733.8184</v>
      </c>
      <c r="AI6" s="7" t="n">
        <v>103404331.533</v>
      </c>
      <c r="AJ6" s="7" t="n">
        <v>137789400.3621</v>
      </c>
      <c r="AK6" s="7" t="n">
        <v>135845674.2983</v>
      </c>
      <c r="AL6" s="7"/>
      <c r="AM6" s="7"/>
    </row>
    <row r="7">
      <c r="A7" t="str">
        <f>M7</f>
      </c>
      <c r="M7" t="s">
        <v>76</v>
      </c>
      <c r="N7" s="7"/>
      <c r="O7" s="7"/>
      <c r="P7" s="7"/>
      <c r="Q7" s="7"/>
      <c r="R7" s="7"/>
      <c r="S7" s="7" t="n">
        <v>1254801170</v>
      </c>
      <c r="T7" s="7" t="n">
        <v>3218989825.6321</v>
      </c>
      <c r="U7" s="7" t="n">
        <v>311498986.7026</v>
      </c>
      <c r="V7" s="7" t="n">
        <v>-111717928.9464</v>
      </c>
      <c r="W7" s="7" t="n">
        <v>-30781166.912</v>
      </c>
      <c r="X7" s="7" t="n">
        <v>-50670841.2193</v>
      </c>
      <c r="Y7" s="7" t="n">
        <v>-647014.4611</v>
      </c>
      <c r="Z7" s="7" t="n">
        <v>164525.6716</v>
      </c>
      <c r="AA7" s="7" t="n">
        <v>1050014.64</v>
      </c>
      <c r="AB7" s="7" t="n">
        <v>-190259.56</v>
      </c>
      <c r="AC7" s="7" t="n">
        <v>-48582.3604</v>
      </c>
      <c r="AD7" s="7" t="n">
        <v>-16950</v>
      </c>
      <c r="AE7" s="7" t="n">
        <v>-22865.8008</v>
      </c>
      <c r="AF7" s="7"/>
      <c r="AG7" s="7"/>
      <c r="AH7" s="7"/>
      <c r="AI7" s="7" t="n">
        <v>-66.67</v>
      </c>
      <c r="AJ7" s="7"/>
      <c r="AK7" s="7"/>
      <c r="AL7" s="7"/>
      <c r="AM7" s="7"/>
    </row>
    <row r="8">
      <c r="A8" t="str">
        <f>M8</f>
      </c>
      <c r="M8" t="s">
        <v>77</v>
      </c>
      <c r="N8" s="7" t="n">
        <v>520811835</v>
      </c>
      <c r="O8" s="7" t="n">
        <v>560202036</v>
      </c>
      <c r="P8" s="7" t="n">
        <v>542002239</v>
      </c>
      <c r="Q8" s="7" t="n">
        <v>833837129</v>
      </c>
      <c r="R8" s="7" t="n">
        <v>1597213105</v>
      </c>
      <c r="S8" s="7" t="n">
        <v>1424496295.03</v>
      </c>
      <c r="T8" s="7" t="n">
        <v>1024369786.0016</v>
      </c>
      <c r="U8" s="7" t="n">
        <v>1314567377.9406</v>
      </c>
      <c r="V8" s="7" t="n">
        <v>1287756257.1068</v>
      </c>
      <c r="W8" s="7" t="n">
        <v>1105601000.4953</v>
      </c>
      <c r="X8" s="7" t="n">
        <v>1068587794.8827</v>
      </c>
      <c r="Y8" s="7" t="n">
        <v>1114919683.8954</v>
      </c>
      <c r="Z8" s="7" t="n">
        <v>927751677.2288</v>
      </c>
      <c r="AA8" s="7" t="n">
        <v>741273537.7365</v>
      </c>
      <c r="AB8" s="7" t="n">
        <v>809519835.9999</v>
      </c>
      <c r="AC8" s="7" t="n">
        <v>1022588148.4741</v>
      </c>
      <c r="AD8" s="7" t="n">
        <v>804604107.1085</v>
      </c>
      <c r="AE8" s="7" t="n">
        <v>975532298.8011</v>
      </c>
      <c r="AF8" s="7" t="n">
        <v>604349099.6188</v>
      </c>
      <c r="AG8" s="7" t="n">
        <v>736038219.4786</v>
      </c>
      <c r="AH8" s="7" t="n">
        <v>601590871.3298</v>
      </c>
      <c r="AI8" s="7" t="n">
        <v>550695923.8834</v>
      </c>
      <c r="AJ8" s="7" t="n">
        <v>483497856.7914</v>
      </c>
      <c r="AK8" s="7" t="n">
        <v>189109022.1631</v>
      </c>
      <c r="AL8" s="7"/>
      <c r="AM8" s="7"/>
    </row>
    <row r="9">
      <c r="A9" t="str">
        <f>M9</f>
      </c>
      <c r="M9" t="s">
        <v>78</v>
      </c>
      <c r="N9" s="7" t="n">
        <v>390722334</v>
      </c>
      <c r="O9" s="7" t="n">
        <v>345863462</v>
      </c>
      <c r="P9" s="7" t="n">
        <v>312161502</v>
      </c>
      <c r="Q9" s="7" t="n">
        <v>397160441</v>
      </c>
      <c r="R9" s="7" t="n">
        <v>9191797</v>
      </c>
      <c r="S9" s="7" t="n">
        <v>65773214.2833</v>
      </c>
      <c r="T9" s="7" t="n">
        <v>430919752.3398</v>
      </c>
      <c r="U9" s="7" t="n">
        <v>18618629.0343</v>
      </c>
      <c r="V9" s="7" t="n">
        <v>16279872.4122</v>
      </c>
      <c r="W9" s="7" t="n">
        <v>129118081.9483</v>
      </c>
      <c r="X9" s="7" t="n">
        <v>242982399.7039</v>
      </c>
      <c r="Y9" s="7" t="n">
        <v>266667421.1339</v>
      </c>
      <c r="Z9" s="7" t="n">
        <v>141847103.5347</v>
      </c>
      <c r="AA9" s="7" t="n">
        <v>148548792.23</v>
      </c>
      <c r="AB9" s="7" t="n">
        <v>59682543.78</v>
      </c>
      <c r="AC9" s="7" t="n">
        <v>166934152.5257</v>
      </c>
      <c r="AD9" s="7" t="n">
        <v>91732086.4373</v>
      </c>
      <c r="AE9" s="7" t="n">
        <v>133588643.1801</v>
      </c>
      <c r="AF9" s="7" t="n">
        <v>81440392.7096</v>
      </c>
      <c r="AG9" s="7" t="n">
        <v>133310065.9018</v>
      </c>
      <c r="AH9" s="7" t="n">
        <v>127653033.4739</v>
      </c>
      <c r="AI9" s="7" t="n">
        <v>86027815.1195</v>
      </c>
      <c r="AJ9" s="7" t="n">
        <v>178140066.4938</v>
      </c>
      <c r="AK9" s="7" t="n">
        <v>75023457.4494</v>
      </c>
      <c r="AL9" s="7"/>
      <c r="AM9" s="7"/>
    </row>
    <row r="10">
      <c r="A10" t="str">
        <f>M10</f>
      </c>
      <c r="M10" t="s">
        <v>79</v>
      </c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 t="n">
        <v>408920083.5682</v>
      </c>
      <c r="AG10" s="7" t="n">
        <v>779185017.6446</v>
      </c>
      <c r="AH10" s="7" t="n">
        <v>897811297.674</v>
      </c>
      <c r="AI10" s="7" t="n">
        <v>673380834.1057</v>
      </c>
      <c r="AJ10" s="7" t="n">
        <v>1124769179.5592</v>
      </c>
      <c r="AK10" s="7" t="n">
        <v>619492925.2493</v>
      </c>
      <c r="AL10" s="7"/>
      <c r="AM10" s="7"/>
    </row>
    <row r="11">
      <c r="A11" t="str">
        <f>M11</f>
      </c>
      <c r="M11"/>
      <c r="N11" s="7" t="n">
        <v>19315524037.8049</v>
      </c>
      <c r="O11" s="7" t="n">
        <v>21541478288.2593</v>
      </c>
      <c r="P11" s="7" t="n">
        <v>24506053718.2005</v>
      </c>
      <c r="Q11" s="7" t="n">
        <v>32549093780.787</v>
      </c>
      <c r="R11" s="7" t="n">
        <v>33213863137.9153</v>
      </c>
      <c r="S11" s="7" t="n">
        <v>36064956796.397</v>
      </c>
      <c r="T11" s="7" t="n">
        <v>39974549780.3847</v>
      </c>
      <c r="U11" s="7" t="n">
        <v>43860573013.1595</v>
      </c>
      <c r="V11" s="7" t="n">
        <v>55472245877.0826</v>
      </c>
      <c r="W11" s="7" t="n">
        <v>64219017592.1946</v>
      </c>
      <c r="X11" s="7" t="n">
        <v>58943011877.9037</v>
      </c>
      <c r="Y11" s="7" t="n">
        <v>52292932831.3099</v>
      </c>
      <c r="Z11" s="7" t="n">
        <v>46961700154.4722</v>
      </c>
      <c r="AA11" s="7" t="n">
        <v>37192735910.2756</v>
      </c>
      <c r="AB11" s="7" t="n">
        <v>40210989598.6688</v>
      </c>
      <c r="AC11" s="7" t="n">
        <v>36113872863.4011</v>
      </c>
      <c r="AD11" s="7" t="n">
        <v>36638806763.2298</v>
      </c>
      <c r="AE11" s="7" t="n">
        <v>36595449199.1736</v>
      </c>
      <c r="AF11" s="7" t="n">
        <v>44874239657.3215</v>
      </c>
      <c r="AG11" s="7" t="n">
        <v>49589180278.9825</v>
      </c>
      <c r="AH11" s="7" t="n">
        <v>57603503788.1744</v>
      </c>
      <c r="AI11" s="7" t="n">
        <v>48807992053.5109</v>
      </c>
      <c r="AJ11" s="7" t="n">
        <v>54414468275.4439</v>
      </c>
      <c r="AK11" s="7" t="n">
        <v>28136449963.8028</v>
      </c>
      <c r="AL11" s="7"/>
      <c r="AM11" s="7"/>
    </row>
    <row r="12">
      <c r="A12" t="str">
        <f>M12</f>
      </c>
      <c r="M12" t="s">
        <v>193</v>
      </c>
      <c r="N12" s="7" t="str">
        <f>Sum(N2:N11)</f>
      </c>
      <c r="O12" s="7" t="str">
        <f>Sum(O2:O11)</f>
      </c>
      <c r="P12" s="7" t="str">
        <f>Sum(P2:P11)</f>
      </c>
      <c r="Q12" s="7" t="str">
        <f>Sum(Q2:Q11)</f>
      </c>
      <c r="R12" s="7" t="str">
        <f>Sum(R2:R11)</f>
      </c>
      <c r="S12" s="7" t="str">
        <f>Sum(S2:S11)</f>
      </c>
      <c r="T12" s="7" t="str">
        <f>Sum(T2:T11)</f>
      </c>
      <c r="U12" s="7" t="str">
        <f>Sum(U2:U11)</f>
      </c>
      <c r="V12" s="7" t="str">
        <f>Sum(V2:V11)</f>
      </c>
      <c r="W12" s="7" t="str">
        <f>Sum(W2:W11)</f>
      </c>
      <c r="X12" s="7" t="str">
        <f>Sum(X2:X11)</f>
      </c>
      <c r="Y12" s="7" t="str">
        <f>Sum(Y2:Y11)</f>
      </c>
      <c r="Z12" s="7" t="str">
        <f>Sum(Z2:Z11)</f>
      </c>
      <c r="AA12" s="7" t="str">
        <f>Sum(AA2:AA11)</f>
      </c>
      <c r="AB12" s="7" t="str">
        <f>Sum(AB2:AB11)</f>
      </c>
      <c r="AC12" s="7" t="str">
        <f>Sum(AC2:AC11)</f>
      </c>
      <c r="AD12" s="7" t="str">
        <f>Sum(AD2:AD11)</f>
      </c>
      <c r="AE12" s="7" t="str">
        <f>Sum(AE2:AE11)</f>
      </c>
      <c r="AF12" s="7" t="str">
        <f>Sum(AF2:AF11)</f>
      </c>
      <c r="AG12" s="7" t="str">
        <f>Sum(AG2:AG11)</f>
      </c>
      <c r="AH12" s="7" t="str">
        <f>Sum(AH2:AH11)</f>
      </c>
      <c r="AI12" s="7" t="str">
        <f>Sum(AI2:AI11)</f>
      </c>
      <c r="AJ12" s="7" t="str">
        <f>Sum(AJ2:AJ11)</f>
      </c>
      <c r="AK12" s="7" t="str">
        <f>Sum(AK2:AK11)</f>
      </c>
      <c r="AL12" s="7"/>
      <c r="AM12" s="7"/>
    </row>
    <row r="13">
      <c r="M13" t="str">
        <f>Sum(A2:A11)</f>
      </c>
    </row>
    <row r="14">
      <c r="M14" t="str">
        <f>Sum(B2:B11)</f>
      </c>
    </row>
    <row r="15">
      <c r="A15" t="str">
        <f>M15</f>
      </c>
      <c r="B15" t="str">
        <f>AC15</f>
      </c>
      <c r="C15" t="str">
        <f>AI15</f>
      </c>
      <c r="D15" t="str">
        <f>AJ15</f>
      </c>
      <c r="E15" t="str">
        <f>AK15</f>
      </c>
      <c r="F15" t="str">
        <f>AI15&amp;"-"&amp;AJ15</f>
      </c>
      <c r="G15" t="str">
        <f>AC15&amp;"-"&amp;AJ15</f>
      </c>
      <c r="H15" t="str">
        <f>AK15&amp;"/"&amp;AJ15</f>
      </c>
      <c r="I15" t="str">
        <f>"Share "&amp;AJ15</f>
      </c>
      <c r="J15" t="str">
        <f>"Share "&amp;AK15</f>
      </c>
      <c r="M15" t="s">
        <v>70</v>
      </c>
      <c r="N15" t="s">
        <v>11</v>
      </c>
      <c r="O15" t="s">
        <v>12</v>
      </c>
      <c r="P15" t="s">
        <v>13</v>
      </c>
      <c r="Q15" t="s">
        <v>14</v>
      </c>
      <c r="R15" t="s">
        <v>15</v>
      </c>
      <c r="S15" t="s">
        <v>16</v>
      </c>
      <c r="T15" t="s">
        <v>17</v>
      </c>
      <c r="U15" t="s">
        <v>18</v>
      </c>
      <c r="V15" t="s">
        <v>19</v>
      </c>
      <c r="W15" t="s">
        <v>20</v>
      </c>
      <c r="X15" t="s">
        <v>21</v>
      </c>
      <c r="Y15" t="s">
        <v>22</v>
      </c>
      <c r="Z15" t="s">
        <v>23</v>
      </c>
      <c r="AA15" t="s">
        <v>24</v>
      </c>
      <c r="AB15" t="s">
        <v>25</v>
      </c>
      <c r="AC15" t="s">
        <v>26</v>
      </c>
      <c r="AD15" t="s">
        <v>27</v>
      </c>
      <c r="AE15" t="s">
        <v>28</v>
      </c>
      <c r="AF15" t="s">
        <v>29</v>
      </c>
      <c r="AG15" t="s">
        <v>30</v>
      </c>
      <c r="AH15" t="s">
        <v>31</v>
      </c>
      <c r="AI15" t="s">
        <v>32</v>
      </c>
      <c r="AJ15" t="s">
        <v>33</v>
      </c>
      <c r="AK15" t="s">
        <v>34</v>
      </c>
    </row>
    <row r="16">
      <c r="A16" t="str">
        <f>M16</f>
      </c>
      <c r="B16" s="7" t="str">
        <f>AC16</f>
      </c>
      <c r="C16" s="7" t="str">
        <f>AI16</f>
      </c>
      <c r="D16" s="7" t="str">
        <f>AJ16</f>
      </c>
      <c r="E16" s="7" t="str">
        <f>AK16</f>
      </c>
      <c r="F16" s="6" t="str">
        <f>AJ16/AI16-1</f>
      </c>
      <c r="G16" s="6" t="str">
        <f>AJ16/AC16-1</f>
      </c>
      <c r="H16" s="6" t="str">
        <f>AK16/AJ16</f>
      </c>
      <c r="I16" s="6" t="str">
        <f>AJ16/Sum(AJ$15:AJ$25)</f>
      </c>
      <c r="J16" s="6" t="str">
        <f>AK16/Sum(AK15:AK$25)</f>
      </c>
      <c r="M16" t="s">
        <v>71</v>
      </c>
      <c r="N16" s="7" t="n">
        <v>43688773.4245109</v>
      </c>
      <c r="O16" s="7" t="n">
        <v>80316634.9343469</v>
      </c>
      <c r="P16" s="7" t="n">
        <v>114162834.621219</v>
      </c>
      <c r="Q16" s="7" t="n">
        <v>76139559.9842442</v>
      </c>
      <c r="R16" s="7" t="n">
        <v>321090527.806009</v>
      </c>
      <c r="S16" s="7" t="n">
        <v>406476796.30465</v>
      </c>
      <c r="T16" s="7" t="n">
        <v>723381011.411541</v>
      </c>
      <c r="U16" s="7" t="n">
        <v>378455133.553732</v>
      </c>
      <c r="V16" s="7" t="n">
        <v>362082577.78446</v>
      </c>
      <c r="W16" s="7" t="n">
        <v>382648179.854189</v>
      </c>
      <c r="X16" s="7" t="n">
        <v>300953061.341096</v>
      </c>
      <c r="Y16" s="7" t="n">
        <v>211135951.171045</v>
      </c>
      <c r="Z16" s="7" t="n">
        <v>184535647.108734</v>
      </c>
      <c r="AA16" s="7" t="n">
        <v>227293068.291052</v>
      </c>
      <c r="AB16" s="7" t="n">
        <v>153769081.637277</v>
      </c>
      <c r="AC16" s="7" t="n">
        <v>101612394.272655</v>
      </c>
      <c r="AD16" s="7" t="n">
        <v>156915747.674033</v>
      </c>
      <c r="AE16" s="7" t="n">
        <v>59638050.6742133</v>
      </c>
      <c r="AF16" s="7" t="n">
        <v>30220396.4046647</v>
      </c>
      <c r="AG16" s="7" t="n">
        <v>21463340.6025877</v>
      </c>
      <c r="AH16" s="7" t="n">
        <v>17824449.8957278</v>
      </c>
      <c r="AI16" s="7" t="n">
        <v>38806432.5772213</v>
      </c>
      <c r="AJ16" s="7" t="n">
        <v>14399176.3782</v>
      </c>
      <c r="AK16" s="7" t="n">
        <v>12157769.5537064</v>
      </c>
      <c r="AL16" s="7"/>
      <c r="AM16" s="7"/>
    </row>
    <row r="17">
      <c r="A17" t="str">
        <f>M17</f>
      </c>
      <c r="B17" s="7" t="str">
        <f>AC17</f>
      </c>
      <c r="C17" s="7" t="str">
        <f>AI17</f>
      </c>
      <c r="D17" s="7" t="str">
        <f>AJ17</f>
      </c>
      <c r="E17" s="7" t="str">
        <f>AK17</f>
      </c>
      <c r="F17" s="6" t="str">
        <f>AJ17/AI17-1</f>
      </c>
      <c r="G17" s="6" t="str">
        <f>AJ17/AC17-1</f>
      </c>
      <c r="H17" s="6" t="str">
        <f>AK17/AJ17</f>
      </c>
      <c r="I17" s="6" t="str">
        <f>AJ17/Sum(AJ$15:AJ$25)</f>
      </c>
      <c r="J17" s="6" t="str">
        <f>AK17/Sum(AK15:AK$25)</f>
      </c>
      <c r="M17" t="s">
        <v>72</v>
      </c>
      <c r="N17" s="7"/>
      <c r="O17" s="7"/>
      <c r="P17" s="7"/>
      <c r="Q17" s="7"/>
      <c r="R17" s="7"/>
      <c r="S17" s="7"/>
      <c r="T17" s="7"/>
      <c r="U17" s="7" t="n">
        <v>13166685.0413243</v>
      </c>
      <c r="V17" s="7" t="n">
        <v>50021736.7550297</v>
      </c>
      <c r="W17" s="7" t="n">
        <v>261241742.933328</v>
      </c>
      <c r="X17" s="7" t="n">
        <v>411955644.795699</v>
      </c>
      <c r="Y17" s="7" t="n">
        <v>402847091.96231</v>
      </c>
      <c r="Z17" s="7" t="n">
        <v>487941811.489651</v>
      </c>
      <c r="AA17" s="7" t="n">
        <v>779014921.089904</v>
      </c>
      <c r="AB17" s="7" t="n">
        <v>778699730.287785</v>
      </c>
      <c r="AC17" s="7" t="n">
        <v>558146194.568958</v>
      </c>
      <c r="AD17" s="7" t="n">
        <v>573629270.149975</v>
      </c>
      <c r="AE17" s="7" t="n">
        <v>518157995.809709</v>
      </c>
      <c r="AF17" s="7" t="n">
        <v>807136528.112801</v>
      </c>
      <c r="AG17" s="7" t="n">
        <v>542572103.744817</v>
      </c>
      <c r="AH17" s="7" t="n">
        <v>762162876.498345</v>
      </c>
      <c r="AI17" s="7" t="n">
        <v>778354288.679118</v>
      </c>
      <c r="AJ17" s="7" t="n">
        <v>787757338.9206</v>
      </c>
      <c r="AK17" s="7" t="n">
        <v>633935976.673598</v>
      </c>
      <c r="AL17" s="7"/>
      <c r="AM17" s="7"/>
    </row>
    <row r="18">
      <c r="A18" t="str">
        <f>M18</f>
      </c>
      <c r="B18" s="7" t="str">
        <f>AC18</f>
      </c>
      <c r="C18" s="7" t="str">
        <f>AI18</f>
      </c>
      <c r="D18" s="7" t="str">
        <f>AJ18</f>
      </c>
      <c r="E18" s="7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AJ18/Sum(AJ$15:AJ$25)</f>
      </c>
      <c r="J18" s="6" t="str">
        <f>AK18/Sum(AK15:AK$25)</f>
      </c>
      <c r="M18" t="s">
        <v>73</v>
      </c>
      <c r="N18" s="7" t="n">
        <v>711775687.809415</v>
      </c>
      <c r="O18" s="7" t="n">
        <v>662781800.043011</v>
      </c>
      <c r="P18" s="7" t="n">
        <v>748270978.692909</v>
      </c>
      <c r="Q18" s="7" t="n">
        <v>585186538.658395</v>
      </c>
      <c r="R18" s="7" t="n">
        <v>2235248.46996017</v>
      </c>
      <c r="S18" s="7"/>
      <c r="T18" s="7" t="n">
        <v>1680932.83524782</v>
      </c>
      <c r="U18" s="7" t="n">
        <v>-4033.46142177044</v>
      </c>
      <c r="V18" s="7" t="n">
        <v>48043.341797437</v>
      </c>
      <c r="W18" s="7" t="n">
        <v>-1069873.50691085</v>
      </c>
      <c r="X18" s="7" t="n">
        <v>7918.85987609171</v>
      </c>
      <c r="Y18" s="7" t="n">
        <v>-245479.367619192</v>
      </c>
      <c r="Z18" s="7" t="n">
        <v>-31531.8906214937</v>
      </c>
      <c r="AA18" s="7"/>
      <c r="AB18" s="7"/>
      <c r="AC18" s="7"/>
      <c r="AD18" s="7"/>
      <c r="AE18" s="7" t="n">
        <v>-31888.5494091387</v>
      </c>
      <c r="AF18" s="7" t="n">
        <v>0</v>
      </c>
      <c r="AG18" s="7" t="n">
        <v>0</v>
      </c>
      <c r="AH18" s="7"/>
      <c r="AI18" s="7"/>
      <c r="AJ18" s="7"/>
      <c r="AK18" s="7"/>
      <c r="AL18" s="7"/>
      <c r="AM18" s="7"/>
    </row>
    <row r="19">
      <c r="A19" t="str">
        <f>M19</f>
      </c>
      <c r="B19" s="7" t="str">
        <f>AC19</f>
      </c>
      <c r="C19" s="7" t="str">
        <f>AI19</f>
      </c>
      <c r="D19" s="7" t="str">
        <f>AJ19</f>
      </c>
      <c r="E19" s="7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AJ19/Sum(AJ$15:AJ$25)</f>
      </c>
      <c r="J19" s="6" t="str">
        <f>AK19/Sum(AK15:AK$25)</f>
      </c>
      <c r="M19" t="s">
        <v>74</v>
      </c>
      <c r="N19" s="7" t="n">
        <v>112223466.823657</v>
      </c>
      <c r="O19" s="7" t="n">
        <v>121500368.542829</v>
      </c>
      <c r="P19" s="7" t="n">
        <v>61159343.3226173</v>
      </c>
      <c r="Q19" s="7" t="n">
        <v>177959223.037012</v>
      </c>
      <c r="R19" s="7" t="n">
        <v>649008286.37547</v>
      </c>
      <c r="S19" s="7" t="n">
        <v>354680340.756157</v>
      </c>
      <c r="T19" s="7" t="n">
        <v>280508932.272918</v>
      </c>
      <c r="U19" s="7" t="n">
        <v>290664273.434332</v>
      </c>
      <c r="V19" s="7" t="n">
        <v>224131322.687525</v>
      </c>
      <c r="W19" s="7" t="n">
        <v>300400381.864152</v>
      </c>
      <c r="X19" s="7" t="n">
        <v>360099661.11473</v>
      </c>
      <c r="Y19" s="7" t="n">
        <v>330036193.231203</v>
      </c>
      <c r="Z19" s="7" t="n">
        <v>432691166.938102</v>
      </c>
      <c r="AA19" s="7" t="n">
        <v>308254649.884246</v>
      </c>
      <c r="AB19" s="7" t="n">
        <v>313335881.685853</v>
      </c>
      <c r="AC19" s="7" t="n">
        <v>214840715.898725</v>
      </c>
      <c r="AD19" s="7" t="n">
        <v>247283955.621635</v>
      </c>
      <c r="AE19" s="7" t="n">
        <v>191396923.898831</v>
      </c>
      <c r="AF19" s="7" t="n">
        <v>163074136.806403</v>
      </c>
      <c r="AG19" s="7" t="n">
        <v>228454216.684909</v>
      </c>
      <c r="AH19" s="7" t="n">
        <v>150241296.647894</v>
      </c>
      <c r="AI19" s="7" t="n">
        <v>181431657.703748</v>
      </c>
      <c r="AJ19" s="7" t="n">
        <v>146554377.2825</v>
      </c>
      <c r="AK19" s="7" t="n">
        <v>20465497.1991811</v>
      </c>
      <c r="AL19" s="7"/>
      <c r="AM19" s="7"/>
    </row>
    <row r="20">
      <c r="A20" t="str">
        <f>M20</f>
      </c>
      <c r="B20" s="7" t="str">
        <f>AC20</f>
      </c>
      <c r="C20" s="7" t="str">
        <f>AI20</f>
      </c>
      <c r="D20" s="7" t="str">
        <f>AJ20</f>
      </c>
      <c r="E20" s="7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AJ20/Sum(AJ$15:AJ$25)</f>
      </c>
      <c r="J20" s="6" t="str">
        <f>AK20/Sum(AK15:AK$25)</f>
      </c>
      <c r="M20" t="s">
        <v>75</v>
      </c>
      <c r="N20" s="7" t="n">
        <v>57917934.3886603</v>
      </c>
      <c r="O20" s="7" t="n">
        <v>111446138.159915</v>
      </c>
      <c r="P20" s="7" t="n">
        <v>167439115.24045</v>
      </c>
      <c r="Q20" s="7" t="n">
        <v>176783557.379627</v>
      </c>
      <c r="R20" s="7" t="n">
        <v>339979416.26105</v>
      </c>
      <c r="S20" s="7" t="n">
        <v>320115701.475438</v>
      </c>
      <c r="T20" s="7" t="n">
        <v>253633695.196061</v>
      </c>
      <c r="U20" s="7" t="n">
        <v>259158318.189663</v>
      </c>
      <c r="V20" s="7" t="n">
        <v>198851131.25537</v>
      </c>
      <c r="W20" s="7" t="n">
        <v>298789977.96935</v>
      </c>
      <c r="X20" s="7" t="n">
        <v>282639891.54664</v>
      </c>
      <c r="Y20" s="7" t="n">
        <v>219032439.270088</v>
      </c>
      <c r="Z20" s="7" t="n">
        <v>129226481.110835</v>
      </c>
      <c r="AA20" s="7" t="n">
        <v>116432057.624015</v>
      </c>
      <c r="AB20" s="7" t="n">
        <v>129177955.98977</v>
      </c>
      <c r="AC20" s="7" t="n">
        <v>114276219.604283</v>
      </c>
      <c r="AD20" s="7" t="n">
        <v>243104513.093641</v>
      </c>
      <c r="AE20" s="7" t="n">
        <v>90891663.8699299</v>
      </c>
      <c r="AF20" s="7" t="n">
        <v>121658691.898311</v>
      </c>
      <c r="AG20" s="7" t="n">
        <v>125344987.92804</v>
      </c>
      <c r="AH20" s="7" t="n">
        <v>112354155.667345</v>
      </c>
      <c r="AI20" s="7" t="n">
        <v>110568968.969676</v>
      </c>
      <c r="AJ20" s="7" t="n">
        <v>137789400.3621</v>
      </c>
      <c r="AK20" s="7" t="n">
        <v>129569383.999017</v>
      </c>
      <c r="AL20" s="7"/>
      <c r="AM20" s="7"/>
    </row>
    <row r="21">
      <c r="A21" t="str">
        <f>M21</f>
      </c>
      <c r="B21" s="7" t="str">
        <f>AC21</f>
      </c>
      <c r="C21" s="7" t="str">
        <f>AI21</f>
      </c>
      <c r="D21" s="7" t="str">
        <f>AJ21</f>
      </c>
      <c r="E21" s="7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AJ21/Sum(AJ$15:AJ$25)</f>
      </c>
      <c r="J21" s="6" t="str">
        <f>AK21/Sum(AK15:AK$25)</f>
      </c>
      <c r="M21" t="s">
        <v>76</v>
      </c>
      <c r="N21" s="7"/>
      <c r="O21" s="7"/>
      <c r="P21" s="7"/>
      <c r="Q21" s="7"/>
      <c r="R21" s="7"/>
      <c r="S21" s="7" t="n">
        <v>1811499614.32837</v>
      </c>
      <c r="T21" s="7" t="n">
        <v>4500581642.43032</v>
      </c>
      <c r="U21" s="7" t="n">
        <v>423893099.117922</v>
      </c>
      <c r="V21" s="7" t="n">
        <v>-148921761.261858</v>
      </c>
      <c r="W21" s="7" t="n">
        <v>-40619012.3819858</v>
      </c>
      <c r="X21" s="7" t="n">
        <v>-66288998.8805325</v>
      </c>
      <c r="Y21" s="7" t="n">
        <v>-829720.27544851</v>
      </c>
      <c r="Z21" s="7" t="n">
        <v>207187.178206349</v>
      </c>
      <c r="AA21" s="7" t="n">
        <v>1298520.51022701</v>
      </c>
      <c r="AB21" s="7" t="n">
        <v>-230822.604968812</v>
      </c>
      <c r="AC21" s="7" t="n">
        <v>-58271.993984569</v>
      </c>
      <c r="AD21" s="7" t="n">
        <v>-20163.5509273673</v>
      </c>
      <c r="AE21" s="7" t="n">
        <v>-26723.8078531799</v>
      </c>
      <c r="AF21" s="7"/>
      <c r="AG21" s="7"/>
      <c r="AH21" s="7"/>
      <c r="AI21" s="7" t="n">
        <v>-71.2894039536028</v>
      </c>
      <c r="AJ21" s="7"/>
      <c r="AK21" s="7"/>
      <c r="AL21" s="7"/>
      <c r="AM21" s="7"/>
    </row>
    <row r="22">
      <c r="A22" t="str">
        <f>M22</f>
      </c>
      <c r="B22" s="7" t="str">
        <f>AC22</f>
      </c>
      <c r="C22" s="7" t="str">
        <f>AI22</f>
      </c>
      <c r="D22" s="7" t="str">
        <f>AJ22</f>
      </c>
      <c r="E22" s="7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AJ22/Sum(AJ$15:AJ$25)</f>
      </c>
      <c r="J22" s="6" t="str">
        <f>AK22/Sum(AK15:AK$25)</f>
      </c>
      <c r="M22" t="s">
        <v>77</v>
      </c>
      <c r="N22" s="7" t="n">
        <v>841491332.084923</v>
      </c>
      <c r="O22" s="7" t="n">
        <v>883705905.459826</v>
      </c>
      <c r="P22" s="7" t="n">
        <v>841710962.597226</v>
      </c>
      <c r="Q22" s="7" t="n">
        <v>1270632982.87855</v>
      </c>
      <c r="R22" s="7" t="n">
        <v>2375821477.19341</v>
      </c>
      <c r="S22" s="7" t="n">
        <v>2056480780.1853</v>
      </c>
      <c r="T22" s="7" t="n">
        <v>1432207028.81028</v>
      </c>
      <c r="U22" s="7" t="n">
        <v>1788885561.82231</v>
      </c>
      <c r="V22" s="7" t="n">
        <v>1716599400.76702</v>
      </c>
      <c r="W22" s="7" t="n">
        <v>1458957708.0376</v>
      </c>
      <c r="X22" s="7" t="n">
        <v>1397956170.33785</v>
      </c>
      <c r="Y22" s="7" t="n">
        <v>1429753927.99093</v>
      </c>
      <c r="Z22" s="7" t="n">
        <v>1168317686.91131</v>
      </c>
      <c r="AA22" s="7" t="n">
        <v>916709973.147972</v>
      </c>
      <c r="AB22" s="7" t="n">
        <v>982108217.423726</v>
      </c>
      <c r="AC22" s="7" t="n">
        <v>1226540866.80758</v>
      </c>
      <c r="AD22" s="7" t="n">
        <v>957149020.062012</v>
      </c>
      <c r="AE22" s="7" t="n">
        <v>1140127911.36235</v>
      </c>
      <c r="AF22" s="7" t="n">
        <v>690113185.592572</v>
      </c>
      <c r="AG22" s="7" t="n">
        <v>824344477.011192</v>
      </c>
      <c r="AH22" s="7" t="n">
        <v>664896774.336537</v>
      </c>
      <c r="AI22" s="7" t="n">
        <v>588852319.983894</v>
      </c>
      <c r="AJ22" s="7" t="n">
        <v>483497856.7914</v>
      </c>
      <c r="AK22" s="7" t="n">
        <v>180371878.875763</v>
      </c>
      <c r="AL22" s="7"/>
      <c r="AM22" s="7"/>
    </row>
    <row r="23">
      <c r="A23" t="str">
        <f>M23</f>
      </c>
      <c r="B23" s="7" t="str">
        <f>AC23</f>
      </c>
      <c r="C23" s="7" t="str">
        <f>AI23</f>
      </c>
      <c r="D23" s="7" t="str">
        <f>AJ23</f>
      </c>
      <c r="E23" s="7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AJ23/Sum(AJ$15:AJ$25)</f>
      </c>
      <c r="J23" s="6" t="str">
        <f>AK23/Sum(AK15:AK$25)</f>
      </c>
      <c r="M23" t="s">
        <v>78</v>
      </c>
      <c r="N23" s="7" t="n">
        <v>631301816.159747</v>
      </c>
      <c r="O23" s="7" t="n">
        <v>545591704.797339</v>
      </c>
      <c r="P23" s="7" t="n">
        <v>484776149.299664</v>
      </c>
      <c r="Q23" s="7" t="n">
        <v>605208305.408996</v>
      </c>
      <c r="R23" s="7" t="n">
        <v>13672608.0309753</v>
      </c>
      <c r="S23" s="7" t="n">
        <v>94953810.3374059</v>
      </c>
      <c r="T23" s="7" t="n">
        <v>602483894.574066</v>
      </c>
      <c r="U23" s="7" t="n">
        <v>25336545.8623833</v>
      </c>
      <c r="V23" s="7" t="n">
        <v>21701326.6859463</v>
      </c>
      <c r="W23" s="7" t="n">
        <v>170384994.967544</v>
      </c>
      <c r="X23" s="7" t="n">
        <v>317876309.813975</v>
      </c>
      <c r="Y23" s="7" t="n">
        <v>341969738.574616</v>
      </c>
      <c r="Z23" s="7" t="n">
        <v>178628057.447165</v>
      </c>
      <c r="AA23" s="7" t="n">
        <v>183705680.027571</v>
      </c>
      <c r="AB23" s="7" t="n">
        <v>72406770.1326796</v>
      </c>
      <c r="AC23" s="7" t="n">
        <v>200228763.108774</v>
      </c>
      <c r="AD23" s="7" t="n">
        <v>109123575.017826</v>
      </c>
      <c r="AE23" s="7" t="n">
        <v>156128239.852068</v>
      </c>
      <c r="AF23" s="7" t="n">
        <v>92997720.827553</v>
      </c>
      <c r="AG23" s="7" t="n">
        <v>149303954.126178</v>
      </c>
      <c r="AH23" s="7" t="n">
        <v>141086067.352475</v>
      </c>
      <c r="AI23" s="7" t="n">
        <v>91988475.5257221</v>
      </c>
      <c r="AJ23" s="7" t="n">
        <v>178140066.4938</v>
      </c>
      <c r="AK23" s="7" t="n">
        <v>71557252.1348724</v>
      </c>
      <c r="AL23" s="7"/>
      <c r="AM23" s="7"/>
    </row>
    <row r="24">
      <c r="A24" t="str">
        <f>M24</f>
      </c>
      <c r="B24" s="7" t="str">
        <f>AC24</f>
      </c>
      <c r="C24" s="7" t="str">
        <f>AI24</f>
      </c>
      <c r="D24" s="7" t="str">
        <f>AJ24</f>
      </c>
      <c r="E24" s="7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AJ24/Sum(AJ$15:AJ$25)</f>
      </c>
      <c r="J24" s="6" t="str">
        <f>AK24/Sum(AK15:AK$25)</f>
      </c>
      <c r="M24" t="s">
        <v>79</v>
      </c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 t="n">
        <v>466950545.143582</v>
      </c>
      <c r="AG24" s="7" t="n">
        <v>872667816.516652</v>
      </c>
      <c r="AH24" s="7" t="n">
        <v>992288720.184196</v>
      </c>
      <c r="AI24" s="7" t="n">
        <v>720037772.569</v>
      </c>
      <c r="AJ24" s="7" t="n">
        <v>1124769179.5592</v>
      </c>
      <c r="AK24" s="7" t="n">
        <v>590871348.174428</v>
      </c>
      <c r="AL24" s="7"/>
      <c r="AM24" s="7"/>
    </row>
    <row r="25">
      <c r="A25" t="str">
        <f>M25</f>
      </c>
      <c r="B25" s="7" t="str">
        <f>AC25</f>
      </c>
      <c r="C25" s="7" t="str">
        <f>AI25</f>
      </c>
      <c r="D25" s="7" t="str">
        <f>AJ25</f>
      </c>
      <c r="E25" s="7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AJ25/Sum(AJ$15:AJ$25)</f>
      </c>
      <c r="J25" s="6" t="str">
        <f>AK25/Sum(AK15:AK$25)</f>
      </c>
      <c r="M25"/>
      <c r="N25" s="7" t="n">
        <v>31208672614.9201</v>
      </c>
      <c r="O25" s="7" t="n">
        <v>33981189557.2428</v>
      </c>
      <c r="P25" s="7" t="n">
        <v>38057064307.8208</v>
      </c>
      <c r="Q25" s="7" t="n">
        <v>49599556894.6117</v>
      </c>
      <c r="R25" s="7" t="n">
        <v>49404934843.4451</v>
      </c>
      <c r="S25" s="7" t="n">
        <v>52065344605.5062</v>
      </c>
      <c r="T25" s="7" t="n">
        <v>55889808496.2689</v>
      </c>
      <c r="U25" s="7" t="n">
        <v>59686210926.2228</v>
      </c>
      <c r="V25" s="7" t="n">
        <v>73945378643.1134</v>
      </c>
      <c r="W25" s="7" t="n">
        <v>84743800590.5939</v>
      </c>
      <c r="X25" s="7" t="n">
        <v>77110881808.3197</v>
      </c>
      <c r="Y25" s="7" t="n">
        <v>67059562407.6769</v>
      </c>
      <c r="Z25" s="7" t="n">
        <v>59138868993.2431</v>
      </c>
      <c r="AA25" s="7" t="n">
        <v>45995101945.3875</v>
      </c>
      <c r="AB25" s="7" t="n">
        <v>48783910608.952</v>
      </c>
      <c r="AC25" s="7" t="n">
        <v>43316696943.6832</v>
      </c>
      <c r="AD25" s="7" t="n">
        <v>43585159061.2597</v>
      </c>
      <c r="AE25" s="7" t="n">
        <v>42769976055.224</v>
      </c>
      <c r="AF25" s="7" t="n">
        <v>51242410223.6477</v>
      </c>
      <c r="AG25" s="7" t="n">
        <v>55538647043.9666</v>
      </c>
      <c r="AH25" s="7" t="n">
        <v>63665167948.0736</v>
      </c>
      <c r="AI25" s="7" t="n">
        <v>52189780435.9828</v>
      </c>
      <c r="AJ25" s="7" t="n">
        <v>54414468275.4439</v>
      </c>
      <c r="AK25" s="7" t="n">
        <v>26836500378.5381</v>
      </c>
      <c r="AL25" s="7"/>
      <c r="AM25" s="7"/>
    </row>
    <row r="26">
      <c r="A26" t="str">
        <f>M26</f>
      </c>
      <c r="B26" s="7" t="str">
        <f>AC26</f>
      </c>
      <c r="C26" s="7" t="str">
        <f>AI26</f>
      </c>
      <c r="D26" s="7" t="str">
        <f>AJ26</f>
      </c>
      <c r="E26" s="7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Sum(I$15:I$25)</f>
      </c>
      <c r="J26" s="6" t="str">
        <f>Sum(J$15:J$25)</f>
      </c>
      <c r="M26" t="s">
        <v>193</v>
      </c>
      <c r="N26" s="7" t="str">
        <f>Sum(N16:N25)</f>
      </c>
      <c r="O26" s="7" t="str">
        <f>Sum(O16:O25)</f>
      </c>
      <c r="P26" s="7" t="str">
        <f>Sum(P16:P25)</f>
      </c>
      <c r="Q26" s="7" t="str">
        <f>Sum(Q16:Q25)</f>
      </c>
      <c r="R26" s="7" t="str">
        <f>Sum(R16:R25)</f>
      </c>
      <c r="S26" s="7" t="str">
        <f>Sum(S16:S25)</f>
      </c>
      <c r="T26" s="7" t="str">
        <f>Sum(T16:T25)</f>
      </c>
      <c r="U26" s="7" t="str">
        <f>Sum(U16:U25)</f>
      </c>
      <c r="V26" s="7" t="str">
        <f>Sum(V16:V25)</f>
      </c>
      <c r="W26" s="7" t="str">
        <f>Sum(W16:W25)</f>
      </c>
      <c r="X26" s="7" t="str">
        <f>Sum(X16:X25)</f>
      </c>
      <c r="Y26" s="7" t="str">
        <f>Sum(Y16:Y25)</f>
      </c>
      <c r="Z26" s="7" t="str">
        <f>Sum(Z16:Z25)</f>
      </c>
      <c r="AA26" s="7" t="str">
        <f>Sum(AA16:AA25)</f>
      </c>
      <c r="AB26" s="7" t="str">
        <f>Sum(AB16:AB25)</f>
      </c>
      <c r="AC26" s="7" t="str">
        <f>Sum(AC16:AC25)</f>
      </c>
      <c r="AD26" s="7" t="str">
        <f>Sum(AD16:AD25)</f>
      </c>
      <c r="AE26" s="7" t="str">
        <f>Sum(AE16:AE25)</f>
      </c>
      <c r="AF26" s="7" t="str">
        <f>Sum(AF16:AF25)</f>
      </c>
      <c r="AG26" s="7" t="str">
        <f>Sum(AG16:AG25)</f>
      </c>
      <c r="AH26" s="7" t="str">
        <f>Sum(AH16:AH25)</f>
      </c>
      <c r="AI26" s="7" t="str">
        <f>Sum(AI16:AI25)</f>
      </c>
      <c r="AJ26" s="7" t="str">
        <f>Sum(AJ16:AJ25)</f>
      </c>
      <c r="AK26" s="7" t="str">
        <f>Sum(AK16:AK25)</f>
      </c>
      <c r="AL26" s="7"/>
      <c r="AM26" s="7"/>
    </row>
    <row r="27">
      <c r="M27" t="str">
        <f>Sum(A16:A25)</f>
      </c>
    </row>
    <row r="28">
      <c r="M28" t="str">
        <f>Sum(B16:B25)</f>
      </c>
    </row>
    <row r="29">
      <c r="M29" t="str">
        <f>Sum(C16:C25)</f>
      </c>
    </row>
    <row r="30">
      <c r="M30" t="str">
        <f>Sum(D16:D25)</f>
      </c>
    </row>
    <row r="31">
      <c r="M31" t="str">
        <f>Sum(E16:E25)</f>
      </c>
    </row>
    <row r="32">
      <c r="M32" t="str">
        <f>Sum(F16:F25)</f>
      </c>
    </row>
    <row r="33">
      <c r="M33" t="str">
        <f>Sum(G16:G25)</f>
      </c>
    </row>
    <row r="34">
      <c r="M34" t="str">
        <f>Sum(H16:H25)</f>
      </c>
    </row>
    <row r="35">
      <c r="M35" t="str">
        <f>Sum(I16:I25)</f>
      </c>
    </row>
    <row r="36">
      <c r="M36" t="str">
        <f>Sum(J16:J25)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M1</f>
      </c>
      <c r="M1" t="s">
        <v>80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29</v>
      </c>
      <c r="AG1" t="s">
        <v>30</v>
      </c>
      <c r="AH1" t="s">
        <v>31</v>
      </c>
      <c r="AI1" t="s">
        <v>32</v>
      </c>
      <c r="AJ1" t="s">
        <v>33</v>
      </c>
      <c r="AK1" t="s">
        <v>34</v>
      </c>
    </row>
    <row r="2">
      <c r="A2" t="str">
        <f>M2</f>
      </c>
      <c r="M2" t="s">
        <v>81</v>
      </c>
      <c r="N2" s="8" t="n">
        <v>726016526</v>
      </c>
      <c r="O2" s="8" t="n">
        <v>710557068.8799</v>
      </c>
      <c r="P2" s="8" t="n">
        <v>838961864.2188</v>
      </c>
      <c r="Q2" s="8" t="n">
        <v>1204981590.5</v>
      </c>
      <c r="R2" s="8" t="n">
        <v>1267066265.9805</v>
      </c>
      <c r="S2" s="8" t="n">
        <v>1437619419.2755</v>
      </c>
      <c r="T2" s="8" t="n">
        <v>1610807246.8583</v>
      </c>
      <c r="U2" s="8" t="n">
        <v>1765356402.3411</v>
      </c>
      <c r="V2" s="8" t="n">
        <v>1588494215.6092</v>
      </c>
      <c r="W2" s="8" t="n">
        <v>1825528982.3183</v>
      </c>
      <c r="X2" s="8" t="n">
        <v>1725487063.6533</v>
      </c>
      <c r="Y2" s="8" t="n">
        <v>1418025204.6027</v>
      </c>
      <c r="Z2" s="8" t="n">
        <v>1202144691.6506</v>
      </c>
      <c r="AA2" s="8" t="n">
        <v>822207191.85</v>
      </c>
      <c r="AB2" s="8" t="n">
        <v>845803485.8977</v>
      </c>
      <c r="AC2" s="8" t="n">
        <v>805231240.962</v>
      </c>
      <c r="AD2" s="8" t="n">
        <v>956159992.9013</v>
      </c>
      <c r="AE2" s="8" t="n">
        <v>839575098.9306</v>
      </c>
      <c r="AF2" s="8" t="n">
        <v>928618406.2184</v>
      </c>
      <c r="AG2" s="8" t="n">
        <v>1070160683.4435</v>
      </c>
      <c r="AH2" s="8" t="n">
        <v>1268347794.1707</v>
      </c>
      <c r="AI2" s="8" t="n">
        <v>822674714.6374</v>
      </c>
      <c r="AJ2" s="8" t="n">
        <v>1075736546.4786</v>
      </c>
      <c r="AK2" s="8" t="n">
        <v>434341564.6877</v>
      </c>
      <c r="AL2" s="8"/>
      <c r="AM2" s="8"/>
    </row>
    <row r="3">
      <c r="A3" t="str">
        <f>M3</f>
      </c>
      <c r="M3" t="s">
        <v>82</v>
      </c>
      <c r="N3" s="8" t="n">
        <v>857260816</v>
      </c>
      <c r="O3" s="8" t="n">
        <v>775680843</v>
      </c>
      <c r="P3" s="8" t="n">
        <v>680375227</v>
      </c>
      <c r="Q3" s="8" t="n">
        <v>558144449</v>
      </c>
      <c r="R3" s="8" t="n">
        <v>1147470990</v>
      </c>
      <c r="S3" s="8" t="n">
        <v>954015860.9688</v>
      </c>
      <c r="T3" s="8" t="n">
        <v>647973247.7772</v>
      </c>
      <c r="U3" s="8" t="n">
        <v>653208616.7675</v>
      </c>
      <c r="V3" s="8" t="n">
        <v>816766075.9413</v>
      </c>
      <c r="W3" s="8" t="n">
        <v>982488108.015</v>
      </c>
      <c r="X3" s="8" t="n">
        <v>1054695251.7488</v>
      </c>
      <c r="Y3" s="8" t="n">
        <v>890714603.8261</v>
      </c>
      <c r="Z3" s="8" t="n">
        <v>877922297.5729</v>
      </c>
      <c r="AA3" s="8" t="n">
        <v>705432499.7929</v>
      </c>
      <c r="AB3" s="8" t="n">
        <v>751824972.2314</v>
      </c>
      <c r="AC3" s="8" t="n">
        <v>711971850.9994</v>
      </c>
      <c r="AD3" s="8" t="n">
        <v>702696764.7085</v>
      </c>
      <c r="AE3" s="8" t="n">
        <v>853048220.1842</v>
      </c>
      <c r="AF3" s="8" t="n">
        <v>1094000797.9355</v>
      </c>
      <c r="AG3" s="8" t="n">
        <v>1324892826.3044</v>
      </c>
      <c r="AH3" s="8" t="n">
        <v>1360389665.3869</v>
      </c>
      <c r="AI3" s="8" t="n">
        <v>1371991500.6677</v>
      </c>
      <c r="AJ3" s="8" t="n">
        <v>1867114632.8341</v>
      </c>
      <c r="AK3" s="8" t="n">
        <v>623640169.4285</v>
      </c>
      <c r="AL3" s="8"/>
      <c r="AM3" s="8"/>
    </row>
    <row r="4">
      <c r="A4" t="str">
        <f>M4</f>
      </c>
      <c r="M4" t="s">
        <v>83</v>
      </c>
      <c r="N4" s="8" t="n">
        <v>963833358</v>
      </c>
      <c r="O4" s="8" t="n">
        <v>1051092996</v>
      </c>
      <c r="P4" s="8" t="n">
        <v>1061411441.2109</v>
      </c>
      <c r="Q4" s="8" t="n">
        <v>2155275761.1484</v>
      </c>
      <c r="R4" s="8" t="n">
        <v>3020044002.7226</v>
      </c>
      <c r="S4" s="8" t="n">
        <v>3782358391.125</v>
      </c>
      <c r="T4" s="8" t="n">
        <v>3537545040.3659</v>
      </c>
      <c r="U4" s="8" t="n">
        <v>4417110283.0664</v>
      </c>
      <c r="V4" s="8" t="n">
        <v>7397070671.5605</v>
      </c>
      <c r="W4" s="8" t="n">
        <v>9379058423.5263</v>
      </c>
      <c r="X4" s="8" t="n">
        <v>6499667378.6929</v>
      </c>
      <c r="Y4" s="8" t="n">
        <v>6090082794.8151</v>
      </c>
      <c r="Z4" s="8" t="n">
        <v>335543742.2786</v>
      </c>
      <c r="AA4" s="8" t="n">
        <v>177334508.0262</v>
      </c>
      <c r="AB4" s="8" t="n">
        <v>71692708.8496</v>
      </c>
      <c r="AC4" s="8" t="n">
        <v>887430.9898</v>
      </c>
      <c r="AD4" s="8" t="n">
        <v>-31223265.2679</v>
      </c>
      <c r="AE4" s="8" t="n">
        <v>28014657.6719</v>
      </c>
      <c r="AF4" s="8" t="n">
        <v>16614301.3014</v>
      </c>
      <c r="AG4" s="8" t="n">
        <v>20751487.1838</v>
      </c>
      <c r="AH4" s="8" t="n">
        <v>5866140.8855</v>
      </c>
      <c r="AI4" s="8" t="n">
        <v>32590.3403</v>
      </c>
      <c r="AJ4" s="8" t="n">
        <v>1824554.25</v>
      </c>
      <c r="AK4" s="8"/>
      <c r="AL4" s="8"/>
      <c r="AM4" s="8"/>
    </row>
    <row r="5">
      <c r="A5" t="str">
        <f>M5</f>
      </c>
      <c r="M5" t="s">
        <v>84</v>
      </c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  <c r="Z5" s="8" t="n">
        <v>3789329648.7082</v>
      </c>
      <c r="AA5" s="8" t="n">
        <v>2291333507.5775</v>
      </c>
      <c r="AB5" s="8" t="n">
        <v>2380062810.4847</v>
      </c>
      <c r="AC5" s="8" t="n">
        <v>2114988531.754</v>
      </c>
      <c r="AD5" s="8" t="n">
        <v>1991975338.4518</v>
      </c>
      <c r="AE5" s="8" t="n">
        <v>1720935423.0946</v>
      </c>
      <c r="AF5" s="8" t="n">
        <v>2953767578.9715</v>
      </c>
      <c r="AG5" s="8" t="n">
        <v>3014435649.7992</v>
      </c>
      <c r="AH5" s="8" t="n">
        <v>5356927510.1818</v>
      </c>
      <c r="AI5" s="8" t="n">
        <v>3425624783.0485</v>
      </c>
      <c r="AJ5" s="8" t="n">
        <v>4987370323.2887</v>
      </c>
      <c r="AK5" s="8" t="n">
        <v>1915987416.2772</v>
      </c>
      <c r="AL5" s="8"/>
      <c r="AM5" s="8"/>
    </row>
    <row r="6">
      <c r="A6" t="str">
        <f>M6</f>
      </c>
      <c r="M6" t="s">
        <v>85</v>
      </c>
      <c r="N6" s="8" t="n">
        <v>786324862</v>
      </c>
      <c r="O6" s="8" t="n">
        <v>893058979</v>
      </c>
      <c r="P6" s="8" t="n">
        <v>1066893133</v>
      </c>
      <c r="Q6" s="8" t="n">
        <v>968200177</v>
      </c>
      <c r="R6" s="8" t="n">
        <v>997406769.2813</v>
      </c>
      <c r="S6" s="8" t="n">
        <v>1219695175.5488</v>
      </c>
      <c r="T6" s="8" t="n">
        <v>1954703331.2385</v>
      </c>
      <c r="U6" s="8" t="n">
        <v>2043522393.6772</v>
      </c>
      <c r="V6" s="8" t="n">
        <v>3396975126.5201</v>
      </c>
      <c r="W6" s="8" t="n">
        <v>3960563727.0964</v>
      </c>
      <c r="X6" s="8" t="n">
        <v>4807495315.767</v>
      </c>
      <c r="Y6" s="8" t="n">
        <v>2504133293.9578</v>
      </c>
      <c r="Z6" s="8" t="n">
        <v>737626299.4967</v>
      </c>
      <c r="AA6" s="8" t="n">
        <v>349763002.6251</v>
      </c>
      <c r="AB6" s="8" t="n">
        <v>26456278.0325</v>
      </c>
      <c r="AC6" s="8" t="n">
        <v>78340089.286</v>
      </c>
      <c r="AD6" s="8" t="n">
        <v>78976445.9417</v>
      </c>
      <c r="AE6" s="8" t="n">
        <v>21673017.5132</v>
      </c>
      <c r="AF6" s="8" t="n">
        <v>5581426.4032</v>
      </c>
      <c r="AG6" s="8" t="n">
        <v>3261383.1428</v>
      </c>
      <c r="AH6" s="8" t="n">
        <v>1604547.4999</v>
      </c>
      <c r="AI6" s="8" t="n">
        <v>2527505.2607</v>
      </c>
      <c r="AJ6" s="8" t="n">
        <v>560738.3819</v>
      </c>
      <c r="AK6" s="8" t="n">
        <v>-32199</v>
      </c>
      <c r="AL6" s="8"/>
      <c r="AM6" s="8"/>
    </row>
    <row r="7">
      <c r="A7" t="str">
        <f>M7</f>
      </c>
      <c r="M7" t="s">
        <v>86</v>
      </c>
      <c r="N7" s="8" t="n">
        <v>318349530</v>
      </c>
      <c r="O7" s="8" t="n">
        <v>394018879</v>
      </c>
      <c r="P7" s="8" t="n">
        <v>432270090.6201</v>
      </c>
      <c r="Q7" s="8" t="n">
        <v>495314085.3291</v>
      </c>
      <c r="R7" s="8" t="n">
        <v>537058455.6796</v>
      </c>
      <c r="S7" s="8" t="n">
        <v>539054984.1265</v>
      </c>
      <c r="T7" s="8" t="n">
        <v>627758849.8973</v>
      </c>
      <c r="U7" s="8" t="n">
        <v>567889713.2707</v>
      </c>
      <c r="V7" s="8" t="n">
        <v>481359905.5392</v>
      </c>
      <c r="W7" s="8" t="n">
        <v>569565045.6276</v>
      </c>
      <c r="X7" s="8" t="n">
        <v>554180564.7937</v>
      </c>
      <c r="Y7" s="8" t="n">
        <v>620281946.053</v>
      </c>
      <c r="Z7" s="8" t="n">
        <v>681387742.6127</v>
      </c>
      <c r="AA7" s="8" t="n">
        <v>679256443.7987</v>
      </c>
      <c r="AB7" s="8" t="n">
        <v>648384558.0644</v>
      </c>
      <c r="AC7" s="8" t="n">
        <v>726873448.0158</v>
      </c>
      <c r="AD7" s="8" t="n">
        <v>762237964.1552</v>
      </c>
      <c r="AE7" s="8" t="n">
        <v>781520877.5998</v>
      </c>
      <c r="AF7" s="8" t="n">
        <v>755183055.6478</v>
      </c>
      <c r="AG7" s="8" t="n">
        <v>837919107.2166</v>
      </c>
      <c r="AH7" s="8" t="n">
        <v>872019512.7416</v>
      </c>
      <c r="AI7" s="8" t="n">
        <v>888426493.2969</v>
      </c>
      <c r="AJ7" s="8" t="n">
        <v>903604959.2708</v>
      </c>
      <c r="AK7" s="8" t="n">
        <v>611379507.768</v>
      </c>
      <c r="AL7" s="8"/>
      <c r="AM7" s="8"/>
    </row>
    <row r="8">
      <c r="A8" t="str">
        <f>M8</f>
      </c>
      <c r="M8" t="s">
        <v>87</v>
      </c>
      <c r="N8" s="8" t="n">
        <v>664763706</v>
      </c>
      <c r="O8" s="8" t="n">
        <v>505315643.5</v>
      </c>
      <c r="P8" s="8" t="n">
        <v>475342668</v>
      </c>
      <c r="Q8" s="8" t="n">
        <v>542368562.2188</v>
      </c>
      <c r="R8" s="8" t="n">
        <v>629949649.7813</v>
      </c>
      <c r="S8" s="8" t="n">
        <v>979118602.4639</v>
      </c>
      <c r="T8" s="8" t="n">
        <v>1098620566.6673</v>
      </c>
      <c r="U8" s="8" t="n">
        <v>1175052010.6145</v>
      </c>
      <c r="V8" s="8" t="n">
        <v>886659485.2082</v>
      </c>
      <c r="W8" s="8" t="n">
        <v>915442939.5568</v>
      </c>
      <c r="X8" s="8" t="n">
        <v>928141892.6668</v>
      </c>
      <c r="Y8" s="8" t="n">
        <v>1509432681.6688</v>
      </c>
      <c r="Z8" s="8" t="n">
        <v>1026399125.6789</v>
      </c>
      <c r="AA8" s="8" t="n">
        <v>1122410197.9271</v>
      </c>
      <c r="AB8" s="8" t="n">
        <v>856473799.1963</v>
      </c>
      <c r="AC8" s="8" t="n">
        <v>701295920.9495</v>
      </c>
      <c r="AD8" s="8" t="n">
        <v>698947710.9232</v>
      </c>
      <c r="AE8" s="8" t="n">
        <v>766744852.7142</v>
      </c>
      <c r="AF8" s="8" t="n">
        <v>796415891.3748</v>
      </c>
      <c r="AG8" s="8" t="n">
        <v>1021011950.2387</v>
      </c>
      <c r="AH8" s="8" t="n">
        <v>1148526791.9422</v>
      </c>
      <c r="AI8" s="8" t="n">
        <v>798360969.1654</v>
      </c>
      <c r="AJ8" s="8" t="n">
        <v>1152741479.0553</v>
      </c>
      <c r="AK8" s="8" t="n">
        <v>623489507.8067</v>
      </c>
      <c r="AL8" s="8"/>
      <c r="AM8" s="8"/>
    </row>
    <row r="9">
      <c r="A9" t="str">
        <f>M9</f>
      </c>
      <c r="M9" t="s">
        <v>88</v>
      </c>
      <c r="N9" s="8" t="n">
        <v>496304981</v>
      </c>
      <c r="O9" s="8" t="n">
        <v>733494765</v>
      </c>
      <c r="P9" s="8" t="n">
        <v>993680244.4375</v>
      </c>
      <c r="Q9" s="8" t="n">
        <v>1533421395.8296</v>
      </c>
      <c r="R9" s="8" t="n">
        <v>1553245692.6063</v>
      </c>
      <c r="S9" s="8" t="n">
        <v>1621391065.9832</v>
      </c>
      <c r="T9" s="8" t="n">
        <v>1676915878.9654</v>
      </c>
      <c r="U9" s="8" t="n">
        <v>2220636981.1248</v>
      </c>
      <c r="V9" s="8" t="n">
        <v>2152790467.5145</v>
      </c>
      <c r="W9" s="8" t="n">
        <v>2463541925.9985</v>
      </c>
      <c r="X9" s="8" t="n">
        <v>2402320986.2672</v>
      </c>
      <c r="Y9" s="8" t="n">
        <v>2685072338.4349</v>
      </c>
      <c r="Z9" s="8" t="n">
        <v>2260307475.5412</v>
      </c>
      <c r="AA9" s="8" t="n">
        <v>1998369569.6292</v>
      </c>
      <c r="AB9" s="8" t="n">
        <v>2186698306.1882</v>
      </c>
      <c r="AC9" s="8" t="n">
        <v>2230313411.6902</v>
      </c>
      <c r="AD9" s="8" t="n">
        <v>2028903112.0474</v>
      </c>
      <c r="AE9" s="8" t="n">
        <v>1748522661.5025</v>
      </c>
      <c r="AF9" s="8" t="n">
        <v>1903718762.6852</v>
      </c>
      <c r="AG9" s="8" t="n">
        <v>2260525814.1492</v>
      </c>
      <c r="AH9" s="8" t="n">
        <v>2182071938.4054</v>
      </c>
      <c r="AI9" s="8" t="n">
        <v>2443620240.9723</v>
      </c>
      <c r="AJ9" s="8" t="n">
        <v>3281535291.7689</v>
      </c>
      <c r="AK9" s="8" t="n">
        <v>1285106208.3133</v>
      </c>
      <c r="AL9" s="8"/>
      <c r="AM9" s="8"/>
    </row>
    <row r="10">
      <c r="A10" t="str">
        <f>M10</f>
      </c>
      <c r="M10" t="s">
        <v>89</v>
      </c>
      <c r="N10" s="8" t="n">
        <v>773635570</v>
      </c>
      <c r="O10" s="8" t="n">
        <v>878124296.6309</v>
      </c>
      <c r="P10" s="8" t="n">
        <v>1102050119.8398</v>
      </c>
      <c r="Q10" s="8" t="n">
        <v>1606477569.6503</v>
      </c>
      <c r="R10" s="8" t="n">
        <v>1316838374</v>
      </c>
      <c r="S10" s="8" t="n">
        <v>1732857848.9181</v>
      </c>
      <c r="T10" s="8" t="n">
        <v>1915354724.8162</v>
      </c>
      <c r="U10" s="8" t="n">
        <v>1682603283.0138</v>
      </c>
      <c r="V10" s="8" t="n">
        <v>2203844544.6936</v>
      </c>
      <c r="W10" s="8" t="n">
        <v>2477163451.1312</v>
      </c>
      <c r="X10" s="8" t="n">
        <v>2316412156.5667</v>
      </c>
      <c r="Y10" s="8" t="n">
        <v>2559207145.5726</v>
      </c>
      <c r="Z10" s="8" t="n">
        <v>246847003.1415</v>
      </c>
      <c r="AA10" s="8" t="n">
        <v>99939767.49</v>
      </c>
      <c r="AB10" s="8" t="n">
        <v>40593473.2187</v>
      </c>
      <c r="AC10" s="8" t="n">
        <v>28067445.7508</v>
      </c>
      <c r="AD10" s="8" t="n">
        <v>30343829.1333</v>
      </c>
      <c r="AE10" s="8" t="n">
        <v>33231991.3079</v>
      </c>
      <c r="AF10" s="8" t="n">
        <v>37596960.5154</v>
      </c>
      <c r="AG10" s="8" t="n">
        <v>36468002.255</v>
      </c>
      <c r="AH10" s="8" t="n">
        <v>10397188.5703</v>
      </c>
      <c r="AI10" s="8" t="n">
        <v>194182</v>
      </c>
      <c r="AJ10" s="8" t="n">
        <v>211981.3281</v>
      </c>
      <c r="AK10" s="8" t="n">
        <v>220460.5781</v>
      </c>
      <c r="AL10" s="8"/>
      <c r="AM10" s="8"/>
    </row>
    <row r="11">
      <c r="A11" t="str">
        <f>M11</f>
      </c>
      <c r="M11" t="s">
        <v>90</v>
      </c>
      <c r="N11" s="8" t="n">
        <v>479194207</v>
      </c>
      <c r="O11" s="8" t="n">
        <v>655873327</v>
      </c>
      <c r="P11" s="8" t="n">
        <v>704002715</v>
      </c>
      <c r="Q11" s="8" t="n">
        <v>885152879.5</v>
      </c>
      <c r="R11" s="8" t="n">
        <v>789938604.0547</v>
      </c>
      <c r="S11" s="8" t="n">
        <v>716829037.6745</v>
      </c>
      <c r="T11" s="8" t="n">
        <v>606668004.2623</v>
      </c>
      <c r="U11" s="8" t="n">
        <v>757738936.0407</v>
      </c>
      <c r="V11" s="8" t="n">
        <v>1053145953.2948</v>
      </c>
      <c r="W11" s="8" t="n">
        <v>1064634254.587</v>
      </c>
      <c r="X11" s="8" t="n">
        <v>1074141462.5449</v>
      </c>
      <c r="Y11" s="8" t="n">
        <v>866734206.5753</v>
      </c>
      <c r="Z11" s="8" t="n">
        <v>916313052.771</v>
      </c>
      <c r="AA11" s="8" t="n">
        <v>968931965.9816</v>
      </c>
      <c r="AB11" s="8" t="n">
        <v>1046086588.3887</v>
      </c>
      <c r="AC11" s="8" t="n">
        <v>950295915.5105</v>
      </c>
      <c r="AD11" s="8" t="n">
        <v>909227178.9542</v>
      </c>
      <c r="AE11" s="8" t="n">
        <v>676587821.8485</v>
      </c>
      <c r="AF11" s="8" t="n">
        <v>749874669.3016</v>
      </c>
      <c r="AG11" s="8" t="n">
        <v>737151888.497</v>
      </c>
      <c r="AH11" s="8" t="n">
        <v>804230630.1692</v>
      </c>
      <c r="AI11" s="8" t="n">
        <v>872358366.4347</v>
      </c>
      <c r="AJ11" s="8" t="n">
        <v>1007282464.4486</v>
      </c>
      <c r="AK11" s="8" t="n">
        <v>357281855.5702</v>
      </c>
      <c r="AL11" s="8"/>
      <c r="AM11" s="8"/>
    </row>
    <row r="12">
      <c r="A12" t="str">
        <f>M12</f>
      </c>
      <c r="M12" t="s">
        <v>91</v>
      </c>
      <c r="N12" s="8" t="n">
        <v>14734246253.0744</v>
      </c>
      <c r="O12" s="8" t="n">
        <v>16469064919.2485</v>
      </c>
      <c r="P12" s="8" t="n">
        <v>18707777457.8734</v>
      </c>
      <c r="Q12" s="8" t="n">
        <v>24497537475.1108</v>
      </c>
      <c r="R12" s="8" t="n">
        <v>24443489044.8637</v>
      </c>
      <c r="S12" s="8" t="n">
        <v>26576070093.626</v>
      </c>
      <c r="T12" s="8" t="n">
        <v>31873113999.9775</v>
      </c>
      <c r="U12" s="8" t="n">
        <v>30913959385.9039</v>
      </c>
      <c r="V12" s="8" t="n">
        <v>37313957955.0139</v>
      </c>
      <c r="W12" s="8" t="n">
        <v>42726166563.5421</v>
      </c>
      <c r="X12" s="8" t="n">
        <v>39877623138.6588</v>
      </c>
      <c r="Y12" s="8" t="n">
        <v>35436943002.6131</v>
      </c>
      <c r="Z12" s="8" t="n">
        <v>35938820191.0008</v>
      </c>
      <c r="AA12" s="8" t="n">
        <v>29068668868.1002</v>
      </c>
      <c r="AB12" s="8" t="n">
        <v>32045669360.7388</v>
      </c>
      <c r="AC12" s="8" t="n">
        <v>28802335865.2764</v>
      </c>
      <c r="AD12" s="8" t="n">
        <v>29075932425.2561</v>
      </c>
      <c r="AE12" s="8" t="n">
        <v>29670086651.1601</v>
      </c>
      <c r="AF12" s="8" t="n">
        <v>35471720185.162</v>
      </c>
      <c r="AG12" s="8" t="n">
        <v>40516541795.7594</v>
      </c>
      <c r="AH12" s="8" t="n">
        <v>45045946235.2506</v>
      </c>
      <c r="AI12" s="8" t="n">
        <v>38883594475.28</v>
      </c>
      <c r="AJ12" s="8" t="n">
        <v>40319290933.4654</v>
      </c>
      <c r="AK12" s="8" t="n">
        <v>22405699331.8574</v>
      </c>
      <c r="AL12" s="8"/>
      <c r="AM12" s="8"/>
    </row>
    <row r="13">
      <c r="A13" t="str">
        <f>M13</f>
      </c>
      <c r="M13" t="s">
        <v>92</v>
      </c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  <c r="Z13" s="8" t="n">
        <v>999020375.9479</v>
      </c>
      <c r="AA13" s="8" t="n">
        <v>957097157.4708</v>
      </c>
      <c r="AB13" s="8" t="n">
        <v>1313608819.9783</v>
      </c>
      <c r="AC13" s="8" t="n">
        <v>977187908.7842</v>
      </c>
      <c r="AD13" s="8" t="n">
        <v>1357296630.0674</v>
      </c>
      <c r="AE13" s="8" t="n">
        <v>1300496443.3679</v>
      </c>
      <c r="AF13" s="8" t="n">
        <v>2238498808.1047</v>
      </c>
      <c r="AG13" s="8" t="n">
        <v>1214106437.2885</v>
      </c>
      <c r="AH13" s="8" t="n">
        <v>2117547812.5568</v>
      </c>
      <c r="AI13" s="8" t="n">
        <v>1645980756.2317</v>
      </c>
      <c r="AJ13" s="8" t="n">
        <v>2690101766.6613</v>
      </c>
      <c r="AK13" s="8" t="n">
        <v>1597654332.2292</v>
      </c>
      <c r="AL13" s="8"/>
      <c r="AM13" s="8"/>
    </row>
    <row r="14">
      <c r="A14" t="str">
        <f>M14</f>
      </c>
      <c r="M14" t="s">
        <v>193</v>
      </c>
      <c r="N14" s="8" t="str">
        <f>Sum(N2:N13)</f>
      </c>
      <c r="O14" s="8" t="str">
        <f>Sum(O2:O13)</f>
      </c>
      <c r="P14" s="8" t="str">
        <f>Sum(P2:P13)</f>
      </c>
      <c r="Q14" s="8" t="str">
        <f>Sum(Q2:Q13)</f>
      </c>
      <c r="R14" s="8" t="str">
        <f>Sum(R2:R13)</f>
      </c>
      <c r="S14" s="8" t="str">
        <f>Sum(S2:S13)</f>
      </c>
      <c r="T14" s="8" t="str">
        <f>Sum(T2:T13)</f>
      </c>
      <c r="U14" s="8" t="str">
        <f>Sum(U2:U13)</f>
      </c>
      <c r="V14" s="8" t="str">
        <f>Sum(V2:V13)</f>
      </c>
      <c r="W14" s="8" t="str">
        <f>Sum(W2:W13)</f>
      </c>
      <c r="X14" s="8" t="str">
        <f>Sum(X2:X13)</f>
      </c>
      <c r="Y14" s="8" t="str">
        <f>Sum(Y2:Y13)</f>
      </c>
      <c r="Z14" s="8" t="str">
        <f>Sum(Z2:Z13)</f>
      </c>
      <c r="AA14" s="8" t="str">
        <f>Sum(AA2:AA13)</f>
      </c>
      <c r="AB14" s="8" t="str">
        <f>Sum(AB2:AB13)</f>
      </c>
      <c r="AC14" s="8" t="str">
        <f>Sum(AC2:AC13)</f>
      </c>
      <c r="AD14" s="8" t="str">
        <f>Sum(AD2:AD13)</f>
      </c>
      <c r="AE14" s="8" t="str">
        <f>Sum(AE2:AE13)</f>
      </c>
      <c r="AF14" s="8" t="str">
        <f>Sum(AF2:AF13)</f>
      </c>
      <c r="AG14" s="8" t="str">
        <f>Sum(AG2:AG13)</f>
      </c>
      <c r="AH14" s="8" t="str">
        <f>Sum(AH2:AH13)</f>
      </c>
      <c r="AI14" s="8" t="str">
        <f>Sum(AI2:AI13)</f>
      </c>
      <c r="AJ14" s="8" t="str">
        <f>Sum(AJ2:AJ13)</f>
      </c>
      <c r="AK14" s="8" t="str">
        <f>Sum(AK2:AK13)</f>
      </c>
      <c r="AL14" s="8"/>
      <c r="AM14" s="8"/>
    </row>
    <row r="17">
      <c r="A17" t="str">
        <f>M17</f>
      </c>
      <c r="B17" t="str">
        <f>AC17</f>
      </c>
      <c r="C17" t="str">
        <f>AI17</f>
      </c>
      <c r="D17" t="str">
        <f>AJ17</f>
      </c>
      <c r="E17" t="str">
        <f>AK17</f>
      </c>
      <c r="F17" t="str">
        <f>AI17&amp;"-"&amp;AJ17</f>
      </c>
      <c r="G17" t="str">
        <f>AC17&amp;"-"&amp;AJ17</f>
      </c>
      <c r="H17" t="str">
        <f>AK17&amp;"/"&amp;AJ17</f>
      </c>
      <c r="I17" t="str">
        <f>"Share "&amp;AJ17</f>
      </c>
      <c r="J17" t="str">
        <f>"Share "&amp;AK17</f>
      </c>
      <c r="M17" t="s">
        <v>80</v>
      </c>
      <c r="N17" t="s">
        <v>11</v>
      </c>
      <c r="O17" t="s">
        <v>12</v>
      </c>
      <c r="P17" t="s">
        <v>13</v>
      </c>
      <c r="Q17" t="s">
        <v>14</v>
      </c>
      <c r="R17" t="s">
        <v>15</v>
      </c>
      <c r="S17" t="s">
        <v>16</v>
      </c>
      <c r="T17" t="s">
        <v>17</v>
      </c>
      <c r="U17" t="s">
        <v>18</v>
      </c>
      <c r="V17" t="s">
        <v>19</v>
      </c>
      <c r="W17" t="s">
        <v>20</v>
      </c>
      <c r="X17" t="s">
        <v>21</v>
      </c>
      <c r="Y17" t="s">
        <v>22</v>
      </c>
      <c r="Z17" t="s">
        <v>23</v>
      </c>
      <c r="AA17" t="s">
        <v>24</v>
      </c>
      <c r="AB17" t="s">
        <v>25</v>
      </c>
      <c r="AC17" t="s">
        <v>26</v>
      </c>
      <c r="AD17" t="s">
        <v>27</v>
      </c>
      <c r="AE17" t="s">
        <v>28</v>
      </c>
      <c r="AF17" t="s">
        <v>29</v>
      </c>
      <c r="AG17" t="s">
        <v>30</v>
      </c>
      <c r="AH17" t="s">
        <v>31</v>
      </c>
      <c r="AI17" t="s">
        <v>32</v>
      </c>
      <c r="AJ17" t="s">
        <v>33</v>
      </c>
      <c r="AK17" t="s">
        <v>34</v>
      </c>
    </row>
    <row r="18">
      <c r="A18" t="str">
        <f>M18</f>
      </c>
      <c r="B18" s="8" t="str">
        <f>AC18</f>
      </c>
      <c r="C18" s="8" t="str">
        <f>AI18</f>
      </c>
      <c r="D18" s="8" t="str">
        <f>AJ18</f>
      </c>
      <c r="E18" s="8" t="str">
        <f>AK18</f>
      </c>
      <c r="F18" s="6" t="str">
        <f>AJ18/AI18-1</f>
      </c>
      <c r="G18" s="6" t="str">
        <f>AJ18/AC18-1</f>
      </c>
      <c r="H18" s="6" t="str">
        <f>AK18/AJ18</f>
      </c>
      <c r="I18" s="6" t="str">
        <f>AJ18/Sum(AJ$17:AJ$29)</f>
      </c>
      <c r="J18" s="6" t="str">
        <f>AK18/Sum(AK17:AK$29)</f>
      </c>
      <c r="M18" t="s">
        <v>81</v>
      </c>
      <c r="N18" s="8" t="n">
        <v>1173046717.68722</v>
      </c>
      <c r="O18" s="8" t="n">
        <v>1120887532.68186</v>
      </c>
      <c r="P18" s="8" t="n">
        <v>1302879116.54544</v>
      </c>
      <c r="Q18" s="8" t="n">
        <v>1836197141.38534</v>
      </c>
      <c r="R18" s="8" t="n">
        <v>1884734878.72098</v>
      </c>
      <c r="S18" s="8" t="n">
        <v>2075426040.26145</v>
      </c>
      <c r="T18" s="8" t="n">
        <v>2252125641.08699</v>
      </c>
      <c r="U18" s="8" t="n">
        <v>2402326904.35839</v>
      </c>
      <c r="V18" s="8" t="n">
        <v>2117487842.58517</v>
      </c>
      <c r="W18" s="8" t="n">
        <v>2408978988.62805</v>
      </c>
      <c r="X18" s="8" t="n">
        <v>2257330000.42084</v>
      </c>
      <c r="Y18" s="8" t="n">
        <v>1818451262.05616</v>
      </c>
      <c r="Z18" s="8" t="n">
        <v>1513860809.90676</v>
      </c>
      <c r="AA18" s="8" t="n">
        <v>1016798110.8086</v>
      </c>
      <c r="AB18" s="8" t="n">
        <v>1026127485.5603</v>
      </c>
      <c r="AC18" s="8" t="n">
        <v>965832652.90512</v>
      </c>
      <c r="AD18" s="8" t="n">
        <v>1137438390.06351</v>
      </c>
      <c r="AE18" s="8" t="n">
        <v>981231482.70127</v>
      </c>
      <c r="AF18" s="8" t="n">
        <v>1060400035.21061</v>
      </c>
      <c r="AG18" s="8" t="n">
        <v>1198553316.34286</v>
      </c>
      <c r="AH18" s="8" t="n">
        <v>1401817077.47131</v>
      </c>
      <c r="AI18" s="8" t="n">
        <v>879675867.019656</v>
      </c>
      <c r="AJ18" s="8" t="n">
        <v>1075736546.4786</v>
      </c>
      <c r="AK18" s="8" t="n">
        <v>414274280.520529</v>
      </c>
      <c r="AL18" s="8"/>
      <c r="AM18" s="8"/>
    </row>
    <row r="19">
      <c r="A19" t="str">
        <f>M19</f>
      </c>
      <c r="B19" s="8" t="str">
        <f>AC19</f>
      </c>
      <c r="C19" s="8" t="str">
        <f>AI19</f>
      </c>
      <c r="D19" s="8" t="str">
        <f>AJ19</f>
      </c>
      <c r="E19" s="8" t="str">
        <f>AK19</f>
      </c>
      <c r="F19" s="6" t="str">
        <f>AJ19/AI19-1</f>
      </c>
      <c r="G19" s="6" t="str">
        <f>AJ19/AC19-1</f>
      </c>
      <c r="H19" s="6" t="str">
        <f>AK19/AJ19</f>
      </c>
      <c r="I19" s="6" t="str">
        <f>AJ19/Sum(AJ$17:AJ$29)</f>
      </c>
      <c r="J19" s="6" t="str">
        <f>AK19/Sum(AK17:AK$29)</f>
      </c>
      <c r="M19" t="s">
        <v>82</v>
      </c>
      <c r="N19" s="8" t="n">
        <v>1385102060.90084</v>
      </c>
      <c r="O19" s="8" t="n">
        <v>1223618797.61386</v>
      </c>
      <c r="P19" s="8" t="n">
        <v>1056599486.19784</v>
      </c>
      <c r="Q19" s="8" t="n">
        <v>850521908.229847</v>
      </c>
      <c r="R19" s="8" t="n">
        <v>1706839377.89152</v>
      </c>
      <c r="S19" s="8" t="n">
        <v>1377269487.4106</v>
      </c>
      <c r="T19" s="8" t="n">
        <v>905953936.39039</v>
      </c>
      <c r="U19" s="8" t="n">
        <v>888897353.6099</v>
      </c>
      <c r="V19" s="8" t="n">
        <v>1088762060.98014</v>
      </c>
      <c r="W19" s="8" t="n">
        <v>1296497197.09155</v>
      </c>
      <c r="X19" s="8" t="n">
        <v>1379781560.36315</v>
      </c>
      <c r="Y19" s="8" t="n">
        <v>1142237169.12933</v>
      </c>
      <c r="Z19" s="8" t="n">
        <v>1105567549.12261</v>
      </c>
      <c r="AA19" s="8" t="n">
        <v>872386474.117912</v>
      </c>
      <c r="AB19" s="8" t="n">
        <v>912112897.617636</v>
      </c>
      <c r="AC19" s="8" t="n">
        <v>853972904.507527</v>
      </c>
      <c r="AD19" s="8" t="n">
        <v>835921062.046965</v>
      </c>
      <c r="AE19" s="8" t="n">
        <v>996977841.49767</v>
      </c>
      <c r="AF19" s="8" t="n">
        <v>1249252089.86048</v>
      </c>
      <c r="AG19" s="8" t="n">
        <v>1483846973.01379</v>
      </c>
      <c r="AH19" s="8" t="n">
        <v>1503544590.62369</v>
      </c>
      <c r="AI19" s="8" t="n">
        <v>1467053492.00554</v>
      </c>
      <c r="AJ19" s="8" t="n">
        <v>1867114632.8341</v>
      </c>
      <c r="AK19" s="8" t="n">
        <v>594826982.951671</v>
      </c>
      <c r="AL19" s="8"/>
      <c r="AM19" s="8"/>
    </row>
    <row r="20">
      <c r="A20" t="str">
        <f>M20</f>
      </c>
      <c r="B20" s="8" t="str">
        <f>AC20</f>
      </c>
      <c r="C20" s="8" t="str">
        <f>AI20</f>
      </c>
      <c r="D20" s="8" t="str">
        <f>AJ20</f>
      </c>
      <c r="E20" s="8" t="str">
        <f>AK20</f>
      </c>
      <c r="F20" s="6" t="str">
        <f>AJ20/AI20-1</f>
      </c>
      <c r="G20" s="6" t="str">
        <f>AJ20/AC20-1</f>
      </c>
      <c r="H20" s="6" t="str">
        <f>AK20/AJ20</f>
      </c>
      <c r="I20" s="6" t="str">
        <f>AJ20/Sum(AJ$17:AJ$29)</f>
      </c>
      <c r="J20" s="6" t="str">
        <f>AK20/Sum(AK17:AK$29)</f>
      </c>
      <c r="M20" t="s">
        <v>83</v>
      </c>
      <c r="N20" s="8" t="n">
        <v>1557294519.49053</v>
      </c>
      <c r="O20" s="8" t="n">
        <v>1658075172.99466</v>
      </c>
      <c r="P20" s="8" t="n">
        <v>1648335710.82967</v>
      </c>
      <c r="Q20" s="8" t="n">
        <v>3284291828.78691</v>
      </c>
      <c r="R20" s="8" t="n">
        <v>4492253025.7711</v>
      </c>
      <c r="S20" s="8" t="n">
        <v>5460419491.61922</v>
      </c>
      <c r="T20" s="8" t="n">
        <v>4945964768.56364</v>
      </c>
      <c r="U20" s="8" t="n">
        <v>6010878516.34744</v>
      </c>
      <c r="V20" s="8" t="n">
        <v>9860411869.21522</v>
      </c>
      <c r="W20" s="8" t="n">
        <v>12376661720.6466</v>
      </c>
      <c r="X20" s="8" t="n">
        <v>8503045010.15268</v>
      </c>
      <c r="Y20" s="8" t="n">
        <v>7809817983.70846</v>
      </c>
      <c r="Z20" s="8" t="n">
        <v>422550234.570818</v>
      </c>
      <c r="AA20" s="8" t="n">
        <v>219304081.172655</v>
      </c>
      <c r="AB20" s="8" t="n">
        <v>86977483.8853578</v>
      </c>
      <c r="AC20" s="8" t="n">
        <v>1064426.94166308</v>
      </c>
      <c r="AD20" s="8" t="n">
        <v>-37142884.9172861</v>
      </c>
      <c r="AE20" s="8" t="n">
        <v>32741399.9292983</v>
      </c>
      <c r="AF20" s="8" t="n">
        <v>18972061.6854333</v>
      </c>
      <c r="AG20" s="8" t="n">
        <v>23241148.8928551</v>
      </c>
      <c r="AH20" s="8" t="n">
        <v>6483439.72366294</v>
      </c>
      <c r="AI20" s="8" t="n">
        <v>34848.4465971513</v>
      </c>
      <c r="AJ20" s="8" t="n">
        <v>1824554.25</v>
      </c>
      <c r="AK20" s="8"/>
      <c r="AL20" s="8"/>
      <c r="AM20" s="8"/>
    </row>
    <row r="21">
      <c r="A21" t="str">
        <f>M21</f>
      </c>
      <c r="B21" s="8" t="str">
        <f>AC21</f>
      </c>
      <c r="C21" s="8" t="str">
        <f>AI21</f>
      </c>
      <c r="D21" s="8" t="str">
        <f>AJ21</f>
      </c>
      <c r="E21" s="8" t="str">
        <f>AK21</f>
      </c>
      <c r="F21" s="6" t="str">
        <f>AJ21/AI21-1</f>
      </c>
      <c r="G21" s="6" t="str">
        <f>AJ21/AC21-1</f>
      </c>
      <c r="H21" s="6" t="str">
        <f>AK21/AJ21</f>
      </c>
      <c r="I21" s="6" t="str">
        <f>AJ21/Sum(AJ$17:AJ$29)</f>
      </c>
      <c r="J21" s="6" t="str">
        <f>AK21/Sum(AK17:AK$29)</f>
      </c>
      <c r="M21" t="s">
        <v>84</v>
      </c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 t="n">
        <v>4771902825.70776</v>
      </c>
      <c r="AA21" s="8" t="n">
        <v>2833621020.14099</v>
      </c>
      <c r="AB21" s="8" t="n">
        <v>2887488533.58785</v>
      </c>
      <c r="AC21" s="8" t="n">
        <v>2536817848.80509</v>
      </c>
      <c r="AD21" s="8" t="n">
        <v>2369633993.09336</v>
      </c>
      <c r="AE21" s="8" t="n">
        <v>2011298356.7368</v>
      </c>
      <c r="AF21" s="8" t="n">
        <v>3372941160.51442</v>
      </c>
      <c r="AG21" s="8" t="n">
        <v>3376092862.37597</v>
      </c>
      <c r="AH21" s="8" t="n">
        <v>5920641405.3479</v>
      </c>
      <c r="AI21" s="8" t="n">
        <v>3662978085.37899</v>
      </c>
      <c r="AJ21" s="8" t="n">
        <v>4987370323.2887</v>
      </c>
      <c r="AK21" s="8" t="n">
        <v>1827465692.66366</v>
      </c>
      <c r="AL21" s="8"/>
      <c r="AM21" s="8"/>
    </row>
    <row r="22">
      <c r="A22" t="str">
        <f>M22</f>
      </c>
      <c r="B22" s="8" t="str">
        <f>AC22</f>
      </c>
      <c r="C22" s="8" t="str">
        <f>AI22</f>
      </c>
      <c r="D22" s="8" t="str">
        <f>AJ22</f>
      </c>
      <c r="E22" s="8" t="str">
        <f>AK22</f>
      </c>
      <c r="F22" s="6" t="str">
        <f>AJ22/AI22-1</f>
      </c>
      <c r="G22" s="6" t="str">
        <f>AJ22/AC22-1</f>
      </c>
      <c r="H22" s="6" t="str">
        <f>AK22/AJ22</f>
      </c>
      <c r="I22" s="6" t="str">
        <f>AJ22/Sum(AJ$17:AJ$29)</f>
      </c>
      <c r="J22" s="6" t="str">
        <f>AK22/Sum(AK17:AK$29)</f>
      </c>
      <c r="M22" t="s">
        <v>85</v>
      </c>
      <c r="N22" s="8" t="n">
        <v>1270488708.414</v>
      </c>
      <c r="O22" s="8" t="n">
        <v>1408780123.86628</v>
      </c>
      <c r="P22" s="8" t="n">
        <v>1656848590.92584</v>
      </c>
      <c r="Q22" s="8" t="n">
        <v>1475380546.31896</v>
      </c>
      <c r="R22" s="8" t="n">
        <v>1483621951.59713</v>
      </c>
      <c r="S22" s="8" t="n">
        <v>1760818680.22551</v>
      </c>
      <c r="T22" s="8" t="n">
        <v>2732938718.513</v>
      </c>
      <c r="U22" s="8" t="n">
        <v>2780859898.59007</v>
      </c>
      <c r="V22" s="8" t="n">
        <v>4528221419.56113</v>
      </c>
      <c r="W22" s="8" t="n">
        <v>5226383636.80279</v>
      </c>
      <c r="X22" s="8" t="n">
        <v>6289298617.04488</v>
      </c>
      <c r="Y22" s="8" t="n">
        <v>3211257694.13263</v>
      </c>
      <c r="Z22" s="8" t="n">
        <v>928892798.778962</v>
      </c>
      <c r="AA22" s="8" t="n">
        <v>432541047.834604</v>
      </c>
      <c r="AB22" s="8" t="n">
        <v>32096715.7352871</v>
      </c>
      <c r="AC22" s="8" t="n">
        <v>93964829.4985763</v>
      </c>
      <c r="AD22" s="8" t="n">
        <v>93949592.3190523</v>
      </c>
      <c r="AE22" s="8" t="n">
        <v>25329773.5201717</v>
      </c>
      <c r="AF22" s="8" t="n">
        <v>6373494.98442609</v>
      </c>
      <c r="AG22" s="8" t="n">
        <v>3652667.90505673</v>
      </c>
      <c r="AH22" s="8" t="n">
        <v>1773395.35521043</v>
      </c>
      <c r="AI22" s="8" t="n">
        <v>2702630.02137241</v>
      </c>
      <c r="AJ22" s="8" t="n">
        <v>560738.3819</v>
      </c>
      <c r="AK22" s="8" t="n">
        <v>-30711.3540194378</v>
      </c>
      <c r="AL22" s="8"/>
      <c r="AM22" s="8"/>
    </row>
    <row r="23">
      <c r="A23" t="str">
        <f>M23</f>
      </c>
      <c r="B23" s="8" t="str">
        <f>AC23</f>
      </c>
      <c r="C23" s="8" t="str">
        <f>AI23</f>
      </c>
      <c r="D23" s="8" t="str">
        <f>AJ23</f>
      </c>
      <c r="E23" s="8" t="str">
        <f>AK23</f>
      </c>
      <c r="F23" s="6" t="str">
        <f>AJ23/AI23-1</f>
      </c>
      <c r="G23" s="6" t="str">
        <f>AJ23/AC23-1</f>
      </c>
      <c r="H23" s="6" t="str">
        <f>AK23/AJ23</f>
      </c>
      <c r="I23" s="6" t="str">
        <f>AJ23/Sum(AJ$17:AJ$29)</f>
      </c>
      <c r="J23" s="6" t="str">
        <f>AK23/Sum(AK17:AK$29)</f>
      </c>
      <c r="M23" t="s">
        <v>86</v>
      </c>
      <c r="N23" s="8" t="n">
        <v>514366901.950892</v>
      </c>
      <c r="O23" s="8" t="n">
        <v>621555774.27241</v>
      </c>
      <c r="P23" s="8" t="n">
        <v>671300684.567531</v>
      </c>
      <c r="Q23" s="8" t="n">
        <v>754778591.42379</v>
      </c>
      <c r="R23" s="8" t="n">
        <v>798863351.119272</v>
      </c>
      <c r="S23" s="8" t="n">
        <v>778209264.697242</v>
      </c>
      <c r="T23" s="8" t="n">
        <v>877691483.590249</v>
      </c>
      <c r="U23" s="8" t="n">
        <v>772793944.095022</v>
      </c>
      <c r="V23" s="8" t="n">
        <v>641660345.924711</v>
      </c>
      <c r="W23" s="8" t="n">
        <v>751601448.601176</v>
      </c>
      <c r="X23" s="8" t="n">
        <v>724994374.579873</v>
      </c>
      <c r="Y23" s="8" t="n">
        <v>795438955.506265</v>
      </c>
      <c r="Z23" s="8" t="n">
        <v>858071584.108453</v>
      </c>
      <c r="AA23" s="8" t="n">
        <v>840015358.239643</v>
      </c>
      <c r="AB23" s="8" t="n">
        <v>786619146.569963</v>
      </c>
      <c r="AC23" s="8" t="n">
        <v>871846588.794389</v>
      </c>
      <c r="AD23" s="8" t="n">
        <v>906750678.998001</v>
      </c>
      <c r="AE23" s="8" t="n">
        <v>913382126.823461</v>
      </c>
      <c r="AF23" s="8" t="n">
        <v>862352214.253922</v>
      </c>
      <c r="AG23" s="8" t="n">
        <v>938448534.242502</v>
      </c>
      <c r="AH23" s="8" t="n">
        <v>963782844.474967</v>
      </c>
      <c r="AI23" s="8" t="n">
        <v>949983428.284468</v>
      </c>
      <c r="AJ23" s="8" t="n">
        <v>903604959.2708</v>
      </c>
      <c r="AK23" s="8" t="n">
        <v>583132783.729082</v>
      </c>
      <c r="AL23" s="8"/>
      <c r="AM23" s="8"/>
    </row>
    <row r="24">
      <c r="A24" t="str">
        <f>M24</f>
      </c>
      <c r="B24" s="8" t="str">
        <f>AC24</f>
      </c>
      <c r="C24" s="8" t="str">
        <f>AI24</f>
      </c>
      <c r="D24" s="8" t="str">
        <f>AJ24</f>
      </c>
      <c r="E24" s="8" t="str">
        <f>AK24</f>
      </c>
      <c r="F24" s="6" t="str">
        <f>AJ24/AI24-1</f>
      </c>
      <c r="G24" s="6" t="str">
        <f>AJ24/AC24-1</f>
      </c>
      <c r="H24" s="6" t="str">
        <f>AK24/AJ24</f>
      </c>
      <c r="I24" s="6" t="str">
        <f>AJ24/Sum(AJ$17:AJ$29)</f>
      </c>
      <c r="J24" s="6" t="str">
        <f>AK24/Sum(AK17:AK$29)</f>
      </c>
      <c r="M24" t="s">
        <v>87</v>
      </c>
      <c r="N24" s="8" t="n">
        <v>1074078695.78012</v>
      </c>
      <c r="O24" s="8" t="n">
        <v>797123876.004946</v>
      </c>
      <c r="P24" s="8" t="n">
        <v>738190925.897289</v>
      </c>
      <c r="Q24" s="8" t="n">
        <v>826482007.173402</v>
      </c>
      <c r="R24" s="8" t="n">
        <v>937037082.162483</v>
      </c>
      <c r="S24" s="8" t="n">
        <v>1413509178.30678</v>
      </c>
      <c r="T24" s="8" t="n">
        <v>1536019627.94906</v>
      </c>
      <c r="U24" s="8" t="n">
        <v>1599030686.02813</v>
      </c>
      <c r="V24" s="8" t="n">
        <v>1181931077.86745</v>
      </c>
      <c r="W24" s="8" t="n">
        <v>1208023990.87615</v>
      </c>
      <c r="X24" s="8" t="n">
        <v>1214220948.44817</v>
      </c>
      <c r="Y24" s="8" t="n">
        <v>1935670646.79819</v>
      </c>
      <c r="Z24" s="8" t="n">
        <v>1292544418.72082</v>
      </c>
      <c r="AA24" s="8" t="n">
        <v>1388049849.37762</v>
      </c>
      <c r="AB24" s="8" t="n">
        <v>1039072693.20935</v>
      </c>
      <c r="AC24" s="8" t="n">
        <v>841167686.182905</v>
      </c>
      <c r="AD24" s="8" t="n">
        <v>831461225.059983</v>
      </c>
      <c r="AE24" s="8" t="n">
        <v>896113033.414908</v>
      </c>
      <c r="AF24" s="8" t="n">
        <v>909436463.461083</v>
      </c>
      <c r="AG24" s="8" t="n">
        <v>1143507959.05398</v>
      </c>
      <c r="AH24" s="8" t="n">
        <v>1269387212.46456</v>
      </c>
      <c r="AI24" s="8" t="n">
        <v>853677480.6003</v>
      </c>
      <c r="AJ24" s="8" t="n">
        <v>1152741479.0553</v>
      </c>
      <c r="AK24" s="8" t="n">
        <v>594683282.140955</v>
      </c>
      <c r="AL24" s="8"/>
      <c r="AM24" s="8"/>
    </row>
    <row r="25">
      <c r="A25" t="str">
        <f>M25</f>
      </c>
      <c r="B25" s="8" t="str">
        <f>AC25</f>
      </c>
      <c r="C25" s="8" t="str">
        <f>AI25</f>
      </c>
      <c r="D25" s="8" t="str">
        <f>AJ25</f>
      </c>
      <c r="E25" s="8" t="str">
        <f>AK25</f>
      </c>
      <c r="F25" s="6" t="str">
        <f>AJ25/AI25-1</f>
      </c>
      <c r="G25" s="6" t="str">
        <f>AJ25/AC25-1</f>
      </c>
      <c r="H25" s="6" t="str">
        <f>AK25/AJ25</f>
      </c>
      <c r="I25" s="6" t="str">
        <f>AJ25/Sum(AJ$17:AJ$29)</f>
      </c>
      <c r="J25" s="6" t="str">
        <f>AK25/Sum(AK17:AK$29)</f>
      </c>
      <c r="M25" t="s">
        <v>88</v>
      </c>
      <c r="N25" s="8" t="n">
        <v>801894871.651818</v>
      </c>
      <c r="O25" s="8" t="n">
        <v>1157071223.95101</v>
      </c>
      <c r="P25" s="8" t="n">
        <v>1543151475.90993</v>
      </c>
      <c r="Q25" s="8" t="n">
        <v>2336686307.70789</v>
      </c>
      <c r="R25" s="8" t="n">
        <v>2310420860.12198</v>
      </c>
      <c r="S25" s="8" t="n">
        <v>2340728842.88435</v>
      </c>
      <c r="T25" s="8" t="n">
        <v>2344554419.11488</v>
      </c>
      <c r="U25" s="8" t="n">
        <v>3021880430.20366</v>
      </c>
      <c r="V25" s="8" t="n">
        <v>2869703646.25909</v>
      </c>
      <c r="W25" s="8" t="n">
        <v>3250904693.82638</v>
      </c>
      <c r="X25" s="8" t="n">
        <v>3142782897.17224</v>
      </c>
      <c r="Y25" s="8" t="n">
        <v>3443290829.16904</v>
      </c>
      <c r="Z25" s="8" t="n">
        <v>2846405203.40594</v>
      </c>
      <c r="AA25" s="8" t="n">
        <v>2471321612.40821</v>
      </c>
      <c r="AB25" s="8" t="n">
        <v>2652899014.98379</v>
      </c>
      <c r="AC25" s="8" t="n">
        <v>2675143995.46784</v>
      </c>
      <c r="AD25" s="8" t="n">
        <v>2413562904.21603</v>
      </c>
      <c r="AE25" s="8" t="n">
        <v>2043540221.55758</v>
      </c>
      <c r="AF25" s="8" t="n">
        <v>2173878343.8541</v>
      </c>
      <c r="AG25" s="8" t="n">
        <v>2531732620.29133</v>
      </c>
      <c r="AH25" s="8" t="n">
        <v>2411693166.16948</v>
      </c>
      <c r="AI25" s="8" t="n">
        <v>2612932810.3776</v>
      </c>
      <c r="AJ25" s="8" t="n">
        <v>3281535291.7689</v>
      </c>
      <c r="AK25" s="8" t="n">
        <v>1225732218.89149</v>
      </c>
      <c r="AL25" s="8"/>
      <c r="AM25" s="8"/>
    </row>
    <row r="26">
      <c r="A26" t="str">
        <f>M26</f>
      </c>
      <c r="B26" s="8" t="str">
        <f>AC26</f>
      </c>
      <c r="C26" s="8" t="str">
        <f>AI26</f>
      </c>
      <c r="D26" s="8" t="str">
        <f>AJ26</f>
      </c>
      <c r="E26" s="8" t="str">
        <f>AK26</f>
      </c>
      <c r="F26" s="6" t="str">
        <f>AJ26/AI26-1</f>
      </c>
      <c r="G26" s="6" t="str">
        <f>AJ26/AC26-1</f>
      </c>
      <c r="H26" s="6" t="str">
        <f>AK26/AJ26</f>
      </c>
      <c r="I26" s="6" t="str">
        <f>AJ26/Sum(AJ$17:AJ$29)</f>
      </c>
      <c r="J26" s="6" t="str">
        <f>AK26/Sum(AK17:AK$29)</f>
      </c>
      <c r="M26" t="s">
        <v>89</v>
      </c>
      <c r="N26" s="8" t="n">
        <v>1249986238.0193</v>
      </c>
      <c r="O26" s="8" t="n">
        <v>1385221003.83884</v>
      </c>
      <c r="P26" s="8" t="n">
        <v>1711446190.54008</v>
      </c>
      <c r="Q26" s="8" t="n">
        <v>2448012106.03354</v>
      </c>
      <c r="R26" s="8" t="n">
        <v>1958769860.54509</v>
      </c>
      <c r="S26" s="8" t="n">
        <v>2501648388.64553</v>
      </c>
      <c r="T26" s="8" t="n">
        <v>2677924063.19807</v>
      </c>
      <c r="U26" s="8" t="n">
        <v>2289715057.41581</v>
      </c>
      <c r="V26" s="8" t="n">
        <v>2937759536.34598</v>
      </c>
      <c r="W26" s="8" t="n">
        <v>3268879740.04891</v>
      </c>
      <c r="X26" s="8" t="n">
        <v>3030394585.10145</v>
      </c>
      <c r="Y26" s="8" t="n">
        <v>3281883459.21082</v>
      </c>
      <c r="Z26" s="8" t="n">
        <v>310854430.99678</v>
      </c>
      <c r="AA26" s="8" t="n">
        <v>123592408.076408</v>
      </c>
      <c r="AB26" s="8" t="n">
        <v>49247939.1472998</v>
      </c>
      <c r="AC26" s="8" t="n">
        <v>33665429.5198229</v>
      </c>
      <c r="AD26" s="8" t="n">
        <v>36096716.4637537</v>
      </c>
      <c r="AE26" s="8" t="n">
        <v>38839022.4361119</v>
      </c>
      <c r="AF26" s="8" t="n">
        <v>42932401.4981518</v>
      </c>
      <c r="AG26" s="8" t="n">
        <v>40843254.4003444</v>
      </c>
      <c r="AH26" s="8" t="n">
        <v>11491293.2892084</v>
      </c>
      <c r="AI26" s="8" t="n">
        <v>207636.40375759</v>
      </c>
      <c r="AJ26" s="8" t="n">
        <v>211981.3281</v>
      </c>
      <c r="AK26" s="8" t="n">
        <v>210274.942121154</v>
      </c>
      <c r="AL26" s="8"/>
      <c r="AM26" s="8"/>
    </row>
    <row r="27">
      <c r="A27" t="str">
        <f>M27</f>
      </c>
      <c r="B27" s="8" t="str">
        <f>AC27</f>
      </c>
      <c r="C27" s="8" t="str">
        <f>AI27</f>
      </c>
      <c r="D27" s="8" t="str">
        <f>AJ27</f>
      </c>
      <c r="E27" s="8" t="str">
        <f>AK27</f>
      </c>
      <c r="F27" s="6" t="str">
        <f>AJ27/AI27-1</f>
      </c>
      <c r="G27" s="6" t="str">
        <f>AJ27/AC27-1</f>
      </c>
      <c r="H27" s="6" t="str">
        <f>AK27/AJ27</f>
      </c>
      <c r="I27" s="6" t="str">
        <f>AJ27/Sum(AJ$17:AJ$29)</f>
      </c>
      <c r="J27" s="6" t="str">
        <f>AK27/Sum(AK17:AK$29)</f>
      </c>
      <c r="M27" t="s">
        <v>90</v>
      </c>
      <c r="N27" s="8" t="n">
        <v>774248479.925208</v>
      </c>
      <c r="O27" s="8" t="n">
        <v>1034625179.94755</v>
      </c>
      <c r="P27" s="8" t="n">
        <v>1093292167.95673</v>
      </c>
      <c r="Q27" s="8" t="n">
        <v>1348829890.71434</v>
      </c>
      <c r="R27" s="8" t="n">
        <v>1175017344.46221</v>
      </c>
      <c r="S27" s="8" t="n">
        <v>1034853613.72968</v>
      </c>
      <c r="T27" s="8" t="n">
        <v>848203638.697924</v>
      </c>
      <c r="U27" s="8" t="n">
        <v>1031143983.22994</v>
      </c>
      <c r="V27" s="8" t="n">
        <v>1403860165.59354</v>
      </c>
      <c r="W27" s="8" t="n">
        <v>1404897744.55226</v>
      </c>
      <c r="X27" s="8" t="n">
        <v>1405221632.29948</v>
      </c>
      <c r="Y27" s="8" t="n">
        <v>1111485117.96424</v>
      </c>
      <c r="Z27" s="8" t="n">
        <v>1153913027.13435</v>
      </c>
      <c r="AA27" s="8" t="n">
        <v>1198248084.27593</v>
      </c>
      <c r="AB27" s="8" t="n">
        <v>1269110636.83116</v>
      </c>
      <c r="AC27" s="8" t="n">
        <v>1139830123.86093</v>
      </c>
      <c r="AD27" s="8" t="n">
        <v>1081607582.73684</v>
      </c>
      <c r="AE27" s="8" t="n">
        <v>790744356.824837</v>
      </c>
      <c r="AF27" s="8" t="n">
        <v>856290506.849968</v>
      </c>
      <c r="AG27" s="8" t="n">
        <v>825591758.579243</v>
      </c>
      <c r="AH27" s="8" t="n">
        <v>888860481.942046</v>
      </c>
      <c r="AI27" s="8" t="n">
        <v>932801979.557047</v>
      </c>
      <c r="AJ27" s="8" t="n">
        <v>1007282464.4486</v>
      </c>
      <c r="AK27" s="8" t="n">
        <v>340774854.844501</v>
      </c>
      <c r="AL27" s="8"/>
      <c r="AM27" s="8"/>
    </row>
    <row r="28">
      <c r="A28" t="str">
        <f>M28</f>
      </c>
      <c r="B28" s="8" t="str">
        <f>AC28</f>
      </c>
      <c r="C28" s="8" t="str">
        <f>AI28</f>
      </c>
      <c r="D28" s="8" t="str">
        <f>AJ28</f>
      </c>
      <c r="E28" s="8" t="str">
        <f>AK28</f>
      </c>
      <c r="F28" s="6" t="str">
        <f>AJ28/AI28-1</f>
      </c>
      <c r="G28" s="6" t="str">
        <f>AJ28/AC28-1</f>
      </c>
      <c r="H28" s="6" t="str">
        <f>AK28/AJ28</f>
      </c>
      <c r="I28" s="6" t="str">
        <f>AJ28/Sum(AJ$17:AJ$29)</f>
      </c>
      <c r="J28" s="6" t="str">
        <f>AK28/Sum(AK17:AK$29)</f>
      </c>
      <c r="M28" t="s">
        <v>91</v>
      </c>
      <c r="N28" s="8" t="n">
        <v>23806564431.7911</v>
      </c>
      <c r="O28" s="8" t="n">
        <v>25979573424.0087</v>
      </c>
      <c r="P28" s="8" t="n">
        <v>29052539342.2246</v>
      </c>
      <c r="Q28" s="8" t="n">
        <v>37330286734.1845</v>
      </c>
      <c r="R28" s="8" t="n">
        <v>36359184675.1902</v>
      </c>
      <c r="S28" s="8" t="n">
        <v>38366668661.1132</v>
      </c>
      <c r="T28" s="8" t="n">
        <v>44562909336.6951</v>
      </c>
      <c r="U28" s="8" t="n">
        <v>42068239735.9047</v>
      </c>
      <c r="V28" s="8" t="n">
        <v>49740094456.7963</v>
      </c>
      <c r="W28" s="8" t="n">
        <v>56381705529.2573</v>
      </c>
      <c r="X28" s="8" t="n">
        <v>52169011841.6662</v>
      </c>
      <c r="Y28" s="8" t="n">
        <v>45443729432.5589</v>
      </c>
      <c r="Z28" s="8" t="n">
        <v>45257756257.8921</v>
      </c>
      <c r="AA28" s="8" t="n">
        <v>35948320425.5374</v>
      </c>
      <c r="AB28" s="8" t="n">
        <v>38877756680.4789</v>
      </c>
      <c r="AC28" s="8" t="n">
        <v>34546891679.6995</v>
      </c>
      <c r="AD28" s="8" t="n">
        <v>34588439186.8638</v>
      </c>
      <c r="AE28" s="8" t="n">
        <v>34676139339.6203</v>
      </c>
      <c r="AF28" s="8" t="n">
        <v>40505565129.2791</v>
      </c>
      <c r="AG28" s="8" t="n">
        <v>45377517869.3672</v>
      </c>
      <c r="AH28" s="8" t="n">
        <v>49786168268.394</v>
      </c>
      <c r="AI28" s="8" t="n">
        <v>41577745218.4838</v>
      </c>
      <c r="AJ28" s="8" t="n">
        <v>40319290933.4654</v>
      </c>
      <c r="AK28" s="8" t="n">
        <v>21370519712.8406</v>
      </c>
      <c r="AL28" s="8"/>
      <c r="AM28" s="8"/>
    </row>
    <row r="29">
      <c r="A29" t="str">
        <f>M29</f>
      </c>
      <c r="B29" s="8" t="str">
        <f>AC29</f>
      </c>
      <c r="C29" s="8" t="str">
        <f>AI29</f>
      </c>
      <c r="D29" s="8" t="str">
        <f>AJ29</f>
      </c>
      <c r="E29" s="8" t="str">
        <f>AK29</f>
      </c>
      <c r="F29" s="6" t="str">
        <f>AJ29/AI29-1</f>
      </c>
      <c r="G29" s="6" t="str">
        <f>AJ29/AC29-1</f>
      </c>
      <c r="H29" s="6" t="str">
        <f>AK29/AJ29</f>
      </c>
      <c r="I29" s="6" t="str">
        <f>AJ29/Sum(AJ$17:AJ$29)</f>
      </c>
      <c r="J29" s="6" t="str">
        <f>AK29/Sum(AK17:AK$29)</f>
      </c>
      <c r="M29" t="s">
        <v>92</v>
      </c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 t="n">
        <v>1258066359.19115</v>
      </c>
      <c r="AA29" s="8" t="n">
        <v>1183612343.97246</v>
      </c>
      <c r="AB29" s="8" t="n">
        <v>1593668195.89722</v>
      </c>
      <c r="AC29" s="8" t="n">
        <v>1172085659.76688</v>
      </c>
      <c r="AD29" s="8" t="n">
        <v>1614626532.38395</v>
      </c>
      <c r="AE29" s="8" t="n">
        <v>1519921273.27146</v>
      </c>
      <c r="AF29" s="8" t="n">
        <v>2556167526.98188</v>
      </c>
      <c r="AG29" s="8" t="n">
        <v>1359768976.1158</v>
      </c>
      <c r="AH29" s="8" t="n">
        <v>2340379113.40006</v>
      </c>
      <c r="AI29" s="8" t="n">
        <v>1760026804.12267</v>
      </c>
      <c r="AJ29" s="8" t="n">
        <v>2690101766.6613</v>
      </c>
      <c r="AK29" s="8" t="n">
        <v>1523840112.97803</v>
      </c>
      <c r="AL29" s="8"/>
      <c r="AM29" s="8"/>
    </row>
    <row r="30">
      <c r="A30" t="str">
        <f>M30</f>
      </c>
      <c r="B30" s="8" t="str">
        <f>AC30</f>
      </c>
      <c r="C30" s="8" t="str">
        <f>AI30</f>
      </c>
      <c r="D30" s="8" t="str">
        <f>AJ30</f>
      </c>
      <c r="E30" s="8" t="str">
        <f>AK30</f>
      </c>
      <c r="F30" s="6" t="str">
        <f>AJ30/AI30-1</f>
      </c>
      <c r="G30" s="6" t="str">
        <f>AJ30/AC30-1</f>
      </c>
      <c r="H30" s="6" t="str">
        <f>AK30/AJ30</f>
      </c>
      <c r="I30" s="6" t="str">
        <f>Sum(I$17:I$29)</f>
      </c>
      <c r="J30" s="6" t="str">
        <f>Sum(J$17:J$29)</f>
      </c>
      <c r="M30" t="s">
        <v>193</v>
      </c>
      <c r="N30" s="8" t="str">
        <f>Sum(N18:N29)</f>
      </c>
      <c r="O30" s="8" t="str">
        <f>Sum(O18:O29)</f>
      </c>
      <c r="P30" s="8" t="str">
        <f>Sum(P18:P29)</f>
      </c>
      <c r="Q30" s="8" t="str">
        <f>Sum(Q18:Q29)</f>
      </c>
      <c r="R30" s="8" t="str">
        <f>Sum(R18:R29)</f>
      </c>
      <c r="S30" s="8" t="str">
        <f>Sum(S18:S29)</f>
      </c>
      <c r="T30" s="8" t="str">
        <f>Sum(T18:T29)</f>
      </c>
      <c r="U30" s="8" t="str">
        <f>Sum(U18:U29)</f>
      </c>
      <c r="V30" s="8" t="str">
        <f>Sum(V18:V29)</f>
      </c>
      <c r="W30" s="8" t="str">
        <f>Sum(W18:W29)</f>
      </c>
      <c r="X30" s="8" t="str">
        <f>Sum(X18:X29)</f>
      </c>
      <c r="Y30" s="8" t="str">
        <f>Sum(Y18:Y29)</f>
      </c>
      <c r="Z30" s="8" t="str">
        <f>Sum(Z18:Z29)</f>
      </c>
      <c r="AA30" s="8" t="str">
        <f>Sum(AA18:AA29)</f>
      </c>
      <c r="AB30" s="8" t="str">
        <f>Sum(AB18:AB29)</f>
      </c>
      <c r="AC30" s="8" t="str">
        <f>Sum(AC18:AC29)</f>
      </c>
      <c r="AD30" s="8" t="str">
        <f>Sum(AD18:AD29)</f>
      </c>
      <c r="AE30" s="8" t="str">
        <f>Sum(AE18:AE29)</f>
      </c>
      <c r="AF30" s="8" t="str">
        <f>Sum(AF18:AF29)</f>
      </c>
      <c r="AG30" s="8" t="str">
        <f>Sum(AG18:AG29)</f>
      </c>
      <c r="AH30" s="8" t="str">
        <f>Sum(AH18:AH29)</f>
      </c>
      <c r="AI30" s="8" t="str">
        <f>Sum(AI18:AI29)</f>
      </c>
      <c r="AJ30" s="8" t="str">
        <f>Sum(AJ18:AJ29)</f>
      </c>
      <c r="AK30" s="8" t="str">
        <f>Sum(AK18:AK29)</f>
      </c>
      <c r="AL30" s="8"/>
      <c r="AM30" s="8"/>
    </row>
  </sheetData>
  <pageMargins left="0.7" right="0.7" top="0.75" bottom="0.75" header="0.3" footer="0.3"/>
  <pageSetup paperSize="9" orientation="portrait" horizontalDpi="300" verticalDpi="300"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M1" t="s">
        <v>93</v>
      </c>
      <c r="N1" t="s">
        <v>94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18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>
      <c r="M2" t="s">
        <v>95</v>
      </c>
      <c r="N2" t="n">
        <v>2042</v>
      </c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 t="n">
        <v>19421.8537451854</v>
      </c>
      <c r="AG2" s="9" t="n">
        <v>247754.828139128</v>
      </c>
      <c r="AH2" s="9" t="n">
        <v>20054.2741052478</v>
      </c>
      <c r="AI2" s="9" t="n">
        <v>22479.289726152</v>
      </c>
      <c r="AJ2" s="9" t="n">
        <v>0</v>
      </c>
      <c r="AK2" s="9" t="n">
        <v>-913.05</v>
      </c>
      <c r="AL2" s="9" t="n">
        <v>-20980.1314364498</v>
      </c>
      <c r="AM2" s="9"/>
    </row>
    <row r="3">
      <c r="M3" t="s">
        <v>96</v>
      </c>
      <c r="N3" t="n">
        <v>2044</v>
      </c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 t="n">
        <v>198024.364457797</v>
      </c>
      <c r="AK3" s="9"/>
      <c r="AL3" s="9"/>
      <c r="AM3" s="9"/>
    </row>
    <row r="4">
      <c r="M4" t="s">
        <v>97</v>
      </c>
      <c r="N4" t="n">
        <v>1852</v>
      </c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 t="n">
        <v>0</v>
      </c>
      <c r="AD4" s="9"/>
      <c r="AE4" s="9"/>
      <c r="AF4" s="9"/>
      <c r="AG4" s="9"/>
      <c r="AH4" s="9"/>
      <c r="AI4" s="9"/>
      <c r="AJ4" s="9"/>
      <c r="AK4" s="9"/>
      <c r="AL4" s="9"/>
      <c r="AM4" s="9"/>
    </row>
    <row r="5">
      <c r="M5" t="s">
        <v>98</v>
      </c>
      <c r="N5" t="n">
        <v>1874</v>
      </c>
      <c r="O5" s="9"/>
      <c r="P5" s="9"/>
      <c r="Q5" s="9"/>
      <c r="R5" s="9"/>
      <c r="S5" s="9"/>
      <c r="T5" s="9"/>
      <c r="U5" s="9"/>
      <c r="V5" s="9"/>
      <c r="W5" s="9" t="n">
        <v>46292.945724126</v>
      </c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</row>
    <row r="6">
      <c r="M6" t="s">
        <v>99</v>
      </c>
      <c r="N6" t="n">
        <v>1875</v>
      </c>
      <c r="O6" s="9"/>
      <c r="P6" s="9"/>
      <c r="Q6" s="9"/>
      <c r="R6" s="9"/>
      <c r="S6" s="9"/>
      <c r="T6" s="9"/>
      <c r="U6" s="9"/>
      <c r="V6" s="9"/>
      <c r="W6" s="9" t="n">
        <v>-1339.68085051034</v>
      </c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</row>
    <row r="7">
      <c r="M7" t="s">
        <v>100</v>
      </c>
      <c r="N7" t="n">
        <v>2190</v>
      </c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 t="n">
        <v>281953.3985</v>
      </c>
      <c r="AL7" s="9" t="n">
        <v>3549.32221947368</v>
      </c>
      <c r="AM7" s="9"/>
    </row>
    <row r="8">
      <c r="M8" t="s">
        <v>101</v>
      </c>
      <c r="N8" t="n">
        <v>1728</v>
      </c>
      <c r="O8" s="9"/>
      <c r="P8" s="9"/>
      <c r="Q8" s="9"/>
      <c r="R8" s="9" t="n">
        <v>4567600.26633768</v>
      </c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</row>
    <row r="9">
      <c r="M9" t="s">
        <v>102</v>
      </c>
      <c r="N9" t="n">
        <v>2040</v>
      </c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 t="n">
        <v>710500</v>
      </c>
      <c r="AL9" s="9" t="n">
        <v>934303.470787701</v>
      </c>
      <c r="AM9" s="9"/>
    </row>
    <row r="10">
      <c r="M10" t="s">
        <v>103</v>
      </c>
      <c r="N10" t="n">
        <v>586</v>
      </c>
      <c r="O10" s="9"/>
      <c r="P10" s="9"/>
      <c r="Q10" s="9" t="n">
        <v>987619.49697489</v>
      </c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</row>
    <row r="11">
      <c r="M11" t="s">
        <v>104</v>
      </c>
      <c r="N11" t="n">
        <v>487</v>
      </c>
      <c r="O11" s="9" t="n">
        <v>545045.527798983</v>
      </c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</row>
    <row r="12">
      <c r="M12" t="s">
        <v>105</v>
      </c>
      <c r="N12" t="n">
        <v>1069</v>
      </c>
      <c r="O12" s="9"/>
      <c r="P12" s="9" t="n">
        <v>405763.402330964</v>
      </c>
      <c r="Q12" s="9" t="n">
        <v>208872.352570419</v>
      </c>
      <c r="R12" s="9" t="n">
        <v>1010048.81171148</v>
      </c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</row>
    <row r="13">
      <c r="M13" t="s">
        <v>106</v>
      </c>
      <c r="N13" t="n">
        <v>428</v>
      </c>
      <c r="O13" s="9"/>
      <c r="P13" s="9" t="n">
        <v>5818975.58861698</v>
      </c>
      <c r="Q13" s="9" t="n">
        <v>1064023.86335763</v>
      </c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</row>
    <row r="14">
      <c r="M14" t="s">
        <v>107</v>
      </c>
      <c r="N14" t="n">
        <v>1851</v>
      </c>
      <c r="O14" s="9"/>
      <c r="P14" s="9"/>
      <c r="Q14" s="9"/>
      <c r="R14" s="9"/>
      <c r="S14" s="9"/>
      <c r="T14" s="9"/>
      <c r="U14" s="9"/>
      <c r="V14" s="9"/>
      <c r="W14" s="9"/>
      <c r="X14" s="9"/>
      <c r="Y14" s="9" t="n">
        <v>5488.25101161946</v>
      </c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</row>
    <row r="15">
      <c r="M15" t="s">
        <v>108</v>
      </c>
      <c r="N15" t="n">
        <v>2058</v>
      </c>
      <c r="O15" s="9"/>
      <c r="P15" s="9"/>
      <c r="Q15" s="9"/>
      <c r="R15" s="9"/>
      <c r="S15" s="9"/>
      <c r="T15" s="9"/>
      <c r="U15" s="9"/>
      <c r="V15" s="9" t="n">
        <v>-1020.61270793786</v>
      </c>
      <c r="W15" s="9" t="n">
        <v>262017.580075934</v>
      </c>
      <c r="X15" s="9"/>
      <c r="Y15" s="9" t="n">
        <v>386474.414047978</v>
      </c>
      <c r="Z15" s="9" t="n">
        <v>1613333.85618649</v>
      </c>
      <c r="AA15" s="9" t="n">
        <v>79864.8059847618</v>
      </c>
      <c r="AB15" s="9" t="n">
        <v>35673.2000823439</v>
      </c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</row>
    <row r="16">
      <c r="M16" t="s">
        <v>109</v>
      </c>
      <c r="N16" t="n">
        <v>584</v>
      </c>
      <c r="O16" s="9"/>
      <c r="P16" s="9" t="n">
        <v>632382.190757597</v>
      </c>
      <c r="Q16" s="9" t="n">
        <v>3871109.00972746</v>
      </c>
      <c r="R16" s="9" t="n">
        <v>14651312.447215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</row>
    <row r="17">
      <c r="M17" t="s">
        <v>110</v>
      </c>
      <c r="N17" t="n">
        <v>425</v>
      </c>
      <c r="O17" s="9"/>
      <c r="P17" s="9"/>
      <c r="Q17" s="9"/>
      <c r="R17" s="9" t="n">
        <v>1645.74540252793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</row>
    <row r="18">
      <c r="M18" t="s">
        <v>111</v>
      </c>
      <c r="N18" t="n">
        <v>2253</v>
      </c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 t="n">
        <v>75866.7911442461</v>
      </c>
      <c r="AJ18" s="9"/>
      <c r="AK18" s="9" t="n">
        <v>0</v>
      </c>
      <c r="AL18" s="9"/>
      <c r="AM18" s="9"/>
    </row>
    <row r="19">
      <c r="M19" t="s">
        <v>112</v>
      </c>
      <c r="N19" t="n">
        <v>1253</v>
      </c>
      <c r="O19" s="9" t="n">
        <v>492039.887786255</v>
      </c>
      <c r="P19" s="9" t="n">
        <v>476704.126784942</v>
      </c>
      <c r="Q19" s="9" t="n">
        <v>2260708.28066715</v>
      </c>
      <c r="R19" s="9" t="n">
        <v>1197391.02053757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</row>
    <row r="20">
      <c r="M20" t="s">
        <v>113</v>
      </c>
      <c r="N20" t="n">
        <v>610</v>
      </c>
      <c r="O20" s="9" t="n">
        <v>238256821.487051</v>
      </c>
      <c r="P20" s="9" t="n">
        <v>227443160.627645</v>
      </c>
      <c r="Q20" s="9" t="n">
        <v>129565595.527683</v>
      </c>
      <c r="R20" s="9" t="n">
        <v>165612905.028458</v>
      </c>
      <c r="S20" s="9" t="n">
        <v>194351.074127417</v>
      </c>
      <c r="T20" s="9" t="n">
        <v>152262.261855568</v>
      </c>
      <c r="U20" s="9" t="n">
        <v>0</v>
      </c>
      <c r="V20" s="9"/>
      <c r="W20" s="9" t="n">
        <v>-400865.971301389</v>
      </c>
      <c r="X20" s="9" t="n">
        <v>-419759.735034623</v>
      </c>
      <c r="Y20" s="9" t="n">
        <v>59164.5601289631</v>
      </c>
      <c r="Z20" s="9" t="n">
        <v>-763251.053813209</v>
      </c>
      <c r="AA20" s="9" t="n">
        <v>-17077.5812518116</v>
      </c>
      <c r="AB20" s="9"/>
      <c r="AC20" s="9"/>
      <c r="AD20" s="9"/>
      <c r="AE20" s="9"/>
      <c r="AF20" s="9"/>
      <c r="AG20" s="9" t="n">
        <v>-15061.5494465338</v>
      </c>
      <c r="AH20" s="9"/>
      <c r="AI20" s="9"/>
      <c r="AJ20" s="9"/>
      <c r="AK20" s="9"/>
      <c r="AL20" s="9"/>
      <c r="AM20" s="9"/>
    </row>
    <row r="21">
      <c r="M21" t="s">
        <v>114</v>
      </c>
      <c r="N21" t="n">
        <v>1992</v>
      </c>
      <c r="O21" s="9"/>
      <c r="P21" s="9"/>
      <c r="Q21" s="9"/>
      <c r="R21" s="9"/>
      <c r="S21" s="9"/>
      <c r="T21" s="9"/>
      <c r="U21" s="9"/>
      <c r="V21" s="9"/>
      <c r="W21" s="9" t="n">
        <v>16576.0511204937</v>
      </c>
      <c r="X21" s="9"/>
      <c r="Y21" s="9"/>
      <c r="Z21" s="9"/>
      <c r="AA21" s="9"/>
      <c r="AB21" s="9" t="n">
        <v>-15377.9784867312</v>
      </c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</row>
    <row r="22">
      <c r="M22" t="s">
        <v>71</v>
      </c>
      <c r="N22" t="n">
        <v>2014</v>
      </c>
      <c r="O22" s="9" t="n">
        <v>43688773.4245109</v>
      </c>
      <c r="P22" s="9" t="n">
        <v>80316634.9343469</v>
      </c>
      <c r="Q22" s="9" t="n">
        <v>114162834.621219</v>
      </c>
      <c r="R22" s="9" t="n">
        <v>76139559.9842442</v>
      </c>
      <c r="S22" s="9" t="n">
        <v>321090527.806009</v>
      </c>
      <c r="T22" s="9" t="n">
        <v>406476796.30465</v>
      </c>
      <c r="U22" s="9" t="n">
        <v>723381011.411541</v>
      </c>
      <c r="V22" s="9" t="n">
        <v>378455133.553732</v>
      </c>
      <c r="W22" s="9" t="n">
        <v>362082577.78446</v>
      </c>
      <c r="X22" s="9" t="n">
        <v>382648179.854189</v>
      </c>
      <c r="Y22" s="9" t="n">
        <v>300953061.341096</v>
      </c>
      <c r="Z22" s="9" t="n">
        <v>211135951.171045</v>
      </c>
      <c r="AA22" s="9" t="n">
        <v>184535647.108734</v>
      </c>
      <c r="AB22" s="9" t="n">
        <v>227293068.291052</v>
      </c>
      <c r="AC22" s="9" t="n">
        <v>153769081.637277</v>
      </c>
      <c r="AD22" s="9" t="n">
        <v>101612394.272655</v>
      </c>
      <c r="AE22" s="9" t="n">
        <v>156915747.674033</v>
      </c>
      <c r="AF22" s="9" t="n">
        <v>59638050.6742133</v>
      </c>
      <c r="AG22" s="9" t="n">
        <v>30220396.4046647</v>
      </c>
      <c r="AH22" s="9" t="n">
        <v>21463340.6025877</v>
      </c>
      <c r="AI22" s="9" t="n">
        <v>17824449.8957278</v>
      </c>
      <c r="AJ22" s="9" t="n">
        <v>38806432.5772213</v>
      </c>
      <c r="AK22" s="9" t="n">
        <v>14399176.3782</v>
      </c>
      <c r="AL22" s="9" t="n">
        <v>12157769.5537064</v>
      </c>
      <c r="AM22" s="9"/>
    </row>
    <row r="23">
      <c r="M23" t="s">
        <v>115</v>
      </c>
      <c r="N23" t="n">
        <v>1972</v>
      </c>
      <c r="O23" s="9"/>
      <c r="P23" s="9"/>
      <c r="Q23" s="9"/>
      <c r="R23" s="9"/>
      <c r="S23" s="9"/>
      <c r="T23" s="9" t="n">
        <v>301868.199051856</v>
      </c>
      <c r="U23" s="9" t="n">
        <v>124897.056838898</v>
      </c>
      <c r="V23" s="9" t="n">
        <v>134247.313151315</v>
      </c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</row>
    <row r="24">
      <c r="M24" t="s">
        <v>116</v>
      </c>
      <c r="N24" t="n">
        <v>1962</v>
      </c>
      <c r="O24" s="9"/>
      <c r="P24" s="9"/>
      <c r="Q24" s="9"/>
      <c r="R24" s="9"/>
      <c r="S24" s="9" t="n">
        <v>155908.658356863</v>
      </c>
      <c r="T24" s="9"/>
      <c r="U24" s="9"/>
      <c r="V24" s="9"/>
      <c r="W24" s="9"/>
      <c r="X24" s="9"/>
      <c r="Y24" s="9"/>
      <c r="Z24" s="9" t="n">
        <v>12316.081719701</v>
      </c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</row>
    <row r="25">
      <c r="M25" t="s">
        <v>117</v>
      </c>
      <c r="N25" t="n">
        <v>1255</v>
      </c>
      <c r="O25" s="9" t="n">
        <v>144987162.782395</v>
      </c>
      <c r="P25" s="9" t="n">
        <v>95568949.0586064</v>
      </c>
      <c r="Q25" s="9" t="n">
        <v>60539329.4756595</v>
      </c>
      <c r="R25" s="9" t="n">
        <v>96593.0644217041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</row>
    <row r="26">
      <c r="M26" t="s">
        <v>118</v>
      </c>
      <c r="N26" t="n">
        <v>1344</v>
      </c>
      <c r="O26" s="9"/>
      <c r="P26" s="9"/>
      <c r="Q26" s="9"/>
      <c r="R26" s="9"/>
      <c r="S26" s="9" t="n">
        <v>837810.832047593</v>
      </c>
      <c r="T26" s="9" t="n">
        <v>1327244.16524682</v>
      </c>
      <c r="U26" s="9" t="n">
        <v>14997565.3230417</v>
      </c>
      <c r="V26" s="9"/>
      <c r="W26" s="9"/>
      <c r="X26" s="9" t="n">
        <v>14144389.5170326</v>
      </c>
      <c r="Y26" s="9" t="n">
        <v>0</v>
      </c>
      <c r="Z26" s="9" t="n">
        <v>0</v>
      </c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</row>
    <row r="27">
      <c r="M27" t="s">
        <v>119</v>
      </c>
      <c r="N27" t="n">
        <v>1958</v>
      </c>
      <c r="O27" s="9"/>
      <c r="P27" s="9"/>
      <c r="Q27" s="9"/>
      <c r="R27" s="9"/>
      <c r="S27" s="9" t="n">
        <v>4892789.55551515</v>
      </c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</row>
    <row r="28">
      <c r="M28" t="s">
        <v>120</v>
      </c>
      <c r="N28" t="n">
        <v>605</v>
      </c>
      <c r="O28" s="9" t="n">
        <v>5007740.39716293</v>
      </c>
      <c r="P28" s="9" t="n">
        <v>131474.832216692</v>
      </c>
      <c r="Q28" s="9" t="n">
        <v>57459.7360954765</v>
      </c>
      <c r="R28" s="9" t="n">
        <v>66280.8722484767</v>
      </c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</row>
    <row r="29">
      <c r="M29" t="s">
        <v>72</v>
      </c>
      <c r="N29" t="n">
        <v>654</v>
      </c>
      <c r="O29" s="9"/>
      <c r="P29" s="9"/>
      <c r="Q29" s="9"/>
      <c r="R29" s="9"/>
      <c r="S29" s="9"/>
      <c r="T29" s="9"/>
      <c r="U29" s="9"/>
      <c r="V29" s="9" t="n">
        <v>13166685.0413243</v>
      </c>
      <c r="W29" s="9" t="n">
        <v>50021736.7550297</v>
      </c>
      <c r="X29" s="9" t="n">
        <v>261241742.933328</v>
      </c>
      <c r="Y29" s="9" t="n">
        <v>411955644.795699</v>
      </c>
      <c r="Z29" s="9" t="n">
        <v>402847091.96231</v>
      </c>
      <c r="AA29" s="9" t="n">
        <v>487941811.489651</v>
      </c>
      <c r="AB29" s="9" t="n">
        <v>779014921.089904</v>
      </c>
      <c r="AC29" s="9" t="n">
        <v>778699730.287785</v>
      </c>
      <c r="AD29" s="9" t="n">
        <v>558146194.568958</v>
      </c>
      <c r="AE29" s="9" t="n">
        <v>573629270.149975</v>
      </c>
      <c r="AF29" s="9" t="n">
        <v>518157995.809709</v>
      </c>
      <c r="AG29" s="9" t="n">
        <v>807136528.112801</v>
      </c>
      <c r="AH29" s="9" t="n">
        <v>542572103.744817</v>
      </c>
      <c r="AI29" s="9" t="n">
        <v>762162876.498345</v>
      </c>
      <c r="AJ29" s="9" t="n">
        <v>778354288.679118</v>
      </c>
      <c r="AK29" s="9" t="n">
        <v>787757338.9206</v>
      </c>
      <c r="AL29" s="9" t="n">
        <v>633935976.673598</v>
      </c>
      <c r="AM29" s="9"/>
    </row>
    <row r="30">
      <c r="M30" t="s">
        <v>121</v>
      </c>
      <c r="N30" t="n">
        <v>690</v>
      </c>
      <c r="O30" s="9"/>
      <c r="P30" s="9"/>
      <c r="Q30" s="9" t="n">
        <v>208097.42261605</v>
      </c>
      <c r="R30" s="9"/>
      <c r="S30" s="9" t="n">
        <v>2165518.51855984</v>
      </c>
      <c r="T30" s="9" t="n">
        <v>15077308.8716553</v>
      </c>
      <c r="U30" s="9" t="n">
        <v>11861728.2383205</v>
      </c>
      <c r="V30" s="9" t="n">
        <v>19881121.0528647</v>
      </c>
      <c r="W30" s="9" t="n">
        <v>14712986.2940345</v>
      </c>
      <c r="X30" s="9" t="n">
        <v>11195363.9129774</v>
      </c>
      <c r="Y30" s="9" t="n">
        <v>6126026.52439282</v>
      </c>
      <c r="Z30" s="9" t="n">
        <v>31229875.8343922</v>
      </c>
      <c r="AA30" s="9" t="n">
        <v>14228907.2119753</v>
      </c>
      <c r="AB30" s="9" t="n">
        <v>2479228.49081376</v>
      </c>
      <c r="AC30" s="9" t="n">
        <v>-7535.86715088652</v>
      </c>
      <c r="AD30" s="9"/>
      <c r="AE30" s="9" t="n">
        <v>-73985.1483777542</v>
      </c>
      <c r="AF30" s="9" t="n">
        <v>-514929.321153432</v>
      </c>
      <c r="AG30" s="9"/>
      <c r="AH30" s="9"/>
      <c r="AI30" s="9"/>
      <c r="AJ30" s="9"/>
      <c r="AK30" s="9" t="n">
        <v>125092848</v>
      </c>
      <c r="AL30" s="9" t="n">
        <v>544592.168302943</v>
      </c>
      <c r="AM30" s="9"/>
    </row>
    <row r="31">
      <c r="M31" t="s">
        <v>122</v>
      </c>
      <c r="N31" t="n">
        <v>606</v>
      </c>
      <c r="O31" s="9" t="n">
        <v>490899.182371118</v>
      </c>
      <c r="P31" s="9" t="n">
        <v>8087835.71915813</v>
      </c>
      <c r="Q31" s="9" t="n">
        <v>4237660.19593891</v>
      </c>
      <c r="R31" s="9" t="n">
        <v>14024412.9751104</v>
      </c>
      <c r="S31" s="9"/>
      <c r="T31" s="9"/>
      <c r="U31" s="9"/>
      <c r="V31" s="9"/>
      <c r="W31" s="9"/>
      <c r="X31" s="9"/>
      <c r="Y31" s="9" t="n">
        <v>-296611.853612976</v>
      </c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</row>
    <row r="32">
      <c r="M32" t="s">
        <v>123</v>
      </c>
      <c r="N32" t="n">
        <v>592</v>
      </c>
      <c r="O32" s="9" t="n">
        <v>1025794.69399745</v>
      </c>
      <c r="P32" s="9" t="n">
        <v>1369168.12853576</v>
      </c>
      <c r="Q32" s="9" t="n">
        <v>4309658.79823238</v>
      </c>
      <c r="R32" s="9" t="n">
        <v>14058568.2875662</v>
      </c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</row>
    <row r="33">
      <c r="M33" t="s">
        <v>124</v>
      </c>
      <c r="N33" t="n">
        <v>1994</v>
      </c>
      <c r="O33" s="9"/>
      <c r="P33" s="9"/>
      <c r="Q33" s="9"/>
      <c r="R33" s="9"/>
      <c r="S33" s="9"/>
      <c r="T33" s="9"/>
      <c r="U33" s="9"/>
      <c r="V33" s="9"/>
      <c r="W33" s="9" t="n">
        <v>95593.2270167143</v>
      </c>
      <c r="X33" s="9" t="n">
        <v>2639.21198946818</v>
      </c>
      <c r="Y33" s="9" t="n">
        <v>12558.9860744353</v>
      </c>
      <c r="Z33" s="9"/>
      <c r="AA33" s="9"/>
      <c r="AB33" s="9" t="n">
        <v>0</v>
      </c>
      <c r="AC33" s="9" t="n">
        <v>0</v>
      </c>
      <c r="AD33" s="9"/>
      <c r="AE33" s="9"/>
      <c r="AF33" s="9"/>
      <c r="AG33" s="9"/>
      <c r="AH33" s="9"/>
      <c r="AI33" s="9"/>
      <c r="AJ33" s="9"/>
      <c r="AK33" s="9"/>
      <c r="AL33" s="9"/>
      <c r="AM33" s="9"/>
    </row>
    <row r="34">
      <c r="M34" t="s">
        <v>125</v>
      </c>
      <c r="N34" t="n">
        <v>2101</v>
      </c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 t="n">
        <v>688016.102374773</v>
      </c>
      <c r="AI34" s="9" t="n">
        <v>875003.495789834</v>
      </c>
      <c r="AJ34" s="9" t="n">
        <v>54981.8610543405</v>
      </c>
      <c r="AK34" s="9"/>
      <c r="AL34" s="9"/>
      <c r="AM34" s="9"/>
    </row>
    <row r="35">
      <c r="M35" t="s">
        <v>73</v>
      </c>
      <c r="N35" t="n">
        <v>611</v>
      </c>
      <c r="O35" s="9" t="n">
        <v>711775687.809415</v>
      </c>
      <c r="P35" s="9" t="n">
        <v>662781800.043011</v>
      </c>
      <c r="Q35" s="9" t="n">
        <v>748270978.692909</v>
      </c>
      <c r="R35" s="9" t="n">
        <v>585186538.658395</v>
      </c>
      <c r="S35" s="9" t="n">
        <v>2235248.46996017</v>
      </c>
      <c r="T35" s="9"/>
      <c r="U35" s="9" t="n">
        <v>1680932.83524782</v>
      </c>
      <c r="V35" s="9" t="n">
        <v>-4033.46142177044</v>
      </c>
      <c r="W35" s="9" t="n">
        <v>48043.341797437</v>
      </c>
      <c r="X35" s="9" t="n">
        <v>-1069873.50691085</v>
      </c>
      <c r="Y35" s="9" t="n">
        <v>7918.85987609171</v>
      </c>
      <c r="Z35" s="9" t="n">
        <v>-245479.367619192</v>
      </c>
      <c r="AA35" s="9" t="n">
        <v>-31531.8906214937</v>
      </c>
      <c r="AB35" s="9"/>
      <c r="AC35" s="9"/>
      <c r="AD35" s="9"/>
      <c r="AE35" s="9"/>
      <c r="AF35" s="9" t="n">
        <v>-31888.5494091387</v>
      </c>
      <c r="AG35" s="9" t="n">
        <v>0</v>
      </c>
      <c r="AH35" s="9" t="n">
        <v>0</v>
      </c>
      <c r="AI35" s="9"/>
      <c r="AJ35" s="9"/>
      <c r="AK35" s="9"/>
      <c r="AL35" s="9"/>
      <c r="AM35" s="9"/>
    </row>
    <row r="36">
      <c r="M36" t="s">
        <v>126</v>
      </c>
      <c r="N36" t="n">
        <v>381</v>
      </c>
      <c r="O36" s="9" t="n">
        <v>58651.0008066209</v>
      </c>
      <c r="P36" s="9"/>
      <c r="Q36" s="9" t="n">
        <v>69139.5921812624</v>
      </c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</row>
    <row r="37">
      <c r="M37" t="s">
        <v>74</v>
      </c>
      <c r="N37" t="n">
        <v>2016</v>
      </c>
      <c r="O37" s="9" t="n">
        <v>112223466.823657</v>
      </c>
      <c r="P37" s="9" t="n">
        <v>121500368.542829</v>
      </c>
      <c r="Q37" s="9" t="n">
        <v>61159343.3226173</v>
      </c>
      <c r="R37" s="9" t="n">
        <v>177959223.037012</v>
      </c>
      <c r="S37" s="9" t="n">
        <v>649008286.37547</v>
      </c>
      <c r="T37" s="9" t="n">
        <v>354680340.756157</v>
      </c>
      <c r="U37" s="9" t="n">
        <v>280508932.272918</v>
      </c>
      <c r="V37" s="9" t="n">
        <v>290664273.434332</v>
      </c>
      <c r="W37" s="9" t="n">
        <v>224131322.687525</v>
      </c>
      <c r="X37" s="9" t="n">
        <v>300400381.864152</v>
      </c>
      <c r="Y37" s="9" t="n">
        <v>360099661.11473</v>
      </c>
      <c r="Z37" s="9" t="n">
        <v>330036193.231203</v>
      </c>
      <c r="AA37" s="9" t="n">
        <v>432691166.938102</v>
      </c>
      <c r="AB37" s="9" t="n">
        <v>308254649.884246</v>
      </c>
      <c r="AC37" s="9" t="n">
        <v>313335881.685853</v>
      </c>
      <c r="AD37" s="9" t="n">
        <v>214840715.898725</v>
      </c>
      <c r="AE37" s="9" t="n">
        <v>247283955.621635</v>
      </c>
      <c r="AF37" s="9" t="n">
        <v>191396923.898831</v>
      </c>
      <c r="AG37" s="9" t="n">
        <v>163074136.806403</v>
      </c>
      <c r="AH37" s="9" t="n">
        <v>228454216.684909</v>
      </c>
      <c r="AI37" s="9" t="n">
        <v>150241296.647894</v>
      </c>
      <c r="AJ37" s="9" t="n">
        <v>181431657.703748</v>
      </c>
      <c r="AK37" s="9" t="n">
        <v>146554377.2825</v>
      </c>
      <c r="AL37" s="9" t="n">
        <v>20465497.1991811</v>
      </c>
      <c r="AM37" s="9"/>
    </row>
    <row r="38">
      <c r="M38" t="s">
        <v>127</v>
      </c>
      <c r="N38" t="n">
        <v>1967</v>
      </c>
      <c r="O38" s="9"/>
      <c r="P38" s="9"/>
      <c r="Q38" s="9"/>
      <c r="R38" s="9"/>
      <c r="S38" s="9" t="n">
        <v>3920092.610463</v>
      </c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</row>
    <row r="39">
      <c r="M39" t="s">
        <v>128</v>
      </c>
      <c r="N39" t="n">
        <v>1959</v>
      </c>
      <c r="O39" s="9"/>
      <c r="P39" s="9"/>
      <c r="Q39" s="9"/>
      <c r="R39" s="9"/>
      <c r="S39" s="9"/>
      <c r="T39" s="9"/>
      <c r="U39" s="9" t="n">
        <v>216155.831908547</v>
      </c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</row>
    <row r="40">
      <c r="M40" t="s">
        <v>129</v>
      </c>
      <c r="N40" t="n">
        <v>1950</v>
      </c>
      <c r="O40" s="9"/>
      <c r="P40" s="9"/>
      <c r="Q40" s="9"/>
      <c r="R40" s="9"/>
      <c r="S40" s="9" t="n">
        <v>280166.731557952</v>
      </c>
      <c r="T40" s="9" t="n">
        <v>136996.887940979</v>
      </c>
      <c r="U40" s="9"/>
      <c r="V40" s="9" t="n">
        <v>518948.90237975</v>
      </c>
      <c r="W40" s="9" t="n">
        <v>6882.36042903971</v>
      </c>
      <c r="X40" s="9" t="n">
        <v>785297.527466256</v>
      </c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</row>
    <row r="41">
      <c r="M41" t="s">
        <v>130</v>
      </c>
      <c r="N41" t="n">
        <v>1799</v>
      </c>
      <c r="O41" s="9"/>
      <c r="P41" s="9"/>
      <c r="Q41" s="9"/>
      <c r="R41" s="9"/>
      <c r="S41" s="9"/>
      <c r="T41" s="9"/>
      <c r="U41" s="9"/>
      <c r="V41" s="9"/>
      <c r="W41" s="9"/>
      <c r="X41" s="9"/>
      <c r="Y41" s="9" t="n">
        <v>13082.2771608701</v>
      </c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</row>
    <row r="42">
      <c r="M42" t="s">
        <v>131</v>
      </c>
      <c r="N42" t="n">
        <v>1970</v>
      </c>
      <c r="O42" s="9"/>
      <c r="P42" s="9"/>
      <c r="Q42" s="9"/>
      <c r="R42" s="9"/>
      <c r="S42" s="9" t="n">
        <v>51721.1437377306</v>
      </c>
      <c r="T42" s="9" t="n">
        <v>24149.4559241485</v>
      </c>
      <c r="U42" s="9" t="n">
        <v>17157.9100611352</v>
      </c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</row>
    <row r="43">
      <c r="M43" t="s">
        <v>132</v>
      </c>
      <c r="N43" t="n">
        <v>2251</v>
      </c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 t="n">
        <v>53725.2054522919</v>
      </c>
      <c r="AI43" s="9"/>
      <c r="AJ43" s="9"/>
      <c r="AK43" s="9"/>
      <c r="AL43" s="9"/>
      <c r="AM43" s="9"/>
    </row>
    <row r="44">
      <c r="M44" t="s">
        <v>133</v>
      </c>
      <c r="N44" t="n">
        <v>2237</v>
      </c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 t="n">
        <v>7179</v>
      </c>
      <c r="AL44" s="9"/>
      <c r="AM44" s="9"/>
    </row>
    <row r="45">
      <c r="M45" t="s">
        <v>134</v>
      </c>
      <c r="N45" t="n">
        <v>1733</v>
      </c>
      <c r="O45" s="9" t="n">
        <v>1583966.41272076</v>
      </c>
      <c r="P45" s="9" t="n">
        <v>767179.189830709</v>
      </c>
      <c r="Q45" s="9"/>
      <c r="R45" s="9" t="n">
        <v>-2397910.48117829</v>
      </c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</row>
    <row r="46">
      <c r="M46" t="s">
        <v>135</v>
      </c>
      <c r="N46" t="n">
        <v>613</v>
      </c>
      <c r="O46" s="9" t="n">
        <v>215723699.950076</v>
      </c>
      <c r="P46" s="9" t="n">
        <v>186265359.910685</v>
      </c>
      <c r="Q46" s="9" t="n">
        <v>222708917.920471</v>
      </c>
      <c r="R46" s="9" t="n">
        <v>241052170.629079</v>
      </c>
      <c r="S46" s="9" t="n">
        <v>608313.596341991</v>
      </c>
      <c r="T46" s="9"/>
      <c r="U46" s="9"/>
      <c r="V46" s="9"/>
      <c r="W46" s="9" t="n">
        <v>320127.56731656</v>
      </c>
      <c r="X46" s="9" t="n">
        <v>-1525946.37282493</v>
      </c>
      <c r="Y46" s="9" t="n">
        <v>-114529.909491561</v>
      </c>
      <c r="Z46" s="9" t="n">
        <v>-130615.070550147</v>
      </c>
      <c r="AA46" s="9" t="n">
        <v>0</v>
      </c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</row>
    <row r="47">
      <c r="M47" t="s">
        <v>75</v>
      </c>
      <c r="N47" t="n">
        <v>2021</v>
      </c>
      <c r="O47" s="9" t="n">
        <v>57917934.3886603</v>
      </c>
      <c r="P47" s="9" t="n">
        <v>111446138.159915</v>
      </c>
      <c r="Q47" s="9" t="n">
        <v>167439115.24045</v>
      </c>
      <c r="R47" s="9" t="n">
        <v>176783557.379627</v>
      </c>
      <c r="S47" s="9" t="n">
        <v>339979416.26105</v>
      </c>
      <c r="T47" s="9" t="n">
        <v>320115701.475438</v>
      </c>
      <c r="U47" s="9" t="n">
        <v>253633695.196061</v>
      </c>
      <c r="V47" s="9" t="n">
        <v>259158318.189663</v>
      </c>
      <c r="W47" s="9" t="n">
        <v>198851131.25537</v>
      </c>
      <c r="X47" s="9" t="n">
        <v>298789977.96935</v>
      </c>
      <c r="Y47" s="9" t="n">
        <v>282639891.54664</v>
      </c>
      <c r="Z47" s="9" t="n">
        <v>219032439.270088</v>
      </c>
      <c r="AA47" s="9" t="n">
        <v>129226481.110835</v>
      </c>
      <c r="AB47" s="9" t="n">
        <v>116432057.624015</v>
      </c>
      <c r="AC47" s="9" t="n">
        <v>129177955.98977</v>
      </c>
      <c r="AD47" s="9" t="n">
        <v>114276219.604283</v>
      </c>
      <c r="AE47" s="9" t="n">
        <v>243104513.093641</v>
      </c>
      <c r="AF47" s="9" t="n">
        <v>90891663.8699299</v>
      </c>
      <c r="AG47" s="9" t="n">
        <v>121658691.898311</v>
      </c>
      <c r="AH47" s="9" t="n">
        <v>125344987.92804</v>
      </c>
      <c r="AI47" s="9" t="n">
        <v>112354155.667345</v>
      </c>
      <c r="AJ47" s="9" t="n">
        <v>110568968.969676</v>
      </c>
      <c r="AK47" s="9" t="n">
        <v>137789400.3621</v>
      </c>
      <c r="AL47" s="9" t="n">
        <v>129569383.999017</v>
      </c>
      <c r="AM47" s="9"/>
    </row>
    <row r="48">
      <c r="M48" t="s">
        <v>136</v>
      </c>
      <c r="N48" t="n">
        <v>79</v>
      </c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 t="n">
        <v>7605.13057592972</v>
      </c>
      <c r="AH48" s="9"/>
      <c r="AI48" s="9"/>
      <c r="AJ48" s="9"/>
      <c r="AK48" s="9"/>
      <c r="AL48" s="9"/>
      <c r="AM48" s="9"/>
    </row>
    <row r="49">
      <c r="M49" t="s">
        <v>137</v>
      </c>
      <c r="N49" t="n">
        <v>287</v>
      </c>
      <c r="O49" s="9"/>
      <c r="P49" s="9"/>
      <c r="Q49" s="9"/>
      <c r="R49" s="9" t="n">
        <v>5025.61883105289</v>
      </c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</row>
    <row r="50">
      <c r="M50" t="s">
        <v>138</v>
      </c>
      <c r="N50" t="n">
        <v>1577</v>
      </c>
      <c r="O50" s="9"/>
      <c r="P50" s="9"/>
      <c r="Q50" s="9"/>
      <c r="R50" s="9" t="n">
        <v>206713.241749186</v>
      </c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</row>
    <row r="51">
      <c r="M51" t="s">
        <v>139</v>
      </c>
      <c r="N51" t="n">
        <v>594</v>
      </c>
      <c r="O51" s="9"/>
      <c r="P51" s="9" t="n">
        <v>4401773.28117428</v>
      </c>
      <c r="Q51" s="9" t="n">
        <v>2629360.62966068</v>
      </c>
      <c r="R51" s="9" t="n">
        <v>37196837.3917842</v>
      </c>
      <c r="S51" s="9"/>
      <c r="T51" s="9"/>
      <c r="U51" s="9"/>
      <c r="V51" s="9"/>
      <c r="W51" s="9"/>
      <c r="X51" s="9"/>
      <c r="Y51" s="9" t="n">
        <v>0</v>
      </c>
      <c r="Z51" s="9" t="n">
        <v>-66317.1488494946</v>
      </c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</row>
    <row r="52">
      <c r="M52" t="s">
        <v>140</v>
      </c>
      <c r="N52" t="n">
        <v>2187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 t="n">
        <v>4220607.66822644</v>
      </c>
      <c r="AH52" s="9" t="n">
        <v>2105192.90229893</v>
      </c>
      <c r="AI52" s="9"/>
      <c r="AJ52" s="9"/>
      <c r="AK52" s="9"/>
      <c r="AL52" s="9"/>
      <c r="AM52" s="9"/>
    </row>
    <row r="53">
      <c r="M53" t="s">
        <v>141</v>
      </c>
      <c r="N53" t="n">
        <v>1986</v>
      </c>
      <c r="O53" s="9"/>
      <c r="P53" s="9"/>
      <c r="Q53" s="9"/>
      <c r="R53" s="9"/>
      <c r="S53" s="9"/>
      <c r="T53" s="9"/>
      <c r="U53" s="9"/>
      <c r="V53" s="9"/>
      <c r="W53" s="9" t="n">
        <v>1078801.6659034</v>
      </c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</row>
    <row r="54">
      <c r="M54" t="s">
        <v>142</v>
      </c>
      <c r="N54" t="n">
        <v>2089</v>
      </c>
      <c r="O54" s="9"/>
      <c r="P54" s="9"/>
      <c r="Q54" s="9"/>
      <c r="R54" s="9" t="n">
        <v>1240139.25736824</v>
      </c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</row>
    <row r="55">
      <c r="M55" t="s">
        <v>143</v>
      </c>
      <c r="N55" t="n">
        <v>1771</v>
      </c>
      <c r="O55" s="9"/>
      <c r="P55" s="9" t="n">
        <v>648464.570197865</v>
      </c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</row>
    <row r="56">
      <c r="M56" t="s">
        <v>144</v>
      </c>
      <c r="N56" t="n">
        <v>1772</v>
      </c>
      <c r="O56" s="9" t="n">
        <v>765612.068353072</v>
      </c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</row>
    <row r="57">
      <c r="M57" t="s">
        <v>76</v>
      </c>
      <c r="N57" t="n">
        <v>2017</v>
      </c>
      <c r="O57" s="9"/>
      <c r="P57" s="9"/>
      <c r="Q57" s="9"/>
      <c r="R57" s="9"/>
      <c r="S57" s="9"/>
      <c r="T57" s="9" t="n">
        <v>1811499614.32837</v>
      </c>
      <c r="U57" s="9" t="n">
        <v>4500581642.43032</v>
      </c>
      <c r="V57" s="9" t="n">
        <v>423893099.117922</v>
      </c>
      <c r="W57" s="9" t="n">
        <v>-148921761.261858</v>
      </c>
      <c r="X57" s="9" t="n">
        <v>-40619012.3819858</v>
      </c>
      <c r="Y57" s="9" t="n">
        <v>-66288998.8805325</v>
      </c>
      <c r="Z57" s="9" t="n">
        <v>-829720.27544851</v>
      </c>
      <c r="AA57" s="9" t="n">
        <v>207187.178206349</v>
      </c>
      <c r="AB57" s="9" t="n">
        <v>1298520.51022701</v>
      </c>
      <c r="AC57" s="9" t="n">
        <v>-230822.604968812</v>
      </c>
      <c r="AD57" s="9" t="n">
        <v>-58271.993984569</v>
      </c>
      <c r="AE57" s="9" t="n">
        <v>-20163.5509273673</v>
      </c>
      <c r="AF57" s="9" t="n">
        <v>-26723.8078531799</v>
      </c>
      <c r="AG57" s="9"/>
      <c r="AH57" s="9"/>
      <c r="AI57" s="9"/>
      <c r="AJ57" s="9" t="n">
        <v>-71.2894039536028</v>
      </c>
      <c r="AK57" s="9"/>
      <c r="AL57" s="9"/>
      <c r="AM57" s="9"/>
    </row>
    <row r="58">
      <c r="M58" t="s">
        <v>145</v>
      </c>
      <c r="N58" t="n">
        <v>2018</v>
      </c>
      <c r="O58" s="9"/>
      <c r="P58" s="9"/>
      <c r="Q58" s="9"/>
      <c r="R58" s="9"/>
      <c r="S58" s="9"/>
      <c r="T58" s="9" t="n">
        <v>77718801.7400884</v>
      </c>
      <c r="U58" s="9" t="n">
        <v>575059527.598219</v>
      </c>
      <c r="V58" s="9" t="n">
        <v>3753175.31664877</v>
      </c>
      <c r="W58" s="9" t="n">
        <v>1215069.83847585</v>
      </c>
      <c r="X58" s="9" t="n">
        <v>-3825676.39925309</v>
      </c>
      <c r="Y58" s="9" t="n">
        <v>-347289.120419728</v>
      </c>
      <c r="Z58" s="9" t="n">
        <v>-672133.902225571</v>
      </c>
      <c r="AA58" s="9" t="n">
        <v>33652.2738935791</v>
      </c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</row>
    <row r="59">
      <c r="M59" t="s">
        <v>146</v>
      </c>
      <c r="N59" t="n">
        <v>1758</v>
      </c>
      <c r="O59" s="9" t="n">
        <v>6744055.61200647</v>
      </c>
      <c r="P59" s="9"/>
      <c r="Q59" s="9"/>
      <c r="R59" s="9" t="n">
        <v>595772.026421796</v>
      </c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</row>
    <row r="60">
      <c r="M60" t="s">
        <v>147</v>
      </c>
      <c r="N60" t="n">
        <v>1974</v>
      </c>
      <c r="O60" s="9"/>
      <c r="P60" s="9"/>
      <c r="Q60" s="9"/>
      <c r="R60" s="9"/>
      <c r="S60" s="9"/>
      <c r="T60" s="9"/>
      <c r="U60" s="9"/>
      <c r="V60" s="9"/>
      <c r="W60" s="9" t="n">
        <v>9564.3881616037</v>
      </c>
      <c r="X60" s="9" t="n">
        <v>0</v>
      </c>
      <c r="Y60" s="9"/>
      <c r="Z60" s="9"/>
      <c r="AA60" s="9"/>
      <c r="AB60" s="9"/>
      <c r="AC60" s="9"/>
      <c r="AD60" s="9" t="n">
        <v>0</v>
      </c>
      <c r="AE60" s="9"/>
      <c r="AF60" s="9"/>
      <c r="AG60" s="9"/>
      <c r="AH60" s="9"/>
      <c r="AI60" s="9"/>
      <c r="AJ60" s="9"/>
      <c r="AK60" s="9"/>
      <c r="AL60" s="9"/>
      <c r="AM60" s="9"/>
    </row>
    <row r="61">
      <c r="M61" t="s">
        <v>148</v>
      </c>
      <c r="N61" t="n">
        <v>577</v>
      </c>
      <c r="O61" s="9"/>
      <c r="P61" s="9" t="n">
        <v>6188401.80503263</v>
      </c>
      <c r="Q61" s="9" t="n">
        <v>9832567.50039403</v>
      </c>
      <c r="R61" s="9" t="n">
        <v>7202278.65275966</v>
      </c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</row>
    <row r="62">
      <c r="M62" t="s">
        <v>149</v>
      </c>
      <c r="N62" t="n">
        <v>578</v>
      </c>
      <c r="O62" s="9" t="n">
        <v>292770.285018174</v>
      </c>
      <c r="P62" s="9"/>
      <c r="Q62" s="9" t="n">
        <v>12533522.9612297</v>
      </c>
      <c r="R62" s="9" t="n">
        <v>27092561.0125669</v>
      </c>
      <c r="S62" s="9"/>
      <c r="T62" s="9"/>
      <c r="U62" s="9"/>
      <c r="V62" s="9"/>
      <c r="W62" s="9"/>
      <c r="X62" s="9" t="n">
        <v>43605.1275259778</v>
      </c>
      <c r="Y62" s="9" t="n">
        <v>-12156.0519378805</v>
      </c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</row>
    <row r="63">
      <c r="M63" t="s">
        <v>150</v>
      </c>
      <c r="N63" t="n">
        <v>492</v>
      </c>
      <c r="O63" s="9"/>
      <c r="P63" s="9"/>
      <c r="Q63" s="9" t="n">
        <v>455956.98261017</v>
      </c>
      <c r="R63" s="9" t="n">
        <v>47810628.9284324</v>
      </c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</row>
    <row r="64">
      <c r="M64" t="s">
        <v>151</v>
      </c>
      <c r="N64" t="n">
        <v>2254</v>
      </c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 t="n">
        <v>1536051.45682387</v>
      </c>
      <c r="AJ64" s="9" t="n">
        <v>243253.304256923</v>
      </c>
      <c r="AK64" s="9"/>
      <c r="AL64" s="9"/>
      <c r="AM64" s="9"/>
    </row>
    <row r="65">
      <c r="M65" t="s">
        <v>152</v>
      </c>
      <c r="N65" t="n">
        <v>1954</v>
      </c>
      <c r="O65" s="9"/>
      <c r="P65" s="9"/>
      <c r="Q65" s="9"/>
      <c r="R65" s="9"/>
      <c r="S65" s="9" t="n">
        <v>19146.8339188424</v>
      </c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</row>
    <row r="66">
      <c r="M66" t="s">
        <v>153</v>
      </c>
      <c r="N66" t="n">
        <v>1988</v>
      </c>
      <c r="O66" s="9"/>
      <c r="P66" s="9"/>
      <c r="Q66" s="9"/>
      <c r="R66" s="9"/>
      <c r="S66" s="9"/>
      <c r="T66" s="9"/>
      <c r="U66" s="9"/>
      <c r="V66" s="9"/>
      <c r="W66" s="9"/>
      <c r="X66" s="9"/>
      <c r="Y66" s="9" t="n">
        <v>1738765.45745125</v>
      </c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</row>
    <row r="67">
      <c r="M67" t="s">
        <v>154</v>
      </c>
      <c r="N67" t="n">
        <v>2241</v>
      </c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 t="n">
        <v>65518.7663335418</v>
      </c>
      <c r="AI67" s="9" t="n">
        <v>51010.8245489016</v>
      </c>
      <c r="AJ67" s="9" t="n">
        <v>2673.21898731074</v>
      </c>
      <c r="AK67" s="9" t="n">
        <v>-5846.2998</v>
      </c>
      <c r="AL67" s="9"/>
      <c r="AM67" s="9"/>
    </row>
    <row r="68">
      <c r="M68" t="s">
        <v>155</v>
      </c>
      <c r="N68" t="n">
        <v>2001</v>
      </c>
      <c r="O68" s="9"/>
      <c r="P68" s="9"/>
      <c r="Q68" s="9"/>
      <c r="R68" s="9"/>
      <c r="S68" s="9"/>
      <c r="T68" s="9"/>
      <c r="U68" s="9"/>
      <c r="V68" s="9"/>
      <c r="W68" s="9" t="n">
        <v>379165.672120262</v>
      </c>
      <c r="X68" s="9" t="n">
        <v>14514.3463360802</v>
      </c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 t="n">
        <v>4420.92329537382</v>
      </c>
      <c r="AJ68" s="9" t="n">
        <v>645139.98437403</v>
      </c>
      <c r="AK68" s="9" t="n">
        <v>0</v>
      </c>
      <c r="AL68" s="9"/>
      <c r="AM68" s="9"/>
    </row>
    <row r="69">
      <c r="M69" t="s">
        <v>156</v>
      </c>
      <c r="N69" t="n">
        <v>595</v>
      </c>
      <c r="O69" s="9"/>
      <c r="P69" s="9" t="n">
        <v>197184.642475091</v>
      </c>
      <c r="Q69" s="9"/>
      <c r="R69" s="9" t="n">
        <v>676020.400855061</v>
      </c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</row>
    <row r="70">
      <c r="M70" t="s">
        <v>157</v>
      </c>
      <c r="N70" t="n">
        <v>412</v>
      </c>
      <c r="O70" s="9" t="n">
        <v>387658.879381018</v>
      </c>
      <c r="P70" s="9" t="n">
        <v>247657.601040156</v>
      </c>
      <c r="Q70" s="9" t="n">
        <v>45439.780490639</v>
      </c>
      <c r="R70" s="9" t="n">
        <v>9884583.08252478</v>
      </c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</row>
    <row r="71">
      <c r="M71" t="s">
        <v>158</v>
      </c>
      <c r="N71" t="n">
        <v>1580</v>
      </c>
      <c r="O71" s="9" t="n">
        <v>4762613.1441223</v>
      </c>
      <c r="P71" s="9"/>
      <c r="Q71" s="9" t="n">
        <v>85868.1402142481</v>
      </c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</row>
    <row r="72">
      <c r="M72" t="s">
        <v>159</v>
      </c>
      <c r="N72" t="n">
        <v>579</v>
      </c>
      <c r="O72" s="9" t="n">
        <v>535777.700233507</v>
      </c>
      <c r="P72" s="9" t="n">
        <v>3562836.23373118</v>
      </c>
      <c r="Q72" s="9" t="n">
        <v>9384148.61397325</v>
      </c>
      <c r="R72" s="9" t="n">
        <v>17447219.0249046</v>
      </c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</row>
    <row r="73">
      <c r="M73" t="s">
        <v>160</v>
      </c>
      <c r="N73" t="n">
        <v>1028</v>
      </c>
      <c r="O73" s="9"/>
      <c r="P73" s="9"/>
      <c r="Q73" s="9"/>
      <c r="R73" s="9" t="n">
        <v>0</v>
      </c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</row>
    <row r="74">
      <c r="M74" t="s">
        <v>161</v>
      </c>
      <c r="N74" t="n">
        <v>1159</v>
      </c>
      <c r="O74" s="9"/>
      <c r="P74" s="9"/>
      <c r="Q74" s="9" t="n">
        <v>8508529.01340933</v>
      </c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</row>
    <row r="75">
      <c r="M75" t="s">
        <v>162</v>
      </c>
      <c r="N75" t="n">
        <v>2036</v>
      </c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 t="n">
        <v>114527.815443363</v>
      </c>
      <c r="AE75" s="9" t="n">
        <v>-9873.29981176498</v>
      </c>
      <c r="AF75" s="9"/>
      <c r="AG75" s="9"/>
      <c r="AH75" s="9"/>
      <c r="AI75" s="9"/>
      <c r="AJ75" s="9"/>
      <c r="AK75" s="9"/>
      <c r="AL75" s="9"/>
      <c r="AM75" s="9"/>
    </row>
    <row r="76">
      <c r="M76" t="s">
        <v>163</v>
      </c>
      <c r="N76" t="n">
        <v>1805</v>
      </c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 t="n">
        <v>15809751.0397115</v>
      </c>
      <c r="AA76" s="9"/>
      <c r="AB76" s="9" t="n">
        <v>25500113.9040127</v>
      </c>
      <c r="AC76" s="9"/>
      <c r="AD76" s="9"/>
      <c r="AE76" s="9" t="n">
        <v>6643854.34286676</v>
      </c>
      <c r="AF76" s="9" t="n">
        <v>6477876.60239556</v>
      </c>
      <c r="AG76" s="9" t="n">
        <v>6526467.27208736</v>
      </c>
      <c r="AH76" s="9" t="n">
        <v>62088106.5482038</v>
      </c>
      <c r="AI76" s="9" t="n">
        <v>2922905.59427546</v>
      </c>
      <c r="AJ76" s="9" t="n">
        <v>1593877.566117</v>
      </c>
      <c r="AK76" s="9" t="n">
        <v>10</v>
      </c>
      <c r="AL76" s="9"/>
      <c r="AM76" s="9"/>
    </row>
    <row r="77">
      <c r="M77" t="s">
        <v>164</v>
      </c>
      <c r="N77" t="n">
        <v>662</v>
      </c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 t="n">
        <v>533625.069235684</v>
      </c>
      <c r="AB77" s="9" t="n">
        <v>14473.9734787859</v>
      </c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</row>
    <row r="78">
      <c r="M78" t="s">
        <v>165</v>
      </c>
      <c r="N78" t="n">
        <v>411</v>
      </c>
      <c r="O78" s="9"/>
      <c r="P78" s="9"/>
      <c r="Q78" s="9" t="n">
        <v>947456.694409992</v>
      </c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</row>
    <row r="79">
      <c r="M79" t="s">
        <v>166</v>
      </c>
      <c r="N79" t="n">
        <v>2100</v>
      </c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 t="n">
        <v>555143.851784997</v>
      </c>
      <c r="AG79" s="9" t="n">
        <v>30412.5289232337</v>
      </c>
      <c r="AH79" s="9"/>
      <c r="AI79" s="9"/>
      <c r="AJ79" s="9"/>
      <c r="AK79" s="9"/>
      <c r="AL79" s="9"/>
      <c r="AM79" s="9"/>
    </row>
    <row r="80">
      <c r="M80" t="s">
        <v>167</v>
      </c>
      <c r="N80" t="n">
        <v>2194</v>
      </c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 t="n">
        <v>35342.6180809771</v>
      </c>
      <c r="AH80" s="9" t="n">
        <v>626742.124764901</v>
      </c>
      <c r="AI80" s="9" t="n">
        <v>0</v>
      </c>
      <c r="AJ80" s="9"/>
      <c r="AK80" s="9" t="n">
        <v>226052.4375</v>
      </c>
      <c r="AL80" s="9"/>
      <c r="AM80" s="9"/>
    </row>
    <row r="81">
      <c r="M81" t="s">
        <v>168</v>
      </c>
      <c r="N81" t="n">
        <v>664</v>
      </c>
      <c r="O81" s="9"/>
      <c r="P81" s="9"/>
      <c r="Q81" s="9"/>
      <c r="R81" s="9"/>
      <c r="S81" s="9"/>
      <c r="T81" s="9"/>
      <c r="U81" s="9"/>
      <c r="V81" s="9"/>
      <c r="W81" s="9" t="n">
        <v>-6839.70392434684</v>
      </c>
      <c r="X81" s="9" t="n">
        <v>226181.694335116</v>
      </c>
      <c r="Y81" s="9" t="n">
        <v>0</v>
      </c>
      <c r="Z81" s="9" t="n">
        <v>-3462.43380696978</v>
      </c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</row>
    <row r="82">
      <c r="M82" t="s">
        <v>169</v>
      </c>
      <c r="N82" t="n">
        <v>1965</v>
      </c>
      <c r="O82" s="9"/>
      <c r="P82" s="9"/>
      <c r="Q82" s="9"/>
      <c r="R82" s="9"/>
      <c r="S82" s="9" t="n">
        <v>39708.2606792649</v>
      </c>
      <c r="T82" s="9" t="n">
        <v>4115.85956717762</v>
      </c>
      <c r="U82" s="9" t="n">
        <v>41088.3850127641</v>
      </c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</row>
    <row r="83">
      <c r="M83" t="s">
        <v>170</v>
      </c>
      <c r="N83" t="n">
        <v>1966</v>
      </c>
      <c r="O83" s="9"/>
      <c r="P83" s="9"/>
      <c r="Q83" s="9"/>
      <c r="R83" s="9"/>
      <c r="S83" s="9"/>
      <c r="T83" s="9"/>
      <c r="U83" s="9"/>
      <c r="V83" s="9" t="n">
        <v>171126.308421409</v>
      </c>
      <c r="W83" s="9"/>
      <c r="X83" s="9" t="n">
        <v>25130.576563716</v>
      </c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</row>
    <row r="84">
      <c r="M84" t="s">
        <v>77</v>
      </c>
      <c r="N84" t="n">
        <v>2115</v>
      </c>
      <c r="O84" s="9" t="n">
        <v>841491332.084923</v>
      </c>
      <c r="P84" s="9" t="n">
        <v>883705905.459826</v>
      </c>
      <c r="Q84" s="9" t="n">
        <v>841710962.597226</v>
      </c>
      <c r="R84" s="9" t="n">
        <v>1270632982.87855</v>
      </c>
      <c r="S84" s="9" t="n">
        <v>2375821477.19341</v>
      </c>
      <c r="T84" s="9" t="n">
        <v>2056480780.1853</v>
      </c>
      <c r="U84" s="9" t="n">
        <v>1432207028.81028</v>
      </c>
      <c r="V84" s="9" t="n">
        <v>1788885561.82231</v>
      </c>
      <c r="W84" s="9" t="n">
        <v>1716599400.76702</v>
      </c>
      <c r="X84" s="9" t="n">
        <v>1458957708.0376</v>
      </c>
      <c r="Y84" s="9" t="n">
        <v>1397956170.33785</v>
      </c>
      <c r="Z84" s="9" t="n">
        <v>1429753927.99093</v>
      </c>
      <c r="AA84" s="9" t="n">
        <v>1168317686.91131</v>
      </c>
      <c r="AB84" s="9" t="n">
        <v>916709973.147972</v>
      </c>
      <c r="AC84" s="9" t="n">
        <v>982108217.423726</v>
      </c>
      <c r="AD84" s="9" t="n">
        <v>1226540866.80758</v>
      </c>
      <c r="AE84" s="9" t="n">
        <v>957149020.062012</v>
      </c>
      <c r="AF84" s="9" t="n">
        <v>1140127911.36235</v>
      </c>
      <c r="AG84" s="9" t="n">
        <v>690113185.592572</v>
      </c>
      <c r="AH84" s="9" t="n">
        <v>824344477.011192</v>
      </c>
      <c r="AI84" s="9" t="n">
        <v>664896774.336537</v>
      </c>
      <c r="AJ84" s="9" t="n">
        <v>588852319.983894</v>
      </c>
      <c r="AK84" s="9" t="n">
        <v>483497856.7914</v>
      </c>
      <c r="AL84" s="9" t="n">
        <v>180371878.875763</v>
      </c>
      <c r="AM84" s="9"/>
    </row>
    <row r="85">
      <c r="M85" t="s">
        <v>171</v>
      </c>
      <c r="N85" t="n">
        <v>2258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 t="n">
        <v>54861544.4588166</v>
      </c>
      <c r="Z85" s="9" t="n">
        <v>110292153.025478</v>
      </c>
      <c r="AA85" s="9" t="n">
        <v>82175976.6069208</v>
      </c>
      <c r="AB85" s="9" t="n">
        <v>60844446.6104839</v>
      </c>
      <c r="AC85" s="9" t="n">
        <v>24438763.1708616</v>
      </c>
      <c r="AD85" s="9" t="n">
        <v>75902834.0192078</v>
      </c>
      <c r="AE85" s="9" t="n">
        <v>13687199.1871807</v>
      </c>
      <c r="AF85" s="9" t="n">
        <v>38711057.3278917</v>
      </c>
      <c r="AG85" s="9"/>
      <c r="AH85" s="9"/>
      <c r="AI85" s="9"/>
      <c r="AJ85" s="9"/>
      <c r="AK85" s="9"/>
      <c r="AL85" s="9"/>
      <c r="AM85" s="9"/>
    </row>
    <row r="86">
      <c r="M86" t="s">
        <v>172</v>
      </c>
      <c r="N86" t="n">
        <v>2193</v>
      </c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 t="n">
        <v>105761.55911133</v>
      </c>
      <c r="AH86" s="9" t="n">
        <v>39454.8196417582</v>
      </c>
      <c r="AI86" s="9"/>
      <c r="AJ86" s="9"/>
      <c r="AK86" s="9"/>
      <c r="AL86" s="9"/>
      <c r="AM86" s="9"/>
    </row>
    <row r="87">
      <c r="M87" t="s">
        <v>173</v>
      </c>
      <c r="N87" t="n">
        <v>1979</v>
      </c>
      <c r="O87" s="9"/>
      <c r="P87" s="9"/>
      <c r="Q87" s="9"/>
      <c r="R87" s="9"/>
      <c r="S87" s="9" t="n">
        <v>423083.745458075</v>
      </c>
      <c r="T87" s="9"/>
      <c r="U87" s="9"/>
      <c r="V87" s="9" t="n">
        <v>849853.315364308</v>
      </c>
      <c r="W87" s="9" t="n">
        <v>27349.4845869858</v>
      </c>
      <c r="X87" s="9"/>
      <c r="Y87" s="9"/>
      <c r="Z87" s="9"/>
      <c r="AA87" s="9" t="n">
        <v>62214.4571881295</v>
      </c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</row>
    <row r="88">
      <c r="M88" t="s">
        <v>174</v>
      </c>
      <c r="N88" t="n">
        <v>2201</v>
      </c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 t="n">
        <v>18407.7289946008</v>
      </c>
      <c r="AG88" s="9"/>
      <c r="AH88" s="9" t="n">
        <v>0</v>
      </c>
      <c r="AI88" s="9"/>
      <c r="AJ88" s="9" t="n">
        <v>1978182.05060995</v>
      </c>
      <c r="AK88" s="9" t="n">
        <v>623117</v>
      </c>
      <c r="AL88" s="9"/>
      <c r="AM88" s="9"/>
    </row>
    <row r="89">
      <c r="M89" t="s">
        <v>175</v>
      </c>
      <c r="N89" t="n">
        <v>1328</v>
      </c>
      <c r="O89" s="9"/>
      <c r="P89" s="9"/>
      <c r="Q89" s="9"/>
      <c r="R89" s="9"/>
      <c r="S89" s="9"/>
      <c r="T89" s="9"/>
      <c r="U89" s="9"/>
      <c r="V89" s="9"/>
      <c r="W89" s="9" t="n">
        <v>13675.4088013787</v>
      </c>
      <c r="X89" s="9" t="n">
        <v>18290.2137492908</v>
      </c>
      <c r="Y89" s="9" t="n">
        <v>18889.6042583294</v>
      </c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</row>
    <row r="90">
      <c r="M90" t="s">
        <v>176</v>
      </c>
      <c r="N90" t="n">
        <v>597</v>
      </c>
      <c r="O90" s="9"/>
      <c r="P90" s="9" t="n">
        <v>286532.947673405</v>
      </c>
      <c r="Q90" s="9" t="n">
        <v>7027109.86222496</v>
      </c>
      <c r="R90" s="9" t="n">
        <v>59550.0783198046</v>
      </c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</row>
    <row r="91">
      <c r="M91" t="s">
        <v>177</v>
      </c>
      <c r="N91" t="n">
        <v>154</v>
      </c>
      <c r="O91" s="9"/>
      <c r="P91" s="9"/>
      <c r="Q91" s="9"/>
      <c r="R91" s="9" t="n">
        <v>16404.1196835307</v>
      </c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</row>
    <row r="92">
      <c r="M92" t="s">
        <v>178</v>
      </c>
      <c r="N92" t="n">
        <v>1870</v>
      </c>
      <c r="O92" s="9"/>
      <c r="P92" s="9"/>
      <c r="Q92" s="9"/>
      <c r="R92" s="9"/>
      <c r="S92" s="9"/>
      <c r="T92" s="9"/>
      <c r="U92" s="9"/>
      <c r="V92" s="9"/>
      <c r="W92" s="9" t="n">
        <v>3947.05969986182</v>
      </c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</row>
    <row r="93">
      <c r="M93" t="s">
        <v>179</v>
      </c>
      <c r="N93" t="n">
        <v>1956</v>
      </c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 t="n">
        <v>3995.90508982143</v>
      </c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</row>
    <row r="94">
      <c r="M94" t="s">
        <v>180</v>
      </c>
      <c r="N94" t="n">
        <v>583</v>
      </c>
      <c r="O94" s="9"/>
      <c r="P94" s="9"/>
      <c r="Q94" s="9" t="n">
        <v>20579.9033172231</v>
      </c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</row>
    <row r="95">
      <c r="M95" t="s">
        <v>181</v>
      </c>
      <c r="N95" t="n">
        <v>1276</v>
      </c>
      <c r="O95" s="9" t="n">
        <v>3061118.52758133</v>
      </c>
      <c r="P95" s="9"/>
      <c r="Q95" s="9" t="n">
        <v>2627478.4350621</v>
      </c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</row>
    <row r="96">
      <c r="M96" t="s">
        <v>182</v>
      </c>
      <c r="N96" t="n">
        <v>2020</v>
      </c>
      <c r="O96" s="9"/>
      <c r="P96" s="9"/>
      <c r="Q96" s="9"/>
      <c r="R96" s="9"/>
      <c r="S96" s="9"/>
      <c r="T96" s="9"/>
      <c r="U96" s="9"/>
      <c r="V96" s="9"/>
      <c r="W96" s="9"/>
      <c r="X96" s="9" t="n">
        <v>29478155.5927186</v>
      </c>
      <c r="Y96" s="9" t="n">
        <v>89317460.4497284</v>
      </c>
      <c r="Z96" s="9" t="n">
        <v>119049109.569937</v>
      </c>
      <c r="AA96" s="9" t="n">
        <v>77318829.7599378</v>
      </c>
      <c r="AB96" s="9" t="n">
        <v>94382493.8235589</v>
      </c>
      <c r="AC96" s="9" t="n">
        <v>47869496.0112764</v>
      </c>
      <c r="AD96" s="9" t="n">
        <v>124179205.007088</v>
      </c>
      <c r="AE96" s="9" t="n">
        <v>88876379.9359683</v>
      </c>
      <c r="AF96" s="9" t="n">
        <v>110726413.057141</v>
      </c>
      <c r="AG96" s="9" t="n">
        <v>81838830.7718551</v>
      </c>
      <c r="AH96" s="9" t="n">
        <v>83492207.4177754</v>
      </c>
      <c r="AI96" s="9" t="n">
        <v>135520062.332388</v>
      </c>
      <c r="AJ96" s="9" t="n">
        <v>87272343.1758647</v>
      </c>
      <c r="AK96" s="9" t="n">
        <v>51205166.0076</v>
      </c>
      <c r="AL96" s="9" t="n">
        <v>70084992.8063906</v>
      </c>
      <c r="AM96" s="9"/>
    </row>
    <row r="97">
      <c r="M97" t="s">
        <v>183</v>
      </c>
      <c r="N97" t="n">
        <v>575</v>
      </c>
      <c r="O97" s="9"/>
      <c r="P97" s="9" t="n">
        <v>77296.3798502358</v>
      </c>
      <c r="Q97" s="9"/>
      <c r="R97" s="9" t="n">
        <v>15168.2867932991</v>
      </c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</row>
    <row r="98">
      <c r="M98" t="s">
        <v>184</v>
      </c>
      <c r="N98" t="n">
        <v>581</v>
      </c>
      <c r="O98" s="9"/>
      <c r="P98" s="9"/>
      <c r="Q98" s="9"/>
      <c r="R98" s="9" t="n">
        <v>886912.007320666</v>
      </c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</row>
    <row r="99">
      <c r="M99" t="s">
        <v>185</v>
      </c>
      <c r="N99" t="n">
        <v>1961</v>
      </c>
      <c r="O99" s="9"/>
      <c r="P99" s="9"/>
      <c r="Q99" s="9"/>
      <c r="R99" s="9"/>
      <c r="S99" s="9" t="n">
        <v>83996.470211553</v>
      </c>
      <c r="T99" s="9" t="n">
        <v>211062.896075601</v>
      </c>
      <c r="U99" s="9" t="n">
        <v>165774.230663228</v>
      </c>
      <c r="V99" s="9" t="n">
        <v>22290.1815413629</v>
      </c>
      <c r="W99" s="9" t="n">
        <v>3896755.25605553</v>
      </c>
      <c r="X99" s="9" t="n">
        <v>110920578.515189</v>
      </c>
      <c r="Y99" s="9" t="n">
        <v>163674152.612667</v>
      </c>
      <c r="Z99" s="9" t="n">
        <v>65594982.8713464</v>
      </c>
      <c r="AA99" s="9" t="n">
        <v>4212064.8432812</v>
      </c>
      <c r="AB99" s="9" t="n">
        <v>464628.003627284</v>
      </c>
      <c r="AC99" s="9" t="n">
        <v>5229.41916485965</v>
      </c>
      <c r="AD99" s="9" t="n">
        <v>39898.1837417991</v>
      </c>
      <c r="AE99" s="9"/>
      <c r="AF99" s="9"/>
      <c r="AG99" s="9"/>
      <c r="AH99" s="9" t="n">
        <v>-17628.4080429242</v>
      </c>
      <c r="AI99" s="9"/>
      <c r="AJ99" s="9"/>
      <c r="AK99" s="9"/>
      <c r="AL99" s="9" t="n">
        <v>10794.4986080739</v>
      </c>
      <c r="AM99" s="9"/>
    </row>
    <row r="100">
      <c r="M100" t="s">
        <v>79</v>
      </c>
      <c r="N100" t="n">
        <v>2202</v>
      </c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 t="n">
        <v>466950545.143582</v>
      </c>
      <c r="AH100" s="9" t="n">
        <v>872667816.516652</v>
      </c>
      <c r="AI100" s="9" t="n">
        <v>992288720.184196</v>
      </c>
      <c r="AJ100" s="9" t="n">
        <v>720037772.569</v>
      </c>
      <c r="AK100" s="9" t="n">
        <v>1124769179.5592</v>
      </c>
      <c r="AL100" s="9" t="n">
        <v>590871348.174428</v>
      </c>
      <c r="AM100" s="9"/>
    </row>
    <row r="101">
      <c r="M101" t="s">
        <v>186</v>
      </c>
      <c r="N101" t="n">
        <v>1952</v>
      </c>
      <c r="O101" s="9"/>
      <c r="P101" s="9"/>
      <c r="Q101" s="9"/>
      <c r="R101" s="9"/>
      <c r="S101" s="9"/>
      <c r="T101" s="9"/>
      <c r="U101" s="9"/>
      <c r="V101" s="9"/>
      <c r="W101" s="9" t="n">
        <v>25567.242500287</v>
      </c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</row>
    <row r="102">
      <c r="M102" t="s">
        <v>187</v>
      </c>
      <c r="N102" t="n">
        <v>603</v>
      </c>
      <c r="O102" s="9"/>
      <c r="P102" s="9"/>
      <c r="Q102" s="9"/>
      <c r="R102" s="9" t="n">
        <v>64944.4660280906</v>
      </c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</row>
    <row r="103">
      <c r="M103" t="s">
        <v>188</v>
      </c>
      <c r="N103" t="n">
        <v>1565</v>
      </c>
      <c r="O103" s="9"/>
      <c r="P103" s="9" t="n">
        <v>2971293.34864588</v>
      </c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</row>
    <row r="104">
      <c r="M104" t="s">
        <v>189</v>
      </c>
      <c r="N104" t="n">
        <v>296</v>
      </c>
      <c r="O104" s="9" t="n">
        <v>6580388.62088505</v>
      </c>
      <c r="P104" s="9"/>
      <c r="Q104" s="9" t="n">
        <v>540710.093350997</v>
      </c>
      <c r="R104" s="9" t="n">
        <v>39007.2137165833</v>
      </c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</row>
    <row r="105">
      <c r="M105" t="s">
        <v>190</v>
      </c>
      <c r="N105" t="n">
        <v>1151</v>
      </c>
      <c r="O105" s="9"/>
      <c r="P105" s="9" t="n">
        <v>43311.2123503689</v>
      </c>
      <c r="Q105" s="9" t="n">
        <v>49229.0171412596</v>
      </c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</row>
    <row r="106">
      <c r="M106" t="s">
        <v>191</v>
      </c>
      <c r="N106" t="n">
        <v>1790</v>
      </c>
      <c r="O106" s="9"/>
      <c r="P106" s="9"/>
      <c r="Q106" s="9"/>
      <c r="R106" s="9" t="n">
        <v>827521.932026107</v>
      </c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</row>
    <row r="107">
      <c r="M107" t="s">
        <v>192</v>
      </c>
      <c r="N107" t="n">
        <v>2015</v>
      </c>
      <c r="O107" s="9"/>
      <c r="P107" s="9"/>
      <c r="Q107" s="9"/>
      <c r="R107" s="9"/>
      <c r="S107" s="9"/>
      <c r="T107" s="9"/>
      <c r="U107" s="9"/>
      <c r="V107" s="9" t="n">
        <v>6804.08471958576</v>
      </c>
      <c r="W107" s="9"/>
      <c r="X107" s="9" t="n">
        <v>9302231.23877328</v>
      </c>
      <c r="Y107" s="9" t="n">
        <v>2433289.15369842</v>
      </c>
      <c r="Z107" s="9" t="n">
        <v>0</v>
      </c>
      <c r="AA107" s="9"/>
      <c r="AB107" s="9"/>
      <c r="AC107" s="9" t="n">
        <v>100817.398527626</v>
      </c>
      <c r="AD107" s="9" t="n">
        <v>-7701.91670665705</v>
      </c>
      <c r="AE107" s="9"/>
      <c r="AF107" s="9" t="n">
        <v>134848.751267951</v>
      </c>
      <c r="AG107" s="9" t="n">
        <v>0</v>
      </c>
      <c r="AH107" s="9" t="n">
        <v>142564.373270699</v>
      </c>
      <c r="AI107" s="9" t="n">
        <v>78266.6444827683</v>
      </c>
      <c r="AJ107" s="9" t="n">
        <v>0</v>
      </c>
      <c r="AK107" s="9"/>
      <c r="AL107" s="9"/>
      <c r="AM107" s="9"/>
    </row>
    <row r="108">
      <c r="M108"/>
      <c r="N108"/>
      <c r="O108" s="9" t="n">
        <v>31208672614.9201</v>
      </c>
      <c r="P108" s="9" t="n">
        <v>33981189557.2428</v>
      </c>
      <c r="Q108" s="9" t="n">
        <v>38057064307.8208</v>
      </c>
      <c r="R108" s="9" t="n">
        <v>49599556894.6117</v>
      </c>
      <c r="S108" s="9" t="n">
        <v>49404934843.4451</v>
      </c>
      <c r="T108" s="9" t="n">
        <v>52065344605.5062</v>
      </c>
      <c r="U108" s="9" t="n">
        <v>55889808496.2689</v>
      </c>
      <c r="V108" s="9" t="n">
        <v>59686210926.2228</v>
      </c>
      <c r="W108" s="9" t="n">
        <v>73945378643.1134</v>
      </c>
      <c r="X108" s="9" t="n">
        <v>84743800590.5939</v>
      </c>
      <c r="Y108" s="9" t="n">
        <v>77110881808.3197</v>
      </c>
      <c r="Z108" s="9" t="n">
        <v>67059562407.6769</v>
      </c>
      <c r="AA108" s="9" t="n">
        <v>59138868993.2431</v>
      </c>
      <c r="AB108" s="9" t="n">
        <v>45995101945.3875</v>
      </c>
      <c r="AC108" s="9" t="n">
        <v>48783910608.952</v>
      </c>
      <c r="AD108" s="9" t="n">
        <v>43316696943.6832</v>
      </c>
      <c r="AE108" s="9" t="n">
        <v>43585159061.2597</v>
      </c>
      <c r="AF108" s="9" t="n">
        <v>42769976055.224</v>
      </c>
      <c r="AG108" s="9" t="n">
        <v>51242410223.6477</v>
      </c>
      <c r="AH108" s="9" t="n">
        <v>55538647043.9666</v>
      </c>
      <c r="AI108" s="9" t="n">
        <v>63665167948.0736</v>
      </c>
      <c r="AJ108" s="9" t="n">
        <v>52189780435.9828</v>
      </c>
      <c r="AK108" s="9" t="n">
        <v>54414468275.4439</v>
      </c>
      <c r="AL108" s="9" t="n">
        <v>26836500378.5381</v>
      </c>
      <c r="AM108" s="9"/>
    </row>
  </sheetData>
  <pageMargins left="0.7" right="0.7" top="0.75" bottom="0.75" header="0.3" footer="0.3"/>
  <pageSetup paperSize="9" orientation="portrait" horizontalDpi="300" verticalDpi="300"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O1</f>
      </c>
      <c r="B1" t="str">
        <f>P1</f>
      </c>
      <c r="C1" t="str">
        <f>AF1</f>
      </c>
      <c r="D1" t="str">
        <f>AL1</f>
      </c>
      <c r="E1" t="str">
        <f>AM1</f>
      </c>
      <c r="F1" t="str">
        <f>AN1</f>
      </c>
      <c r="G1" t="str">
        <f>AL1&amp;"-"&amp;AM1</f>
      </c>
      <c r="H1" t="str">
        <f>AF1&amp;"-"&amp;AM1</f>
      </c>
      <c r="I1" t="str">
        <f>AN1&amp;"/"&amp;AM1</f>
      </c>
      <c r="J1" t="str">
        <f>"Share "&amp;AM1</f>
      </c>
      <c r="K1" t="str">
        <f>"Share "&amp;AN1</f>
      </c>
      <c r="O1" t="s">
        <v>93</v>
      </c>
      <c r="P1" t="s">
        <v>94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>O2</f>
      </c>
      <c r="B2" t="str">
        <f>P2</f>
      </c>
      <c r="C2" s="10" t="str">
        <f>AF2</f>
      </c>
      <c r="D2" s="10" t="str">
        <f>AL2</f>
      </c>
      <c r="E2" s="10" t="str">
        <f>AM2</f>
      </c>
      <c r="F2" s="10" t="str">
        <f>AN2</f>
      </c>
      <c r="G2" s="6" t="str">
        <f>AM2/AL2-1</f>
      </c>
      <c r="H2" s="6" t="str">
        <f>AM2/AF2-1</f>
      </c>
      <c r="I2" s="6" t="str">
        <f>AN2/AM2</f>
      </c>
      <c r="J2" s="6" t="str">
        <f>AM2/Sum(AM$1:AM$108)</f>
      </c>
      <c r="K2" s="6" t="str">
        <f>AN2/Sum(AN1:AN$108)</f>
      </c>
      <c r="O2" t="s">
        <v>95</v>
      </c>
      <c r="P2" t="n">
        <v>2042</v>
      </c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  <c r="AE2" s="10"/>
      <c r="AF2" s="10"/>
      <c r="AG2" s="10"/>
      <c r="AH2" s="10" t="n">
        <v>19421.8537451854</v>
      </c>
      <c r="AI2" s="10" t="n">
        <v>247754.828139128</v>
      </c>
      <c r="AJ2" s="10" t="n">
        <v>20054.2741052478</v>
      </c>
      <c r="AK2" s="10" t="n">
        <v>22479.289726152</v>
      </c>
      <c r="AL2" s="10" t="n">
        <v>0</v>
      </c>
      <c r="AM2" s="10" t="n">
        <v>-913.05</v>
      </c>
      <c r="AN2" s="10" t="n">
        <v>-20980.1314364498</v>
      </c>
      <c r="AO2" s="10"/>
    </row>
    <row r="3">
      <c r="A3" t="str">
        <f>O3</f>
      </c>
      <c r="B3" t="str">
        <f>P3</f>
      </c>
      <c r="C3" s="10" t="str">
        <f>AF3</f>
      </c>
      <c r="D3" s="10" t="str">
        <f>AL3</f>
      </c>
      <c r="E3" s="10" t="str">
        <f>AM3</f>
      </c>
      <c r="F3" s="10" t="str">
        <f>AN3</f>
      </c>
      <c r="G3" s="6" t="str">
        <f>AM3/AL3-1</f>
      </c>
      <c r="H3" s="6" t="str">
        <f>AM3/AF3-1</f>
      </c>
      <c r="I3" s="6" t="str">
        <f>AN3/AM3</f>
      </c>
      <c r="J3" s="6" t="str">
        <f>AM3/Sum(AM$1:AM$108)</f>
      </c>
      <c r="K3" s="6" t="str">
        <f>AN3/Sum(AN1:AN$108)</f>
      </c>
      <c r="O3" t="s">
        <v>96</v>
      </c>
      <c r="P3" t="n">
        <v>2044</v>
      </c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 t="n">
        <v>198024.364457797</v>
      </c>
      <c r="AM3" s="10"/>
      <c r="AN3" s="10"/>
      <c r="AO3" s="10"/>
    </row>
    <row r="4">
      <c r="A4" t="str">
        <f>O4</f>
      </c>
      <c r="B4" t="str">
        <f>P4</f>
      </c>
      <c r="C4" s="10" t="str">
        <f>AF4</f>
      </c>
      <c r="D4" s="10" t="str">
        <f>AL4</f>
      </c>
      <c r="E4" s="10" t="str">
        <f>AM4</f>
      </c>
      <c r="F4" s="10" t="str">
        <f>AN4</f>
      </c>
      <c r="G4" s="6" t="str">
        <f>AM4/AL4-1</f>
      </c>
      <c r="H4" s="6" t="str">
        <f>AM4/AF4-1</f>
      </c>
      <c r="I4" s="6" t="str">
        <f>AN4/AM4</f>
      </c>
      <c r="J4" s="6" t="str">
        <f>AM4/Sum(AM$1:AM$108)</f>
      </c>
      <c r="K4" s="6" t="str">
        <f>AN4/Sum(AN1:AN$108)</f>
      </c>
      <c r="O4" t="s">
        <v>97</v>
      </c>
      <c r="P4" t="n">
        <v>1852</v>
      </c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 t="n">
        <v>0</v>
      </c>
      <c r="AF4" s="10"/>
      <c r="AG4" s="10"/>
      <c r="AH4" s="10"/>
      <c r="AI4" s="10"/>
      <c r="AJ4" s="10"/>
      <c r="AK4" s="10"/>
      <c r="AL4" s="10"/>
      <c r="AM4" s="10"/>
      <c r="AN4" s="10"/>
      <c r="AO4" s="10"/>
    </row>
    <row r="5">
      <c r="A5" t="str">
        <f>O5</f>
      </c>
      <c r="B5" t="str">
        <f>P5</f>
      </c>
      <c r="C5" s="10" t="str">
        <f>AF5</f>
      </c>
      <c r="D5" s="10" t="str">
        <f>AL5</f>
      </c>
      <c r="E5" s="10" t="str">
        <f>AM5</f>
      </c>
      <c r="F5" s="10" t="str">
        <f>AN5</f>
      </c>
      <c r="G5" s="6" t="str">
        <f>AM5/AL5-1</f>
      </c>
      <c r="H5" s="6" t="str">
        <f>AM5/AF5-1</f>
      </c>
      <c r="I5" s="6" t="str">
        <f>AN5/AM5</f>
      </c>
      <c r="J5" s="6" t="str">
        <f>AM5/Sum(AM$1:AM$108)</f>
      </c>
      <c r="K5" s="6" t="str">
        <f>AN5/Sum(AN1:AN$108)</f>
      </c>
      <c r="O5" t="s">
        <v>98</v>
      </c>
      <c r="P5" t="n">
        <v>1874</v>
      </c>
      <c r="Q5" s="10"/>
      <c r="R5" s="10"/>
      <c r="S5" s="10"/>
      <c r="T5" s="10"/>
      <c r="U5" s="10"/>
      <c r="V5" s="10"/>
      <c r="W5" s="10"/>
      <c r="X5" s="10"/>
      <c r="Y5" s="10" t="n">
        <v>46292.945724126</v>
      </c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</row>
    <row r="6">
      <c r="A6" t="str">
        <f>O6</f>
      </c>
      <c r="B6" t="str">
        <f>P6</f>
      </c>
      <c r="C6" s="10" t="str">
        <f>AF6</f>
      </c>
      <c r="D6" s="10" t="str">
        <f>AL6</f>
      </c>
      <c r="E6" s="10" t="str">
        <f>AM6</f>
      </c>
      <c r="F6" s="10" t="str">
        <f>AN6</f>
      </c>
      <c r="G6" s="6" t="str">
        <f>AM6/AL6-1</f>
      </c>
      <c r="H6" s="6" t="str">
        <f>AM6/AF6-1</f>
      </c>
      <c r="I6" s="6" t="str">
        <f>AN6/AM6</f>
      </c>
      <c r="J6" s="6" t="str">
        <f>AM6/Sum(AM$1:AM$108)</f>
      </c>
      <c r="K6" s="6" t="str">
        <f>AN6/Sum(AN1:AN$108)</f>
      </c>
      <c r="O6" t="s">
        <v>99</v>
      </c>
      <c r="P6" t="n">
        <v>1875</v>
      </c>
      <c r="Q6" s="10"/>
      <c r="R6" s="10"/>
      <c r="S6" s="10"/>
      <c r="T6" s="10"/>
      <c r="U6" s="10"/>
      <c r="V6" s="10"/>
      <c r="W6" s="10"/>
      <c r="X6" s="10"/>
      <c r="Y6" s="10" t="n">
        <v>-1339.68085051034</v>
      </c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</row>
    <row r="7">
      <c r="A7" t="str">
        <f>O7</f>
      </c>
      <c r="B7" t="str">
        <f>P7</f>
      </c>
      <c r="C7" s="10" t="str">
        <f>AF7</f>
      </c>
      <c r="D7" s="10" t="str">
        <f>AL7</f>
      </c>
      <c r="E7" s="10" t="str">
        <f>AM7</f>
      </c>
      <c r="F7" s="10" t="str">
        <f>AN7</f>
      </c>
      <c r="G7" s="6" t="str">
        <f>AM7/AL7-1</f>
      </c>
      <c r="H7" s="6" t="str">
        <f>AM7/AF7-1</f>
      </c>
      <c r="I7" s="6" t="str">
        <f>AN7/AM7</f>
      </c>
      <c r="J7" s="6" t="str">
        <f>AM7/Sum(AM$1:AM$108)</f>
      </c>
      <c r="K7" s="6" t="str">
        <f>AN7/Sum(AN1:AN$108)</f>
      </c>
      <c r="O7" t="s">
        <v>100</v>
      </c>
      <c r="P7" t="n">
        <v>2190</v>
      </c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 t="n">
        <v>281953.3985</v>
      </c>
      <c r="AN7" s="10" t="n">
        <v>3549.32221947368</v>
      </c>
      <c r="AO7" s="10"/>
    </row>
    <row r="8">
      <c r="A8" t="str">
        <f>O8</f>
      </c>
      <c r="B8" t="str">
        <f>P8</f>
      </c>
      <c r="C8" s="10" t="str">
        <f>AF8</f>
      </c>
      <c r="D8" s="10" t="str">
        <f>AL8</f>
      </c>
      <c r="E8" s="10" t="str">
        <f>AM8</f>
      </c>
      <c r="F8" s="10" t="str">
        <f>AN8</f>
      </c>
      <c r="G8" s="6" t="str">
        <f>AM8/AL8-1</f>
      </c>
      <c r="H8" s="6" t="str">
        <f>AM8/AF8-1</f>
      </c>
      <c r="I8" s="6" t="str">
        <f>AN8/AM8</f>
      </c>
      <c r="J8" s="6" t="str">
        <f>AM8/Sum(AM$1:AM$108)</f>
      </c>
      <c r="K8" s="6" t="str">
        <f>AN8/Sum(AN1:AN$108)</f>
      </c>
      <c r="O8" t="s">
        <v>101</v>
      </c>
      <c r="P8" t="n">
        <v>1728</v>
      </c>
      <c r="Q8" s="10"/>
      <c r="R8" s="10"/>
      <c r="S8" s="10"/>
      <c r="T8" s="10" t="n">
        <v>4567600.26633768</v>
      </c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</row>
    <row r="9">
      <c r="A9" t="str">
        <f>O9</f>
      </c>
      <c r="B9" t="str">
        <f>P9</f>
      </c>
      <c r="C9" s="10" t="str">
        <f>AF9</f>
      </c>
      <c r="D9" s="10" t="str">
        <f>AL9</f>
      </c>
      <c r="E9" s="10" t="str">
        <f>AM9</f>
      </c>
      <c r="F9" s="10" t="str">
        <f>AN9</f>
      </c>
      <c r="G9" s="6" t="str">
        <f>AM9/AL9-1</f>
      </c>
      <c r="H9" s="6" t="str">
        <f>AM9/AF9-1</f>
      </c>
      <c r="I9" s="6" t="str">
        <f>AN9/AM9</f>
      </c>
      <c r="J9" s="6" t="str">
        <f>AM9/Sum(AM$1:AM$108)</f>
      </c>
      <c r="K9" s="6" t="str">
        <f>AN9/Sum(AN1:AN$108)</f>
      </c>
      <c r="O9" t="s">
        <v>102</v>
      </c>
      <c r="P9" t="n">
        <v>2040</v>
      </c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 t="n">
        <v>710500</v>
      </c>
      <c r="AN9" s="10" t="n">
        <v>934303.470787701</v>
      </c>
      <c r="AO9" s="10"/>
    </row>
    <row r="10">
      <c r="A10" t="str">
        <f>O10</f>
      </c>
      <c r="B10" t="str">
        <f>P10</f>
      </c>
      <c r="C10" s="10" t="str">
        <f>AF10</f>
      </c>
      <c r="D10" s="10" t="str">
        <f>AL10</f>
      </c>
      <c r="E10" s="10" t="str">
        <f>AM10</f>
      </c>
      <c r="F10" s="10" t="str">
        <f>AN10</f>
      </c>
      <c r="G10" s="6" t="str">
        <f>AM10/AL10-1</f>
      </c>
      <c r="H10" s="6" t="str">
        <f>AM10/AF10-1</f>
      </c>
      <c r="I10" s="6" t="str">
        <f>AN10/AM10</f>
      </c>
      <c r="J10" s="6" t="str">
        <f>AM10/Sum(AM$1:AM$108)</f>
      </c>
      <c r="K10" s="6" t="str">
        <f>AN10/Sum(AN1:AN$108)</f>
      </c>
      <c r="O10" t="s">
        <v>103</v>
      </c>
      <c r="P10" t="n">
        <v>586</v>
      </c>
      <c r="Q10" s="10"/>
      <c r="R10" s="10"/>
      <c r="S10" s="10" t="n">
        <v>987619.49697489</v>
      </c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</row>
    <row r="11">
      <c r="A11" t="str">
        <f>O11</f>
      </c>
      <c r="B11" t="str">
        <f>P11</f>
      </c>
      <c r="C11" s="10" t="str">
        <f>AF11</f>
      </c>
      <c r="D11" s="10" t="str">
        <f>AL11</f>
      </c>
      <c r="E11" s="10" t="str">
        <f>AM11</f>
      </c>
      <c r="F11" s="10" t="str">
        <f>AN11</f>
      </c>
      <c r="G11" s="6" t="str">
        <f>AM11/AL11-1</f>
      </c>
      <c r="H11" s="6" t="str">
        <f>AM11/AF11-1</f>
      </c>
      <c r="I11" s="6" t="str">
        <f>AN11/AM11</f>
      </c>
      <c r="J11" s="6" t="str">
        <f>AM11/Sum(AM$1:AM$108)</f>
      </c>
      <c r="K11" s="6" t="str">
        <f>AN11/Sum(AN1:AN$108)</f>
      </c>
      <c r="O11" t="s">
        <v>104</v>
      </c>
      <c r="P11" t="n">
        <v>487</v>
      </c>
      <c r="Q11" s="10" t="n">
        <v>545045.527798983</v>
      </c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</row>
    <row r="12">
      <c r="A12" t="str">
        <f>O12</f>
      </c>
      <c r="B12" t="str">
        <f>P12</f>
      </c>
      <c r="C12" s="10" t="str">
        <f>AF12</f>
      </c>
      <c r="D12" s="10" t="str">
        <f>AL12</f>
      </c>
      <c r="E12" s="10" t="str">
        <f>AM12</f>
      </c>
      <c r="F12" s="10" t="str">
        <f>AN12</f>
      </c>
      <c r="G12" s="6" t="str">
        <f>AM12/AL12-1</f>
      </c>
      <c r="H12" s="6" t="str">
        <f>AM12/AF12-1</f>
      </c>
      <c r="I12" s="6" t="str">
        <f>AN12/AM12</f>
      </c>
      <c r="J12" s="6" t="str">
        <f>AM12/Sum(AM$1:AM$108)</f>
      </c>
      <c r="K12" s="6" t="str">
        <f>AN12/Sum(AN1:AN$108)</f>
      </c>
      <c r="O12" t="s">
        <v>105</v>
      </c>
      <c r="P12" t="n">
        <v>1069</v>
      </c>
      <c r="Q12" s="10"/>
      <c r="R12" s="10" t="n">
        <v>405763.402330964</v>
      </c>
      <c r="S12" s="10" t="n">
        <v>208872.352570419</v>
      </c>
      <c r="T12" s="10" t="n">
        <v>1010048.81171148</v>
      </c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</row>
    <row r="13">
      <c r="A13" t="str">
        <f>O13</f>
      </c>
      <c r="B13" t="str">
        <f>P13</f>
      </c>
      <c r="C13" s="10" t="str">
        <f>AF13</f>
      </c>
      <c r="D13" s="10" t="str">
        <f>AL13</f>
      </c>
      <c r="E13" s="10" t="str">
        <f>AM13</f>
      </c>
      <c r="F13" s="10" t="str">
        <f>AN13</f>
      </c>
      <c r="G13" s="6" t="str">
        <f>AM13/AL13-1</f>
      </c>
      <c r="H13" s="6" t="str">
        <f>AM13/AF13-1</f>
      </c>
      <c r="I13" s="6" t="str">
        <f>AN13/AM13</f>
      </c>
      <c r="J13" s="6" t="str">
        <f>AM13/Sum(AM$1:AM$108)</f>
      </c>
      <c r="K13" s="6" t="str">
        <f>AN13/Sum(AN1:AN$108)</f>
      </c>
      <c r="O13" t="s">
        <v>106</v>
      </c>
      <c r="P13" t="n">
        <v>428</v>
      </c>
      <c r="Q13" s="10"/>
      <c r="R13" s="10" t="n">
        <v>5818975.58861698</v>
      </c>
      <c r="S13" s="10" t="n">
        <v>1064023.86335763</v>
      </c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</row>
    <row r="14">
      <c r="A14" t="str">
        <f>O14</f>
      </c>
      <c r="B14" t="str">
        <f>P14</f>
      </c>
      <c r="C14" s="10" t="str">
        <f>AF14</f>
      </c>
      <c r="D14" s="10" t="str">
        <f>AL14</f>
      </c>
      <c r="E14" s="10" t="str">
        <f>AM14</f>
      </c>
      <c r="F14" s="10" t="str">
        <f>AN14</f>
      </c>
      <c r="G14" s="6" t="str">
        <f>AM14/AL14-1</f>
      </c>
      <c r="H14" s="6" t="str">
        <f>AM14/AF14-1</f>
      </c>
      <c r="I14" s="6" t="str">
        <f>AN14/AM14</f>
      </c>
      <c r="J14" s="6" t="str">
        <f>AM14/Sum(AM$1:AM$108)</f>
      </c>
      <c r="K14" s="6" t="str">
        <f>AN14/Sum(AN1:AN$108)</f>
      </c>
      <c r="O14" t="s">
        <v>107</v>
      </c>
      <c r="P14" t="n">
        <v>1851</v>
      </c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 t="n">
        <v>5488.25101161946</v>
      </c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</row>
    <row r="15">
      <c r="A15" t="str">
        <f>O15</f>
      </c>
      <c r="B15" t="str">
        <f>P15</f>
      </c>
      <c r="C15" s="10" t="str">
        <f>AF15</f>
      </c>
      <c r="D15" s="10" t="str">
        <f>AL15</f>
      </c>
      <c r="E15" s="10" t="str">
        <f>AM15</f>
      </c>
      <c r="F15" s="10" t="str">
        <f>AN15</f>
      </c>
      <c r="G15" s="6" t="str">
        <f>AM15/AL15-1</f>
      </c>
      <c r="H15" s="6" t="str">
        <f>AM15/AF15-1</f>
      </c>
      <c r="I15" s="6" t="str">
        <f>AN15/AM15</f>
      </c>
      <c r="J15" s="6" t="str">
        <f>AM15/Sum(AM$1:AM$108)</f>
      </c>
      <c r="K15" s="6" t="str">
        <f>AN15/Sum(AN1:AN$108)</f>
      </c>
      <c r="O15" t="s">
        <v>108</v>
      </c>
      <c r="P15" t="n">
        <v>2058</v>
      </c>
      <c r="Q15" s="10"/>
      <c r="R15" s="10"/>
      <c r="S15" s="10"/>
      <c r="T15" s="10"/>
      <c r="U15" s="10"/>
      <c r="V15" s="10"/>
      <c r="W15" s="10"/>
      <c r="X15" s="10" t="n">
        <v>-1020.61270793786</v>
      </c>
      <c r="Y15" s="10" t="n">
        <v>262017.580075934</v>
      </c>
      <c r="Z15" s="10"/>
      <c r="AA15" s="10" t="n">
        <v>386474.414047978</v>
      </c>
      <c r="AB15" s="10" t="n">
        <v>1613333.85618649</v>
      </c>
      <c r="AC15" s="10" t="n">
        <v>79864.8059847618</v>
      </c>
      <c r="AD15" s="10" t="n">
        <v>35673.2000823439</v>
      </c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</row>
    <row r="16">
      <c r="A16" t="str">
        <f>O16</f>
      </c>
      <c r="B16" t="str">
        <f>P16</f>
      </c>
      <c r="C16" s="10" t="str">
        <f>AF16</f>
      </c>
      <c r="D16" s="10" t="str">
        <f>AL16</f>
      </c>
      <c r="E16" s="10" t="str">
        <f>AM16</f>
      </c>
      <c r="F16" s="10" t="str">
        <f>AN16</f>
      </c>
      <c r="G16" s="6" t="str">
        <f>AM16/AL16-1</f>
      </c>
      <c r="H16" s="6" t="str">
        <f>AM16/AF16-1</f>
      </c>
      <c r="I16" s="6" t="str">
        <f>AN16/AM16</f>
      </c>
      <c r="J16" s="6" t="str">
        <f>AM16/Sum(AM$1:AM$108)</f>
      </c>
      <c r="K16" s="6" t="str">
        <f>AN16/Sum(AN1:AN$108)</f>
      </c>
      <c r="O16" t="s">
        <v>109</v>
      </c>
      <c r="P16" t="n">
        <v>584</v>
      </c>
      <c r="Q16" s="10"/>
      <c r="R16" s="10" t="n">
        <v>632382.190757597</v>
      </c>
      <c r="S16" s="10" t="n">
        <v>3871109.00972746</v>
      </c>
      <c r="T16" s="10" t="n">
        <v>14651312.447215</v>
      </c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</row>
    <row r="17">
      <c r="A17" t="str">
        <f>O17</f>
      </c>
      <c r="B17" t="str">
        <f>P17</f>
      </c>
      <c r="C17" s="10" t="str">
        <f>AF17</f>
      </c>
      <c r="D17" s="10" t="str">
        <f>AL17</f>
      </c>
      <c r="E17" s="10" t="str">
        <f>AM17</f>
      </c>
      <c r="F17" s="10" t="str">
        <f>AN17</f>
      </c>
      <c r="G17" s="6" t="str">
        <f>AM17/AL17-1</f>
      </c>
      <c r="H17" s="6" t="str">
        <f>AM17/AF17-1</f>
      </c>
      <c r="I17" s="6" t="str">
        <f>AN17/AM17</f>
      </c>
      <c r="J17" s="6" t="str">
        <f>AM17/Sum(AM$1:AM$108)</f>
      </c>
      <c r="K17" s="6" t="str">
        <f>AN17/Sum(AN1:AN$108)</f>
      </c>
      <c r="O17" t="s">
        <v>110</v>
      </c>
      <c r="P17" t="n">
        <v>425</v>
      </c>
      <c r="Q17" s="10"/>
      <c r="R17" s="10"/>
      <c r="S17" s="10"/>
      <c r="T17" s="10" t="n">
        <v>1645.74540252793</v>
      </c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</row>
    <row r="18">
      <c r="A18" t="str">
        <f>O18</f>
      </c>
      <c r="B18" t="str">
        <f>P18</f>
      </c>
      <c r="C18" s="10" t="str">
        <f>AF18</f>
      </c>
      <c r="D18" s="10" t="str">
        <f>AL18</f>
      </c>
      <c r="E18" s="10" t="str">
        <f>AM18</f>
      </c>
      <c r="F18" s="10" t="str">
        <f>AN18</f>
      </c>
      <c r="G18" s="6" t="str">
        <f>AM18/AL18-1</f>
      </c>
      <c r="H18" s="6" t="str">
        <f>AM18/AF18-1</f>
      </c>
      <c r="I18" s="6" t="str">
        <f>AN18/AM18</f>
      </c>
      <c r="J18" s="6" t="str">
        <f>AM18/Sum(AM$1:AM$108)</f>
      </c>
      <c r="K18" s="6" t="str">
        <f>AN18/Sum(AN1:AN$108)</f>
      </c>
      <c r="O18" t="s">
        <v>111</v>
      </c>
      <c r="P18" t="n">
        <v>2253</v>
      </c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 t="n">
        <v>75866.7911442461</v>
      </c>
      <c r="AL18" s="10"/>
      <c r="AM18" s="10" t="n">
        <v>0</v>
      </c>
      <c r="AN18" s="10"/>
      <c r="AO18" s="10"/>
    </row>
    <row r="19">
      <c r="A19" t="str">
        <f>O19</f>
      </c>
      <c r="B19" t="str">
        <f>P19</f>
      </c>
      <c r="C19" s="10" t="str">
        <f>AF19</f>
      </c>
      <c r="D19" s="10" t="str">
        <f>AL19</f>
      </c>
      <c r="E19" s="10" t="str">
        <f>AM19</f>
      </c>
      <c r="F19" s="10" t="str">
        <f>AN19</f>
      </c>
      <c r="G19" s="6" t="str">
        <f>AM19/AL19-1</f>
      </c>
      <c r="H19" s="6" t="str">
        <f>AM19/AF19-1</f>
      </c>
      <c r="I19" s="6" t="str">
        <f>AN19/AM19</f>
      </c>
      <c r="J19" s="6" t="str">
        <f>AM19/Sum(AM$1:AM$108)</f>
      </c>
      <c r="K19" s="6" t="str">
        <f>AN19/Sum(AN1:AN$108)</f>
      </c>
      <c r="O19" t="s">
        <v>112</v>
      </c>
      <c r="P19" t="n">
        <v>1253</v>
      </c>
      <c r="Q19" s="10" t="n">
        <v>492039.887786255</v>
      </c>
      <c r="R19" s="10" t="n">
        <v>476704.126784942</v>
      </c>
      <c r="S19" s="10" t="n">
        <v>2260708.28066715</v>
      </c>
      <c r="T19" s="10" t="n">
        <v>1197391.02053757</v>
      </c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</row>
    <row r="20">
      <c r="A20" t="str">
        <f>O20</f>
      </c>
      <c r="B20" t="str">
        <f>P20</f>
      </c>
      <c r="C20" s="10" t="str">
        <f>AF20</f>
      </c>
      <c r="D20" s="10" t="str">
        <f>AL20</f>
      </c>
      <c r="E20" s="10" t="str">
        <f>AM20</f>
      </c>
      <c r="F20" s="10" t="str">
        <f>AN20</f>
      </c>
      <c r="G20" s="6" t="str">
        <f>AM20/AL20-1</f>
      </c>
      <c r="H20" s="6" t="str">
        <f>AM20/AF20-1</f>
      </c>
      <c r="I20" s="6" t="str">
        <f>AN20/AM20</f>
      </c>
      <c r="J20" s="6" t="str">
        <f>AM20/Sum(AM$1:AM$108)</f>
      </c>
      <c r="K20" s="6" t="str">
        <f>AN20/Sum(AN1:AN$108)</f>
      </c>
      <c r="O20" t="s">
        <v>113</v>
      </c>
      <c r="P20" t="n">
        <v>610</v>
      </c>
      <c r="Q20" s="10" t="n">
        <v>238256821.487051</v>
      </c>
      <c r="R20" s="10" t="n">
        <v>227443160.627645</v>
      </c>
      <c r="S20" s="10" t="n">
        <v>129565595.527683</v>
      </c>
      <c r="T20" s="10" t="n">
        <v>165612905.028458</v>
      </c>
      <c r="U20" s="10" t="n">
        <v>194351.074127417</v>
      </c>
      <c r="V20" s="10" t="n">
        <v>152262.261855568</v>
      </c>
      <c r="W20" s="10" t="n">
        <v>0</v>
      </c>
      <c r="X20" s="10"/>
      <c r="Y20" s="10" t="n">
        <v>-400865.971301389</v>
      </c>
      <c r="Z20" s="10" t="n">
        <v>-419759.735034623</v>
      </c>
      <c r="AA20" s="10" t="n">
        <v>59164.5601289631</v>
      </c>
      <c r="AB20" s="10" t="n">
        <v>-763251.053813209</v>
      </c>
      <c r="AC20" s="10" t="n">
        <v>-17077.5812518116</v>
      </c>
      <c r="AD20" s="10"/>
      <c r="AE20" s="10"/>
      <c r="AF20" s="10"/>
      <c r="AG20" s="10"/>
      <c r="AH20" s="10"/>
      <c r="AI20" s="10" t="n">
        <v>-15061.5494465338</v>
      </c>
      <c r="AJ20" s="10"/>
      <c r="AK20" s="10"/>
      <c r="AL20" s="10"/>
      <c r="AM20" s="10"/>
      <c r="AN20" s="10"/>
      <c r="AO20" s="10"/>
    </row>
    <row r="21">
      <c r="A21" t="str">
        <f>O21</f>
      </c>
      <c r="B21" t="str">
        <f>P21</f>
      </c>
      <c r="C21" s="10" t="str">
        <f>AF21</f>
      </c>
      <c r="D21" s="10" t="str">
        <f>AL21</f>
      </c>
      <c r="E21" s="10" t="str">
        <f>AM21</f>
      </c>
      <c r="F21" s="10" t="str">
        <f>AN21</f>
      </c>
      <c r="G21" s="6" t="str">
        <f>AM21/AL21-1</f>
      </c>
      <c r="H21" s="6" t="str">
        <f>AM21/AF21-1</f>
      </c>
      <c r="I21" s="6" t="str">
        <f>AN21/AM21</f>
      </c>
      <c r="J21" s="6" t="str">
        <f>AM21/Sum(AM$1:AM$108)</f>
      </c>
      <c r="K21" s="6" t="str">
        <f>AN21/Sum(AN1:AN$108)</f>
      </c>
      <c r="O21" t="s">
        <v>114</v>
      </c>
      <c r="P21" t="n">
        <v>1992</v>
      </c>
      <c r="Q21" s="10"/>
      <c r="R21" s="10"/>
      <c r="S21" s="10"/>
      <c r="T21" s="10"/>
      <c r="U21" s="10"/>
      <c r="V21" s="10"/>
      <c r="W21" s="10"/>
      <c r="X21" s="10"/>
      <c r="Y21" s="10" t="n">
        <v>16576.0511204937</v>
      </c>
      <c r="Z21" s="10"/>
      <c r="AA21" s="10"/>
      <c r="AB21" s="10"/>
      <c r="AC21" s="10"/>
      <c r="AD21" s="10" t="n">
        <v>-15377.9784867312</v>
      </c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</row>
    <row r="22">
      <c r="A22" t="str">
        <f>O22</f>
      </c>
      <c r="B22" t="str">
        <f>P22</f>
      </c>
      <c r="C22" s="10" t="str">
        <f>AF22</f>
      </c>
      <c r="D22" s="10" t="str">
        <f>AL22</f>
      </c>
      <c r="E22" s="10" t="str">
        <f>AM22</f>
      </c>
      <c r="F22" s="10" t="str">
        <f>AN22</f>
      </c>
      <c r="G22" s="6" t="str">
        <f>AM22/AL22-1</f>
      </c>
      <c r="H22" s="6" t="str">
        <f>AM22/AF22-1</f>
      </c>
      <c r="I22" s="6" t="str">
        <f>AN22/AM22</f>
      </c>
      <c r="J22" s="6" t="str">
        <f>AM22/Sum(AM$1:AM$108)</f>
      </c>
      <c r="K22" s="6" t="str">
        <f>AN22/Sum(AN1:AN$108)</f>
      </c>
      <c r="O22" t="s">
        <v>71</v>
      </c>
      <c r="P22" t="n">
        <v>2014</v>
      </c>
      <c r="Q22" s="10" t="n">
        <v>43688773.4245109</v>
      </c>
      <c r="R22" s="10" t="n">
        <v>80316634.9343469</v>
      </c>
      <c r="S22" s="10" t="n">
        <v>114162834.621219</v>
      </c>
      <c r="T22" s="10" t="n">
        <v>76139559.9842442</v>
      </c>
      <c r="U22" s="10" t="n">
        <v>321090527.806009</v>
      </c>
      <c r="V22" s="10" t="n">
        <v>406476796.30465</v>
      </c>
      <c r="W22" s="10" t="n">
        <v>723381011.411541</v>
      </c>
      <c r="X22" s="10" t="n">
        <v>378455133.553732</v>
      </c>
      <c r="Y22" s="10" t="n">
        <v>362082577.78446</v>
      </c>
      <c r="Z22" s="10" t="n">
        <v>382648179.854189</v>
      </c>
      <c r="AA22" s="10" t="n">
        <v>300953061.341096</v>
      </c>
      <c r="AB22" s="10" t="n">
        <v>211135951.171045</v>
      </c>
      <c r="AC22" s="10" t="n">
        <v>184535647.108734</v>
      </c>
      <c r="AD22" s="10" t="n">
        <v>227293068.291052</v>
      </c>
      <c r="AE22" s="10" t="n">
        <v>153769081.637277</v>
      </c>
      <c r="AF22" s="10" t="n">
        <v>101612394.272655</v>
      </c>
      <c r="AG22" s="10" t="n">
        <v>156915747.674033</v>
      </c>
      <c r="AH22" s="10" t="n">
        <v>59638050.6742133</v>
      </c>
      <c r="AI22" s="10" t="n">
        <v>30220396.4046647</v>
      </c>
      <c r="AJ22" s="10" t="n">
        <v>21463340.6025877</v>
      </c>
      <c r="AK22" s="10" t="n">
        <v>17824449.8957278</v>
      </c>
      <c r="AL22" s="10" t="n">
        <v>38806432.5772213</v>
      </c>
      <c r="AM22" s="10" t="n">
        <v>14399176.3782</v>
      </c>
      <c r="AN22" s="10" t="n">
        <v>12157769.5537064</v>
      </c>
      <c r="AO22" s="10"/>
    </row>
    <row r="23">
      <c r="A23" t="str">
        <f>O23</f>
      </c>
      <c r="B23" t="str">
        <f>P23</f>
      </c>
      <c r="C23" s="10" t="str">
        <f>AF23</f>
      </c>
      <c r="D23" s="10" t="str">
        <f>AL23</f>
      </c>
      <c r="E23" s="10" t="str">
        <f>AM23</f>
      </c>
      <c r="F23" s="10" t="str">
        <f>AN23</f>
      </c>
      <c r="G23" s="6" t="str">
        <f>AM23/AL23-1</f>
      </c>
      <c r="H23" s="6" t="str">
        <f>AM23/AF23-1</f>
      </c>
      <c r="I23" s="6" t="str">
        <f>AN23/AM23</f>
      </c>
      <c r="J23" s="6" t="str">
        <f>AM23/Sum(AM$1:AM$108)</f>
      </c>
      <c r="K23" s="6" t="str">
        <f>AN23/Sum(AN1:AN$108)</f>
      </c>
      <c r="O23" t="s">
        <v>115</v>
      </c>
      <c r="P23" t="n">
        <v>1972</v>
      </c>
      <c r="Q23" s="10"/>
      <c r="R23" s="10"/>
      <c r="S23" s="10"/>
      <c r="T23" s="10"/>
      <c r="U23" s="10"/>
      <c r="V23" s="10" t="n">
        <v>301868.199051856</v>
      </c>
      <c r="W23" s="10" t="n">
        <v>124897.056838898</v>
      </c>
      <c r="X23" s="10" t="n">
        <v>134247.313151315</v>
      </c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</row>
    <row r="24">
      <c r="A24" t="str">
        <f>O24</f>
      </c>
      <c r="B24" t="str">
        <f>P24</f>
      </c>
      <c r="C24" s="10" t="str">
        <f>AF24</f>
      </c>
      <c r="D24" s="10" t="str">
        <f>AL24</f>
      </c>
      <c r="E24" s="10" t="str">
        <f>AM24</f>
      </c>
      <c r="F24" s="10" t="str">
        <f>AN24</f>
      </c>
      <c r="G24" s="6" t="str">
        <f>AM24/AL24-1</f>
      </c>
      <c r="H24" s="6" t="str">
        <f>AM24/AF24-1</f>
      </c>
      <c r="I24" s="6" t="str">
        <f>AN24/AM24</f>
      </c>
      <c r="J24" s="6" t="str">
        <f>AM24/Sum(AM$1:AM$108)</f>
      </c>
      <c r="K24" s="6" t="str">
        <f>AN24/Sum(AN1:AN$108)</f>
      </c>
      <c r="O24" t="s">
        <v>116</v>
      </c>
      <c r="P24" t="n">
        <v>1962</v>
      </c>
      <c r="Q24" s="10"/>
      <c r="R24" s="10"/>
      <c r="S24" s="10"/>
      <c r="T24" s="10"/>
      <c r="U24" s="10" t="n">
        <v>155908.658356863</v>
      </c>
      <c r="V24" s="10"/>
      <c r="W24" s="10"/>
      <c r="X24" s="10"/>
      <c r="Y24" s="10"/>
      <c r="Z24" s="10"/>
      <c r="AA24" s="10"/>
      <c r="AB24" s="10" t="n">
        <v>12316.081719701</v>
      </c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</row>
    <row r="25">
      <c r="A25" t="str">
        <f>O25</f>
      </c>
      <c r="B25" t="str">
        <f>P25</f>
      </c>
      <c r="C25" s="10" t="str">
        <f>AF25</f>
      </c>
      <c r="D25" s="10" t="str">
        <f>AL25</f>
      </c>
      <c r="E25" s="10" t="str">
        <f>AM25</f>
      </c>
      <c r="F25" s="10" t="str">
        <f>AN25</f>
      </c>
      <c r="G25" s="6" t="str">
        <f>AM25/AL25-1</f>
      </c>
      <c r="H25" s="6" t="str">
        <f>AM25/AF25-1</f>
      </c>
      <c r="I25" s="6" t="str">
        <f>AN25/AM25</f>
      </c>
      <c r="J25" s="6" t="str">
        <f>AM25/Sum(AM$1:AM$108)</f>
      </c>
      <c r="K25" s="6" t="str">
        <f>AN25/Sum(AN1:AN$108)</f>
      </c>
      <c r="O25" t="s">
        <v>117</v>
      </c>
      <c r="P25" t="n">
        <v>1255</v>
      </c>
      <c r="Q25" s="10" t="n">
        <v>144987162.782395</v>
      </c>
      <c r="R25" s="10" t="n">
        <v>95568949.0586064</v>
      </c>
      <c r="S25" s="10" t="n">
        <v>60539329.4756595</v>
      </c>
      <c r="T25" s="10" t="n">
        <v>96593.0644217041</v>
      </c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</row>
    <row r="26">
      <c r="A26" t="str">
        <f>O26</f>
      </c>
      <c r="B26" t="str">
        <f>P26</f>
      </c>
      <c r="C26" s="10" t="str">
        <f>AF26</f>
      </c>
      <c r="D26" s="10" t="str">
        <f>AL26</f>
      </c>
      <c r="E26" s="10" t="str">
        <f>AM26</f>
      </c>
      <c r="F26" s="10" t="str">
        <f>AN26</f>
      </c>
      <c r="G26" s="6" t="str">
        <f>AM26/AL26-1</f>
      </c>
      <c r="H26" s="6" t="str">
        <f>AM26/AF26-1</f>
      </c>
      <c r="I26" s="6" t="str">
        <f>AN26/AM26</f>
      </c>
      <c r="J26" s="6" t="str">
        <f>AM26/Sum(AM$1:AM$108)</f>
      </c>
      <c r="K26" s="6" t="str">
        <f>AN26/Sum(AN1:AN$108)</f>
      </c>
      <c r="O26" t="s">
        <v>118</v>
      </c>
      <c r="P26" t="n">
        <v>1344</v>
      </c>
      <c r="Q26" s="10"/>
      <c r="R26" s="10"/>
      <c r="S26" s="10"/>
      <c r="T26" s="10"/>
      <c r="U26" s="10" t="n">
        <v>837810.832047593</v>
      </c>
      <c r="V26" s="10" t="n">
        <v>1327244.16524682</v>
      </c>
      <c r="W26" s="10" t="n">
        <v>14997565.3230417</v>
      </c>
      <c r="X26" s="10"/>
      <c r="Y26" s="10"/>
      <c r="Z26" s="10" t="n">
        <v>14144389.5170326</v>
      </c>
      <c r="AA26" s="10" t="n">
        <v>0</v>
      </c>
      <c r="AB26" s="10" t="n">
        <v>0</v>
      </c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</row>
    <row r="27">
      <c r="A27" t="str">
        <f>O27</f>
      </c>
      <c r="B27" t="str">
        <f>P27</f>
      </c>
      <c r="C27" s="10" t="str">
        <f>AF27</f>
      </c>
      <c r="D27" s="10" t="str">
        <f>AL27</f>
      </c>
      <c r="E27" s="10" t="str">
        <f>AM27</f>
      </c>
      <c r="F27" s="10" t="str">
        <f>AN27</f>
      </c>
      <c r="G27" s="6" t="str">
        <f>AM27/AL27-1</f>
      </c>
      <c r="H27" s="6" t="str">
        <f>AM27/AF27-1</f>
      </c>
      <c r="I27" s="6" t="str">
        <f>AN27/AM27</f>
      </c>
      <c r="J27" s="6" t="str">
        <f>AM27/Sum(AM$1:AM$108)</f>
      </c>
      <c r="K27" s="6" t="str">
        <f>AN27/Sum(AN1:AN$108)</f>
      </c>
      <c r="O27" t="s">
        <v>119</v>
      </c>
      <c r="P27" t="n">
        <v>1958</v>
      </c>
      <c r="Q27" s="10"/>
      <c r="R27" s="10"/>
      <c r="S27" s="10"/>
      <c r="T27" s="10"/>
      <c r="U27" s="10" t="n">
        <v>4892789.55551515</v>
      </c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</row>
    <row r="28">
      <c r="A28" t="str">
        <f>O28</f>
      </c>
      <c r="B28" t="str">
        <f>P28</f>
      </c>
      <c r="C28" s="10" t="str">
        <f>AF28</f>
      </c>
      <c r="D28" s="10" t="str">
        <f>AL28</f>
      </c>
      <c r="E28" s="10" t="str">
        <f>AM28</f>
      </c>
      <c r="F28" s="10" t="str">
        <f>AN28</f>
      </c>
      <c r="G28" s="6" t="str">
        <f>AM28/AL28-1</f>
      </c>
      <c r="H28" s="6" t="str">
        <f>AM28/AF28-1</f>
      </c>
      <c r="I28" s="6" t="str">
        <f>AN28/AM28</f>
      </c>
      <c r="J28" s="6" t="str">
        <f>AM28/Sum(AM$1:AM$108)</f>
      </c>
      <c r="K28" s="6" t="str">
        <f>AN28/Sum(AN1:AN$108)</f>
      </c>
      <c r="O28" t="s">
        <v>120</v>
      </c>
      <c r="P28" t="n">
        <v>605</v>
      </c>
      <c r="Q28" s="10" t="n">
        <v>5007740.39716293</v>
      </c>
      <c r="R28" s="10" t="n">
        <v>131474.832216692</v>
      </c>
      <c r="S28" s="10" t="n">
        <v>57459.7360954765</v>
      </c>
      <c r="T28" s="10" t="n">
        <v>66280.8722484767</v>
      </c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</row>
    <row r="29">
      <c r="A29" t="str">
        <f>O29</f>
      </c>
      <c r="B29" t="str">
        <f>P29</f>
      </c>
      <c r="C29" s="10" t="str">
        <f>AF29</f>
      </c>
      <c r="D29" s="10" t="str">
        <f>AL29</f>
      </c>
      <c r="E29" s="10" t="str">
        <f>AM29</f>
      </c>
      <c r="F29" s="10" t="str">
        <f>AN29</f>
      </c>
      <c r="G29" s="6" t="str">
        <f>AM29/AL29-1</f>
      </c>
      <c r="H29" s="6" t="str">
        <f>AM29/AF29-1</f>
      </c>
      <c r="I29" s="6" t="str">
        <f>AN29/AM29</f>
      </c>
      <c r="J29" s="6" t="str">
        <f>AM29/Sum(AM$1:AM$108)</f>
      </c>
      <c r="K29" s="6" t="str">
        <f>AN29/Sum(AN1:AN$108)</f>
      </c>
      <c r="O29" t="s">
        <v>72</v>
      </c>
      <c r="P29" t="n">
        <v>654</v>
      </c>
      <c r="Q29" s="10"/>
      <c r="R29" s="10"/>
      <c r="S29" s="10"/>
      <c r="T29" s="10"/>
      <c r="U29" s="10"/>
      <c r="V29" s="10"/>
      <c r="W29" s="10"/>
      <c r="X29" s="10" t="n">
        <v>13166685.0413243</v>
      </c>
      <c r="Y29" s="10" t="n">
        <v>50021736.7550297</v>
      </c>
      <c r="Z29" s="10" t="n">
        <v>261241742.933328</v>
      </c>
      <c r="AA29" s="10" t="n">
        <v>411955644.795699</v>
      </c>
      <c r="AB29" s="10" t="n">
        <v>402847091.96231</v>
      </c>
      <c r="AC29" s="10" t="n">
        <v>487941811.489651</v>
      </c>
      <c r="AD29" s="10" t="n">
        <v>779014921.089904</v>
      </c>
      <c r="AE29" s="10" t="n">
        <v>778699730.287785</v>
      </c>
      <c r="AF29" s="10" t="n">
        <v>558146194.568958</v>
      </c>
      <c r="AG29" s="10" t="n">
        <v>573629270.149975</v>
      </c>
      <c r="AH29" s="10" t="n">
        <v>518157995.809709</v>
      </c>
      <c r="AI29" s="10" t="n">
        <v>807136528.112801</v>
      </c>
      <c r="AJ29" s="10" t="n">
        <v>542572103.744817</v>
      </c>
      <c r="AK29" s="10" t="n">
        <v>762162876.498345</v>
      </c>
      <c r="AL29" s="10" t="n">
        <v>778354288.679118</v>
      </c>
      <c r="AM29" s="10" t="n">
        <v>787757338.9206</v>
      </c>
      <c r="AN29" s="10" t="n">
        <v>633935976.673598</v>
      </c>
      <c r="AO29" s="10"/>
    </row>
    <row r="30">
      <c r="A30" t="str">
        <f>O30</f>
      </c>
      <c r="B30" t="str">
        <f>P30</f>
      </c>
      <c r="C30" s="10" t="str">
        <f>AF30</f>
      </c>
      <c r="D30" s="10" t="str">
        <f>AL30</f>
      </c>
      <c r="E30" s="10" t="str">
        <f>AM30</f>
      </c>
      <c r="F30" s="10" t="str">
        <f>AN30</f>
      </c>
      <c r="G30" s="6" t="str">
        <f>AM30/AL30-1</f>
      </c>
      <c r="H30" s="6" t="str">
        <f>AM30/AF30-1</f>
      </c>
      <c r="I30" s="6" t="str">
        <f>AN30/AM30</f>
      </c>
      <c r="J30" s="6" t="str">
        <f>AM30/Sum(AM$1:AM$108)</f>
      </c>
      <c r="K30" s="6" t="str">
        <f>AN30/Sum(AN1:AN$108)</f>
      </c>
      <c r="O30" t="s">
        <v>121</v>
      </c>
      <c r="P30" t="n">
        <v>690</v>
      </c>
      <c r="Q30" s="10"/>
      <c r="R30" s="10"/>
      <c r="S30" s="10" t="n">
        <v>208097.42261605</v>
      </c>
      <c r="T30" s="10"/>
      <c r="U30" s="10" t="n">
        <v>2165518.51855984</v>
      </c>
      <c r="V30" s="10" t="n">
        <v>15077308.8716553</v>
      </c>
      <c r="W30" s="10" t="n">
        <v>11861728.2383205</v>
      </c>
      <c r="X30" s="10" t="n">
        <v>19881121.0528647</v>
      </c>
      <c r="Y30" s="10" t="n">
        <v>14712986.2940345</v>
      </c>
      <c r="Z30" s="10" t="n">
        <v>11195363.9129774</v>
      </c>
      <c r="AA30" s="10" t="n">
        <v>6126026.52439282</v>
      </c>
      <c r="AB30" s="10" t="n">
        <v>31229875.8343922</v>
      </c>
      <c r="AC30" s="10" t="n">
        <v>14228907.2119753</v>
      </c>
      <c r="AD30" s="10" t="n">
        <v>2479228.49081376</v>
      </c>
      <c r="AE30" s="10" t="n">
        <v>-7535.86715088652</v>
      </c>
      <c r="AF30" s="10"/>
      <c r="AG30" s="10" t="n">
        <v>-73985.1483777542</v>
      </c>
      <c r="AH30" s="10" t="n">
        <v>-514929.321153432</v>
      </c>
      <c r="AI30" s="10"/>
      <c r="AJ30" s="10"/>
      <c r="AK30" s="10"/>
      <c r="AL30" s="10"/>
      <c r="AM30" s="10" t="n">
        <v>125092848</v>
      </c>
      <c r="AN30" s="10" t="n">
        <v>544592.168302943</v>
      </c>
      <c r="AO30" s="10"/>
    </row>
    <row r="31">
      <c r="A31" t="str">
        <f>O31</f>
      </c>
      <c r="B31" t="str">
        <f>P31</f>
      </c>
      <c r="C31" s="10" t="str">
        <f>AF31</f>
      </c>
      <c r="D31" s="10" t="str">
        <f>AL31</f>
      </c>
      <c r="E31" s="10" t="str">
        <f>AM31</f>
      </c>
      <c r="F31" s="10" t="str">
        <f>AN31</f>
      </c>
      <c r="G31" s="6" t="str">
        <f>AM31/AL31-1</f>
      </c>
      <c r="H31" s="6" t="str">
        <f>AM31/AF31-1</f>
      </c>
      <c r="I31" s="6" t="str">
        <f>AN31/AM31</f>
      </c>
      <c r="J31" s="6" t="str">
        <f>AM31/Sum(AM$1:AM$108)</f>
      </c>
      <c r="K31" s="6" t="str">
        <f>AN31/Sum(AN1:AN$108)</f>
      </c>
      <c r="O31" t="s">
        <v>122</v>
      </c>
      <c r="P31" t="n">
        <v>606</v>
      </c>
      <c r="Q31" s="10" t="n">
        <v>490899.182371118</v>
      </c>
      <c r="R31" s="10" t="n">
        <v>8087835.71915813</v>
      </c>
      <c r="S31" s="10" t="n">
        <v>4237660.19593891</v>
      </c>
      <c r="T31" s="10" t="n">
        <v>14024412.9751104</v>
      </c>
      <c r="U31" s="10"/>
      <c r="V31" s="10"/>
      <c r="W31" s="10"/>
      <c r="X31" s="10"/>
      <c r="Y31" s="10"/>
      <c r="Z31" s="10"/>
      <c r="AA31" s="10" t="n">
        <v>-296611.853612976</v>
      </c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</row>
    <row r="32">
      <c r="A32" t="str">
        <f>O32</f>
      </c>
      <c r="B32" t="str">
        <f>P32</f>
      </c>
      <c r="C32" s="10" t="str">
        <f>AF32</f>
      </c>
      <c r="D32" s="10" t="str">
        <f>AL32</f>
      </c>
      <c r="E32" s="10" t="str">
        <f>AM32</f>
      </c>
      <c r="F32" s="10" t="str">
        <f>AN32</f>
      </c>
      <c r="G32" s="6" t="str">
        <f>AM32/AL32-1</f>
      </c>
      <c r="H32" s="6" t="str">
        <f>AM32/AF32-1</f>
      </c>
      <c r="I32" s="6" t="str">
        <f>AN32/AM32</f>
      </c>
      <c r="J32" s="6" t="str">
        <f>AM32/Sum(AM$1:AM$108)</f>
      </c>
      <c r="K32" s="6" t="str">
        <f>AN32/Sum(AN1:AN$108)</f>
      </c>
      <c r="O32" t="s">
        <v>123</v>
      </c>
      <c r="P32" t="n">
        <v>592</v>
      </c>
      <c r="Q32" s="10" t="n">
        <v>1025794.69399745</v>
      </c>
      <c r="R32" s="10" t="n">
        <v>1369168.12853576</v>
      </c>
      <c r="S32" s="10" t="n">
        <v>4309658.79823238</v>
      </c>
      <c r="T32" s="10" t="n">
        <v>14058568.2875662</v>
      </c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</row>
    <row r="33">
      <c r="A33" t="str">
        <f>O33</f>
      </c>
      <c r="B33" t="str">
        <f>P33</f>
      </c>
      <c r="C33" s="10" t="str">
        <f>AF33</f>
      </c>
      <c r="D33" s="10" t="str">
        <f>AL33</f>
      </c>
      <c r="E33" s="10" t="str">
        <f>AM33</f>
      </c>
      <c r="F33" s="10" t="str">
        <f>AN33</f>
      </c>
      <c r="G33" s="6" t="str">
        <f>AM33/AL33-1</f>
      </c>
      <c r="H33" s="6" t="str">
        <f>AM33/AF33-1</f>
      </c>
      <c r="I33" s="6" t="str">
        <f>AN33/AM33</f>
      </c>
      <c r="J33" s="6" t="str">
        <f>AM33/Sum(AM$1:AM$108)</f>
      </c>
      <c r="K33" s="6" t="str">
        <f>AN33/Sum(AN1:AN$108)</f>
      </c>
      <c r="O33" t="s">
        <v>124</v>
      </c>
      <c r="P33" t="n">
        <v>1994</v>
      </c>
      <c r="Q33" s="10"/>
      <c r="R33" s="10"/>
      <c r="S33" s="10"/>
      <c r="T33" s="10"/>
      <c r="U33" s="10"/>
      <c r="V33" s="10"/>
      <c r="W33" s="10"/>
      <c r="X33" s="10"/>
      <c r="Y33" s="10" t="n">
        <v>95593.2270167143</v>
      </c>
      <c r="Z33" s="10" t="n">
        <v>2639.21198946818</v>
      </c>
      <c r="AA33" s="10" t="n">
        <v>12558.9860744353</v>
      </c>
      <c r="AB33" s="10"/>
      <c r="AC33" s="10"/>
      <c r="AD33" s="10" t="n">
        <v>0</v>
      </c>
      <c r="AE33" s="10" t="n">
        <v>0</v>
      </c>
      <c r="AF33" s="10"/>
      <c r="AG33" s="10"/>
      <c r="AH33" s="10"/>
      <c r="AI33" s="10"/>
      <c r="AJ33" s="10"/>
      <c r="AK33" s="10"/>
      <c r="AL33" s="10"/>
      <c r="AM33" s="10"/>
      <c r="AN33" s="10"/>
      <c r="AO33" s="10"/>
    </row>
    <row r="34">
      <c r="A34" t="str">
        <f>O34</f>
      </c>
      <c r="B34" t="str">
        <f>P34</f>
      </c>
      <c r="C34" s="10" t="str">
        <f>AF34</f>
      </c>
      <c r="D34" s="10" t="str">
        <f>AL34</f>
      </c>
      <c r="E34" s="10" t="str">
        <f>AM34</f>
      </c>
      <c r="F34" s="10" t="str">
        <f>AN34</f>
      </c>
      <c r="G34" s="6" t="str">
        <f>AM34/AL34-1</f>
      </c>
      <c r="H34" s="6" t="str">
        <f>AM34/AF34-1</f>
      </c>
      <c r="I34" s="6" t="str">
        <f>AN34/AM34</f>
      </c>
      <c r="J34" s="6" t="str">
        <f>AM34/Sum(AM$1:AM$108)</f>
      </c>
      <c r="K34" s="6" t="str">
        <f>AN34/Sum(AN1:AN$108)</f>
      </c>
      <c r="O34" t="s">
        <v>125</v>
      </c>
      <c r="P34" t="n">
        <v>2101</v>
      </c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 t="n">
        <v>688016.102374773</v>
      </c>
      <c r="AK34" s="10" t="n">
        <v>875003.495789834</v>
      </c>
      <c r="AL34" s="10" t="n">
        <v>54981.8610543405</v>
      </c>
      <c r="AM34" s="10"/>
      <c r="AN34" s="10"/>
      <c r="AO34" s="10"/>
    </row>
    <row r="35">
      <c r="A35" t="str">
        <f>O35</f>
      </c>
      <c r="B35" t="str">
        <f>P35</f>
      </c>
      <c r="C35" s="10" t="str">
        <f>AF35</f>
      </c>
      <c r="D35" s="10" t="str">
        <f>AL35</f>
      </c>
      <c r="E35" s="10" t="str">
        <f>AM35</f>
      </c>
      <c r="F35" s="10" t="str">
        <f>AN35</f>
      </c>
      <c r="G35" s="6" t="str">
        <f>AM35/AL35-1</f>
      </c>
      <c r="H35" s="6" t="str">
        <f>AM35/AF35-1</f>
      </c>
      <c r="I35" s="6" t="str">
        <f>AN35/AM35</f>
      </c>
      <c r="J35" s="6" t="str">
        <f>AM35/Sum(AM$1:AM$108)</f>
      </c>
      <c r="K35" s="6" t="str">
        <f>AN35/Sum(AN1:AN$108)</f>
      </c>
      <c r="O35" t="s">
        <v>73</v>
      </c>
      <c r="P35" t="n">
        <v>611</v>
      </c>
      <c r="Q35" s="10" t="n">
        <v>711775687.809415</v>
      </c>
      <c r="R35" s="10" t="n">
        <v>662781800.043011</v>
      </c>
      <c r="S35" s="10" t="n">
        <v>748270978.692909</v>
      </c>
      <c r="T35" s="10" t="n">
        <v>585186538.658395</v>
      </c>
      <c r="U35" s="10" t="n">
        <v>2235248.46996017</v>
      </c>
      <c r="V35" s="10"/>
      <c r="W35" s="10" t="n">
        <v>1680932.83524782</v>
      </c>
      <c r="X35" s="10" t="n">
        <v>-4033.46142177044</v>
      </c>
      <c r="Y35" s="10" t="n">
        <v>48043.341797437</v>
      </c>
      <c r="Z35" s="10" t="n">
        <v>-1069873.50691085</v>
      </c>
      <c r="AA35" s="10" t="n">
        <v>7918.85987609171</v>
      </c>
      <c r="AB35" s="10" t="n">
        <v>-245479.367619192</v>
      </c>
      <c r="AC35" s="10" t="n">
        <v>-31531.8906214937</v>
      </c>
      <c r="AD35" s="10"/>
      <c r="AE35" s="10"/>
      <c r="AF35" s="10"/>
      <c r="AG35" s="10"/>
      <c r="AH35" s="10" t="n">
        <v>-31888.5494091387</v>
      </c>
      <c r="AI35" s="10" t="n">
        <v>0</v>
      </c>
      <c r="AJ35" s="10" t="n">
        <v>0</v>
      </c>
      <c r="AK35" s="10"/>
      <c r="AL35" s="10"/>
      <c r="AM35" s="10"/>
      <c r="AN35" s="10"/>
      <c r="AO35" s="10"/>
    </row>
    <row r="36">
      <c r="A36" t="str">
        <f>O36</f>
      </c>
      <c r="B36" t="str">
        <f>P36</f>
      </c>
      <c r="C36" s="10" t="str">
        <f>AF36</f>
      </c>
      <c r="D36" s="10" t="str">
        <f>AL36</f>
      </c>
      <c r="E36" s="10" t="str">
        <f>AM36</f>
      </c>
      <c r="F36" s="10" t="str">
        <f>AN36</f>
      </c>
      <c r="G36" s="6" t="str">
        <f>AM36/AL36-1</f>
      </c>
      <c r="H36" s="6" t="str">
        <f>AM36/AF36-1</f>
      </c>
      <c r="I36" s="6" t="str">
        <f>AN36/AM36</f>
      </c>
      <c r="J36" s="6" t="str">
        <f>AM36/Sum(AM$1:AM$108)</f>
      </c>
      <c r="K36" s="6" t="str">
        <f>AN36/Sum(AN1:AN$108)</f>
      </c>
      <c r="O36" t="s">
        <v>126</v>
      </c>
      <c r="P36" t="n">
        <v>381</v>
      </c>
      <c r="Q36" s="10" t="n">
        <v>58651.0008066209</v>
      </c>
      <c r="R36" s="10"/>
      <c r="S36" s="10" t="n">
        <v>69139.5921812624</v>
      </c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</row>
    <row r="37">
      <c r="A37" t="str">
        <f>O37</f>
      </c>
      <c r="B37" t="str">
        <f>P37</f>
      </c>
      <c r="C37" s="10" t="str">
        <f>AF37</f>
      </c>
      <c r="D37" s="10" t="str">
        <f>AL37</f>
      </c>
      <c r="E37" s="10" t="str">
        <f>AM37</f>
      </c>
      <c r="F37" s="10" t="str">
        <f>AN37</f>
      </c>
      <c r="G37" s="6" t="str">
        <f>AM37/AL37-1</f>
      </c>
      <c r="H37" s="6" t="str">
        <f>AM37/AF37-1</f>
      </c>
      <c r="I37" s="6" t="str">
        <f>AN37/AM37</f>
      </c>
      <c r="J37" s="6" t="str">
        <f>AM37/Sum(AM$1:AM$108)</f>
      </c>
      <c r="K37" s="6" t="str">
        <f>AN37/Sum(AN1:AN$108)</f>
      </c>
      <c r="O37" t="s">
        <v>74</v>
      </c>
      <c r="P37" t="n">
        <v>2016</v>
      </c>
      <c r="Q37" s="10" t="n">
        <v>112223466.823657</v>
      </c>
      <c r="R37" s="10" t="n">
        <v>121500368.542829</v>
      </c>
      <c r="S37" s="10" t="n">
        <v>61159343.3226173</v>
      </c>
      <c r="T37" s="10" t="n">
        <v>177959223.037012</v>
      </c>
      <c r="U37" s="10" t="n">
        <v>649008286.37547</v>
      </c>
      <c r="V37" s="10" t="n">
        <v>354680340.756157</v>
      </c>
      <c r="W37" s="10" t="n">
        <v>280508932.272918</v>
      </c>
      <c r="X37" s="10" t="n">
        <v>290664273.434332</v>
      </c>
      <c r="Y37" s="10" t="n">
        <v>224131322.687525</v>
      </c>
      <c r="Z37" s="10" t="n">
        <v>300400381.864152</v>
      </c>
      <c r="AA37" s="10" t="n">
        <v>360099661.11473</v>
      </c>
      <c r="AB37" s="10" t="n">
        <v>330036193.231203</v>
      </c>
      <c r="AC37" s="10" t="n">
        <v>432691166.938102</v>
      </c>
      <c r="AD37" s="10" t="n">
        <v>308254649.884246</v>
      </c>
      <c r="AE37" s="10" t="n">
        <v>313335881.685853</v>
      </c>
      <c r="AF37" s="10" t="n">
        <v>214840715.898725</v>
      </c>
      <c r="AG37" s="10" t="n">
        <v>247283955.621635</v>
      </c>
      <c r="AH37" s="10" t="n">
        <v>191396923.898831</v>
      </c>
      <c r="AI37" s="10" t="n">
        <v>163074136.806403</v>
      </c>
      <c r="AJ37" s="10" t="n">
        <v>228454216.684909</v>
      </c>
      <c r="AK37" s="10" t="n">
        <v>150241296.647894</v>
      </c>
      <c r="AL37" s="10" t="n">
        <v>181431657.703748</v>
      </c>
      <c r="AM37" s="10" t="n">
        <v>146554377.2825</v>
      </c>
      <c r="AN37" s="10" t="n">
        <v>20465497.1991811</v>
      </c>
      <c r="AO37" s="10"/>
    </row>
    <row r="38">
      <c r="A38" t="str">
        <f>O38</f>
      </c>
      <c r="B38" t="str">
        <f>P38</f>
      </c>
      <c r="C38" s="10" t="str">
        <f>AF38</f>
      </c>
      <c r="D38" s="10" t="str">
        <f>AL38</f>
      </c>
      <c r="E38" s="10" t="str">
        <f>AM38</f>
      </c>
      <c r="F38" s="10" t="str">
        <f>AN38</f>
      </c>
      <c r="G38" s="6" t="str">
        <f>AM38/AL38-1</f>
      </c>
      <c r="H38" s="6" t="str">
        <f>AM38/AF38-1</f>
      </c>
      <c r="I38" s="6" t="str">
        <f>AN38/AM38</f>
      </c>
      <c r="J38" s="6" t="str">
        <f>AM38/Sum(AM$1:AM$108)</f>
      </c>
      <c r="K38" s="6" t="str">
        <f>AN38/Sum(AN1:AN$108)</f>
      </c>
      <c r="O38" t="s">
        <v>127</v>
      </c>
      <c r="P38" t="n">
        <v>1967</v>
      </c>
      <c r="Q38" s="10"/>
      <c r="R38" s="10"/>
      <c r="S38" s="10"/>
      <c r="T38" s="10"/>
      <c r="U38" s="10" t="n">
        <v>3920092.610463</v>
      </c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</row>
    <row r="39">
      <c r="A39" t="str">
        <f>O39</f>
      </c>
      <c r="B39" t="str">
        <f>P39</f>
      </c>
      <c r="C39" s="10" t="str">
        <f>AF39</f>
      </c>
      <c r="D39" s="10" t="str">
        <f>AL39</f>
      </c>
      <c r="E39" s="10" t="str">
        <f>AM39</f>
      </c>
      <c r="F39" s="10" t="str">
        <f>AN39</f>
      </c>
      <c r="G39" s="6" t="str">
        <f>AM39/AL39-1</f>
      </c>
      <c r="H39" s="6" t="str">
        <f>AM39/AF39-1</f>
      </c>
      <c r="I39" s="6" t="str">
        <f>AN39/AM39</f>
      </c>
      <c r="J39" s="6" t="str">
        <f>AM39/Sum(AM$1:AM$108)</f>
      </c>
      <c r="K39" s="6" t="str">
        <f>AN39/Sum(AN1:AN$108)</f>
      </c>
      <c r="O39" t="s">
        <v>128</v>
      </c>
      <c r="P39" t="n">
        <v>1959</v>
      </c>
      <c r="Q39" s="10"/>
      <c r="R39" s="10"/>
      <c r="S39" s="10"/>
      <c r="T39" s="10"/>
      <c r="U39" s="10"/>
      <c r="V39" s="10"/>
      <c r="W39" s="10" t="n">
        <v>216155.831908547</v>
      </c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</row>
    <row r="40">
      <c r="A40" t="str">
        <f>O40</f>
      </c>
      <c r="B40" t="str">
        <f>P40</f>
      </c>
      <c r="C40" s="10" t="str">
        <f>AF40</f>
      </c>
      <c r="D40" s="10" t="str">
        <f>AL40</f>
      </c>
      <c r="E40" s="10" t="str">
        <f>AM40</f>
      </c>
      <c r="F40" s="10" t="str">
        <f>AN40</f>
      </c>
      <c r="G40" s="6" t="str">
        <f>AM40/AL40-1</f>
      </c>
      <c r="H40" s="6" t="str">
        <f>AM40/AF40-1</f>
      </c>
      <c r="I40" s="6" t="str">
        <f>AN40/AM40</f>
      </c>
      <c r="J40" s="6" t="str">
        <f>AM40/Sum(AM$1:AM$108)</f>
      </c>
      <c r="K40" s="6" t="str">
        <f>AN40/Sum(AN1:AN$108)</f>
      </c>
      <c r="O40" t="s">
        <v>129</v>
      </c>
      <c r="P40" t="n">
        <v>1950</v>
      </c>
      <c r="Q40" s="10"/>
      <c r="R40" s="10"/>
      <c r="S40" s="10"/>
      <c r="T40" s="10"/>
      <c r="U40" s="10" t="n">
        <v>280166.731557952</v>
      </c>
      <c r="V40" s="10" t="n">
        <v>136996.887940979</v>
      </c>
      <c r="W40" s="10"/>
      <c r="X40" s="10" t="n">
        <v>518948.90237975</v>
      </c>
      <c r="Y40" s="10" t="n">
        <v>6882.36042903971</v>
      </c>
      <c r="Z40" s="10" t="n">
        <v>785297.527466256</v>
      </c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</row>
    <row r="41">
      <c r="A41" t="str">
        <f>O41</f>
      </c>
      <c r="B41" t="str">
        <f>P41</f>
      </c>
      <c r="C41" s="10" t="str">
        <f>AF41</f>
      </c>
      <c r="D41" s="10" t="str">
        <f>AL41</f>
      </c>
      <c r="E41" s="10" t="str">
        <f>AM41</f>
      </c>
      <c r="F41" s="10" t="str">
        <f>AN41</f>
      </c>
      <c r="G41" s="6" t="str">
        <f>AM41/AL41-1</f>
      </c>
      <c r="H41" s="6" t="str">
        <f>AM41/AF41-1</f>
      </c>
      <c r="I41" s="6" t="str">
        <f>AN41/AM41</f>
      </c>
      <c r="J41" s="6" t="str">
        <f>AM41/Sum(AM$1:AM$108)</f>
      </c>
      <c r="K41" s="6" t="str">
        <f>AN41/Sum(AN1:AN$108)</f>
      </c>
      <c r="O41" t="s">
        <v>130</v>
      </c>
      <c r="P41" t="n">
        <v>1799</v>
      </c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 t="n">
        <v>13082.2771608701</v>
      </c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</row>
    <row r="42">
      <c r="A42" t="str">
        <f>O42</f>
      </c>
      <c r="B42" t="str">
        <f>P42</f>
      </c>
      <c r="C42" s="10" t="str">
        <f>AF42</f>
      </c>
      <c r="D42" s="10" t="str">
        <f>AL42</f>
      </c>
      <c r="E42" s="10" t="str">
        <f>AM42</f>
      </c>
      <c r="F42" s="10" t="str">
        <f>AN42</f>
      </c>
      <c r="G42" s="6" t="str">
        <f>AM42/AL42-1</f>
      </c>
      <c r="H42" s="6" t="str">
        <f>AM42/AF42-1</f>
      </c>
      <c r="I42" s="6" t="str">
        <f>AN42/AM42</f>
      </c>
      <c r="J42" s="6" t="str">
        <f>AM42/Sum(AM$1:AM$108)</f>
      </c>
      <c r="K42" s="6" t="str">
        <f>AN42/Sum(AN1:AN$108)</f>
      </c>
      <c r="O42" t="s">
        <v>131</v>
      </c>
      <c r="P42" t="n">
        <v>1970</v>
      </c>
      <c r="Q42" s="10"/>
      <c r="R42" s="10"/>
      <c r="S42" s="10"/>
      <c r="T42" s="10"/>
      <c r="U42" s="10" t="n">
        <v>51721.1437377306</v>
      </c>
      <c r="V42" s="10" t="n">
        <v>24149.4559241485</v>
      </c>
      <c r="W42" s="10" t="n">
        <v>17157.9100611352</v>
      </c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</row>
    <row r="43">
      <c r="A43" t="str">
        <f>O43</f>
      </c>
      <c r="B43" t="str">
        <f>P43</f>
      </c>
      <c r="C43" s="10" t="str">
        <f>AF43</f>
      </c>
      <c r="D43" s="10" t="str">
        <f>AL43</f>
      </c>
      <c r="E43" s="10" t="str">
        <f>AM43</f>
      </c>
      <c r="F43" s="10" t="str">
        <f>AN43</f>
      </c>
      <c r="G43" s="6" t="str">
        <f>AM43/AL43-1</f>
      </c>
      <c r="H43" s="6" t="str">
        <f>AM43/AF43-1</f>
      </c>
      <c r="I43" s="6" t="str">
        <f>AN43/AM43</f>
      </c>
      <c r="J43" s="6" t="str">
        <f>AM43/Sum(AM$1:AM$108)</f>
      </c>
      <c r="K43" s="6" t="str">
        <f>AN43/Sum(AN1:AN$108)</f>
      </c>
      <c r="O43" t="s">
        <v>132</v>
      </c>
      <c r="P43" t="n">
        <v>2251</v>
      </c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 t="n">
        <v>53725.2054522919</v>
      </c>
      <c r="AK43" s="10"/>
      <c r="AL43" s="10"/>
      <c r="AM43" s="10"/>
      <c r="AN43" s="10"/>
      <c r="AO43" s="10"/>
    </row>
    <row r="44">
      <c r="A44" t="str">
        <f>O44</f>
      </c>
      <c r="B44" t="str">
        <f>P44</f>
      </c>
      <c r="C44" s="10" t="str">
        <f>AF44</f>
      </c>
      <c r="D44" s="10" t="str">
        <f>AL44</f>
      </c>
      <c r="E44" s="10" t="str">
        <f>AM44</f>
      </c>
      <c r="F44" s="10" t="str">
        <f>AN44</f>
      </c>
      <c r="G44" s="6" t="str">
        <f>AM44/AL44-1</f>
      </c>
      <c r="H44" s="6" t="str">
        <f>AM44/AF44-1</f>
      </c>
      <c r="I44" s="6" t="str">
        <f>AN44/AM44</f>
      </c>
      <c r="J44" s="6" t="str">
        <f>AM44/Sum(AM$1:AM$108)</f>
      </c>
      <c r="K44" s="6" t="str">
        <f>AN44/Sum(AN1:AN$108)</f>
      </c>
      <c r="O44" t="s">
        <v>133</v>
      </c>
      <c r="P44" t="n">
        <v>2237</v>
      </c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 t="n">
        <v>7179</v>
      </c>
      <c r="AN44" s="10"/>
      <c r="AO44" s="10"/>
    </row>
    <row r="45">
      <c r="A45" t="str">
        <f>O45</f>
      </c>
      <c r="B45" t="str">
        <f>P45</f>
      </c>
      <c r="C45" s="10" t="str">
        <f>AF45</f>
      </c>
      <c r="D45" s="10" t="str">
        <f>AL45</f>
      </c>
      <c r="E45" s="10" t="str">
        <f>AM45</f>
      </c>
      <c r="F45" s="10" t="str">
        <f>AN45</f>
      </c>
      <c r="G45" s="6" t="str">
        <f>AM45/AL45-1</f>
      </c>
      <c r="H45" s="6" t="str">
        <f>AM45/AF45-1</f>
      </c>
      <c r="I45" s="6" t="str">
        <f>AN45/AM45</f>
      </c>
      <c r="J45" s="6" t="str">
        <f>AM45/Sum(AM$1:AM$108)</f>
      </c>
      <c r="K45" s="6" t="str">
        <f>AN45/Sum(AN1:AN$108)</f>
      </c>
      <c r="O45" t="s">
        <v>134</v>
      </c>
      <c r="P45" t="n">
        <v>1733</v>
      </c>
      <c r="Q45" s="10" t="n">
        <v>1583966.41272076</v>
      </c>
      <c r="R45" s="10" t="n">
        <v>767179.189830709</v>
      </c>
      <c r="S45" s="10"/>
      <c r="T45" s="10" t="n">
        <v>-2397910.48117829</v>
      </c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</row>
    <row r="46">
      <c r="A46" t="str">
        <f>O46</f>
      </c>
      <c r="B46" t="str">
        <f>P46</f>
      </c>
      <c r="C46" s="10" t="str">
        <f>AF46</f>
      </c>
      <c r="D46" s="10" t="str">
        <f>AL46</f>
      </c>
      <c r="E46" s="10" t="str">
        <f>AM46</f>
      </c>
      <c r="F46" s="10" t="str">
        <f>AN46</f>
      </c>
      <c r="G46" s="6" t="str">
        <f>AM46/AL46-1</f>
      </c>
      <c r="H46" s="6" t="str">
        <f>AM46/AF46-1</f>
      </c>
      <c r="I46" s="6" t="str">
        <f>AN46/AM46</f>
      </c>
      <c r="J46" s="6" t="str">
        <f>AM46/Sum(AM$1:AM$108)</f>
      </c>
      <c r="K46" s="6" t="str">
        <f>AN46/Sum(AN1:AN$108)</f>
      </c>
      <c r="O46" t="s">
        <v>135</v>
      </c>
      <c r="P46" t="n">
        <v>613</v>
      </c>
      <c r="Q46" s="10" t="n">
        <v>215723699.950076</v>
      </c>
      <c r="R46" s="10" t="n">
        <v>186265359.910685</v>
      </c>
      <c r="S46" s="10" t="n">
        <v>222708917.920471</v>
      </c>
      <c r="T46" s="10" t="n">
        <v>241052170.629079</v>
      </c>
      <c r="U46" s="10" t="n">
        <v>608313.596341991</v>
      </c>
      <c r="V46" s="10"/>
      <c r="W46" s="10"/>
      <c r="X46" s="10"/>
      <c r="Y46" s="10" t="n">
        <v>320127.56731656</v>
      </c>
      <c r="Z46" s="10" t="n">
        <v>-1525946.37282493</v>
      </c>
      <c r="AA46" s="10" t="n">
        <v>-114529.909491561</v>
      </c>
      <c r="AB46" s="10" t="n">
        <v>-130615.070550147</v>
      </c>
      <c r="AC46" s="10" t="n">
        <v>0</v>
      </c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</row>
    <row r="47">
      <c r="A47" t="str">
        <f>O47</f>
      </c>
      <c r="B47" t="str">
        <f>P47</f>
      </c>
      <c r="C47" s="10" t="str">
        <f>AF47</f>
      </c>
      <c r="D47" s="10" t="str">
        <f>AL47</f>
      </c>
      <c r="E47" s="10" t="str">
        <f>AM47</f>
      </c>
      <c r="F47" s="10" t="str">
        <f>AN47</f>
      </c>
      <c r="G47" s="6" t="str">
        <f>AM47/AL47-1</f>
      </c>
      <c r="H47" s="6" t="str">
        <f>AM47/AF47-1</f>
      </c>
      <c r="I47" s="6" t="str">
        <f>AN47/AM47</f>
      </c>
      <c r="J47" s="6" t="str">
        <f>AM47/Sum(AM$1:AM$108)</f>
      </c>
      <c r="K47" s="6" t="str">
        <f>AN47/Sum(AN1:AN$108)</f>
      </c>
      <c r="O47" t="s">
        <v>75</v>
      </c>
      <c r="P47" t="n">
        <v>2021</v>
      </c>
      <c r="Q47" s="10" t="n">
        <v>57917934.3886603</v>
      </c>
      <c r="R47" s="10" t="n">
        <v>111446138.159915</v>
      </c>
      <c r="S47" s="10" t="n">
        <v>167439115.24045</v>
      </c>
      <c r="T47" s="10" t="n">
        <v>176783557.379627</v>
      </c>
      <c r="U47" s="10" t="n">
        <v>339979416.26105</v>
      </c>
      <c r="V47" s="10" t="n">
        <v>320115701.475438</v>
      </c>
      <c r="W47" s="10" t="n">
        <v>253633695.196061</v>
      </c>
      <c r="X47" s="10" t="n">
        <v>259158318.189663</v>
      </c>
      <c r="Y47" s="10" t="n">
        <v>198851131.25537</v>
      </c>
      <c r="Z47" s="10" t="n">
        <v>298789977.96935</v>
      </c>
      <c r="AA47" s="10" t="n">
        <v>282639891.54664</v>
      </c>
      <c r="AB47" s="10" t="n">
        <v>219032439.270088</v>
      </c>
      <c r="AC47" s="10" t="n">
        <v>129226481.110835</v>
      </c>
      <c r="AD47" s="10" t="n">
        <v>116432057.624015</v>
      </c>
      <c r="AE47" s="10" t="n">
        <v>129177955.98977</v>
      </c>
      <c r="AF47" s="10" t="n">
        <v>114276219.604283</v>
      </c>
      <c r="AG47" s="10" t="n">
        <v>243104513.093641</v>
      </c>
      <c r="AH47" s="10" t="n">
        <v>90891663.8699299</v>
      </c>
      <c r="AI47" s="10" t="n">
        <v>121658691.898311</v>
      </c>
      <c r="AJ47" s="10" t="n">
        <v>125344987.92804</v>
      </c>
      <c r="AK47" s="10" t="n">
        <v>112354155.667345</v>
      </c>
      <c r="AL47" s="10" t="n">
        <v>110568968.969676</v>
      </c>
      <c r="AM47" s="10" t="n">
        <v>137789400.3621</v>
      </c>
      <c r="AN47" s="10" t="n">
        <v>129569383.999017</v>
      </c>
      <c r="AO47" s="10"/>
    </row>
    <row r="48">
      <c r="A48" t="str">
        <f>O48</f>
      </c>
      <c r="B48" t="str">
        <f>P48</f>
      </c>
      <c r="C48" s="10" t="str">
        <f>AF48</f>
      </c>
      <c r="D48" s="10" t="str">
        <f>AL48</f>
      </c>
      <c r="E48" s="10" t="str">
        <f>AM48</f>
      </c>
      <c r="F48" s="10" t="str">
        <f>AN48</f>
      </c>
      <c r="G48" s="6" t="str">
        <f>AM48/AL48-1</f>
      </c>
      <c r="H48" s="6" t="str">
        <f>AM48/AF48-1</f>
      </c>
      <c r="I48" s="6" t="str">
        <f>AN48/AM48</f>
      </c>
      <c r="J48" s="6" t="str">
        <f>AM48/Sum(AM$1:AM$108)</f>
      </c>
      <c r="K48" s="6" t="str">
        <f>AN48/Sum(AN1:AN$108)</f>
      </c>
      <c r="O48" t="s">
        <v>136</v>
      </c>
      <c r="P48" t="n">
        <v>79</v>
      </c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 t="n">
        <v>7605.13057592972</v>
      </c>
      <c r="AJ48" s="10"/>
      <c r="AK48" s="10"/>
      <c r="AL48" s="10"/>
      <c r="AM48" s="10"/>
      <c r="AN48" s="10"/>
      <c r="AO48" s="10"/>
    </row>
    <row r="49">
      <c r="A49" t="str">
        <f>O49</f>
      </c>
      <c r="B49" t="str">
        <f>P49</f>
      </c>
      <c r="C49" s="10" t="str">
        <f>AF49</f>
      </c>
      <c r="D49" s="10" t="str">
        <f>AL49</f>
      </c>
      <c r="E49" s="10" t="str">
        <f>AM49</f>
      </c>
      <c r="F49" s="10" t="str">
        <f>AN49</f>
      </c>
      <c r="G49" s="6" t="str">
        <f>AM49/AL49-1</f>
      </c>
      <c r="H49" s="6" t="str">
        <f>AM49/AF49-1</f>
      </c>
      <c r="I49" s="6" t="str">
        <f>AN49/AM49</f>
      </c>
      <c r="J49" s="6" t="str">
        <f>AM49/Sum(AM$1:AM$108)</f>
      </c>
      <c r="K49" s="6" t="str">
        <f>AN49/Sum(AN1:AN$108)</f>
      </c>
      <c r="O49" t="s">
        <v>137</v>
      </c>
      <c r="P49" t="n">
        <v>287</v>
      </c>
      <c r="Q49" s="10"/>
      <c r="R49" s="10"/>
      <c r="S49" s="10"/>
      <c r="T49" s="10" t="n">
        <v>5025.61883105289</v>
      </c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</row>
    <row r="50">
      <c r="A50" t="str">
        <f>O50</f>
      </c>
      <c r="B50" t="str">
        <f>P50</f>
      </c>
      <c r="C50" s="10" t="str">
        <f>AF50</f>
      </c>
      <c r="D50" s="10" t="str">
        <f>AL50</f>
      </c>
      <c r="E50" s="10" t="str">
        <f>AM50</f>
      </c>
      <c r="F50" s="10" t="str">
        <f>AN50</f>
      </c>
      <c r="G50" s="6" t="str">
        <f>AM50/AL50-1</f>
      </c>
      <c r="H50" s="6" t="str">
        <f>AM50/AF50-1</f>
      </c>
      <c r="I50" s="6" t="str">
        <f>AN50/AM50</f>
      </c>
      <c r="J50" s="6" t="str">
        <f>AM50/Sum(AM$1:AM$108)</f>
      </c>
      <c r="K50" s="6" t="str">
        <f>AN50/Sum(AN1:AN$108)</f>
      </c>
      <c r="O50" t="s">
        <v>138</v>
      </c>
      <c r="P50" t="n">
        <v>1577</v>
      </c>
      <c r="Q50" s="10"/>
      <c r="R50" s="10"/>
      <c r="S50" s="10"/>
      <c r="T50" s="10" t="n">
        <v>206713.241749186</v>
      </c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</row>
    <row r="51">
      <c r="A51" t="str">
        <f>O51</f>
      </c>
      <c r="B51" t="str">
        <f>P51</f>
      </c>
      <c r="C51" s="10" t="str">
        <f>AF51</f>
      </c>
      <c r="D51" s="10" t="str">
        <f>AL51</f>
      </c>
      <c r="E51" s="10" t="str">
        <f>AM51</f>
      </c>
      <c r="F51" s="10" t="str">
        <f>AN51</f>
      </c>
      <c r="G51" s="6" t="str">
        <f>AM51/AL51-1</f>
      </c>
      <c r="H51" s="6" t="str">
        <f>AM51/AF51-1</f>
      </c>
      <c r="I51" s="6" t="str">
        <f>AN51/AM51</f>
      </c>
      <c r="J51" s="6" t="str">
        <f>AM51/Sum(AM$1:AM$108)</f>
      </c>
      <c r="K51" s="6" t="str">
        <f>AN51/Sum(AN1:AN$108)</f>
      </c>
      <c r="O51" t="s">
        <v>139</v>
      </c>
      <c r="P51" t="n">
        <v>594</v>
      </c>
      <c r="Q51" s="10"/>
      <c r="R51" s="10" t="n">
        <v>4401773.28117428</v>
      </c>
      <c r="S51" s="10" t="n">
        <v>2629360.62966068</v>
      </c>
      <c r="T51" s="10" t="n">
        <v>37196837.3917842</v>
      </c>
      <c r="U51" s="10"/>
      <c r="V51" s="10"/>
      <c r="W51" s="10"/>
      <c r="X51" s="10"/>
      <c r="Y51" s="10"/>
      <c r="Z51" s="10"/>
      <c r="AA51" s="10" t="n">
        <v>0</v>
      </c>
      <c r="AB51" s="10" t="n">
        <v>-66317.1488494946</v>
      </c>
      <c r="AC51" s="10"/>
      <c r="AD51" s="10"/>
      <c r="AE51" s="10"/>
      <c r="AF51" s="10"/>
      <c r="AG51" s="10"/>
      <c r="AH51" s="10"/>
      <c r="AI51" s="10"/>
      <c r="AJ51" s="10"/>
      <c r="AK51" s="10"/>
      <c r="AL51" s="10"/>
      <c r="AM51" s="10"/>
      <c r="AN51" s="10"/>
      <c r="AO51" s="10"/>
    </row>
    <row r="52">
      <c r="A52" t="str">
        <f>O52</f>
      </c>
      <c r="B52" t="str">
        <f>P52</f>
      </c>
      <c r="C52" s="10" t="str">
        <f>AF52</f>
      </c>
      <c r="D52" s="10" t="str">
        <f>AL52</f>
      </c>
      <c r="E52" s="10" t="str">
        <f>AM52</f>
      </c>
      <c r="F52" s="10" t="str">
        <f>AN52</f>
      </c>
      <c r="G52" s="6" t="str">
        <f>AM52/AL52-1</f>
      </c>
      <c r="H52" s="6" t="str">
        <f>AM52/AF52-1</f>
      </c>
      <c r="I52" s="6" t="str">
        <f>AN52/AM52</f>
      </c>
      <c r="J52" s="6" t="str">
        <f>AM52/Sum(AM$1:AM$108)</f>
      </c>
      <c r="K52" s="6" t="str">
        <f>AN52/Sum(AN1:AN$108)</f>
      </c>
      <c r="O52" t="s">
        <v>140</v>
      </c>
      <c r="P52" t="n">
        <v>2187</v>
      </c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  <c r="AF52" s="10"/>
      <c r="AG52" s="10"/>
      <c r="AH52" s="10"/>
      <c r="AI52" s="10" t="n">
        <v>4220607.66822644</v>
      </c>
      <c r="AJ52" s="10" t="n">
        <v>2105192.90229893</v>
      </c>
      <c r="AK52" s="10"/>
      <c r="AL52" s="10"/>
      <c r="AM52" s="10"/>
      <c r="AN52" s="10"/>
      <c r="AO52" s="10"/>
    </row>
    <row r="53">
      <c r="A53" t="str">
        <f>O53</f>
      </c>
      <c r="B53" t="str">
        <f>P53</f>
      </c>
      <c r="C53" s="10" t="str">
        <f>AF53</f>
      </c>
      <c r="D53" s="10" t="str">
        <f>AL53</f>
      </c>
      <c r="E53" s="10" t="str">
        <f>AM53</f>
      </c>
      <c r="F53" s="10" t="str">
        <f>AN53</f>
      </c>
      <c r="G53" s="6" t="str">
        <f>AM53/AL53-1</f>
      </c>
      <c r="H53" s="6" t="str">
        <f>AM53/AF53-1</f>
      </c>
      <c r="I53" s="6" t="str">
        <f>AN53/AM53</f>
      </c>
      <c r="J53" s="6" t="str">
        <f>AM53/Sum(AM$1:AM$108)</f>
      </c>
      <c r="K53" s="6" t="str">
        <f>AN53/Sum(AN1:AN$108)</f>
      </c>
      <c r="O53" t="s">
        <v>141</v>
      </c>
      <c r="P53" t="n">
        <v>1986</v>
      </c>
      <c r="Q53" s="10"/>
      <c r="R53" s="10"/>
      <c r="S53" s="10"/>
      <c r="T53" s="10"/>
      <c r="U53" s="10"/>
      <c r="V53" s="10"/>
      <c r="W53" s="10"/>
      <c r="X53" s="10"/>
      <c r="Y53" s="10" t="n">
        <v>1078801.6659034</v>
      </c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0"/>
      <c r="AM53" s="10"/>
      <c r="AN53" s="10"/>
      <c r="AO53" s="10"/>
    </row>
    <row r="54">
      <c r="A54" t="str">
        <f>O54</f>
      </c>
      <c r="B54" t="str">
        <f>P54</f>
      </c>
      <c r="C54" s="10" t="str">
        <f>AF54</f>
      </c>
      <c r="D54" s="10" t="str">
        <f>AL54</f>
      </c>
      <c r="E54" s="10" t="str">
        <f>AM54</f>
      </c>
      <c r="F54" s="10" t="str">
        <f>AN54</f>
      </c>
      <c r="G54" s="6" t="str">
        <f>AM54/AL54-1</f>
      </c>
      <c r="H54" s="6" t="str">
        <f>AM54/AF54-1</f>
      </c>
      <c r="I54" s="6" t="str">
        <f>AN54/AM54</f>
      </c>
      <c r="J54" s="6" t="str">
        <f>AM54/Sum(AM$1:AM$108)</f>
      </c>
      <c r="K54" s="6" t="str">
        <f>AN54/Sum(AN1:AN$108)</f>
      </c>
      <c r="O54" t="s">
        <v>142</v>
      </c>
      <c r="P54" t="n">
        <v>2089</v>
      </c>
      <c r="Q54" s="10"/>
      <c r="R54" s="10"/>
      <c r="S54" s="10"/>
      <c r="T54" s="10" t="n">
        <v>1240139.25736824</v>
      </c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  <c r="AF54" s="10"/>
      <c r="AG54" s="10"/>
      <c r="AH54" s="10"/>
      <c r="AI54" s="10"/>
      <c r="AJ54" s="10"/>
      <c r="AK54" s="10"/>
      <c r="AL54" s="10"/>
      <c r="AM54" s="10"/>
      <c r="AN54" s="10"/>
      <c r="AO54" s="10"/>
    </row>
    <row r="55">
      <c r="A55" t="str">
        <f>O55</f>
      </c>
      <c r="B55" t="str">
        <f>P55</f>
      </c>
      <c r="C55" s="10" t="str">
        <f>AF55</f>
      </c>
      <c r="D55" s="10" t="str">
        <f>AL55</f>
      </c>
      <c r="E55" s="10" t="str">
        <f>AM55</f>
      </c>
      <c r="F55" s="10" t="str">
        <f>AN55</f>
      </c>
      <c r="G55" s="6" t="str">
        <f>AM55/AL55-1</f>
      </c>
      <c r="H55" s="6" t="str">
        <f>AM55/AF55-1</f>
      </c>
      <c r="I55" s="6" t="str">
        <f>AN55/AM55</f>
      </c>
      <c r="J55" s="6" t="str">
        <f>AM55/Sum(AM$1:AM$108)</f>
      </c>
      <c r="K55" s="6" t="str">
        <f>AN55/Sum(AN1:AN$108)</f>
      </c>
      <c r="O55" t="s">
        <v>143</v>
      </c>
      <c r="P55" t="n">
        <v>1771</v>
      </c>
      <c r="Q55" s="10"/>
      <c r="R55" s="10" t="n">
        <v>648464.570197865</v>
      </c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  <c r="AD55" s="10"/>
      <c r="AE55" s="10"/>
      <c r="AF55" s="10"/>
      <c r="AG55" s="10"/>
      <c r="AH55" s="10"/>
      <c r="AI55" s="10"/>
      <c r="AJ55" s="10"/>
      <c r="AK55" s="10"/>
      <c r="AL55" s="10"/>
      <c r="AM55" s="10"/>
      <c r="AN55" s="10"/>
      <c r="AO55" s="10"/>
    </row>
    <row r="56">
      <c r="A56" t="str">
        <f>O56</f>
      </c>
      <c r="B56" t="str">
        <f>P56</f>
      </c>
      <c r="C56" s="10" t="str">
        <f>AF56</f>
      </c>
      <c r="D56" s="10" t="str">
        <f>AL56</f>
      </c>
      <c r="E56" s="10" t="str">
        <f>AM56</f>
      </c>
      <c r="F56" s="10" t="str">
        <f>AN56</f>
      </c>
      <c r="G56" s="6" t="str">
        <f>AM56/AL56-1</f>
      </c>
      <c r="H56" s="6" t="str">
        <f>AM56/AF56-1</f>
      </c>
      <c r="I56" s="6" t="str">
        <f>AN56/AM56</f>
      </c>
      <c r="J56" s="6" t="str">
        <f>AM56/Sum(AM$1:AM$108)</f>
      </c>
      <c r="K56" s="6" t="str">
        <f>AN56/Sum(AN1:AN$108)</f>
      </c>
      <c r="O56" t="s">
        <v>144</v>
      </c>
      <c r="P56" t="n">
        <v>1772</v>
      </c>
      <c r="Q56" s="10" t="n">
        <v>765612.068353072</v>
      </c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  <c r="AF56" s="10"/>
      <c r="AG56" s="10"/>
      <c r="AH56" s="10"/>
      <c r="AI56" s="10"/>
      <c r="AJ56" s="10"/>
      <c r="AK56" s="10"/>
      <c r="AL56" s="10"/>
      <c r="AM56" s="10"/>
      <c r="AN56" s="10"/>
      <c r="AO56" s="10"/>
    </row>
    <row r="57">
      <c r="A57" t="str">
        <f>O57</f>
      </c>
      <c r="B57" t="str">
        <f>P57</f>
      </c>
      <c r="C57" s="10" t="str">
        <f>AF57</f>
      </c>
      <c r="D57" s="10" t="str">
        <f>AL57</f>
      </c>
      <c r="E57" s="10" t="str">
        <f>AM57</f>
      </c>
      <c r="F57" s="10" t="str">
        <f>AN57</f>
      </c>
      <c r="G57" s="6" t="str">
        <f>AM57/AL57-1</f>
      </c>
      <c r="H57" s="6" t="str">
        <f>AM57/AF57-1</f>
      </c>
      <c r="I57" s="6" t="str">
        <f>AN57/AM57</f>
      </c>
      <c r="J57" s="6" t="str">
        <f>AM57/Sum(AM$1:AM$108)</f>
      </c>
      <c r="K57" s="6" t="str">
        <f>AN57/Sum(AN1:AN$108)</f>
      </c>
      <c r="O57" t="s">
        <v>76</v>
      </c>
      <c r="P57" t="n">
        <v>2017</v>
      </c>
      <c r="Q57" s="10"/>
      <c r="R57" s="10"/>
      <c r="S57" s="10"/>
      <c r="T57" s="10"/>
      <c r="U57" s="10"/>
      <c r="V57" s="10" t="n">
        <v>1811499614.32837</v>
      </c>
      <c r="W57" s="10" t="n">
        <v>4500581642.43032</v>
      </c>
      <c r="X57" s="10" t="n">
        <v>423893099.117922</v>
      </c>
      <c r="Y57" s="10" t="n">
        <v>-148921761.261858</v>
      </c>
      <c r="Z57" s="10" t="n">
        <v>-40619012.3819858</v>
      </c>
      <c r="AA57" s="10" t="n">
        <v>-66288998.8805325</v>
      </c>
      <c r="AB57" s="10" t="n">
        <v>-829720.27544851</v>
      </c>
      <c r="AC57" s="10" t="n">
        <v>207187.178206349</v>
      </c>
      <c r="AD57" s="10" t="n">
        <v>1298520.51022701</v>
      </c>
      <c r="AE57" s="10" t="n">
        <v>-230822.604968812</v>
      </c>
      <c r="AF57" s="10" t="n">
        <v>-58271.993984569</v>
      </c>
      <c r="AG57" s="10" t="n">
        <v>-20163.5509273673</v>
      </c>
      <c r="AH57" s="10" t="n">
        <v>-26723.8078531799</v>
      </c>
      <c r="AI57" s="10"/>
      <c r="AJ57" s="10"/>
      <c r="AK57" s="10"/>
      <c r="AL57" s="10" t="n">
        <v>-71.2894039536028</v>
      </c>
      <c r="AM57" s="10"/>
      <c r="AN57" s="10"/>
      <c r="AO57" s="10"/>
    </row>
    <row r="58">
      <c r="A58" t="str">
        <f>O58</f>
      </c>
      <c r="B58" t="str">
        <f>P58</f>
      </c>
      <c r="C58" s="10" t="str">
        <f>AF58</f>
      </c>
      <c r="D58" s="10" t="str">
        <f>AL58</f>
      </c>
      <c r="E58" s="10" t="str">
        <f>AM58</f>
      </c>
      <c r="F58" s="10" t="str">
        <f>AN58</f>
      </c>
      <c r="G58" s="6" t="str">
        <f>AM58/AL58-1</f>
      </c>
      <c r="H58" s="6" t="str">
        <f>AM58/AF58-1</f>
      </c>
      <c r="I58" s="6" t="str">
        <f>AN58/AM58</f>
      </c>
      <c r="J58" s="6" t="str">
        <f>AM58/Sum(AM$1:AM$108)</f>
      </c>
      <c r="K58" s="6" t="str">
        <f>AN58/Sum(AN1:AN$108)</f>
      </c>
      <c r="O58" t="s">
        <v>145</v>
      </c>
      <c r="P58" t="n">
        <v>2018</v>
      </c>
      <c r="Q58" s="10"/>
      <c r="R58" s="10"/>
      <c r="S58" s="10"/>
      <c r="T58" s="10"/>
      <c r="U58" s="10"/>
      <c r="V58" s="10" t="n">
        <v>77718801.7400884</v>
      </c>
      <c r="W58" s="10" t="n">
        <v>575059527.598219</v>
      </c>
      <c r="X58" s="10" t="n">
        <v>3753175.31664877</v>
      </c>
      <c r="Y58" s="10" t="n">
        <v>1215069.83847585</v>
      </c>
      <c r="Z58" s="10" t="n">
        <v>-3825676.39925309</v>
      </c>
      <c r="AA58" s="10" t="n">
        <v>-347289.120419728</v>
      </c>
      <c r="AB58" s="10" t="n">
        <v>-672133.902225571</v>
      </c>
      <c r="AC58" s="10" t="n">
        <v>33652.2738935791</v>
      </c>
      <c r="AD58" s="10"/>
      <c r="AE58" s="10"/>
      <c r="AF58" s="10"/>
      <c r="AG58" s="10"/>
      <c r="AH58" s="10"/>
      <c r="AI58" s="10"/>
      <c r="AJ58" s="10"/>
      <c r="AK58" s="10"/>
      <c r="AL58" s="10"/>
      <c r="AM58" s="10"/>
      <c r="AN58" s="10"/>
      <c r="AO58" s="10"/>
    </row>
    <row r="59">
      <c r="A59" t="str">
        <f>O59</f>
      </c>
      <c r="B59" t="str">
        <f>P59</f>
      </c>
      <c r="C59" s="10" t="str">
        <f>AF59</f>
      </c>
      <c r="D59" s="10" t="str">
        <f>AL59</f>
      </c>
      <c r="E59" s="10" t="str">
        <f>AM59</f>
      </c>
      <c r="F59" s="10" t="str">
        <f>AN59</f>
      </c>
      <c r="G59" s="6" t="str">
        <f>AM59/AL59-1</f>
      </c>
      <c r="H59" s="6" t="str">
        <f>AM59/AF59-1</f>
      </c>
      <c r="I59" s="6" t="str">
        <f>AN59/AM59</f>
      </c>
      <c r="J59" s="6" t="str">
        <f>AM59/Sum(AM$1:AM$108)</f>
      </c>
      <c r="K59" s="6" t="str">
        <f>AN59/Sum(AN1:AN$108)</f>
      </c>
      <c r="O59" t="s">
        <v>146</v>
      </c>
      <c r="P59" t="n">
        <v>1758</v>
      </c>
      <c r="Q59" s="10" t="n">
        <v>6744055.61200647</v>
      </c>
      <c r="R59" s="10"/>
      <c r="S59" s="10"/>
      <c r="T59" s="10" t="n">
        <v>595772.026421796</v>
      </c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  <c r="AF59" s="10"/>
      <c r="AG59" s="10"/>
      <c r="AH59" s="10"/>
      <c r="AI59" s="10"/>
      <c r="AJ59" s="10"/>
      <c r="AK59" s="10"/>
      <c r="AL59" s="10"/>
      <c r="AM59" s="10"/>
      <c r="AN59" s="10"/>
      <c r="AO59" s="10"/>
    </row>
    <row r="60">
      <c r="A60" t="str">
        <f>O60</f>
      </c>
      <c r="B60" t="str">
        <f>P60</f>
      </c>
      <c r="C60" s="10" t="str">
        <f>AF60</f>
      </c>
      <c r="D60" s="10" t="str">
        <f>AL60</f>
      </c>
      <c r="E60" s="10" t="str">
        <f>AM60</f>
      </c>
      <c r="F60" s="10" t="str">
        <f>AN60</f>
      </c>
      <c r="G60" s="6" t="str">
        <f>AM60/AL60-1</f>
      </c>
      <c r="H60" s="6" t="str">
        <f>AM60/AF60-1</f>
      </c>
      <c r="I60" s="6" t="str">
        <f>AN60/AM60</f>
      </c>
      <c r="J60" s="6" t="str">
        <f>AM60/Sum(AM$1:AM$108)</f>
      </c>
      <c r="K60" s="6" t="str">
        <f>AN60/Sum(AN1:AN$108)</f>
      </c>
      <c r="O60" t="s">
        <v>147</v>
      </c>
      <c r="P60" t="n">
        <v>1974</v>
      </c>
      <c r="Q60" s="10"/>
      <c r="R60" s="10"/>
      <c r="S60" s="10"/>
      <c r="T60" s="10"/>
      <c r="U60" s="10"/>
      <c r="V60" s="10"/>
      <c r="W60" s="10"/>
      <c r="X60" s="10"/>
      <c r="Y60" s="10" t="n">
        <v>9564.3881616037</v>
      </c>
      <c r="Z60" s="10" t="n">
        <v>0</v>
      </c>
      <c r="AA60" s="10"/>
      <c r="AB60" s="10"/>
      <c r="AC60" s="10"/>
      <c r="AD60" s="10"/>
      <c r="AE60" s="10"/>
      <c r="AF60" s="10" t="n">
        <v>0</v>
      </c>
      <c r="AG60" s="10"/>
      <c r="AH60" s="10"/>
      <c r="AI60" s="10"/>
      <c r="AJ60" s="10"/>
      <c r="AK60" s="10"/>
      <c r="AL60" s="10"/>
      <c r="AM60" s="10"/>
      <c r="AN60" s="10"/>
      <c r="AO60" s="10"/>
    </row>
    <row r="61">
      <c r="A61" t="str">
        <f>O61</f>
      </c>
      <c r="B61" t="str">
        <f>P61</f>
      </c>
      <c r="C61" s="10" t="str">
        <f>AF61</f>
      </c>
      <c r="D61" s="10" t="str">
        <f>AL61</f>
      </c>
      <c r="E61" s="10" t="str">
        <f>AM61</f>
      </c>
      <c r="F61" s="10" t="str">
        <f>AN61</f>
      </c>
      <c r="G61" s="6" t="str">
        <f>AM61/AL61-1</f>
      </c>
      <c r="H61" s="6" t="str">
        <f>AM61/AF61-1</f>
      </c>
      <c r="I61" s="6" t="str">
        <f>AN61/AM61</f>
      </c>
      <c r="J61" s="6" t="str">
        <f>AM61/Sum(AM$1:AM$108)</f>
      </c>
      <c r="K61" s="6" t="str">
        <f>AN61/Sum(AN1:AN$108)</f>
      </c>
      <c r="O61" t="s">
        <v>148</v>
      </c>
      <c r="P61" t="n">
        <v>577</v>
      </c>
      <c r="Q61" s="10"/>
      <c r="R61" s="10" t="n">
        <v>6188401.80503263</v>
      </c>
      <c r="S61" s="10" t="n">
        <v>9832567.50039403</v>
      </c>
      <c r="T61" s="10" t="n">
        <v>7202278.65275966</v>
      </c>
      <c r="U61" s="10"/>
      <c r="V61" s="10"/>
      <c r="W61" s="10"/>
      <c r="X61" s="10"/>
      <c r="Y61" s="10"/>
      <c r="Z61" s="10"/>
      <c r="AA61" s="10"/>
      <c r="AB61" s="10"/>
      <c r="AC61" s="10"/>
      <c r="AD61" s="10"/>
      <c r="AE61" s="10"/>
      <c r="AF61" s="10"/>
      <c r="AG61" s="10"/>
      <c r="AH61" s="10"/>
      <c r="AI61" s="10"/>
      <c r="AJ61" s="10"/>
      <c r="AK61" s="10"/>
      <c r="AL61" s="10"/>
      <c r="AM61" s="10"/>
      <c r="AN61" s="10"/>
      <c r="AO61" s="10"/>
    </row>
    <row r="62">
      <c r="A62" t="str">
        <f>O62</f>
      </c>
      <c r="B62" t="str">
        <f>P62</f>
      </c>
      <c r="C62" s="10" t="str">
        <f>AF62</f>
      </c>
      <c r="D62" s="10" t="str">
        <f>AL62</f>
      </c>
      <c r="E62" s="10" t="str">
        <f>AM62</f>
      </c>
      <c r="F62" s="10" t="str">
        <f>AN62</f>
      </c>
      <c r="G62" s="6" t="str">
        <f>AM62/AL62-1</f>
      </c>
      <c r="H62" s="6" t="str">
        <f>AM62/AF62-1</f>
      </c>
      <c r="I62" s="6" t="str">
        <f>AN62/AM62</f>
      </c>
      <c r="J62" s="6" t="str">
        <f>AM62/Sum(AM$1:AM$108)</f>
      </c>
      <c r="K62" s="6" t="str">
        <f>AN62/Sum(AN1:AN$108)</f>
      </c>
      <c r="O62" t="s">
        <v>149</v>
      </c>
      <c r="P62" t="n">
        <v>578</v>
      </c>
      <c r="Q62" s="10" t="n">
        <v>292770.285018174</v>
      </c>
      <c r="R62" s="10"/>
      <c r="S62" s="10" t="n">
        <v>12533522.9612297</v>
      </c>
      <c r="T62" s="10" t="n">
        <v>27092561.0125669</v>
      </c>
      <c r="U62" s="10"/>
      <c r="V62" s="10"/>
      <c r="W62" s="10"/>
      <c r="X62" s="10"/>
      <c r="Y62" s="10"/>
      <c r="Z62" s="10" t="n">
        <v>43605.1275259778</v>
      </c>
      <c r="AA62" s="10" t="n">
        <v>-12156.0519378805</v>
      </c>
      <c r="AB62" s="10"/>
      <c r="AC62" s="10"/>
      <c r="AD62" s="10"/>
      <c r="AE62" s="10"/>
      <c r="AF62" s="10"/>
      <c r="AG62" s="10"/>
      <c r="AH62" s="10"/>
      <c r="AI62" s="10"/>
      <c r="AJ62" s="10"/>
      <c r="AK62" s="10"/>
      <c r="AL62" s="10"/>
      <c r="AM62" s="10"/>
      <c r="AN62" s="10"/>
      <c r="AO62" s="10"/>
    </row>
    <row r="63">
      <c r="A63" t="str">
        <f>O63</f>
      </c>
      <c r="B63" t="str">
        <f>P63</f>
      </c>
      <c r="C63" s="10" t="str">
        <f>AF63</f>
      </c>
      <c r="D63" s="10" t="str">
        <f>AL63</f>
      </c>
      <c r="E63" s="10" t="str">
        <f>AM63</f>
      </c>
      <c r="F63" s="10" t="str">
        <f>AN63</f>
      </c>
      <c r="G63" s="6" t="str">
        <f>AM63/AL63-1</f>
      </c>
      <c r="H63" s="6" t="str">
        <f>AM63/AF63-1</f>
      </c>
      <c r="I63" s="6" t="str">
        <f>AN63/AM63</f>
      </c>
      <c r="J63" s="6" t="str">
        <f>AM63/Sum(AM$1:AM$108)</f>
      </c>
      <c r="K63" s="6" t="str">
        <f>AN63/Sum(AN1:AN$108)</f>
      </c>
      <c r="O63" t="s">
        <v>150</v>
      </c>
      <c r="P63" t="n">
        <v>492</v>
      </c>
      <c r="Q63" s="10"/>
      <c r="R63" s="10"/>
      <c r="S63" s="10" t="n">
        <v>455956.98261017</v>
      </c>
      <c r="T63" s="10" t="n">
        <v>47810628.9284324</v>
      </c>
      <c r="U63" s="10"/>
      <c r="V63" s="10"/>
      <c r="W63" s="10"/>
      <c r="X63" s="10"/>
      <c r="Y63" s="10"/>
      <c r="Z63" s="10"/>
      <c r="AA63" s="10"/>
      <c r="AB63" s="10"/>
      <c r="AC63" s="10"/>
      <c r="AD63" s="10"/>
      <c r="AE63" s="10"/>
      <c r="AF63" s="10"/>
      <c r="AG63" s="10"/>
      <c r="AH63" s="10"/>
      <c r="AI63" s="10"/>
      <c r="AJ63" s="10"/>
      <c r="AK63" s="10"/>
      <c r="AL63" s="10"/>
      <c r="AM63" s="10"/>
      <c r="AN63" s="10"/>
      <c r="AO63" s="10"/>
    </row>
    <row r="64">
      <c r="A64" t="str">
        <f>O64</f>
      </c>
      <c r="B64" t="str">
        <f>P64</f>
      </c>
      <c r="C64" s="10" t="str">
        <f>AF64</f>
      </c>
      <c r="D64" s="10" t="str">
        <f>AL64</f>
      </c>
      <c r="E64" s="10" t="str">
        <f>AM64</f>
      </c>
      <c r="F64" s="10" t="str">
        <f>AN64</f>
      </c>
      <c r="G64" s="6" t="str">
        <f>AM64/AL64-1</f>
      </c>
      <c r="H64" s="6" t="str">
        <f>AM64/AF64-1</f>
      </c>
      <c r="I64" s="6" t="str">
        <f>AN64/AM64</f>
      </c>
      <c r="J64" s="6" t="str">
        <f>AM64/Sum(AM$1:AM$108)</f>
      </c>
      <c r="K64" s="6" t="str">
        <f>AN64/Sum(AN1:AN$108)</f>
      </c>
      <c r="O64" t="s">
        <v>151</v>
      </c>
      <c r="P64" t="n">
        <v>2254</v>
      </c>
      <c r="Q64" s="10"/>
      <c r="R64" s="10"/>
      <c r="S64" s="10"/>
      <c r="T64" s="10"/>
      <c r="U64" s="10"/>
      <c r="V64" s="10"/>
      <c r="W64" s="10"/>
      <c r="X64" s="10"/>
      <c r="Y64" s="10"/>
      <c r="Z64" s="10"/>
      <c r="AA64" s="10"/>
      <c r="AB64" s="10"/>
      <c r="AC64" s="10"/>
      <c r="AD64" s="10"/>
      <c r="AE64" s="10"/>
      <c r="AF64" s="10"/>
      <c r="AG64" s="10"/>
      <c r="AH64" s="10"/>
      <c r="AI64" s="10"/>
      <c r="AJ64" s="10"/>
      <c r="AK64" s="10" t="n">
        <v>1536051.45682387</v>
      </c>
      <c r="AL64" s="10" t="n">
        <v>243253.304256923</v>
      </c>
      <c r="AM64" s="10"/>
      <c r="AN64" s="10"/>
      <c r="AO64" s="10"/>
    </row>
    <row r="65">
      <c r="A65" t="str">
        <f>O65</f>
      </c>
      <c r="B65" t="str">
        <f>P65</f>
      </c>
      <c r="C65" s="10" t="str">
        <f>AF65</f>
      </c>
      <c r="D65" s="10" t="str">
        <f>AL65</f>
      </c>
      <c r="E65" s="10" t="str">
        <f>AM65</f>
      </c>
      <c r="F65" s="10" t="str">
        <f>AN65</f>
      </c>
      <c r="G65" s="6" t="str">
        <f>AM65/AL65-1</f>
      </c>
      <c r="H65" s="6" t="str">
        <f>AM65/AF65-1</f>
      </c>
      <c r="I65" s="6" t="str">
        <f>AN65/AM65</f>
      </c>
      <c r="J65" s="6" t="str">
        <f>AM65/Sum(AM$1:AM$108)</f>
      </c>
      <c r="K65" s="6" t="str">
        <f>AN65/Sum(AN1:AN$108)</f>
      </c>
      <c r="O65" t="s">
        <v>152</v>
      </c>
      <c r="P65" t="n">
        <v>1954</v>
      </c>
      <c r="Q65" s="10"/>
      <c r="R65" s="10"/>
      <c r="S65" s="10"/>
      <c r="T65" s="10"/>
      <c r="U65" s="10" t="n">
        <v>19146.8339188424</v>
      </c>
      <c r="V65" s="10"/>
      <c r="W65" s="10"/>
      <c r="X65" s="10"/>
      <c r="Y65" s="10"/>
      <c r="Z65" s="10"/>
      <c r="AA65" s="10"/>
      <c r="AB65" s="10"/>
      <c r="AC65" s="10"/>
      <c r="AD65" s="10"/>
      <c r="AE65" s="10"/>
      <c r="AF65" s="10"/>
      <c r="AG65" s="10"/>
      <c r="AH65" s="10"/>
      <c r="AI65" s="10"/>
      <c r="AJ65" s="10"/>
      <c r="AK65" s="10"/>
      <c r="AL65" s="10"/>
      <c r="AM65" s="10"/>
      <c r="AN65" s="10"/>
      <c r="AO65" s="10"/>
    </row>
    <row r="66">
      <c r="A66" t="str">
        <f>O66</f>
      </c>
      <c r="B66" t="str">
        <f>P66</f>
      </c>
      <c r="C66" s="10" t="str">
        <f>AF66</f>
      </c>
      <c r="D66" s="10" t="str">
        <f>AL66</f>
      </c>
      <c r="E66" s="10" t="str">
        <f>AM66</f>
      </c>
      <c r="F66" s="10" t="str">
        <f>AN66</f>
      </c>
      <c r="G66" s="6" t="str">
        <f>AM66/AL66-1</f>
      </c>
      <c r="H66" s="6" t="str">
        <f>AM66/AF66-1</f>
      </c>
      <c r="I66" s="6" t="str">
        <f>AN66/AM66</f>
      </c>
      <c r="J66" s="6" t="str">
        <f>AM66/Sum(AM$1:AM$108)</f>
      </c>
      <c r="K66" s="6" t="str">
        <f>AN66/Sum(AN1:AN$108)</f>
      </c>
      <c r="O66" t="s">
        <v>153</v>
      </c>
      <c r="P66" t="n">
        <v>1988</v>
      </c>
      <c r="Q66" s="10"/>
      <c r="R66" s="10"/>
      <c r="S66" s="10"/>
      <c r="T66" s="10"/>
      <c r="U66" s="10"/>
      <c r="V66" s="10"/>
      <c r="W66" s="10"/>
      <c r="X66" s="10"/>
      <c r="Y66" s="10"/>
      <c r="Z66" s="10"/>
      <c r="AA66" s="10" t="n">
        <v>1738765.45745125</v>
      </c>
      <c r="AB66" s="10"/>
      <c r="AC66" s="10"/>
      <c r="AD66" s="10"/>
      <c r="AE66" s="10"/>
      <c r="AF66" s="10"/>
      <c r="AG66" s="10"/>
      <c r="AH66" s="10"/>
      <c r="AI66" s="10"/>
      <c r="AJ66" s="10"/>
      <c r="AK66" s="10"/>
      <c r="AL66" s="10"/>
      <c r="AM66" s="10"/>
      <c r="AN66" s="10"/>
      <c r="AO66" s="10"/>
    </row>
    <row r="67">
      <c r="A67" t="str">
        <f>O67</f>
      </c>
      <c r="B67" t="str">
        <f>P67</f>
      </c>
      <c r="C67" s="10" t="str">
        <f>AF67</f>
      </c>
      <c r="D67" s="10" t="str">
        <f>AL67</f>
      </c>
      <c r="E67" s="10" t="str">
        <f>AM67</f>
      </c>
      <c r="F67" s="10" t="str">
        <f>AN67</f>
      </c>
      <c r="G67" s="6" t="str">
        <f>AM67/AL67-1</f>
      </c>
      <c r="H67" s="6" t="str">
        <f>AM67/AF67-1</f>
      </c>
      <c r="I67" s="6" t="str">
        <f>AN67/AM67</f>
      </c>
      <c r="J67" s="6" t="str">
        <f>AM67/Sum(AM$1:AM$108)</f>
      </c>
      <c r="K67" s="6" t="str">
        <f>AN67/Sum(AN1:AN$108)</f>
      </c>
      <c r="O67" t="s">
        <v>154</v>
      </c>
      <c r="P67" t="n">
        <v>2241</v>
      </c>
      <c r="Q67" s="10"/>
      <c r="R67" s="10"/>
      <c r="S67" s="10"/>
      <c r="T67" s="10"/>
      <c r="U67" s="10"/>
      <c r="V67" s="10"/>
      <c r="W67" s="10"/>
      <c r="X67" s="10"/>
      <c r="Y67" s="10"/>
      <c r="Z67" s="10"/>
      <c r="AA67" s="10"/>
      <c r="AB67" s="10"/>
      <c r="AC67" s="10"/>
      <c r="AD67" s="10"/>
      <c r="AE67" s="10"/>
      <c r="AF67" s="10"/>
      <c r="AG67" s="10"/>
      <c r="AH67" s="10"/>
      <c r="AI67" s="10"/>
      <c r="AJ67" s="10" t="n">
        <v>65518.7663335418</v>
      </c>
      <c r="AK67" s="10" t="n">
        <v>51010.8245489016</v>
      </c>
      <c r="AL67" s="10" t="n">
        <v>2673.21898731074</v>
      </c>
      <c r="AM67" s="10" t="n">
        <v>-5846.2998</v>
      </c>
      <c r="AN67" s="10"/>
      <c r="AO67" s="10"/>
    </row>
    <row r="68">
      <c r="A68" t="str">
        <f>O68</f>
      </c>
      <c r="B68" t="str">
        <f>P68</f>
      </c>
      <c r="C68" s="10" t="str">
        <f>AF68</f>
      </c>
      <c r="D68" s="10" t="str">
        <f>AL68</f>
      </c>
      <c r="E68" s="10" t="str">
        <f>AM68</f>
      </c>
      <c r="F68" s="10" t="str">
        <f>AN68</f>
      </c>
      <c r="G68" s="6" t="str">
        <f>AM68/AL68-1</f>
      </c>
      <c r="H68" s="6" t="str">
        <f>AM68/AF68-1</f>
      </c>
      <c r="I68" s="6" t="str">
        <f>AN68/AM68</f>
      </c>
      <c r="J68" s="6" t="str">
        <f>AM68/Sum(AM$1:AM$108)</f>
      </c>
      <c r="K68" s="6" t="str">
        <f>AN68/Sum(AN1:AN$108)</f>
      </c>
      <c r="O68" t="s">
        <v>155</v>
      </c>
      <c r="P68" t="n">
        <v>2001</v>
      </c>
      <c r="Q68" s="10"/>
      <c r="R68" s="10"/>
      <c r="S68" s="10"/>
      <c r="T68" s="10"/>
      <c r="U68" s="10"/>
      <c r="V68" s="10"/>
      <c r="W68" s="10"/>
      <c r="X68" s="10"/>
      <c r="Y68" s="10" t="n">
        <v>379165.672120262</v>
      </c>
      <c r="Z68" s="10" t="n">
        <v>14514.3463360802</v>
      </c>
      <c r="AA68" s="10"/>
      <c r="AB68" s="10"/>
      <c r="AC68" s="10"/>
      <c r="AD68" s="10"/>
      <c r="AE68" s="10"/>
      <c r="AF68" s="10"/>
      <c r="AG68" s="10"/>
      <c r="AH68" s="10"/>
      <c r="AI68" s="10"/>
      <c r="AJ68" s="10"/>
      <c r="AK68" s="10" t="n">
        <v>4420.92329537382</v>
      </c>
      <c r="AL68" s="10" t="n">
        <v>645139.98437403</v>
      </c>
      <c r="AM68" s="10" t="n">
        <v>0</v>
      </c>
      <c r="AN68" s="10"/>
      <c r="AO68" s="10"/>
    </row>
    <row r="69">
      <c r="A69" t="str">
        <f>O69</f>
      </c>
      <c r="B69" t="str">
        <f>P69</f>
      </c>
      <c r="C69" s="10" t="str">
        <f>AF69</f>
      </c>
      <c r="D69" s="10" t="str">
        <f>AL69</f>
      </c>
      <c r="E69" s="10" t="str">
        <f>AM69</f>
      </c>
      <c r="F69" s="10" t="str">
        <f>AN69</f>
      </c>
      <c r="G69" s="6" t="str">
        <f>AM69/AL69-1</f>
      </c>
      <c r="H69" s="6" t="str">
        <f>AM69/AF69-1</f>
      </c>
      <c r="I69" s="6" t="str">
        <f>AN69/AM69</f>
      </c>
      <c r="J69" s="6" t="str">
        <f>AM69/Sum(AM$1:AM$108)</f>
      </c>
      <c r="K69" s="6" t="str">
        <f>AN69/Sum(AN1:AN$108)</f>
      </c>
      <c r="O69" t="s">
        <v>156</v>
      </c>
      <c r="P69" t="n">
        <v>595</v>
      </c>
      <c r="Q69" s="10"/>
      <c r="R69" s="10" t="n">
        <v>197184.642475091</v>
      </c>
      <c r="S69" s="10"/>
      <c r="T69" s="10" t="n">
        <v>676020.400855061</v>
      </c>
      <c r="U69" s="10"/>
      <c r="V69" s="10"/>
      <c r="W69" s="10"/>
      <c r="X69" s="10"/>
      <c r="Y69" s="10"/>
      <c r="Z69" s="10"/>
      <c r="AA69" s="10"/>
      <c r="AB69" s="10"/>
      <c r="AC69" s="10"/>
      <c r="AD69" s="10"/>
      <c r="AE69" s="10"/>
      <c r="AF69" s="10"/>
      <c r="AG69" s="10"/>
      <c r="AH69" s="10"/>
      <c r="AI69" s="10"/>
      <c r="AJ69" s="10"/>
      <c r="AK69" s="10"/>
      <c r="AL69" s="10"/>
      <c r="AM69" s="10"/>
      <c r="AN69" s="10"/>
      <c r="AO69" s="10"/>
    </row>
    <row r="70">
      <c r="A70" t="str">
        <f>O70</f>
      </c>
      <c r="B70" t="str">
        <f>P70</f>
      </c>
      <c r="C70" s="10" t="str">
        <f>AF70</f>
      </c>
      <c r="D70" s="10" t="str">
        <f>AL70</f>
      </c>
      <c r="E70" s="10" t="str">
        <f>AM70</f>
      </c>
      <c r="F70" s="10" t="str">
        <f>AN70</f>
      </c>
      <c r="G70" s="6" t="str">
        <f>AM70/AL70-1</f>
      </c>
      <c r="H70" s="6" t="str">
        <f>AM70/AF70-1</f>
      </c>
      <c r="I70" s="6" t="str">
        <f>AN70/AM70</f>
      </c>
      <c r="J70" s="6" t="str">
        <f>AM70/Sum(AM$1:AM$108)</f>
      </c>
      <c r="K70" s="6" t="str">
        <f>AN70/Sum(AN1:AN$108)</f>
      </c>
      <c r="O70" t="s">
        <v>157</v>
      </c>
      <c r="P70" t="n">
        <v>412</v>
      </c>
      <c r="Q70" s="10" t="n">
        <v>387658.879381018</v>
      </c>
      <c r="R70" s="10" t="n">
        <v>247657.601040156</v>
      </c>
      <c r="S70" s="10" t="n">
        <v>45439.780490639</v>
      </c>
      <c r="T70" s="10" t="n">
        <v>9884583.08252478</v>
      </c>
      <c r="U70" s="10"/>
      <c r="V70" s="10"/>
      <c r="W70" s="10"/>
      <c r="X70" s="10"/>
      <c r="Y70" s="10"/>
      <c r="Z70" s="10"/>
      <c r="AA70" s="10"/>
      <c r="AB70" s="10"/>
      <c r="AC70" s="10"/>
      <c r="AD70" s="10"/>
      <c r="AE70" s="10"/>
      <c r="AF70" s="10"/>
      <c r="AG70" s="10"/>
      <c r="AH70" s="10"/>
      <c r="AI70" s="10"/>
      <c r="AJ70" s="10"/>
      <c r="AK70" s="10"/>
      <c r="AL70" s="10"/>
      <c r="AM70" s="10"/>
      <c r="AN70" s="10"/>
      <c r="AO70" s="10"/>
    </row>
    <row r="71">
      <c r="A71" t="str">
        <f>O71</f>
      </c>
      <c r="B71" t="str">
        <f>P71</f>
      </c>
      <c r="C71" s="10" t="str">
        <f>AF71</f>
      </c>
      <c r="D71" s="10" t="str">
        <f>AL71</f>
      </c>
      <c r="E71" s="10" t="str">
        <f>AM71</f>
      </c>
      <c r="F71" s="10" t="str">
        <f>AN71</f>
      </c>
      <c r="G71" s="6" t="str">
        <f>AM71/AL71-1</f>
      </c>
      <c r="H71" s="6" t="str">
        <f>AM71/AF71-1</f>
      </c>
      <c r="I71" s="6" t="str">
        <f>AN71/AM71</f>
      </c>
      <c r="J71" s="6" t="str">
        <f>AM71/Sum(AM$1:AM$108)</f>
      </c>
      <c r="K71" s="6" t="str">
        <f>AN71/Sum(AN1:AN$108)</f>
      </c>
      <c r="O71" t="s">
        <v>158</v>
      </c>
      <c r="P71" t="n">
        <v>1580</v>
      </c>
      <c r="Q71" s="10" t="n">
        <v>4762613.1441223</v>
      </c>
      <c r="R71" s="10"/>
      <c r="S71" s="10" t="n">
        <v>85868.1402142481</v>
      </c>
      <c r="T71" s="10"/>
      <c r="U71" s="10"/>
      <c r="V71" s="10"/>
      <c r="W71" s="10"/>
      <c r="X71" s="10"/>
      <c r="Y71" s="10"/>
      <c r="Z71" s="10"/>
      <c r="AA71" s="10"/>
      <c r="AB71" s="10"/>
      <c r="AC71" s="10"/>
      <c r="AD71" s="10"/>
      <c r="AE71" s="10"/>
      <c r="AF71" s="10"/>
      <c r="AG71" s="10"/>
      <c r="AH71" s="10"/>
      <c r="AI71" s="10"/>
      <c r="AJ71" s="10"/>
      <c r="AK71" s="10"/>
      <c r="AL71" s="10"/>
      <c r="AM71" s="10"/>
      <c r="AN71" s="10"/>
      <c r="AO71" s="10"/>
    </row>
    <row r="72">
      <c r="A72" t="str">
        <f>O72</f>
      </c>
      <c r="B72" t="str">
        <f>P72</f>
      </c>
      <c r="C72" s="10" t="str">
        <f>AF72</f>
      </c>
      <c r="D72" s="10" t="str">
        <f>AL72</f>
      </c>
      <c r="E72" s="10" t="str">
        <f>AM72</f>
      </c>
      <c r="F72" s="10" t="str">
        <f>AN72</f>
      </c>
      <c r="G72" s="6" t="str">
        <f>AM72/AL72-1</f>
      </c>
      <c r="H72" s="6" t="str">
        <f>AM72/AF72-1</f>
      </c>
      <c r="I72" s="6" t="str">
        <f>AN72/AM72</f>
      </c>
      <c r="J72" s="6" t="str">
        <f>AM72/Sum(AM$1:AM$108)</f>
      </c>
      <c r="K72" s="6" t="str">
        <f>AN72/Sum(AN1:AN$108)</f>
      </c>
      <c r="O72" t="s">
        <v>159</v>
      </c>
      <c r="P72" t="n">
        <v>579</v>
      </c>
      <c r="Q72" s="10" t="n">
        <v>535777.700233507</v>
      </c>
      <c r="R72" s="10" t="n">
        <v>3562836.23373118</v>
      </c>
      <c r="S72" s="10" t="n">
        <v>9384148.61397325</v>
      </c>
      <c r="T72" s="10" t="n">
        <v>17447219.0249046</v>
      </c>
      <c r="U72" s="10"/>
      <c r="V72" s="10"/>
      <c r="W72" s="10"/>
      <c r="X72" s="10"/>
      <c r="Y72" s="10"/>
      <c r="Z72" s="10"/>
      <c r="AA72" s="10"/>
      <c r="AB72" s="10"/>
      <c r="AC72" s="10"/>
      <c r="AD72" s="10"/>
      <c r="AE72" s="10"/>
      <c r="AF72" s="10"/>
      <c r="AG72" s="10"/>
      <c r="AH72" s="10"/>
      <c r="AI72" s="10"/>
      <c r="AJ72" s="10"/>
      <c r="AK72" s="10"/>
      <c r="AL72" s="10"/>
      <c r="AM72" s="10"/>
      <c r="AN72" s="10"/>
      <c r="AO72" s="10"/>
    </row>
    <row r="73">
      <c r="A73" t="str">
        <f>O73</f>
      </c>
      <c r="B73" t="str">
        <f>P73</f>
      </c>
      <c r="C73" s="10" t="str">
        <f>AF73</f>
      </c>
      <c r="D73" s="10" t="str">
        <f>AL73</f>
      </c>
      <c r="E73" s="10" t="str">
        <f>AM73</f>
      </c>
      <c r="F73" s="10" t="str">
        <f>AN73</f>
      </c>
      <c r="G73" s="6" t="str">
        <f>AM73/AL73-1</f>
      </c>
      <c r="H73" s="6" t="str">
        <f>AM73/AF73-1</f>
      </c>
      <c r="I73" s="6" t="str">
        <f>AN73/AM73</f>
      </c>
      <c r="J73" s="6" t="str">
        <f>AM73/Sum(AM$1:AM$108)</f>
      </c>
      <c r="K73" s="6" t="str">
        <f>AN73/Sum(AN1:AN$108)</f>
      </c>
      <c r="O73" t="s">
        <v>160</v>
      </c>
      <c r="P73" t="n">
        <v>1028</v>
      </c>
      <c r="Q73" s="10"/>
      <c r="R73" s="10"/>
      <c r="S73" s="10"/>
      <c r="T73" s="10" t="n">
        <v>0</v>
      </c>
      <c r="U73" s="10"/>
      <c r="V73" s="10"/>
      <c r="W73" s="10"/>
      <c r="X73" s="10"/>
      <c r="Y73" s="10"/>
      <c r="Z73" s="10"/>
      <c r="AA73" s="10"/>
      <c r="AB73" s="10"/>
      <c r="AC73" s="10"/>
      <c r="AD73" s="10"/>
      <c r="AE73" s="10"/>
      <c r="AF73" s="10"/>
      <c r="AG73" s="10"/>
      <c r="AH73" s="10"/>
      <c r="AI73" s="10"/>
      <c r="AJ73" s="10"/>
      <c r="AK73" s="10"/>
      <c r="AL73" s="10"/>
      <c r="AM73" s="10"/>
      <c r="AN73" s="10"/>
      <c r="AO73" s="10"/>
    </row>
    <row r="74">
      <c r="A74" t="str">
        <f>O74</f>
      </c>
      <c r="B74" t="str">
        <f>P74</f>
      </c>
      <c r="C74" s="10" t="str">
        <f>AF74</f>
      </c>
      <c r="D74" s="10" t="str">
        <f>AL74</f>
      </c>
      <c r="E74" s="10" t="str">
        <f>AM74</f>
      </c>
      <c r="F74" s="10" t="str">
        <f>AN74</f>
      </c>
      <c r="G74" s="6" t="str">
        <f>AM74/AL74-1</f>
      </c>
      <c r="H74" s="6" t="str">
        <f>AM74/AF74-1</f>
      </c>
      <c r="I74" s="6" t="str">
        <f>AN74/AM74</f>
      </c>
      <c r="J74" s="6" t="str">
        <f>AM74/Sum(AM$1:AM$108)</f>
      </c>
      <c r="K74" s="6" t="str">
        <f>AN74/Sum(AN1:AN$108)</f>
      </c>
      <c r="O74" t="s">
        <v>161</v>
      </c>
      <c r="P74" t="n">
        <v>1159</v>
      </c>
      <c r="Q74" s="10"/>
      <c r="R74" s="10"/>
      <c r="S74" s="10" t="n">
        <v>8508529.01340933</v>
      </c>
      <c r="T74" s="10"/>
      <c r="U74" s="10"/>
      <c r="V74" s="10"/>
      <c r="W74" s="10"/>
      <c r="X74" s="10"/>
      <c r="Y74" s="10"/>
      <c r="Z74" s="10"/>
      <c r="AA74" s="10"/>
      <c r="AB74" s="10"/>
      <c r="AC74" s="10"/>
      <c r="AD74" s="10"/>
      <c r="AE74" s="10"/>
      <c r="AF74" s="10"/>
      <c r="AG74" s="10"/>
      <c r="AH74" s="10"/>
      <c r="AI74" s="10"/>
      <c r="AJ74" s="10"/>
      <c r="AK74" s="10"/>
      <c r="AL74" s="10"/>
      <c r="AM74" s="10"/>
      <c r="AN74" s="10"/>
      <c r="AO74" s="10"/>
    </row>
    <row r="75">
      <c r="A75" t="str">
        <f>O75</f>
      </c>
      <c r="B75" t="str">
        <f>P75</f>
      </c>
      <c r="C75" s="10" t="str">
        <f>AF75</f>
      </c>
      <c r="D75" s="10" t="str">
        <f>AL75</f>
      </c>
      <c r="E75" s="10" t="str">
        <f>AM75</f>
      </c>
      <c r="F75" s="10" t="str">
        <f>AN75</f>
      </c>
      <c r="G75" s="6" t="str">
        <f>AM75/AL75-1</f>
      </c>
      <c r="H75" s="6" t="str">
        <f>AM75/AF75-1</f>
      </c>
      <c r="I75" s="6" t="str">
        <f>AN75/AM75</f>
      </c>
      <c r="J75" s="6" t="str">
        <f>AM75/Sum(AM$1:AM$108)</f>
      </c>
      <c r="K75" s="6" t="str">
        <f>AN75/Sum(AN1:AN$108)</f>
      </c>
      <c r="O75" t="s">
        <v>162</v>
      </c>
      <c r="P75" t="n">
        <v>2036</v>
      </c>
      <c r="Q75" s="10"/>
      <c r="R75" s="10"/>
      <c r="S75" s="10"/>
      <c r="T75" s="10"/>
      <c r="U75" s="10"/>
      <c r="V75" s="10"/>
      <c r="W75" s="10"/>
      <c r="X75" s="10"/>
      <c r="Y75" s="10"/>
      <c r="Z75" s="10"/>
      <c r="AA75" s="10"/>
      <c r="AB75" s="10"/>
      <c r="AC75" s="10"/>
      <c r="AD75" s="10"/>
      <c r="AE75" s="10"/>
      <c r="AF75" s="10" t="n">
        <v>114527.815443363</v>
      </c>
      <c r="AG75" s="10" t="n">
        <v>-9873.29981176498</v>
      </c>
      <c r="AH75" s="10"/>
      <c r="AI75" s="10"/>
      <c r="AJ75" s="10"/>
      <c r="AK75" s="10"/>
      <c r="AL75" s="10"/>
      <c r="AM75" s="10"/>
      <c r="AN75" s="10"/>
      <c r="AO75" s="10"/>
    </row>
    <row r="76">
      <c r="A76" t="str">
        <f>O76</f>
      </c>
      <c r="B76" t="str">
        <f>P76</f>
      </c>
      <c r="C76" s="10" t="str">
        <f>AF76</f>
      </c>
      <c r="D76" s="10" t="str">
        <f>AL76</f>
      </c>
      <c r="E76" s="10" t="str">
        <f>AM76</f>
      </c>
      <c r="F76" s="10" t="str">
        <f>AN76</f>
      </c>
      <c r="G76" s="6" t="str">
        <f>AM76/AL76-1</f>
      </c>
      <c r="H76" s="6" t="str">
        <f>AM76/AF76-1</f>
      </c>
      <c r="I76" s="6" t="str">
        <f>AN76/AM76</f>
      </c>
      <c r="J76" s="6" t="str">
        <f>AM76/Sum(AM$1:AM$108)</f>
      </c>
      <c r="K76" s="6" t="str">
        <f>AN76/Sum(AN1:AN$108)</f>
      </c>
      <c r="O76" t="s">
        <v>163</v>
      </c>
      <c r="P76" t="n">
        <v>1805</v>
      </c>
      <c r="Q76" s="10"/>
      <c r="R76" s="10"/>
      <c r="S76" s="10"/>
      <c r="T76" s="10"/>
      <c r="U76" s="10"/>
      <c r="V76" s="10"/>
      <c r="W76" s="10"/>
      <c r="X76" s="10"/>
      <c r="Y76" s="10"/>
      <c r="Z76" s="10"/>
      <c r="AA76" s="10"/>
      <c r="AB76" s="10" t="n">
        <v>15809751.0397115</v>
      </c>
      <c r="AC76" s="10"/>
      <c r="AD76" s="10" t="n">
        <v>25500113.9040127</v>
      </c>
      <c r="AE76" s="10"/>
      <c r="AF76" s="10"/>
      <c r="AG76" s="10" t="n">
        <v>6643854.34286676</v>
      </c>
      <c r="AH76" s="10" t="n">
        <v>6477876.60239556</v>
      </c>
      <c r="AI76" s="10" t="n">
        <v>6526467.27208736</v>
      </c>
      <c r="AJ76" s="10" t="n">
        <v>62088106.5482038</v>
      </c>
      <c r="AK76" s="10" t="n">
        <v>2922905.59427546</v>
      </c>
      <c r="AL76" s="10" t="n">
        <v>1593877.566117</v>
      </c>
      <c r="AM76" s="10" t="n">
        <v>10</v>
      </c>
      <c r="AN76" s="10"/>
      <c r="AO76" s="10"/>
    </row>
    <row r="77">
      <c r="A77" t="str">
        <f>O77</f>
      </c>
      <c r="B77" t="str">
        <f>P77</f>
      </c>
      <c r="C77" s="10" t="str">
        <f>AF77</f>
      </c>
      <c r="D77" s="10" t="str">
        <f>AL77</f>
      </c>
      <c r="E77" s="10" t="str">
        <f>AM77</f>
      </c>
      <c r="F77" s="10" t="str">
        <f>AN77</f>
      </c>
      <c r="G77" s="6" t="str">
        <f>AM77/AL77-1</f>
      </c>
      <c r="H77" s="6" t="str">
        <f>AM77/AF77-1</f>
      </c>
      <c r="I77" s="6" t="str">
        <f>AN77/AM77</f>
      </c>
      <c r="J77" s="6" t="str">
        <f>AM77/Sum(AM$1:AM$108)</f>
      </c>
      <c r="K77" s="6" t="str">
        <f>AN77/Sum(AN1:AN$108)</f>
      </c>
      <c r="O77" t="s">
        <v>164</v>
      </c>
      <c r="P77" t="n">
        <v>662</v>
      </c>
      <c r="Q77" s="10"/>
      <c r="R77" s="10"/>
      <c r="S77" s="10"/>
      <c r="T77" s="10"/>
      <c r="U77" s="10"/>
      <c r="V77" s="10"/>
      <c r="W77" s="10"/>
      <c r="X77" s="10"/>
      <c r="Y77" s="10"/>
      <c r="Z77" s="10"/>
      <c r="AA77" s="10"/>
      <c r="AB77" s="10"/>
      <c r="AC77" s="10" t="n">
        <v>533625.069235684</v>
      </c>
      <c r="AD77" s="10" t="n">
        <v>14473.9734787859</v>
      </c>
      <c r="AE77" s="10"/>
      <c r="AF77" s="10"/>
      <c r="AG77" s="10"/>
      <c r="AH77" s="10"/>
      <c r="AI77" s="10"/>
      <c r="AJ77" s="10"/>
      <c r="AK77" s="10"/>
      <c r="AL77" s="10"/>
      <c r="AM77" s="10"/>
      <c r="AN77" s="10"/>
      <c r="AO77" s="10"/>
    </row>
    <row r="78">
      <c r="A78" t="str">
        <f>O78</f>
      </c>
      <c r="B78" t="str">
        <f>P78</f>
      </c>
      <c r="C78" s="10" t="str">
        <f>AF78</f>
      </c>
      <c r="D78" s="10" t="str">
        <f>AL78</f>
      </c>
      <c r="E78" s="10" t="str">
        <f>AM78</f>
      </c>
      <c r="F78" s="10" t="str">
        <f>AN78</f>
      </c>
      <c r="G78" s="6" t="str">
        <f>AM78/AL78-1</f>
      </c>
      <c r="H78" s="6" t="str">
        <f>AM78/AF78-1</f>
      </c>
      <c r="I78" s="6" t="str">
        <f>AN78/AM78</f>
      </c>
      <c r="J78" s="6" t="str">
        <f>AM78/Sum(AM$1:AM$108)</f>
      </c>
      <c r="K78" s="6" t="str">
        <f>AN78/Sum(AN1:AN$108)</f>
      </c>
      <c r="O78" t="s">
        <v>165</v>
      </c>
      <c r="P78" t="n">
        <v>411</v>
      </c>
      <c r="Q78" s="10"/>
      <c r="R78" s="10"/>
      <c r="S78" s="10" t="n">
        <v>947456.694409992</v>
      </c>
      <c r="T78" s="10"/>
      <c r="U78" s="10"/>
      <c r="V78" s="10"/>
      <c r="W78" s="10"/>
      <c r="X78" s="10"/>
      <c r="Y78" s="10"/>
      <c r="Z78" s="10"/>
      <c r="AA78" s="10"/>
      <c r="AB78" s="10"/>
      <c r="AC78" s="10"/>
      <c r="AD78" s="10"/>
      <c r="AE78" s="10"/>
      <c r="AF78" s="10"/>
      <c r="AG78" s="10"/>
      <c r="AH78" s="10"/>
      <c r="AI78" s="10"/>
      <c r="AJ78" s="10"/>
      <c r="AK78" s="10"/>
      <c r="AL78" s="10"/>
      <c r="AM78" s="10"/>
      <c r="AN78" s="10"/>
      <c r="AO78" s="10"/>
    </row>
    <row r="79">
      <c r="A79" t="str">
        <f>O79</f>
      </c>
      <c r="B79" t="str">
        <f>P79</f>
      </c>
      <c r="C79" s="10" t="str">
        <f>AF79</f>
      </c>
      <c r="D79" s="10" t="str">
        <f>AL79</f>
      </c>
      <c r="E79" s="10" t="str">
        <f>AM79</f>
      </c>
      <c r="F79" s="10" t="str">
        <f>AN79</f>
      </c>
      <c r="G79" s="6" t="str">
        <f>AM79/AL79-1</f>
      </c>
      <c r="H79" s="6" t="str">
        <f>AM79/AF79-1</f>
      </c>
      <c r="I79" s="6" t="str">
        <f>AN79/AM79</f>
      </c>
      <c r="J79" s="6" t="str">
        <f>AM79/Sum(AM$1:AM$108)</f>
      </c>
      <c r="K79" s="6" t="str">
        <f>AN79/Sum(AN1:AN$108)</f>
      </c>
      <c r="O79" t="s">
        <v>166</v>
      </c>
      <c r="P79" t="n">
        <v>2100</v>
      </c>
      <c r="Q79" s="10"/>
      <c r="R79" s="10"/>
      <c r="S79" s="10"/>
      <c r="T79" s="10"/>
      <c r="U79" s="10"/>
      <c r="V79" s="10"/>
      <c r="W79" s="10"/>
      <c r="X79" s="10"/>
      <c r="Y79" s="10"/>
      <c r="Z79" s="10"/>
      <c r="AA79" s="10"/>
      <c r="AB79" s="10"/>
      <c r="AC79" s="10"/>
      <c r="AD79" s="10"/>
      <c r="AE79" s="10"/>
      <c r="AF79" s="10"/>
      <c r="AG79" s="10"/>
      <c r="AH79" s="10" t="n">
        <v>555143.851784997</v>
      </c>
      <c r="AI79" s="10" t="n">
        <v>30412.5289232337</v>
      </c>
      <c r="AJ79" s="10"/>
      <c r="AK79" s="10"/>
      <c r="AL79" s="10"/>
      <c r="AM79" s="10"/>
      <c r="AN79" s="10"/>
      <c r="AO79" s="10"/>
    </row>
    <row r="80">
      <c r="A80" t="str">
        <f>O80</f>
      </c>
      <c r="B80" t="str">
        <f>P80</f>
      </c>
      <c r="C80" s="10" t="str">
        <f>AF80</f>
      </c>
      <c r="D80" s="10" t="str">
        <f>AL80</f>
      </c>
      <c r="E80" s="10" t="str">
        <f>AM80</f>
      </c>
      <c r="F80" s="10" t="str">
        <f>AN80</f>
      </c>
      <c r="G80" s="6" t="str">
        <f>AM80/AL80-1</f>
      </c>
      <c r="H80" s="6" t="str">
        <f>AM80/AF80-1</f>
      </c>
      <c r="I80" s="6" t="str">
        <f>AN80/AM80</f>
      </c>
      <c r="J80" s="6" t="str">
        <f>AM80/Sum(AM$1:AM$108)</f>
      </c>
      <c r="K80" s="6" t="str">
        <f>AN80/Sum(AN1:AN$108)</f>
      </c>
      <c r="O80" t="s">
        <v>167</v>
      </c>
      <c r="P80" t="n">
        <v>2194</v>
      </c>
      <c r="Q80" s="10"/>
      <c r="R80" s="10"/>
      <c r="S80" s="10"/>
      <c r="T80" s="10"/>
      <c r="U80" s="10"/>
      <c r="V80" s="10"/>
      <c r="W80" s="10"/>
      <c r="X80" s="10"/>
      <c r="Y80" s="10"/>
      <c r="Z80" s="10"/>
      <c r="AA80" s="10"/>
      <c r="AB80" s="10"/>
      <c r="AC80" s="10"/>
      <c r="AD80" s="10"/>
      <c r="AE80" s="10"/>
      <c r="AF80" s="10"/>
      <c r="AG80" s="10"/>
      <c r="AH80" s="10"/>
      <c r="AI80" s="10" t="n">
        <v>35342.6180809771</v>
      </c>
      <c r="AJ80" s="10" t="n">
        <v>626742.124764901</v>
      </c>
      <c r="AK80" s="10" t="n">
        <v>0</v>
      </c>
      <c r="AL80" s="10"/>
      <c r="AM80" s="10" t="n">
        <v>226052.4375</v>
      </c>
      <c r="AN80" s="10"/>
      <c r="AO80" s="10"/>
    </row>
    <row r="81">
      <c r="A81" t="str">
        <f>O81</f>
      </c>
      <c r="B81" t="str">
        <f>P81</f>
      </c>
      <c r="C81" s="10" t="str">
        <f>AF81</f>
      </c>
      <c r="D81" s="10" t="str">
        <f>AL81</f>
      </c>
      <c r="E81" s="10" t="str">
        <f>AM81</f>
      </c>
      <c r="F81" s="10" t="str">
        <f>AN81</f>
      </c>
      <c r="G81" s="6" t="str">
        <f>AM81/AL81-1</f>
      </c>
      <c r="H81" s="6" t="str">
        <f>AM81/AF81-1</f>
      </c>
      <c r="I81" s="6" t="str">
        <f>AN81/AM81</f>
      </c>
      <c r="J81" s="6" t="str">
        <f>AM81/Sum(AM$1:AM$108)</f>
      </c>
      <c r="K81" s="6" t="str">
        <f>AN81/Sum(AN1:AN$108)</f>
      </c>
      <c r="O81" t="s">
        <v>168</v>
      </c>
      <c r="P81" t="n">
        <v>664</v>
      </c>
      <c r="Q81" s="10"/>
      <c r="R81" s="10"/>
      <c r="S81" s="10"/>
      <c r="T81" s="10"/>
      <c r="U81" s="10"/>
      <c r="V81" s="10"/>
      <c r="W81" s="10"/>
      <c r="X81" s="10"/>
      <c r="Y81" s="10" t="n">
        <v>-6839.70392434684</v>
      </c>
      <c r="Z81" s="10" t="n">
        <v>226181.694335116</v>
      </c>
      <c r="AA81" s="10" t="n">
        <v>0</v>
      </c>
      <c r="AB81" s="10" t="n">
        <v>-3462.43380696978</v>
      </c>
      <c r="AC81" s="10"/>
      <c r="AD81" s="10"/>
      <c r="AE81" s="10"/>
      <c r="AF81" s="10"/>
      <c r="AG81" s="10"/>
      <c r="AH81" s="10"/>
      <c r="AI81" s="10"/>
      <c r="AJ81" s="10"/>
      <c r="AK81" s="10"/>
      <c r="AL81" s="10"/>
      <c r="AM81" s="10"/>
      <c r="AN81" s="10"/>
      <c r="AO81" s="10"/>
    </row>
    <row r="82">
      <c r="A82" t="str">
        <f>O82</f>
      </c>
      <c r="B82" t="str">
        <f>P82</f>
      </c>
      <c r="C82" s="10" t="str">
        <f>AF82</f>
      </c>
      <c r="D82" s="10" t="str">
        <f>AL82</f>
      </c>
      <c r="E82" s="10" t="str">
        <f>AM82</f>
      </c>
      <c r="F82" s="10" t="str">
        <f>AN82</f>
      </c>
      <c r="G82" s="6" t="str">
        <f>AM82/AL82-1</f>
      </c>
      <c r="H82" s="6" t="str">
        <f>AM82/AF82-1</f>
      </c>
      <c r="I82" s="6" t="str">
        <f>AN82/AM82</f>
      </c>
      <c r="J82" s="6" t="str">
        <f>AM82/Sum(AM$1:AM$108)</f>
      </c>
      <c r="K82" s="6" t="str">
        <f>AN82/Sum(AN1:AN$108)</f>
      </c>
      <c r="O82" t="s">
        <v>169</v>
      </c>
      <c r="P82" t="n">
        <v>1965</v>
      </c>
      <c r="Q82" s="10"/>
      <c r="R82" s="10"/>
      <c r="S82" s="10"/>
      <c r="T82" s="10"/>
      <c r="U82" s="10" t="n">
        <v>39708.2606792649</v>
      </c>
      <c r="V82" s="10" t="n">
        <v>4115.85956717762</v>
      </c>
      <c r="W82" s="10" t="n">
        <v>41088.3850127641</v>
      </c>
      <c r="X82" s="10"/>
      <c r="Y82" s="10"/>
      <c r="Z82" s="10"/>
      <c r="AA82" s="10"/>
      <c r="AB82" s="10"/>
      <c r="AC82" s="10"/>
      <c r="AD82" s="10"/>
      <c r="AE82" s="10"/>
      <c r="AF82" s="10"/>
      <c r="AG82" s="10"/>
      <c r="AH82" s="10"/>
      <c r="AI82" s="10"/>
      <c r="AJ82" s="10"/>
      <c r="AK82" s="10"/>
      <c r="AL82" s="10"/>
      <c r="AM82" s="10"/>
      <c r="AN82" s="10"/>
      <c r="AO82" s="10"/>
    </row>
    <row r="83">
      <c r="A83" t="str">
        <f>O83</f>
      </c>
      <c r="B83" t="str">
        <f>P83</f>
      </c>
      <c r="C83" s="10" t="str">
        <f>AF83</f>
      </c>
      <c r="D83" s="10" t="str">
        <f>AL83</f>
      </c>
      <c r="E83" s="10" t="str">
        <f>AM83</f>
      </c>
      <c r="F83" s="10" t="str">
        <f>AN83</f>
      </c>
      <c r="G83" s="6" t="str">
        <f>AM83/AL83-1</f>
      </c>
      <c r="H83" s="6" t="str">
        <f>AM83/AF83-1</f>
      </c>
      <c r="I83" s="6" t="str">
        <f>AN83/AM83</f>
      </c>
      <c r="J83" s="6" t="str">
        <f>AM83/Sum(AM$1:AM$108)</f>
      </c>
      <c r="K83" s="6" t="str">
        <f>AN83/Sum(AN1:AN$108)</f>
      </c>
      <c r="O83" t="s">
        <v>170</v>
      </c>
      <c r="P83" t="n">
        <v>1966</v>
      </c>
      <c r="Q83" s="10"/>
      <c r="R83" s="10"/>
      <c r="S83" s="10"/>
      <c r="T83" s="10"/>
      <c r="U83" s="10"/>
      <c r="V83" s="10"/>
      <c r="W83" s="10"/>
      <c r="X83" s="10" t="n">
        <v>171126.308421409</v>
      </c>
      <c r="Y83" s="10"/>
      <c r="Z83" s="10" t="n">
        <v>25130.576563716</v>
      </c>
      <c r="AA83" s="10"/>
      <c r="AB83" s="10"/>
      <c r="AC83" s="10"/>
      <c r="AD83" s="10"/>
      <c r="AE83" s="10"/>
      <c r="AF83" s="10"/>
      <c r="AG83" s="10"/>
      <c r="AH83" s="10"/>
      <c r="AI83" s="10"/>
      <c r="AJ83" s="10"/>
      <c r="AK83" s="10"/>
      <c r="AL83" s="10"/>
      <c r="AM83" s="10"/>
      <c r="AN83" s="10"/>
      <c r="AO83" s="10"/>
    </row>
    <row r="84">
      <c r="A84" t="str">
        <f>O84</f>
      </c>
      <c r="B84" t="str">
        <f>P84</f>
      </c>
      <c r="C84" s="10" t="str">
        <f>AF84</f>
      </c>
      <c r="D84" s="10" t="str">
        <f>AL84</f>
      </c>
      <c r="E84" s="10" t="str">
        <f>AM84</f>
      </c>
      <c r="F84" s="10" t="str">
        <f>AN84</f>
      </c>
      <c r="G84" s="6" t="str">
        <f>AM84/AL84-1</f>
      </c>
      <c r="H84" s="6" t="str">
        <f>AM84/AF84-1</f>
      </c>
      <c r="I84" s="6" t="str">
        <f>AN84/AM84</f>
      </c>
      <c r="J84" s="6" t="str">
        <f>AM84/Sum(AM$1:AM$108)</f>
      </c>
      <c r="K84" s="6" t="str">
        <f>AN84/Sum(AN1:AN$108)</f>
      </c>
      <c r="O84" t="s">
        <v>77</v>
      </c>
      <c r="P84" t="n">
        <v>2115</v>
      </c>
      <c r="Q84" s="10" t="n">
        <v>841491332.084923</v>
      </c>
      <c r="R84" s="10" t="n">
        <v>883705905.459826</v>
      </c>
      <c r="S84" s="10" t="n">
        <v>841710962.597226</v>
      </c>
      <c r="T84" s="10" t="n">
        <v>1270632982.87855</v>
      </c>
      <c r="U84" s="10" t="n">
        <v>2375821477.19341</v>
      </c>
      <c r="V84" s="10" t="n">
        <v>2056480780.1853</v>
      </c>
      <c r="W84" s="10" t="n">
        <v>1432207028.81028</v>
      </c>
      <c r="X84" s="10" t="n">
        <v>1788885561.82231</v>
      </c>
      <c r="Y84" s="10" t="n">
        <v>1716599400.76702</v>
      </c>
      <c r="Z84" s="10" t="n">
        <v>1458957708.0376</v>
      </c>
      <c r="AA84" s="10" t="n">
        <v>1397956170.33785</v>
      </c>
      <c r="AB84" s="10" t="n">
        <v>1429753927.99093</v>
      </c>
      <c r="AC84" s="10" t="n">
        <v>1168317686.91131</v>
      </c>
      <c r="AD84" s="10" t="n">
        <v>916709973.147972</v>
      </c>
      <c r="AE84" s="10" t="n">
        <v>982108217.423726</v>
      </c>
      <c r="AF84" s="10" t="n">
        <v>1226540866.80758</v>
      </c>
      <c r="AG84" s="10" t="n">
        <v>957149020.062012</v>
      </c>
      <c r="AH84" s="10" t="n">
        <v>1140127911.36235</v>
      </c>
      <c r="AI84" s="10" t="n">
        <v>690113185.592572</v>
      </c>
      <c r="AJ84" s="10" t="n">
        <v>824344477.011192</v>
      </c>
      <c r="AK84" s="10" t="n">
        <v>664896774.336537</v>
      </c>
      <c r="AL84" s="10" t="n">
        <v>588852319.983894</v>
      </c>
      <c r="AM84" s="10" t="n">
        <v>483497856.7914</v>
      </c>
      <c r="AN84" s="10" t="n">
        <v>180371878.875763</v>
      </c>
      <c r="AO84" s="10"/>
    </row>
    <row r="85">
      <c r="A85" t="str">
        <f>O85</f>
      </c>
      <c r="B85" t="str">
        <f>P85</f>
      </c>
      <c r="C85" s="10" t="str">
        <f>AF85</f>
      </c>
      <c r="D85" s="10" t="str">
        <f>AL85</f>
      </c>
      <c r="E85" s="10" t="str">
        <f>AM85</f>
      </c>
      <c r="F85" s="10" t="str">
        <f>AN85</f>
      </c>
      <c r="G85" s="6" t="str">
        <f>AM85/AL85-1</f>
      </c>
      <c r="H85" s="6" t="str">
        <f>AM85/AF85-1</f>
      </c>
      <c r="I85" s="6" t="str">
        <f>AN85/AM85</f>
      </c>
      <c r="J85" s="6" t="str">
        <f>AM85/Sum(AM$1:AM$108)</f>
      </c>
      <c r="K85" s="6" t="str">
        <f>AN85/Sum(AN1:AN$108)</f>
      </c>
      <c r="O85" t="s">
        <v>171</v>
      </c>
      <c r="P85" t="n">
        <v>2258</v>
      </c>
      <c r="Q85" s="10"/>
      <c r="R85" s="10"/>
      <c r="S85" s="10"/>
      <c r="T85" s="10"/>
      <c r="U85" s="10"/>
      <c r="V85" s="10"/>
      <c r="W85" s="10"/>
      <c r="X85" s="10"/>
      <c r="Y85" s="10"/>
      <c r="Z85" s="10"/>
      <c r="AA85" s="10" t="n">
        <v>54861544.4588166</v>
      </c>
      <c r="AB85" s="10" t="n">
        <v>110292153.025478</v>
      </c>
      <c r="AC85" s="10" t="n">
        <v>82175976.6069208</v>
      </c>
      <c r="AD85" s="10" t="n">
        <v>60844446.6104839</v>
      </c>
      <c r="AE85" s="10" t="n">
        <v>24438763.1708616</v>
      </c>
      <c r="AF85" s="10" t="n">
        <v>75902834.0192078</v>
      </c>
      <c r="AG85" s="10" t="n">
        <v>13687199.1871807</v>
      </c>
      <c r="AH85" s="10" t="n">
        <v>38711057.3278917</v>
      </c>
      <c r="AI85" s="10"/>
      <c r="AJ85" s="10"/>
      <c r="AK85" s="10"/>
      <c r="AL85" s="10"/>
      <c r="AM85" s="10"/>
      <c r="AN85" s="10"/>
      <c r="AO85" s="10"/>
    </row>
    <row r="86">
      <c r="A86" t="str">
        <f>O86</f>
      </c>
      <c r="B86" t="str">
        <f>P86</f>
      </c>
      <c r="C86" s="10" t="str">
        <f>AF86</f>
      </c>
      <c r="D86" s="10" t="str">
        <f>AL86</f>
      </c>
      <c r="E86" s="10" t="str">
        <f>AM86</f>
      </c>
      <c r="F86" s="10" t="str">
        <f>AN86</f>
      </c>
      <c r="G86" s="6" t="str">
        <f>AM86/AL86-1</f>
      </c>
      <c r="H86" s="6" t="str">
        <f>AM86/AF86-1</f>
      </c>
      <c r="I86" s="6" t="str">
        <f>AN86/AM86</f>
      </c>
      <c r="J86" s="6" t="str">
        <f>AM86/Sum(AM$1:AM$108)</f>
      </c>
      <c r="K86" s="6" t="str">
        <f>AN86/Sum(AN1:AN$108)</f>
      </c>
      <c r="O86" t="s">
        <v>172</v>
      </c>
      <c r="P86" t="n">
        <v>2193</v>
      </c>
      <c r="Q86" s="10"/>
      <c r="R86" s="10"/>
      <c r="S86" s="10"/>
      <c r="T86" s="10"/>
      <c r="U86" s="10"/>
      <c r="V86" s="10"/>
      <c r="W86" s="10"/>
      <c r="X86" s="10"/>
      <c r="Y86" s="10"/>
      <c r="Z86" s="10"/>
      <c r="AA86" s="10"/>
      <c r="AB86" s="10"/>
      <c r="AC86" s="10"/>
      <c r="AD86" s="10"/>
      <c r="AE86" s="10"/>
      <c r="AF86" s="10"/>
      <c r="AG86" s="10"/>
      <c r="AH86" s="10"/>
      <c r="AI86" s="10" t="n">
        <v>105761.55911133</v>
      </c>
      <c r="AJ86" s="10" t="n">
        <v>39454.8196417582</v>
      </c>
      <c r="AK86" s="10"/>
      <c r="AL86" s="10"/>
      <c r="AM86" s="10"/>
      <c r="AN86" s="10"/>
      <c r="AO86" s="10"/>
    </row>
    <row r="87">
      <c r="A87" t="str">
        <f>O87</f>
      </c>
      <c r="B87" t="str">
        <f>P87</f>
      </c>
      <c r="C87" s="10" t="str">
        <f>AF87</f>
      </c>
      <c r="D87" s="10" t="str">
        <f>AL87</f>
      </c>
      <c r="E87" s="10" t="str">
        <f>AM87</f>
      </c>
      <c r="F87" s="10" t="str">
        <f>AN87</f>
      </c>
      <c r="G87" s="6" t="str">
        <f>AM87/AL87-1</f>
      </c>
      <c r="H87" s="6" t="str">
        <f>AM87/AF87-1</f>
      </c>
      <c r="I87" s="6" t="str">
        <f>AN87/AM87</f>
      </c>
      <c r="J87" s="6" t="str">
        <f>AM87/Sum(AM$1:AM$108)</f>
      </c>
      <c r="K87" s="6" t="str">
        <f>AN87/Sum(AN1:AN$108)</f>
      </c>
      <c r="O87" t="s">
        <v>173</v>
      </c>
      <c r="P87" t="n">
        <v>1979</v>
      </c>
      <c r="Q87" s="10"/>
      <c r="R87" s="10"/>
      <c r="S87" s="10"/>
      <c r="T87" s="10"/>
      <c r="U87" s="10" t="n">
        <v>423083.745458075</v>
      </c>
      <c r="V87" s="10"/>
      <c r="W87" s="10"/>
      <c r="X87" s="10" t="n">
        <v>849853.315364308</v>
      </c>
      <c r="Y87" s="10" t="n">
        <v>27349.4845869858</v>
      </c>
      <c r="Z87" s="10"/>
      <c r="AA87" s="10"/>
      <c r="AB87" s="10"/>
      <c r="AC87" s="10" t="n">
        <v>62214.4571881295</v>
      </c>
      <c r="AD87" s="10"/>
      <c r="AE87" s="10"/>
      <c r="AF87" s="10"/>
      <c r="AG87" s="10"/>
      <c r="AH87" s="10"/>
      <c r="AI87" s="10"/>
      <c r="AJ87" s="10"/>
      <c r="AK87" s="10"/>
      <c r="AL87" s="10"/>
      <c r="AM87" s="10"/>
      <c r="AN87" s="10"/>
      <c r="AO87" s="10"/>
    </row>
    <row r="88">
      <c r="A88" t="str">
        <f>O88</f>
      </c>
      <c r="B88" t="str">
        <f>P88</f>
      </c>
      <c r="C88" s="10" t="str">
        <f>AF88</f>
      </c>
      <c r="D88" s="10" t="str">
        <f>AL88</f>
      </c>
      <c r="E88" s="10" t="str">
        <f>AM88</f>
      </c>
      <c r="F88" s="10" t="str">
        <f>AN88</f>
      </c>
      <c r="G88" s="6" t="str">
        <f>AM88/AL88-1</f>
      </c>
      <c r="H88" s="6" t="str">
        <f>AM88/AF88-1</f>
      </c>
      <c r="I88" s="6" t="str">
        <f>AN88/AM88</f>
      </c>
      <c r="J88" s="6" t="str">
        <f>AM88/Sum(AM$1:AM$108)</f>
      </c>
      <c r="K88" s="6" t="str">
        <f>AN88/Sum(AN1:AN$108)</f>
      </c>
      <c r="O88" t="s">
        <v>174</v>
      </c>
      <c r="P88" t="n">
        <v>2201</v>
      </c>
      <c r="Q88" s="10"/>
      <c r="R88" s="10"/>
      <c r="S88" s="10"/>
      <c r="T88" s="10"/>
      <c r="U88" s="10"/>
      <c r="V88" s="10"/>
      <c r="W88" s="10"/>
      <c r="X88" s="10"/>
      <c r="Y88" s="10"/>
      <c r="Z88" s="10"/>
      <c r="AA88" s="10"/>
      <c r="AB88" s="10"/>
      <c r="AC88" s="10"/>
      <c r="AD88" s="10"/>
      <c r="AE88" s="10"/>
      <c r="AF88" s="10"/>
      <c r="AG88" s="10"/>
      <c r="AH88" s="10" t="n">
        <v>18407.7289946008</v>
      </c>
      <c r="AI88" s="10"/>
      <c r="AJ88" s="10" t="n">
        <v>0</v>
      </c>
      <c r="AK88" s="10"/>
      <c r="AL88" s="10" t="n">
        <v>1978182.05060995</v>
      </c>
      <c r="AM88" s="10" t="n">
        <v>623117</v>
      </c>
      <c r="AN88" s="10"/>
      <c r="AO88" s="10"/>
    </row>
    <row r="89">
      <c r="A89" t="str">
        <f>O89</f>
      </c>
      <c r="B89" t="str">
        <f>P89</f>
      </c>
      <c r="C89" s="10" t="str">
        <f>AF89</f>
      </c>
      <c r="D89" s="10" t="str">
        <f>AL89</f>
      </c>
      <c r="E89" s="10" t="str">
        <f>AM89</f>
      </c>
      <c r="F89" s="10" t="str">
        <f>AN89</f>
      </c>
      <c r="G89" s="6" t="str">
        <f>AM89/AL89-1</f>
      </c>
      <c r="H89" s="6" t="str">
        <f>AM89/AF89-1</f>
      </c>
      <c r="I89" s="6" t="str">
        <f>AN89/AM89</f>
      </c>
      <c r="J89" s="6" t="str">
        <f>AM89/Sum(AM$1:AM$108)</f>
      </c>
      <c r="K89" s="6" t="str">
        <f>AN89/Sum(AN1:AN$108)</f>
      </c>
      <c r="O89" t="s">
        <v>175</v>
      </c>
      <c r="P89" t="n">
        <v>1328</v>
      </c>
      <c r="Q89" s="10"/>
      <c r="R89" s="10"/>
      <c r="S89" s="10"/>
      <c r="T89" s="10"/>
      <c r="U89" s="10"/>
      <c r="V89" s="10"/>
      <c r="W89" s="10"/>
      <c r="X89" s="10"/>
      <c r="Y89" s="10" t="n">
        <v>13675.4088013787</v>
      </c>
      <c r="Z89" s="10" t="n">
        <v>18290.2137492908</v>
      </c>
      <c r="AA89" s="10" t="n">
        <v>18889.6042583294</v>
      </c>
      <c r="AB89" s="10"/>
      <c r="AC89" s="10"/>
      <c r="AD89" s="10"/>
      <c r="AE89" s="10"/>
      <c r="AF89" s="10"/>
      <c r="AG89" s="10"/>
      <c r="AH89" s="10"/>
      <c r="AI89" s="10"/>
      <c r="AJ89" s="10"/>
      <c r="AK89" s="10"/>
      <c r="AL89" s="10"/>
      <c r="AM89" s="10"/>
      <c r="AN89" s="10"/>
      <c r="AO89" s="10"/>
    </row>
    <row r="90">
      <c r="A90" t="str">
        <f>O90</f>
      </c>
      <c r="B90" t="str">
        <f>P90</f>
      </c>
      <c r="C90" s="10" t="str">
        <f>AF90</f>
      </c>
      <c r="D90" s="10" t="str">
        <f>AL90</f>
      </c>
      <c r="E90" s="10" t="str">
        <f>AM90</f>
      </c>
      <c r="F90" s="10" t="str">
        <f>AN90</f>
      </c>
      <c r="G90" s="6" t="str">
        <f>AM90/AL90-1</f>
      </c>
      <c r="H90" s="6" t="str">
        <f>AM90/AF90-1</f>
      </c>
      <c r="I90" s="6" t="str">
        <f>AN90/AM90</f>
      </c>
      <c r="J90" s="6" t="str">
        <f>AM90/Sum(AM$1:AM$108)</f>
      </c>
      <c r="K90" s="6" t="str">
        <f>AN90/Sum(AN1:AN$108)</f>
      </c>
      <c r="O90" t="s">
        <v>176</v>
      </c>
      <c r="P90" t="n">
        <v>597</v>
      </c>
      <c r="Q90" s="10"/>
      <c r="R90" s="10" t="n">
        <v>286532.947673405</v>
      </c>
      <c r="S90" s="10" t="n">
        <v>7027109.86222496</v>
      </c>
      <c r="T90" s="10" t="n">
        <v>59550.0783198046</v>
      </c>
      <c r="U90" s="10"/>
      <c r="V90" s="10"/>
      <c r="W90" s="10"/>
      <c r="X90" s="10"/>
      <c r="Y90" s="10"/>
      <c r="Z90" s="10"/>
      <c r="AA90" s="10"/>
      <c r="AB90" s="10"/>
      <c r="AC90" s="10"/>
      <c r="AD90" s="10"/>
      <c r="AE90" s="10"/>
      <c r="AF90" s="10"/>
      <c r="AG90" s="10"/>
      <c r="AH90" s="10"/>
      <c r="AI90" s="10"/>
      <c r="AJ90" s="10"/>
      <c r="AK90" s="10"/>
      <c r="AL90" s="10"/>
      <c r="AM90" s="10"/>
      <c r="AN90" s="10"/>
      <c r="AO90" s="10"/>
    </row>
    <row r="91">
      <c r="A91" t="str">
        <f>O91</f>
      </c>
      <c r="B91" t="str">
        <f>P91</f>
      </c>
      <c r="C91" s="10" t="str">
        <f>AF91</f>
      </c>
      <c r="D91" s="10" t="str">
        <f>AL91</f>
      </c>
      <c r="E91" s="10" t="str">
        <f>AM91</f>
      </c>
      <c r="F91" s="10" t="str">
        <f>AN91</f>
      </c>
      <c r="G91" s="6" t="str">
        <f>AM91/AL91-1</f>
      </c>
      <c r="H91" s="6" t="str">
        <f>AM91/AF91-1</f>
      </c>
      <c r="I91" s="6" t="str">
        <f>AN91/AM91</f>
      </c>
      <c r="J91" s="6" t="str">
        <f>AM91/Sum(AM$1:AM$108)</f>
      </c>
      <c r="K91" s="6" t="str">
        <f>AN91/Sum(AN1:AN$108)</f>
      </c>
      <c r="O91" t="s">
        <v>177</v>
      </c>
      <c r="P91" t="n">
        <v>154</v>
      </c>
      <c r="Q91" s="10"/>
      <c r="R91" s="10"/>
      <c r="S91" s="10"/>
      <c r="T91" s="10" t="n">
        <v>16404.1196835307</v>
      </c>
      <c r="U91" s="10"/>
      <c r="V91" s="10"/>
      <c r="W91" s="10"/>
      <c r="X91" s="10"/>
      <c r="Y91" s="10"/>
      <c r="Z91" s="10"/>
      <c r="AA91" s="10"/>
      <c r="AB91" s="10"/>
      <c r="AC91" s="10"/>
      <c r="AD91" s="10"/>
      <c r="AE91" s="10"/>
      <c r="AF91" s="10"/>
      <c r="AG91" s="10"/>
      <c r="AH91" s="10"/>
      <c r="AI91" s="10"/>
      <c r="AJ91" s="10"/>
      <c r="AK91" s="10"/>
      <c r="AL91" s="10"/>
      <c r="AM91" s="10"/>
      <c r="AN91" s="10"/>
      <c r="AO91" s="10"/>
    </row>
    <row r="92">
      <c r="A92" t="str">
        <f>O92</f>
      </c>
      <c r="B92" t="str">
        <f>P92</f>
      </c>
      <c r="C92" s="10" t="str">
        <f>AF92</f>
      </c>
      <c r="D92" s="10" t="str">
        <f>AL92</f>
      </c>
      <c r="E92" s="10" t="str">
        <f>AM92</f>
      </c>
      <c r="F92" s="10" t="str">
        <f>AN92</f>
      </c>
      <c r="G92" s="6" t="str">
        <f>AM92/AL92-1</f>
      </c>
      <c r="H92" s="6" t="str">
        <f>AM92/AF92-1</f>
      </c>
      <c r="I92" s="6" t="str">
        <f>AN92/AM92</f>
      </c>
      <c r="J92" s="6" t="str">
        <f>AM92/Sum(AM$1:AM$108)</f>
      </c>
      <c r="K92" s="6" t="str">
        <f>AN92/Sum(AN1:AN$108)</f>
      </c>
      <c r="O92" t="s">
        <v>178</v>
      </c>
      <c r="P92" t="n">
        <v>1870</v>
      </c>
      <c r="Q92" s="10"/>
      <c r="R92" s="10"/>
      <c r="S92" s="10"/>
      <c r="T92" s="10"/>
      <c r="U92" s="10"/>
      <c r="V92" s="10"/>
      <c r="W92" s="10"/>
      <c r="X92" s="10"/>
      <c r="Y92" s="10" t="n">
        <v>3947.05969986182</v>
      </c>
      <c r="Z92" s="10"/>
      <c r="AA92" s="10"/>
      <c r="AB92" s="10"/>
      <c r="AC92" s="10"/>
      <c r="AD92" s="10"/>
      <c r="AE92" s="10"/>
      <c r="AF92" s="10"/>
      <c r="AG92" s="10"/>
      <c r="AH92" s="10"/>
      <c r="AI92" s="10"/>
      <c r="AJ92" s="10"/>
      <c r="AK92" s="10"/>
      <c r="AL92" s="10"/>
      <c r="AM92" s="10"/>
      <c r="AN92" s="10"/>
      <c r="AO92" s="10"/>
    </row>
    <row r="93">
      <c r="A93" t="str">
        <f>O93</f>
      </c>
      <c r="B93" t="str">
        <f>P93</f>
      </c>
      <c r="C93" s="10" t="str">
        <f>AF93</f>
      </c>
      <c r="D93" s="10" t="str">
        <f>AL93</f>
      </c>
      <c r="E93" s="10" t="str">
        <f>AM93</f>
      </c>
      <c r="F93" s="10" t="str">
        <f>AN93</f>
      </c>
      <c r="G93" s="6" t="str">
        <f>AM93/AL93-1</f>
      </c>
      <c r="H93" s="6" t="str">
        <f>AM93/AF93-1</f>
      </c>
      <c r="I93" s="6" t="str">
        <f>AN93/AM93</f>
      </c>
      <c r="J93" s="6" t="str">
        <f>AM93/Sum(AM$1:AM$108)</f>
      </c>
      <c r="K93" s="6" t="str">
        <f>AN93/Sum(AN1:AN$108)</f>
      </c>
      <c r="O93" t="s">
        <v>179</v>
      </c>
      <c r="P93" t="n">
        <v>1956</v>
      </c>
      <c r="Q93" s="10"/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 t="n">
        <v>3995.90508982143</v>
      </c>
      <c r="AC93" s="10"/>
      <c r="AD93" s="10"/>
      <c r="AE93" s="10"/>
      <c r="AF93" s="10"/>
      <c r="AG93" s="10"/>
      <c r="AH93" s="10"/>
      <c r="AI93" s="10"/>
      <c r="AJ93" s="10"/>
      <c r="AK93" s="10"/>
      <c r="AL93" s="10"/>
      <c r="AM93" s="10"/>
      <c r="AN93" s="10"/>
      <c r="AO93" s="10"/>
    </row>
    <row r="94">
      <c r="A94" t="str">
        <f>O94</f>
      </c>
      <c r="B94" t="str">
        <f>P94</f>
      </c>
      <c r="C94" s="10" t="str">
        <f>AF94</f>
      </c>
      <c r="D94" s="10" t="str">
        <f>AL94</f>
      </c>
      <c r="E94" s="10" t="str">
        <f>AM94</f>
      </c>
      <c r="F94" s="10" t="str">
        <f>AN94</f>
      </c>
      <c r="G94" s="6" t="str">
        <f>AM94/AL94-1</f>
      </c>
      <c r="H94" s="6" t="str">
        <f>AM94/AF94-1</f>
      </c>
      <c r="I94" s="6" t="str">
        <f>AN94/AM94</f>
      </c>
      <c r="J94" s="6" t="str">
        <f>AM94/Sum(AM$1:AM$108)</f>
      </c>
      <c r="K94" s="6" t="str">
        <f>AN94/Sum(AN1:AN$108)</f>
      </c>
      <c r="O94" t="s">
        <v>180</v>
      </c>
      <c r="P94" t="n">
        <v>583</v>
      </c>
      <c r="Q94" s="10"/>
      <c r="R94" s="10"/>
      <c r="S94" s="10" t="n">
        <v>20579.9033172231</v>
      </c>
      <c r="T94" s="10"/>
      <c r="U94" s="10"/>
      <c r="V94" s="10"/>
      <c r="W94" s="10"/>
      <c r="X94" s="10"/>
      <c r="Y94" s="10"/>
      <c r="Z94" s="10"/>
      <c r="AA94" s="10"/>
      <c r="AB94" s="10"/>
      <c r="AC94" s="10"/>
      <c r="AD94" s="10"/>
      <c r="AE94" s="10"/>
      <c r="AF94" s="10"/>
      <c r="AG94" s="10"/>
      <c r="AH94" s="10"/>
      <c r="AI94" s="10"/>
      <c r="AJ94" s="10"/>
      <c r="AK94" s="10"/>
      <c r="AL94" s="10"/>
      <c r="AM94" s="10"/>
      <c r="AN94" s="10"/>
      <c r="AO94" s="10"/>
    </row>
    <row r="95">
      <c r="A95" t="str">
        <f>O95</f>
      </c>
      <c r="B95" t="str">
        <f>P95</f>
      </c>
      <c r="C95" s="10" t="str">
        <f>AF95</f>
      </c>
      <c r="D95" s="10" t="str">
        <f>AL95</f>
      </c>
      <c r="E95" s="10" t="str">
        <f>AM95</f>
      </c>
      <c r="F95" s="10" t="str">
        <f>AN95</f>
      </c>
      <c r="G95" s="6" t="str">
        <f>AM95/AL95-1</f>
      </c>
      <c r="H95" s="6" t="str">
        <f>AM95/AF95-1</f>
      </c>
      <c r="I95" s="6" t="str">
        <f>AN95/AM95</f>
      </c>
      <c r="J95" s="6" t="str">
        <f>AM95/Sum(AM$1:AM$108)</f>
      </c>
      <c r="K95" s="6" t="str">
        <f>AN95/Sum(AN1:AN$108)</f>
      </c>
      <c r="O95" t="s">
        <v>181</v>
      </c>
      <c r="P95" t="n">
        <v>1276</v>
      </c>
      <c r="Q95" s="10" t="n">
        <v>3061118.52758133</v>
      </c>
      <c r="R95" s="10"/>
      <c r="S95" s="10" t="n">
        <v>2627478.4350621</v>
      </c>
      <c r="T95" s="10"/>
      <c r="U95" s="10"/>
      <c r="V95" s="10"/>
      <c r="W95" s="10"/>
      <c r="X95" s="10"/>
      <c r="Y95" s="10"/>
      <c r="Z95" s="10"/>
      <c r="AA95" s="10"/>
      <c r="AB95" s="10"/>
      <c r="AC95" s="10"/>
      <c r="AD95" s="10"/>
      <c r="AE95" s="10"/>
      <c r="AF95" s="10"/>
      <c r="AG95" s="10"/>
      <c r="AH95" s="10"/>
      <c r="AI95" s="10"/>
      <c r="AJ95" s="10"/>
      <c r="AK95" s="10"/>
      <c r="AL95" s="10"/>
      <c r="AM95" s="10"/>
      <c r="AN95" s="10"/>
      <c r="AO95" s="10"/>
    </row>
    <row r="96">
      <c r="A96" t="str">
        <f>O96</f>
      </c>
      <c r="B96" t="str">
        <f>P96</f>
      </c>
      <c r="C96" s="10" t="str">
        <f>AF96</f>
      </c>
      <c r="D96" s="10" t="str">
        <f>AL96</f>
      </c>
      <c r="E96" s="10" t="str">
        <f>AM96</f>
      </c>
      <c r="F96" s="10" t="str">
        <f>AN96</f>
      </c>
      <c r="G96" s="6" t="str">
        <f>AM96/AL96-1</f>
      </c>
      <c r="H96" s="6" t="str">
        <f>AM96/AF96-1</f>
      </c>
      <c r="I96" s="6" t="str">
        <f>AN96/AM96</f>
      </c>
      <c r="J96" s="6" t="str">
        <f>AM96/Sum(AM$1:AM$108)</f>
      </c>
      <c r="K96" s="6" t="str">
        <f>AN96/Sum(AN1:AN$108)</f>
      </c>
      <c r="O96" t="s">
        <v>182</v>
      </c>
      <c r="P96" t="n">
        <v>2020</v>
      </c>
      <c r="Q96" s="10"/>
      <c r="R96" s="10"/>
      <c r="S96" s="10"/>
      <c r="T96" s="10"/>
      <c r="U96" s="10"/>
      <c r="V96" s="10"/>
      <c r="W96" s="10"/>
      <c r="X96" s="10"/>
      <c r="Y96" s="10"/>
      <c r="Z96" s="10" t="n">
        <v>29478155.5927186</v>
      </c>
      <c r="AA96" s="10" t="n">
        <v>89317460.4497284</v>
      </c>
      <c r="AB96" s="10" t="n">
        <v>119049109.569937</v>
      </c>
      <c r="AC96" s="10" t="n">
        <v>77318829.7599378</v>
      </c>
      <c r="AD96" s="10" t="n">
        <v>94382493.8235589</v>
      </c>
      <c r="AE96" s="10" t="n">
        <v>47869496.0112764</v>
      </c>
      <c r="AF96" s="10" t="n">
        <v>124179205.007088</v>
      </c>
      <c r="AG96" s="10" t="n">
        <v>88876379.9359683</v>
      </c>
      <c r="AH96" s="10" t="n">
        <v>110726413.057141</v>
      </c>
      <c r="AI96" s="10" t="n">
        <v>81838830.7718551</v>
      </c>
      <c r="AJ96" s="10" t="n">
        <v>83492207.4177754</v>
      </c>
      <c r="AK96" s="10" t="n">
        <v>135520062.332388</v>
      </c>
      <c r="AL96" s="10" t="n">
        <v>87272343.1758647</v>
      </c>
      <c r="AM96" s="10" t="n">
        <v>51205166.0076</v>
      </c>
      <c r="AN96" s="10" t="n">
        <v>70084992.8063906</v>
      </c>
      <c r="AO96" s="10"/>
    </row>
    <row r="97">
      <c r="A97" t="str">
        <f>O97</f>
      </c>
      <c r="B97" t="str">
        <f>P97</f>
      </c>
      <c r="C97" s="10" t="str">
        <f>AF97</f>
      </c>
      <c r="D97" s="10" t="str">
        <f>AL97</f>
      </c>
      <c r="E97" s="10" t="str">
        <f>AM97</f>
      </c>
      <c r="F97" s="10" t="str">
        <f>AN97</f>
      </c>
      <c r="G97" s="6" t="str">
        <f>AM97/AL97-1</f>
      </c>
      <c r="H97" s="6" t="str">
        <f>AM97/AF97-1</f>
      </c>
      <c r="I97" s="6" t="str">
        <f>AN97/AM97</f>
      </c>
      <c r="J97" s="6" t="str">
        <f>AM97/Sum(AM$1:AM$108)</f>
      </c>
      <c r="K97" s="6" t="str">
        <f>AN97/Sum(AN1:AN$108)</f>
      </c>
      <c r="O97" t="s">
        <v>183</v>
      </c>
      <c r="P97" t="n">
        <v>575</v>
      </c>
      <c r="Q97" s="10"/>
      <c r="R97" s="10" t="n">
        <v>77296.3798502358</v>
      </c>
      <c r="S97" s="10"/>
      <c r="T97" s="10" t="n">
        <v>15168.2867932991</v>
      </c>
      <c r="U97" s="10"/>
      <c r="V97" s="10"/>
      <c r="W97" s="10"/>
      <c r="X97" s="10"/>
      <c r="Y97" s="10"/>
      <c r="Z97" s="10"/>
      <c r="AA97" s="10"/>
      <c r="AB97" s="10"/>
      <c r="AC97" s="10"/>
      <c r="AD97" s="10"/>
      <c r="AE97" s="10"/>
      <c r="AF97" s="10"/>
      <c r="AG97" s="10"/>
      <c r="AH97" s="10"/>
      <c r="AI97" s="10"/>
      <c r="AJ97" s="10"/>
      <c r="AK97" s="10"/>
      <c r="AL97" s="10"/>
      <c r="AM97" s="10"/>
      <c r="AN97" s="10"/>
      <c r="AO97" s="10"/>
    </row>
    <row r="98">
      <c r="A98" t="str">
        <f>O98</f>
      </c>
      <c r="B98" t="str">
        <f>P98</f>
      </c>
      <c r="C98" s="10" t="str">
        <f>AF98</f>
      </c>
      <c r="D98" s="10" t="str">
        <f>AL98</f>
      </c>
      <c r="E98" s="10" t="str">
        <f>AM98</f>
      </c>
      <c r="F98" s="10" t="str">
        <f>AN98</f>
      </c>
      <c r="G98" s="6" t="str">
        <f>AM98/AL98-1</f>
      </c>
      <c r="H98" s="6" t="str">
        <f>AM98/AF98-1</f>
      </c>
      <c r="I98" s="6" t="str">
        <f>AN98/AM98</f>
      </c>
      <c r="J98" s="6" t="str">
        <f>AM98/Sum(AM$1:AM$108)</f>
      </c>
      <c r="K98" s="6" t="str">
        <f>AN98/Sum(AN1:AN$108)</f>
      </c>
      <c r="O98" t="s">
        <v>184</v>
      </c>
      <c r="P98" t="n">
        <v>581</v>
      </c>
      <c r="Q98" s="10"/>
      <c r="R98" s="10"/>
      <c r="S98" s="10"/>
      <c r="T98" s="10" t="n">
        <v>886912.007320666</v>
      </c>
      <c r="U98" s="10"/>
      <c r="V98" s="10"/>
      <c r="W98" s="10"/>
      <c r="X98" s="10"/>
      <c r="Y98" s="10"/>
      <c r="Z98" s="10"/>
      <c r="AA98" s="10"/>
      <c r="AB98" s="10"/>
      <c r="AC98" s="10"/>
      <c r="AD98" s="10"/>
      <c r="AE98" s="10"/>
      <c r="AF98" s="10"/>
      <c r="AG98" s="10"/>
      <c r="AH98" s="10"/>
      <c r="AI98" s="10"/>
      <c r="AJ98" s="10"/>
      <c r="AK98" s="10"/>
      <c r="AL98" s="10"/>
      <c r="AM98" s="10"/>
      <c r="AN98" s="10"/>
      <c r="AO98" s="10"/>
    </row>
    <row r="99">
      <c r="A99" t="str">
        <f>O99</f>
      </c>
      <c r="B99" t="str">
        <f>P99</f>
      </c>
      <c r="C99" s="10" t="str">
        <f>AF99</f>
      </c>
      <c r="D99" s="10" t="str">
        <f>AL99</f>
      </c>
      <c r="E99" s="10" t="str">
        <f>AM99</f>
      </c>
      <c r="F99" s="10" t="str">
        <f>AN99</f>
      </c>
      <c r="G99" s="6" t="str">
        <f>AM99/AL99-1</f>
      </c>
      <c r="H99" s="6" t="str">
        <f>AM99/AF99-1</f>
      </c>
      <c r="I99" s="6" t="str">
        <f>AN99/AM99</f>
      </c>
      <c r="J99" s="6" t="str">
        <f>AM99/Sum(AM$1:AM$108)</f>
      </c>
      <c r="K99" s="6" t="str">
        <f>AN99/Sum(AN1:AN$108)</f>
      </c>
      <c r="O99" t="s">
        <v>185</v>
      </c>
      <c r="P99" t="n">
        <v>1961</v>
      </c>
      <c r="Q99" s="10"/>
      <c r="R99" s="10"/>
      <c r="S99" s="10"/>
      <c r="T99" s="10"/>
      <c r="U99" s="10" t="n">
        <v>83996.470211553</v>
      </c>
      <c r="V99" s="10" t="n">
        <v>211062.896075601</v>
      </c>
      <c r="W99" s="10" t="n">
        <v>165774.230663228</v>
      </c>
      <c r="X99" s="10" t="n">
        <v>22290.1815413629</v>
      </c>
      <c r="Y99" s="10" t="n">
        <v>3896755.25605553</v>
      </c>
      <c r="Z99" s="10" t="n">
        <v>110920578.515189</v>
      </c>
      <c r="AA99" s="10" t="n">
        <v>163674152.612667</v>
      </c>
      <c r="AB99" s="10" t="n">
        <v>65594982.8713464</v>
      </c>
      <c r="AC99" s="10" t="n">
        <v>4212064.8432812</v>
      </c>
      <c r="AD99" s="10" t="n">
        <v>464628.003627284</v>
      </c>
      <c r="AE99" s="10" t="n">
        <v>5229.41916485965</v>
      </c>
      <c r="AF99" s="10" t="n">
        <v>39898.1837417991</v>
      </c>
      <c r="AG99" s="10"/>
      <c r="AH99" s="10"/>
      <c r="AI99" s="10"/>
      <c r="AJ99" s="10" t="n">
        <v>-17628.4080429242</v>
      </c>
      <c r="AK99" s="10"/>
      <c r="AL99" s="10"/>
      <c r="AM99" s="10"/>
      <c r="AN99" s="10" t="n">
        <v>10794.4986080739</v>
      </c>
      <c r="AO99" s="10"/>
    </row>
    <row r="100">
      <c r="A100" t="str">
        <f>O100</f>
      </c>
      <c r="B100" t="str">
        <f>P100</f>
      </c>
      <c r="C100" s="10" t="str">
        <f>AF100</f>
      </c>
      <c r="D100" s="10" t="str">
        <f>AL100</f>
      </c>
      <c r="E100" s="10" t="str">
        <f>AM100</f>
      </c>
      <c r="F100" s="10" t="str">
        <f>AN100</f>
      </c>
      <c r="G100" s="6" t="str">
        <f>AM100/AL100-1</f>
      </c>
      <c r="H100" s="6" t="str">
        <f>AM100/AF100-1</f>
      </c>
      <c r="I100" s="6" t="str">
        <f>AN100/AM100</f>
      </c>
      <c r="J100" s="6" t="str">
        <f>AM100/Sum(AM$1:AM$108)</f>
      </c>
      <c r="K100" s="6" t="str">
        <f>AN100/Sum(AN1:AN$108)</f>
      </c>
      <c r="O100" t="s">
        <v>79</v>
      </c>
      <c r="P100" t="n">
        <v>2202</v>
      </c>
      <c r="Q100" s="10"/>
      <c r="R100" s="10"/>
      <c r="S100" s="10"/>
      <c r="T100" s="10"/>
      <c r="U100" s="10"/>
      <c r="V100" s="10"/>
      <c r="W100" s="10"/>
      <c r="X100" s="10"/>
      <c r="Y100" s="10"/>
      <c r="Z100" s="10"/>
      <c r="AA100" s="10"/>
      <c r="AB100" s="10"/>
      <c r="AC100" s="10"/>
      <c r="AD100" s="10"/>
      <c r="AE100" s="10"/>
      <c r="AF100" s="10"/>
      <c r="AG100" s="10"/>
      <c r="AH100" s="10"/>
      <c r="AI100" s="10" t="n">
        <v>466950545.143582</v>
      </c>
      <c r="AJ100" s="10" t="n">
        <v>872667816.516652</v>
      </c>
      <c r="AK100" s="10" t="n">
        <v>992288720.184196</v>
      </c>
      <c r="AL100" s="10" t="n">
        <v>720037772.569</v>
      </c>
      <c r="AM100" s="10" t="n">
        <v>1124769179.5592</v>
      </c>
      <c r="AN100" s="10" t="n">
        <v>590871348.174428</v>
      </c>
      <c r="AO100" s="10"/>
    </row>
    <row r="101">
      <c r="A101" t="str">
        <f>O101</f>
      </c>
      <c r="B101" t="str">
        <f>P101</f>
      </c>
      <c r="C101" s="10" t="str">
        <f>AF101</f>
      </c>
      <c r="D101" s="10" t="str">
        <f>AL101</f>
      </c>
      <c r="E101" s="10" t="str">
        <f>AM101</f>
      </c>
      <c r="F101" s="10" t="str">
        <f>AN101</f>
      </c>
      <c r="G101" s="6" t="str">
        <f>AM101/AL101-1</f>
      </c>
      <c r="H101" s="6" t="str">
        <f>AM101/AF101-1</f>
      </c>
      <c r="I101" s="6" t="str">
        <f>AN101/AM101</f>
      </c>
      <c r="J101" s="6" t="str">
        <f>AM101/Sum(AM$1:AM$108)</f>
      </c>
      <c r="K101" s="6" t="str">
        <f>AN101/Sum(AN1:AN$108)</f>
      </c>
      <c r="O101" t="s">
        <v>186</v>
      </c>
      <c r="P101" t="n">
        <v>1952</v>
      </c>
      <c r="Q101" s="10"/>
      <c r="R101" s="10"/>
      <c r="S101" s="10"/>
      <c r="T101" s="10"/>
      <c r="U101" s="10"/>
      <c r="V101" s="10"/>
      <c r="W101" s="10"/>
      <c r="X101" s="10"/>
      <c r="Y101" s="10" t="n">
        <v>25567.242500287</v>
      </c>
      <c r="Z101" s="10"/>
      <c r="AA101" s="10"/>
      <c r="AB101" s="10"/>
      <c r="AC101" s="10"/>
      <c r="AD101" s="10"/>
      <c r="AE101" s="10"/>
      <c r="AF101" s="10"/>
      <c r="AG101" s="10"/>
      <c r="AH101" s="10"/>
      <c r="AI101" s="10"/>
      <c r="AJ101" s="10"/>
      <c r="AK101" s="10"/>
      <c r="AL101" s="10"/>
      <c r="AM101" s="10"/>
      <c r="AN101" s="10"/>
      <c r="AO101" s="10"/>
    </row>
    <row r="102">
      <c r="A102" t="str">
        <f>O102</f>
      </c>
      <c r="B102" t="str">
        <f>P102</f>
      </c>
      <c r="C102" s="10" t="str">
        <f>AF102</f>
      </c>
      <c r="D102" s="10" t="str">
        <f>AL102</f>
      </c>
      <c r="E102" s="10" t="str">
        <f>AM102</f>
      </c>
      <c r="F102" s="10" t="str">
        <f>AN102</f>
      </c>
      <c r="G102" s="6" t="str">
        <f>AM102/AL102-1</f>
      </c>
      <c r="H102" s="6" t="str">
        <f>AM102/AF102-1</f>
      </c>
      <c r="I102" s="6" t="str">
        <f>AN102/AM102</f>
      </c>
      <c r="J102" s="6" t="str">
        <f>AM102/Sum(AM$1:AM$108)</f>
      </c>
      <c r="K102" s="6" t="str">
        <f>AN102/Sum(AN1:AN$108)</f>
      </c>
      <c r="O102" t="s">
        <v>187</v>
      </c>
      <c r="P102" t="n">
        <v>603</v>
      </c>
      <c r="Q102" s="10"/>
      <c r="R102" s="10"/>
      <c r="S102" s="10"/>
      <c r="T102" s="10" t="n">
        <v>64944.4660280906</v>
      </c>
      <c r="U102" s="10"/>
      <c r="V102" s="10"/>
      <c r="W102" s="10"/>
      <c r="X102" s="10"/>
      <c r="Y102" s="10"/>
      <c r="Z102" s="10"/>
      <c r="AA102" s="10"/>
      <c r="AB102" s="10"/>
      <c r="AC102" s="10"/>
      <c r="AD102" s="10"/>
      <c r="AE102" s="10"/>
      <c r="AF102" s="10"/>
      <c r="AG102" s="10"/>
      <c r="AH102" s="10"/>
      <c r="AI102" s="10"/>
      <c r="AJ102" s="10"/>
      <c r="AK102" s="10"/>
      <c r="AL102" s="10"/>
      <c r="AM102" s="10"/>
      <c r="AN102" s="10"/>
      <c r="AO102" s="10"/>
    </row>
    <row r="103">
      <c r="A103" t="str">
        <f>O103</f>
      </c>
      <c r="B103" t="str">
        <f>P103</f>
      </c>
      <c r="C103" s="10" t="str">
        <f>AF103</f>
      </c>
      <c r="D103" s="10" t="str">
        <f>AL103</f>
      </c>
      <c r="E103" s="10" t="str">
        <f>AM103</f>
      </c>
      <c r="F103" s="10" t="str">
        <f>AN103</f>
      </c>
      <c r="G103" s="6" t="str">
        <f>AM103/AL103-1</f>
      </c>
      <c r="H103" s="6" t="str">
        <f>AM103/AF103-1</f>
      </c>
      <c r="I103" s="6" t="str">
        <f>AN103/AM103</f>
      </c>
      <c r="J103" s="6" t="str">
        <f>AM103/Sum(AM$1:AM$108)</f>
      </c>
      <c r="K103" s="6" t="str">
        <f>AN103/Sum(AN1:AN$108)</f>
      </c>
      <c r="O103" t="s">
        <v>188</v>
      </c>
      <c r="P103" t="n">
        <v>1565</v>
      </c>
      <c r="Q103" s="10"/>
      <c r="R103" s="10" t="n">
        <v>2971293.34864588</v>
      </c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/>
      <c r="AD103" s="10"/>
      <c r="AE103" s="10"/>
      <c r="AF103" s="10"/>
      <c r="AG103" s="10"/>
      <c r="AH103" s="10"/>
      <c r="AI103" s="10"/>
      <c r="AJ103" s="10"/>
      <c r="AK103" s="10"/>
      <c r="AL103" s="10"/>
      <c r="AM103" s="10"/>
      <c r="AN103" s="10"/>
      <c r="AO103" s="10"/>
    </row>
    <row r="104">
      <c r="A104" t="str">
        <f>O104</f>
      </c>
      <c r="B104" t="str">
        <f>P104</f>
      </c>
      <c r="C104" s="10" t="str">
        <f>AF104</f>
      </c>
      <c r="D104" s="10" t="str">
        <f>AL104</f>
      </c>
      <c r="E104" s="10" t="str">
        <f>AM104</f>
      </c>
      <c r="F104" s="10" t="str">
        <f>AN104</f>
      </c>
      <c r="G104" s="6" t="str">
        <f>AM104/AL104-1</f>
      </c>
      <c r="H104" s="6" t="str">
        <f>AM104/AF104-1</f>
      </c>
      <c r="I104" s="6" t="str">
        <f>AN104/AM104</f>
      </c>
      <c r="J104" s="6" t="str">
        <f>AM104/Sum(AM$1:AM$108)</f>
      </c>
      <c r="K104" s="6" t="str">
        <f>AN104/Sum(AN1:AN$108)</f>
      </c>
      <c r="O104" t="s">
        <v>189</v>
      </c>
      <c r="P104" t="n">
        <v>296</v>
      </c>
      <c r="Q104" s="10" t="n">
        <v>6580388.62088505</v>
      </c>
      <c r="R104" s="10"/>
      <c r="S104" s="10" t="n">
        <v>540710.093350997</v>
      </c>
      <c r="T104" s="10" t="n">
        <v>39007.2137165833</v>
      </c>
      <c r="U104" s="10"/>
      <c r="V104" s="10"/>
      <c r="W104" s="10"/>
      <c r="X104" s="10"/>
      <c r="Y104" s="10"/>
      <c r="Z104" s="10"/>
      <c r="AA104" s="10"/>
      <c r="AB104" s="10"/>
      <c r="AC104" s="10"/>
      <c r="AD104" s="10"/>
      <c r="AE104" s="10"/>
      <c r="AF104" s="10"/>
      <c r="AG104" s="10"/>
      <c r="AH104" s="10"/>
      <c r="AI104" s="10"/>
      <c r="AJ104" s="10"/>
      <c r="AK104" s="10"/>
      <c r="AL104" s="10"/>
      <c r="AM104" s="10"/>
      <c r="AN104" s="10"/>
      <c r="AO104" s="10"/>
    </row>
    <row r="105">
      <c r="A105" t="str">
        <f>O105</f>
      </c>
      <c r="B105" t="str">
        <f>P105</f>
      </c>
      <c r="C105" s="10" t="str">
        <f>AF105</f>
      </c>
      <c r="D105" s="10" t="str">
        <f>AL105</f>
      </c>
      <c r="E105" s="10" t="str">
        <f>AM105</f>
      </c>
      <c r="F105" s="10" t="str">
        <f>AN105</f>
      </c>
      <c r="G105" s="6" t="str">
        <f>AM105/AL105-1</f>
      </c>
      <c r="H105" s="6" t="str">
        <f>AM105/AF105-1</f>
      </c>
      <c r="I105" s="6" t="str">
        <f>AN105/AM105</f>
      </c>
      <c r="J105" s="6" t="str">
        <f>AM105/Sum(AM$1:AM$108)</f>
      </c>
      <c r="K105" s="6" t="str">
        <f>AN105/Sum(AN1:AN$108)</f>
      </c>
      <c r="O105" t="s">
        <v>190</v>
      </c>
      <c r="P105" t="n">
        <v>1151</v>
      </c>
      <c r="Q105" s="10"/>
      <c r="R105" s="10" t="n">
        <v>43311.2123503689</v>
      </c>
      <c r="S105" s="10" t="n">
        <v>49229.0171412596</v>
      </c>
      <c r="T105" s="10"/>
      <c r="U105" s="10"/>
      <c r="V105" s="10"/>
      <c r="W105" s="10"/>
      <c r="X105" s="10"/>
      <c r="Y105" s="10"/>
      <c r="Z105" s="10"/>
      <c r="AA105" s="10"/>
      <c r="AB105" s="10"/>
      <c r="AC105" s="10"/>
      <c r="AD105" s="10"/>
      <c r="AE105" s="10"/>
      <c r="AF105" s="10"/>
      <c r="AG105" s="10"/>
      <c r="AH105" s="10"/>
      <c r="AI105" s="10"/>
      <c r="AJ105" s="10"/>
      <c r="AK105" s="10"/>
      <c r="AL105" s="10"/>
      <c r="AM105" s="10"/>
      <c r="AN105" s="10"/>
      <c r="AO105" s="10"/>
    </row>
    <row r="106">
      <c r="A106" t="str">
        <f>O106</f>
      </c>
      <c r="B106" t="str">
        <f>P106</f>
      </c>
      <c r="C106" s="10" t="str">
        <f>AF106</f>
      </c>
      <c r="D106" s="10" t="str">
        <f>AL106</f>
      </c>
      <c r="E106" s="10" t="str">
        <f>AM106</f>
      </c>
      <c r="F106" s="10" t="str">
        <f>AN106</f>
      </c>
      <c r="G106" s="6" t="str">
        <f>AM106/AL106-1</f>
      </c>
      <c r="H106" s="6" t="str">
        <f>AM106/AF106-1</f>
      </c>
      <c r="I106" s="6" t="str">
        <f>AN106/AM106</f>
      </c>
      <c r="J106" s="6" t="str">
        <f>AM106/Sum(AM$1:AM$108)</f>
      </c>
      <c r="K106" s="6" t="str">
        <f>AN106/Sum(AN1:AN$108)</f>
      </c>
      <c r="O106" t="s">
        <v>191</v>
      </c>
      <c r="P106" t="n">
        <v>1790</v>
      </c>
      <c r="Q106" s="10"/>
      <c r="R106" s="10"/>
      <c r="S106" s="10"/>
      <c r="T106" s="10" t="n">
        <v>827521.932026107</v>
      </c>
      <c r="U106" s="10"/>
      <c r="V106" s="10"/>
      <c r="W106" s="10"/>
      <c r="X106" s="10"/>
      <c r="Y106" s="10"/>
      <c r="Z106" s="10"/>
      <c r="AA106" s="10"/>
      <c r="AB106" s="10"/>
      <c r="AC106" s="10"/>
      <c r="AD106" s="10"/>
      <c r="AE106" s="10"/>
      <c r="AF106" s="10"/>
      <c r="AG106" s="10"/>
      <c r="AH106" s="10"/>
      <c r="AI106" s="10"/>
      <c r="AJ106" s="10"/>
      <c r="AK106" s="10"/>
      <c r="AL106" s="10"/>
      <c r="AM106" s="10"/>
      <c r="AN106" s="10"/>
      <c r="AO106" s="10"/>
    </row>
    <row r="107">
      <c r="A107" t="str">
        <f>O107</f>
      </c>
      <c r="B107" t="str">
        <f>P107</f>
      </c>
      <c r="C107" s="10" t="str">
        <f>AF107</f>
      </c>
      <c r="D107" s="10" t="str">
        <f>AL107</f>
      </c>
      <c r="E107" s="10" t="str">
        <f>AM107</f>
      </c>
      <c r="F107" s="10" t="str">
        <f>AN107</f>
      </c>
      <c r="G107" s="6" t="str">
        <f>AM107/AL107-1</f>
      </c>
      <c r="H107" s="6" t="str">
        <f>AM107/AF107-1</f>
      </c>
      <c r="I107" s="6" t="str">
        <f>AN107/AM107</f>
      </c>
      <c r="J107" s="6" t="str">
        <f>AM107/Sum(AM$1:AM$108)</f>
      </c>
      <c r="K107" s="6" t="str">
        <f>AN107/Sum(AN1:AN$108)</f>
      </c>
      <c r="O107" t="s">
        <v>192</v>
      </c>
      <c r="P107" t="n">
        <v>2015</v>
      </c>
      <c r="Q107" s="10"/>
      <c r="R107" s="10"/>
      <c r="S107" s="10"/>
      <c r="T107" s="10"/>
      <c r="U107" s="10"/>
      <c r="V107" s="10"/>
      <c r="W107" s="10"/>
      <c r="X107" s="10" t="n">
        <v>6804.08471958576</v>
      </c>
      <c r="Y107" s="10"/>
      <c r="Z107" s="10" t="n">
        <v>9302231.23877328</v>
      </c>
      <c r="AA107" s="10" t="n">
        <v>2433289.15369842</v>
      </c>
      <c r="AB107" s="10" t="n">
        <v>0</v>
      </c>
      <c r="AC107" s="10"/>
      <c r="AD107" s="10"/>
      <c r="AE107" s="10" t="n">
        <v>100817.398527626</v>
      </c>
      <c r="AF107" s="10" t="n">
        <v>-7701.91670665705</v>
      </c>
      <c r="AG107" s="10"/>
      <c r="AH107" s="10" t="n">
        <v>134848.751267951</v>
      </c>
      <c r="AI107" s="10" t="n">
        <v>0</v>
      </c>
      <c r="AJ107" s="10" t="n">
        <v>142564.373270699</v>
      </c>
      <c r="AK107" s="10" t="n">
        <v>78266.6444827683</v>
      </c>
      <c r="AL107" s="10" t="n">
        <v>0</v>
      </c>
      <c r="AM107" s="10"/>
      <c r="AN107" s="10"/>
      <c r="AO107" s="10"/>
    </row>
    <row r="108">
      <c r="A108" t="str">
        <f>O108</f>
      </c>
      <c r="B108" t="str">
        <f>P108</f>
      </c>
      <c r="C108" s="10" t="str">
        <f>AF108</f>
      </c>
      <c r="D108" s="10" t="str">
        <f>AL108</f>
      </c>
      <c r="E108" s="10" t="str">
        <f>AM108</f>
      </c>
      <c r="F108" s="10" t="str">
        <f>AN108</f>
      </c>
      <c r="G108" s="6" t="str">
        <f>AM108/AL108-1</f>
      </c>
      <c r="H108" s="6" t="str">
        <f>AM108/AF108-1</f>
      </c>
      <c r="I108" s="6" t="str">
        <f>AN108/AM108</f>
      </c>
      <c r="J108" s="6" t="str">
        <f>AM108/Sum(AM$1:AM$108)</f>
      </c>
      <c r="K108" s="6" t="str">
        <f>AN108/Sum(AN1:AN$108)</f>
      </c>
      <c r="O108"/>
      <c r="P108"/>
      <c r="Q108" s="10" t="n">
        <v>31208672614.9201</v>
      </c>
      <c r="R108" s="10" t="n">
        <v>33981189557.2428</v>
      </c>
      <c r="S108" s="10" t="n">
        <v>38057064307.8208</v>
      </c>
      <c r="T108" s="10" t="n">
        <v>49599556894.6117</v>
      </c>
      <c r="U108" s="10" t="n">
        <v>49404934843.4451</v>
      </c>
      <c r="V108" s="10" t="n">
        <v>52065344605.5062</v>
      </c>
      <c r="W108" s="10" t="n">
        <v>55889808496.2689</v>
      </c>
      <c r="X108" s="10" t="n">
        <v>59686210926.2228</v>
      </c>
      <c r="Y108" s="10" t="n">
        <v>73945378643.1134</v>
      </c>
      <c r="Z108" s="10" t="n">
        <v>84743800590.5939</v>
      </c>
      <c r="AA108" s="10" t="n">
        <v>77110881808.3197</v>
      </c>
      <c r="AB108" s="10" t="n">
        <v>67059562407.6769</v>
      </c>
      <c r="AC108" s="10" t="n">
        <v>59138868993.2431</v>
      </c>
      <c r="AD108" s="10" t="n">
        <v>45995101945.3875</v>
      </c>
      <c r="AE108" s="10" t="n">
        <v>48783910608.952</v>
      </c>
      <c r="AF108" s="10" t="n">
        <v>43316696943.6832</v>
      </c>
      <c r="AG108" s="10" t="n">
        <v>43585159061.2597</v>
      </c>
      <c r="AH108" s="10" t="n">
        <v>42769976055.224</v>
      </c>
      <c r="AI108" s="10" t="n">
        <v>51242410223.6477</v>
      </c>
      <c r="AJ108" s="10" t="n">
        <v>55538647043.9666</v>
      </c>
      <c r="AK108" s="10" t="n">
        <v>63665167948.0736</v>
      </c>
      <c r="AL108" s="10" t="n">
        <v>52189780435.9828</v>
      </c>
      <c r="AM108" s="10" t="n">
        <v>54414468275.4439</v>
      </c>
      <c r="AN108" s="10" t="n">
        <v>26836500378.5381</v>
      </c>
      <c r="AO108" s="10"/>
    </row>
    <row r="109">
      <c r="A109" t="str">
        <f>O109</f>
      </c>
      <c r="B109" t="str">
        <f>P109</f>
      </c>
      <c r="C109" s="10" t="str">
        <f>AF109</f>
      </c>
      <c r="D109" s="10" t="str">
        <f>AL109</f>
      </c>
      <c r="E109" s="10" t="str">
        <f>AM109</f>
      </c>
      <c r="F109" s="10" t="str">
        <f>AN109</f>
      </c>
      <c r="G109" s="6" t="str">
        <f>AM109/AL109-1</f>
      </c>
      <c r="H109" s="6" t="str">
        <f>AM109/AF109-1</f>
      </c>
      <c r="I109" s="6" t="str">
        <f>AN109/AM109</f>
      </c>
      <c r="J109" s="6" t="str">
        <f>Sum(J$1:J$108)</f>
      </c>
      <c r="K109" s="6" t="str">
        <f>Sum(K$1:K$108)</f>
      </c>
      <c r="O109" t="s">
        <v>193</v>
      </c>
      <c r="P109" t="s">
        <v>194</v>
      </c>
      <c r="Q109" s="10" t="str">
        <f>Sum(Q2:Q108)</f>
      </c>
      <c r="R109" s="10" t="str">
        <f>Sum(R2:R108)</f>
      </c>
      <c r="S109" s="10" t="str">
        <f>Sum(S2:S108)</f>
      </c>
      <c r="T109" s="10" t="str">
        <f>Sum(T2:T108)</f>
      </c>
      <c r="U109" s="10" t="str">
        <f>Sum(U2:U108)</f>
      </c>
      <c r="V109" s="10" t="str">
        <f>Sum(V2:V108)</f>
      </c>
      <c r="W109" s="10" t="str">
        <f>Sum(W2:W108)</f>
      </c>
      <c r="X109" s="10" t="str">
        <f>Sum(X2:X108)</f>
      </c>
      <c r="Y109" s="10" t="str">
        <f>Sum(Y2:Y108)</f>
      </c>
      <c r="Z109" s="10" t="str">
        <f>Sum(Z2:Z108)</f>
      </c>
      <c r="AA109" s="10" t="str">
        <f>Sum(AA2:AA108)</f>
      </c>
      <c r="AB109" s="10" t="str">
        <f>Sum(AB2:AB108)</f>
      </c>
      <c r="AC109" s="10" t="str">
        <f>Sum(AC2:AC108)</f>
      </c>
      <c r="AD109" s="10" t="str">
        <f>Sum(AD2:AD108)</f>
      </c>
      <c r="AE109" s="10" t="str">
        <f>Sum(AE2:AE108)</f>
      </c>
      <c r="AF109" s="10" t="str">
        <f>Sum(AF2:AF108)</f>
      </c>
      <c r="AG109" s="10" t="str">
        <f>Sum(AG2:AG108)</f>
      </c>
      <c r="AH109" s="10" t="str">
        <f>Sum(AH2:AH108)</f>
      </c>
      <c r="AI109" s="10" t="str">
        <f>Sum(AI2:AI108)</f>
      </c>
      <c r="AJ109" s="10" t="str">
        <f>Sum(AJ2:AJ108)</f>
      </c>
      <c r="AK109" s="10" t="str">
        <f>Sum(AK2:AK108)</f>
      </c>
      <c r="AL109" s="10" t="str">
        <f>Sum(AL2:AL108)</f>
      </c>
      <c r="AM109" s="10" t="str">
        <f>Sum(AM2:AM108)</f>
      </c>
      <c r="AN109" s="10"/>
      <c r="AO109" s="10"/>
    </row>
    <row r="110">
      <c r="P110" t="str">
        <f>Sum(A2:A108)</f>
      </c>
    </row>
    <row r="111">
      <c r="P111" t="str">
        <f>Sum(B2:B108)</f>
      </c>
    </row>
    <row r="112">
      <c r="P112" t="str">
        <f>Sum(C2:C108)</f>
      </c>
    </row>
    <row r="113">
      <c r="P113" t="str">
        <f>Sum(D2:D108)</f>
      </c>
    </row>
    <row r="114">
      <c r="P114" t="str">
        <f>Sum(E2:E108)</f>
      </c>
    </row>
    <row r="115">
      <c r="P115" t="str">
        <f>Sum(F2:F108)</f>
      </c>
    </row>
    <row r="116">
      <c r="P116" t="str">
        <f>Sum(G2:G108)</f>
      </c>
    </row>
    <row r="117">
      <c r="P117" t="str">
        <f>Sum(H2:H108)</f>
      </c>
    </row>
    <row r="118">
      <c r="P118" t="str">
        <f>Sum(I2:I108)</f>
      </c>
    </row>
    <row r="119">
      <c r="P119" t="str">
        <f>Sum(J2:J108)</f>
      </c>
    </row>
  </sheetData>
  <pageMargins left="0.7" right="0.7" top="0.75" bottom="0.75" header="0.3" footer="0.3"/>
  <pageSetup paperSize="9" orientation="portrait" horizontalDpi="300" verticalDpi="300"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1" topLeftCell="B2" activePane="bottomRight" state="frozen"/>
      <selection pane="bottomRight"/>
    </sheetView>
  </sheetViews>
  <sheetFormatPr defaultRowHeight="15.0" baseColWidth="10"/>
  <sheetData>
    <row r="1">
      <c r="A1" t="str">
        <f>K1</f>
      </c>
      <c r="K1" t="s">
        <v>195</v>
      </c>
      <c r="L1" t="s">
        <v>1</v>
      </c>
      <c r="M1" t="s">
        <v>2</v>
      </c>
      <c r="N1" t="s">
        <v>3</v>
      </c>
      <c r="O1" t="s">
        <v>4</v>
      </c>
      <c r="P1" t="s">
        <v>5</v>
      </c>
      <c r="Q1" t="s">
        <v>6</v>
      </c>
      <c r="R1" t="s">
        <v>7</v>
      </c>
      <c r="S1" t="s">
        <v>8</v>
      </c>
      <c r="T1" t="s">
        <v>9</v>
      </c>
      <c r="U1" t="s">
        <v>10</v>
      </c>
      <c r="V1" t="s">
        <v>11</v>
      </c>
      <c r="W1" t="s">
        <v>12</v>
      </c>
      <c r="X1" t="s">
        <v>13</v>
      </c>
      <c r="Y1" t="s">
        <v>14</v>
      </c>
      <c r="Z1" t="s">
        <v>15</v>
      </c>
      <c r="AA1" t="s">
        <v>16</v>
      </c>
      <c r="AB1" t="s">
        <v>17</v>
      </c>
      <c r="AC1" t="s">
        <v>18</v>
      </c>
      <c r="AD1" t="s">
        <v>19</v>
      </c>
      <c r="AE1" t="s">
        <v>20</v>
      </c>
      <c r="AF1" t="s">
        <v>21</v>
      </c>
      <c r="AG1" t="s">
        <v>22</v>
      </c>
      <c r="AH1" t="s">
        <v>23</v>
      </c>
      <c r="AI1" t="s">
        <v>24</v>
      </c>
      <c r="AJ1" t="s">
        <v>25</v>
      </c>
      <c r="AK1" t="s">
        <v>26</v>
      </c>
      <c r="AL1" t="s">
        <v>27</v>
      </c>
      <c r="AM1" t="s">
        <v>28</v>
      </c>
      <c r="AN1" t="s">
        <v>29</v>
      </c>
      <c r="AO1" t="s">
        <v>30</v>
      </c>
      <c r="AP1" t="s">
        <v>31</v>
      </c>
      <c r="AQ1" t="s">
        <v>32</v>
      </c>
      <c r="AR1" t="s">
        <v>33</v>
      </c>
      <c r="AS1" t="s">
        <v>34</v>
      </c>
    </row>
    <row r="2">
      <c r="A2" t="str">
        <f>K2</f>
      </c>
      <c r="K2" t="s">
        <v>196</v>
      </c>
      <c r="L2" s="11" t="n">
        <v>46727000</v>
      </c>
      <c r="M2" s="11" t="n">
        <v>81349000</v>
      </c>
      <c r="N2" s="11" t="n">
        <v>115467464</v>
      </c>
      <c r="O2" s="11" t="n">
        <v>128536356</v>
      </c>
      <c r="P2" s="11" t="n">
        <v>211247118</v>
      </c>
      <c r="Q2" s="11" t="n">
        <v>356021950</v>
      </c>
      <c r="R2" s="11" t="n">
        <v>353586048</v>
      </c>
      <c r="S2" s="11" t="n">
        <v>665351505</v>
      </c>
      <c r="T2" s="11" t="n">
        <v>632548326</v>
      </c>
      <c r="U2" s="11" t="n">
        <v>630822504</v>
      </c>
      <c r="V2" s="11" t="n">
        <v>506179131.9317</v>
      </c>
      <c r="W2" s="11" t="n">
        <v>500262704.3202</v>
      </c>
      <c r="X2" s="11" t="n">
        <v>522300150.3984</v>
      </c>
      <c r="Y2" s="11" t="n">
        <v>623095935.9995</v>
      </c>
      <c r="Z2" s="11" t="n">
        <v>655648078.2852</v>
      </c>
      <c r="AA2" s="11" t="n">
        <v>579374427.3102</v>
      </c>
      <c r="AB2" s="11" t="n">
        <v>616117663.2708</v>
      </c>
      <c r="AC2" s="11" t="n">
        <v>578266956.2312</v>
      </c>
      <c r="AD2" s="11" t="n">
        <v>610906194.6321</v>
      </c>
      <c r="AE2" s="11" t="n">
        <v>883378465.5746</v>
      </c>
      <c r="AF2" s="11" t="n">
        <v>807941093.0421</v>
      </c>
      <c r="AG2" s="11" t="n">
        <v>840495827.5095</v>
      </c>
      <c r="AH2" s="11" t="n">
        <v>705214520.3465</v>
      </c>
      <c r="AI2" s="11" t="n">
        <v>739713927.7513</v>
      </c>
      <c r="AJ2" s="11" t="n">
        <v>454966542.1088</v>
      </c>
      <c r="AK2" s="11" t="n">
        <v>259622282.0238</v>
      </c>
      <c r="AL2" s="11" t="n">
        <v>285927376.6513</v>
      </c>
      <c r="AM2" s="11" t="n">
        <v>604204837.44</v>
      </c>
      <c r="AN2" s="11" t="n">
        <v>256043323.4286</v>
      </c>
      <c r="AO2" s="11" t="n">
        <v>182311459.5524</v>
      </c>
      <c r="AP2" s="11" t="n">
        <v>193408513.3304</v>
      </c>
      <c r="AQ2" s="11" t="n">
        <v>351617879.4067</v>
      </c>
      <c r="AR2" s="11" t="n">
        <v>523530784.8793</v>
      </c>
      <c r="AS2" s="11" t="n">
        <v>696654306.2607</v>
      </c>
      <c r="AT2" s="11"/>
      <c r="AU2" s="11"/>
    </row>
    <row r="3">
      <c r="A3" t="str">
        <f>K3</f>
      </c>
      <c r="K3" t="s">
        <v>197</v>
      </c>
      <c r="L3" s="11" t="n">
        <v>1231829000</v>
      </c>
      <c r="M3" s="11" t="n">
        <v>1832142802</v>
      </c>
      <c r="N3" s="11" t="n">
        <v>1984427794</v>
      </c>
      <c r="O3" s="11" t="n">
        <v>1660100834</v>
      </c>
      <c r="P3" s="11" t="n">
        <v>2506094117</v>
      </c>
      <c r="Q3" s="11" t="n">
        <v>2188986725</v>
      </c>
      <c r="R3" s="11" t="n">
        <v>2805379185</v>
      </c>
      <c r="S3" s="11" t="n">
        <v>2521406653</v>
      </c>
      <c r="T3" s="11" t="n">
        <v>2495042033</v>
      </c>
      <c r="U3" s="11" t="n">
        <v>2938866215</v>
      </c>
      <c r="V3" s="11" t="n">
        <v>2931455787.9492</v>
      </c>
      <c r="W3" s="11" t="n">
        <v>3407652385.4207</v>
      </c>
      <c r="X3" s="11" t="n">
        <v>3769970759.0495</v>
      </c>
      <c r="Y3" s="11" t="n">
        <v>7891252971.6993</v>
      </c>
      <c r="Z3" s="11" t="n">
        <v>8187879255.2418</v>
      </c>
      <c r="AA3" s="11" t="n">
        <v>7582626152.8299</v>
      </c>
      <c r="AB3" s="11" t="n">
        <v>8386105370.6974</v>
      </c>
      <c r="AC3" s="11" t="n">
        <v>8560265573.0923</v>
      </c>
      <c r="AD3" s="11" t="n">
        <v>12364994910.5808</v>
      </c>
      <c r="AE3" s="11" t="n">
        <v>14379214123.7889</v>
      </c>
      <c r="AF3" s="11" t="n">
        <v>12836478090.2288</v>
      </c>
      <c r="AG3" s="11" t="n">
        <v>10051679005.249</v>
      </c>
      <c r="AH3" s="11" t="n">
        <v>10080825392.8427</v>
      </c>
      <c r="AI3" s="11" t="n">
        <v>8510139000.4686</v>
      </c>
      <c r="AJ3" s="11" t="n">
        <v>7396361117.1484</v>
      </c>
      <c r="AK3" s="11" t="n">
        <v>6603168902.8519</v>
      </c>
      <c r="AL3" s="11" t="n">
        <v>5905315343.5632</v>
      </c>
      <c r="AM3" s="11" t="n">
        <v>5381927899.4193</v>
      </c>
      <c r="AN3" s="11" t="n">
        <v>7246713540.1239</v>
      </c>
      <c r="AO3" s="11" t="n">
        <v>10165339699.2233</v>
      </c>
      <c r="AP3" s="11" t="n">
        <v>10553867620.3906</v>
      </c>
      <c r="AQ3" s="11" t="n">
        <v>8391849406.9237</v>
      </c>
      <c r="AR3" s="11" t="n">
        <v>8681875038.9796</v>
      </c>
      <c r="AS3" s="11" t="n">
        <v>4529696903.065</v>
      </c>
      <c r="AT3" s="11"/>
      <c r="AU3" s="11"/>
    </row>
    <row r="4">
      <c r="A4" t="str">
        <f>K4</f>
      </c>
      <c r="K4" t="s">
        <v>198</v>
      </c>
      <c r="L4" s="11" t="n">
        <v>4858708086</v>
      </c>
      <c r="M4" s="11" t="n">
        <v>8646896970</v>
      </c>
      <c r="N4" s="11" t="n">
        <v>8493017559</v>
      </c>
      <c r="O4" s="11" t="n">
        <v>8474154796</v>
      </c>
      <c r="P4" s="11" t="n">
        <v>10032329172</v>
      </c>
      <c r="Q4" s="11" t="n">
        <v>9950474726</v>
      </c>
      <c r="R4" s="11" t="n">
        <v>9478060532</v>
      </c>
      <c r="S4" s="11" t="n">
        <v>9971358009</v>
      </c>
      <c r="T4" s="11" t="n">
        <v>9591547705</v>
      </c>
      <c r="U4" s="11" t="n">
        <v>10428580690</v>
      </c>
      <c r="V4" s="11" t="n">
        <v>10615644292.7524</v>
      </c>
      <c r="W4" s="11" t="n">
        <v>11463758796.7896</v>
      </c>
      <c r="X4" s="11" t="n">
        <v>12952851365.7969</v>
      </c>
      <c r="Y4" s="11" t="n">
        <v>14436900839.77</v>
      </c>
      <c r="Z4" s="11" t="n">
        <v>15693686076.93</v>
      </c>
      <c r="AA4" s="11" t="n">
        <v>17042375037.7014</v>
      </c>
      <c r="AB4" s="11" t="n">
        <v>21050437479.0364</v>
      </c>
      <c r="AC4" s="11" t="n">
        <v>20364550746.6373</v>
      </c>
      <c r="AD4" s="11" t="n">
        <v>25013640771.7238</v>
      </c>
      <c r="AE4" s="11" t="n">
        <v>27345384649.9922</v>
      </c>
      <c r="AF4" s="11" t="n">
        <v>24693393319.916</v>
      </c>
      <c r="AG4" s="11" t="n">
        <v>23429069205.5709</v>
      </c>
      <c r="AH4" s="11" t="n">
        <v>18262238749.0194</v>
      </c>
      <c r="AI4" s="11" t="n">
        <v>15329318506.3104</v>
      </c>
      <c r="AJ4" s="11" t="n">
        <v>16603146988.276</v>
      </c>
      <c r="AK4" s="11" t="n">
        <v>15662301433.2526</v>
      </c>
      <c r="AL4" s="11" t="n">
        <v>15631446931.3255</v>
      </c>
      <c r="AM4" s="11" t="n">
        <v>16473573254.3085</v>
      </c>
      <c r="AN4" s="11" t="n">
        <v>19604649396.6598</v>
      </c>
      <c r="AO4" s="11" t="n">
        <v>22401590459.6169</v>
      </c>
      <c r="AP4" s="11" t="n">
        <v>28350421387.7608</v>
      </c>
      <c r="AQ4" s="11" t="n">
        <v>22150836950.1061</v>
      </c>
      <c r="AR4" s="11" t="n">
        <v>26075657016.0868</v>
      </c>
      <c r="AS4" s="11" t="n">
        <v>10251840750.7572</v>
      </c>
      <c r="AT4" s="11"/>
      <c r="AU4" s="11"/>
    </row>
    <row r="5">
      <c r="A5" t="str">
        <f>K5</f>
      </c>
      <c r="K5" t="s">
        <v>199</v>
      </c>
      <c r="L5" s="11" t="n">
        <v>4830006450</v>
      </c>
      <c r="M5" s="11" t="n">
        <v>6944815008</v>
      </c>
      <c r="N5" s="11" t="n">
        <v>6445249440</v>
      </c>
      <c r="O5" s="11" t="n">
        <v>6375202911</v>
      </c>
      <c r="P5" s="11" t="n">
        <v>7141346256</v>
      </c>
      <c r="Q5" s="11" t="n">
        <v>7157611248</v>
      </c>
      <c r="R5" s="11" t="n">
        <v>7107632340</v>
      </c>
      <c r="S5" s="11" t="n">
        <v>6467804795</v>
      </c>
      <c r="T5" s="11" t="n">
        <v>6435175233</v>
      </c>
      <c r="U5" s="11" t="n">
        <v>6553605063</v>
      </c>
      <c r="V5" s="11" t="n">
        <v>6745194577.4411</v>
      </c>
      <c r="W5" s="11" t="n">
        <v>7693282433.6292</v>
      </c>
      <c r="X5" s="11" t="n">
        <v>8788851686.7448</v>
      </c>
      <c r="Y5" s="11" t="n">
        <v>11418603901.6067</v>
      </c>
      <c r="Z5" s="11" t="n">
        <v>10903133346.7438</v>
      </c>
      <c r="AA5" s="11" t="n">
        <v>13298426472.5422</v>
      </c>
      <c r="AB5" s="11" t="n">
        <v>14387506315.2707</v>
      </c>
      <c r="AC5" s="11" t="n">
        <v>15631431985.274</v>
      </c>
      <c r="AD5" s="11" t="n">
        <v>17549427595.6305</v>
      </c>
      <c r="AE5" s="11" t="n">
        <v>20779870354.2993</v>
      </c>
      <c r="AF5" s="11" t="n">
        <v>20419313390.8335</v>
      </c>
      <c r="AG5" s="11" t="n">
        <v>18357586746.0536</v>
      </c>
      <c r="AH5" s="11" t="n">
        <v>18506646356.6348</v>
      </c>
      <c r="AI5" s="11" t="n">
        <v>14113730802.9186</v>
      </c>
      <c r="AJ5" s="11" t="n">
        <v>17507568298.9709</v>
      </c>
      <c r="AK5" s="11" t="n">
        <v>15274927347.6989</v>
      </c>
      <c r="AL5" s="11" t="n">
        <v>16344803745.5913</v>
      </c>
      <c r="AM5" s="11" t="n">
        <v>15780680808.8737</v>
      </c>
      <c r="AN5" s="11" t="n">
        <v>19692280457.8281</v>
      </c>
      <c r="AO5" s="11" t="n">
        <v>19004934084.1069</v>
      </c>
      <c r="AP5" s="11" t="n">
        <v>20925501899.6648</v>
      </c>
      <c r="AQ5" s="11" t="n">
        <v>19940299494.0023</v>
      </c>
      <c r="AR5" s="11" t="n">
        <v>21742194765.7339</v>
      </c>
      <c r="AS5" s="11" t="n">
        <v>7369748566.9403</v>
      </c>
      <c r="AT5" s="11"/>
      <c r="AU5" s="11"/>
    </row>
    <row r="6">
      <c r="A6" t="str">
        <f>K6</f>
      </c>
      <c r="K6" t="s">
        <v>200</v>
      </c>
      <c r="L6" s="11" t="n">
        <v>1215965769</v>
      </c>
      <c r="M6" s="11" t="n">
        <v>987626088</v>
      </c>
      <c r="N6" s="11" t="n">
        <v>619553654</v>
      </c>
      <c r="O6" s="11" t="n">
        <v>540020972</v>
      </c>
      <c r="P6" s="11" t="n">
        <v>441427881</v>
      </c>
      <c r="Q6" s="11" t="n">
        <v>484810758</v>
      </c>
      <c r="R6" s="11" t="n">
        <v>538138480</v>
      </c>
      <c r="S6" s="11" t="n">
        <v>602591755</v>
      </c>
      <c r="T6" s="11" t="n">
        <v>410304964</v>
      </c>
      <c r="U6" s="11" t="n">
        <v>52954919</v>
      </c>
      <c r="V6" s="11" t="n">
        <v>1456019</v>
      </c>
      <c r="W6" s="11" t="n">
        <v>1325397.0996</v>
      </c>
      <c r="X6" s="11" t="n">
        <v>28790999.2109</v>
      </c>
      <c r="Y6" s="11" t="n">
        <v>77020296.2115</v>
      </c>
      <c r="Z6" s="11" t="n">
        <v>262161091.7692</v>
      </c>
      <c r="AA6" s="11" t="n">
        <v>1056208389.3266</v>
      </c>
      <c r="AB6" s="11" t="n">
        <v>1109294062.5506</v>
      </c>
      <c r="AC6" s="11" t="n">
        <v>1062562744.5858</v>
      </c>
      <c r="AD6" s="11" t="n">
        <v>1752094928.3281</v>
      </c>
      <c r="AE6" s="11" t="n">
        <v>2976305827.7442</v>
      </c>
      <c r="AF6" s="11" t="n">
        <v>2483039317.3397</v>
      </c>
      <c r="AG6" s="11" t="n">
        <v>1901796433.7364</v>
      </c>
      <c r="AH6" s="11" t="n">
        <v>1456736627.5576</v>
      </c>
      <c r="AI6" s="11" t="n">
        <v>547842442.8204</v>
      </c>
      <c r="AJ6" s="11" t="n">
        <v>251312214.7652</v>
      </c>
      <c r="AK6" s="11" t="n">
        <v>327769094.1414</v>
      </c>
      <c r="AL6" s="11" t="n">
        <v>393980730.1409</v>
      </c>
      <c r="AM6" s="11" t="n">
        <v>200050916.8539</v>
      </c>
      <c r="AN6" s="11" t="n">
        <v>151904125.5811</v>
      </c>
      <c r="AO6" s="11" t="n">
        <v>303051322.7786</v>
      </c>
      <c r="AP6" s="11" t="n">
        <v>150676346.6143</v>
      </c>
      <c r="AQ6" s="11" t="n">
        <v>320782846.8968</v>
      </c>
      <c r="AR6" s="11" t="n">
        <v>264118065.5521</v>
      </c>
      <c r="AS6" s="11" t="n">
        <v>214392507.604</v>
      </c>
      <c r="AT6" s="11"/>
      <c r="AU6" s="11"/>
    </row>
    <row r="7">
      <c r="A7" t="str">
        <f>K7</f>
      </c>
      <c r="K7" t="s">
        <v>193</v>
      </c>
      <c r="L7" s="11" t="str">
        <f>Sum(L2:L6)</f>
      </c>
      <c r="M7" s="11" t="str">
        <f>Sum(M2:M6)</f>
      </c>
      <c r="N7" s="11" t="str">
        <f>Sum(N2:N6)</f>
      </c>
      <c r="O7" s="11" t="str">
        <f>Sum(O2:O6)</f>
      </c>
      <c r="P7" s="11" t="str">
        <f>Sum(P2:P6)</f>
      </c>
      <c r="Q7" s="11" t="str">
        <f>Sum(Q2:Q6)</f>
      </c>
      <c r="R7" s="11" t="str">
        <f>Sum(R2:R6)</f>
      </c>
      <c r="S7" s="11" t="str">
        <f>Sum(S2:S6)</f>
      </c>
      <c r="T7" s="11" t="str">
        <f>Sum(T2:T6)</f>
      </c>
      <c r="U7" s="11" t="str">
        <f>Sum(U2:U6)</f>
      </c>
      <c r="V7" s="11" t="str">
        <f>Sum(V2:V6)</f>
      </c>
      <c r="W7" s="11" t="str">
        <f>Sum(W2:W6)</f>
      </c>
      <c r="X7" s="11" t="str">
        <f>Sum(X2:X6)</f>
      </c>
      <c r="Y7" s="11" t="str">
        <f>Sum(Y2:Y6)</f>
      </c>
      <c r="Z7" s="11" t="str">
        <f>Sum(Z2:Z6)</f>
      </c>
      <c r="AA7" s="11" t="str">
        <f>Sum(AA2:AA6)</f>
      </c>
      <c r="AB7" s="11" t="str">
        <f>Sum(AB2:AB6)</f>
      </c>
      <c r="AC7" s="11" t="str">
        <f>Sum(AC2:AC6)</f>
      </c>
      <c r="AD7" s="11" t="str">
        <f>Sum(AD2:AD6)</f>
      </c>
      <c r="AE7" s="11" t="str">
        <f>Sum(AE2:AE6)</f>
      </c>
      <c r="AF7" s="11" t="str">
        <f>Sum(AF2:AF6)</f>
      </c>
      <c r="AG7" s="11" t="str">
        <f>Sum(AG2:AG6)</f>
      </c>
      <c r="AH7" s="11" t="str">
        <f>Sum(AH2:AH6)</f>
      </c>
      <c r="AI7" s="11" t="str">
        <f>Sum(AI2:AI6)</f>
      </c>
      <c r="AJ7" s="11" t="str">
        <f>Sum(AJ2:AJ6)</f>
      </c>
      <c r="AK7" s="11" t="str">
        <f>Sum(AK2:AK6)</f>
      </c>
      <c r="AL7" s="11" t="str">
        <f>Sum(AL2:AL6)</f>
      </c>
      <c r="AM7" s="11" t="str">
        <f>Sum(AM2:AM6)</f>
      </c>
      <c r="AN7" s="11" t="str">
        <f>Sum(AN2:AN6)</f>
      </c>
      <c r="AO7" s="11" t="str">
        <f>Sum(AO2:AO6)</f>
      </c>
      <c r="AP7" s="11" t="str">
        <f>Sum(AP2:AP6)</f>
      </c>
      <c r="AQ7" s="11" t="str">
        <f>Sum(AQ2:AQ6)</f>
      </c>
      <c r="AR7" s="11" t="str">
        <f>Sum(AR2:AR6)</f>
      </c>
      <c r="AS7" s="11" t="str">
        <f>Sum(AS2:AS6)</f>
      </c>
      <c r="AT7" s="11"/>
      <c r="AU7" s="11"/>
    </row>
    <row r="10">
      <c r="A10" t="str">
        <f>K10</f>
      </c>
      <c r="K10" t="s">
        <v>195</v>
      </c>
      <c r="L10" t="s">
        <v>1</v>
      </c>
      <c r="M10" t="s">
        <v>2</v>
      </c>
      <c r="N10" t="s">
        <v>3</v>
      </c>
      <c r="O10" t="s">
        <v>4</v>
      </c>
      <c r="P10" t="s">
        <v>5</v>
      </c>
      <c r="Q10" t="s">
        <v>6</v>
      </c>
      <c r="R10" t="s">
        <v>7</v>
      </c>
      <c r="S10" t="s">
        <v>8</v>
      </c>
      <c r="T10" t="s">
        <v>9</v>
      </c>
      <c r="U10" t="s">
        <v>10</v>
      </c>
      <c r="V10" t="s">
        <v>11</v>
      </c>
      <c r="W10" t="s">
        <v>12</v>
      </c>
      <c r="X10" t="s">
        <v>13</v>
      </c>
      <c r="Y10" t="s">
        <v>14</v>
      </c>
      <c r="Z10" t="s">
        <v>15</v>
      </c>
      <c r="AA10" t="s">
        <v>16</v>
      </c>
      <c r="AB10" t="s">
        <v>17</v>
      </c>
      <c r="AC10" t="s">
        <v>18</v>
      </c>
      <c r="AD10" t="s">
        <v>19</v>
      </c>
      <c r="AE10" t="s">
        <v>20</v>
      </c>
      <c r="AF10" t="s">
        <v>21</v>
      </c>
      <c r="AG10" t="s">
        <v>22</v>
      </c>
      <c r="AH10" t="s">
        <v>23</v>
      </c>
      <c r="AI10" t="s">
        <v>24</v>
      </c>
      <c r="AJ10" t="s">
        <v>25</v>
      </c>
      <c r="AK10" t="s">
        <v>26</v>
      </c>
      <c r="AL10" t="s">
        <v>27</v>
      </c>
      <c r="AM10" t="s">
        <v>28</v>
      </c>
      <c r="AN10" t="s">
        <v>29</v>
      </c>
      <c r="AO10" t="s">
        <v>30</v>
      </c>
      <c r="AP10" t="s">
        <v>31</v>
      </c>
      <c r="AQ10" t="s">
        <v>32</v>
      </c>
      <c r="AR10" t="s">
        <v>33</v>
      </c>
      <c r="AS10" t="s">
        <v>34</v>
      </c>
    </row>
    <row r="11">
      <c r="A11" t="str">
        <f>K11</f>
      </c>
      <c r="K11" t="s">
        <v>196</v>
      </c>
      <c r="L11" s="11" t="n">
        <v>92871387.510077</v>
      </c>
      <c r="M11" s="11" t="n">
        <v>156115202.353092</v>
      </c>
      <c r="N11" s="11" t="n">
        <v>216188191.020045</v>
      </c>
      <c r="O11" s="11" t="n">
        <v>235133400.974793</v>
      </c>
      <c r="P11" s="11" t="n">
        <v>378196610.144148</v>
      </c>
      <c r="Q11" s="11" t="n">
        <v>624166005.214214</v>
      </c>
      <c r="R11" s="11" t="n">
        <v>608459839.394027</v>
      </c>
      <c r="S11" s="11" t="n">
        <v>1124969320.41367</v>
      </c>
      <c r="T11" s="11" t="n">
        <v>1056316280.07676</v>
      </c>
      <c r="U11" s="11" t="n">
        <v>1040464675.3996</v>
      </c>
      <c r="V11" s="11" t="n">
        <v>817848834.028121</v>
      </c>
      <c r="W11" s="11" t="n">
        <v>789152979.960008</v>
      </c>
      <c r="X11" s="11" t="n">
        <v>811114292.014047</v>
      </c>
      <c r="Y11" s="11" t="n">
        <v>949497474.078718</v>
      </c>
      <c r="Z11" s="11" t="n">
        <v>975262963.341741</v>
      </c>
      <c r="AA11" s="11" t="n">
        <v>836416618.597946</v>
      </c>
      <c r="AB11" s="11" t="n">
        <v>861415535.6484</v>
      </c>
      <c r="AC11" s="11" t="n">
        <v>786915472.146815</v>
      </c>
      <c r="AD11" s="11" t="n">
        <v>814347592.444547</v>
      </c>
      <c r="AE11" s="11" t="n">
        <v>1165711518.79124</v>
      </c>
      <c r="AF11" s="11" t="n">
        <v>1056970930.88331</v>
      </c>
      <c r="AG11" s="11" t="n">
        <v>1077837469.55035</v>
      </c>
      <c r="AH11" s="11" t="n">
        <v>888076645.302902</v>
      </c>
      <c r="AI11" s="11" t="n">
        <v>914781251.893441</v>
      </c>
      <c r="AJ11" s="11" t="n">
        <v>551964707.703549</v>
      </c>
      <c r="AK11" s="11" t="n">
        <v>311403314.532057</v>
      </c>
      <c r="AL11" s="11" t="n">
        <v>340136355.199824</v>
      </c>
      <c r="AM11" s="11" t="n">
        <v>706148633.102252</v>
      </c>
      <c r="AN11" s="11" t="n">
        <v>292378814.980407</v>
      </c>
      <c r="AO11" s="11" t="n">
        <v>204184294.783404</v>
      </c>
      <c r="AP11" s="11" t="n">
        <v>213761050.526496</v>
      </c>
      <c r="AQ11" s="11" t="n">
        <v>375980636.603171</v>
      </c>
      <c r="AR11" s="11" t="n">
        <v>523530784.8793</v>
      </c>
      <c r="AS11" s="11" t="n">
        <v>664467748.338092</v>
      </c>
      <c r="AT11" s="11"/>
      <c r="AU11" s="11"/>
    </row>
    <row r="12">
      <c r="A12" t="str">
        <f>K12</f>
      </c>
      <c r="K12" t="s">
        <v>197</v>
      </c>
      <c r="L12" s="11" t="n">
        <v>2448299022.08895</v>
      </c>
      <c r="M12" s="11" t="n">
        <v>3516027784.90199</v>
      </c>
      <c r="N12" s="11" t="n">
        <v>3715417660.81187</v>
      </c>
      <c r="O12" s="11" t="n">
        <v>3036846283.86003</v>
      </c>
      <c r="P12" s="11" t="n">
        <v>4486670912.83864</v>
      </c>
      <c r="Q12" s="11" t="n">
        <v>3837659727.4696</v>
      </c>
      <c r="R12" s="11" t="n">
        <v>4827567654.32228</v>
      </c>
      <c r="S12" s="11" t="n">
        <v>4263167825.72229</v>
      </c>
      <c r="T12" s="11" t="n">
        <v>4166564688.58274</v>
      </c>
      <c r="U12" s="11" t="n">
        <v>4847300885.81752</v>
      </c>
      <c r="V12" s="11" t="n">
        <v>4736441206.15929</v>
      </c>
      <c r="W12" s="11" t="n">
        <v>5375493738.38859</v>
      </c>
      <c r="X12" s="11" t="n">
        <v>5854635808.17966</v>
      </c>
      <c r="Y12" s="11" t="n">
        <v>12024993794.7768</v>
      </c>
      <c r="Z12" s="11" t="n">
        <v>12179301137.9467</v>
      </c>
      <c r="AA12" s="11" t="n">
        <v>10946693930.3599</v>
      </c>
      <c r="AB12" s="11" t="n">
        <v>11724905615.5173</v>
      </c>
      <c r="AC12" s="11" t="n">
        <v>11648954436.2947</v>
      </c>
      <c r="AD12" s="11" t="n">
        <v>16482733232.202</v>
      </c>
      <c r="AE12" s="11" t="n">
        <v>18974897157.3169</v>
      </c>
      <c r="AF12" s="11" t="n">
        <v>16793036414.581</v>
      </c>
      <c r="AG12" s="11" t="n">
        <v>12890101186.8824</v>
      </c>
      <c r="AH12" s="11" t="n">
        <v>12694783414.7846</v>
      </c>
      <c r="AI12" s="11" t="n">
        <v>10524224726.0393</v>
      </c>
      <c r="AJ12" s="11" t="n">
        <v>8973253908.24107</v>
      </c>
      <c r="AK12" s="11" t="n">
        <v>7920154875.51483</v>
      </c>
      <c r="AL12" s="11" t="n">
        <v>7024904228.44247</v>
      </c>
      <c r="AM12" s="11" t="n">
        <v>6289987756.02688</v>
      </c>
      <c r="AN12" s="11" t="n">
        <v>8275105513.36339</v>
      </c>
      <c r="AO12" s="11" t="n">
        <v>11384927326.102</v>
      </c>
      <c r="AP12" s="11" t="n">
        <v>11664459804.8191</v>
      </c>
      <c r="AQ12" s="11" t="n">
        <v>8973300469.29632</v>
      </c>
      <c r="AR12" s="11" t="n">
        <v>8681875038.9796</v>
      </c>
      <c r="AS12" s="11" t="n">
        <v>4320417565.47658</v>
      </c>
      <c r="AT12" s="11"/>
      <c r="AU12" s="11"/>
    </row>
    <row r="13">
      <c r="A13" t="str">
        <f>K13</f>
      </c>
      <c r="K13" t="s">
        <v>198</v>
      </c>
      <c r="L13" s="11" t="n">
        <v>9656835693.56582</v>
      </c>
      <c r="M13" s="11" t="n">
        <v>16594083150.3509</v>
      </c>
      <c r="N13" s="11" t="n">
        <v>15901363369.1798</v>
      </c>
      <c r="O13" s="11" t="n">
        <v>15501893001.9327</v>
      </c>
      <c r="P13" s="11" t="n">
        <v>17960921411.0114</v>
      </c>
      <c r="Q13" s="11" t="n">
        <v>17444845913.8894</v>
      </c>
      <c r="R13" s="11" t="n">
        <v>16310086955.319</v>
      </c>
      <c r="S13" s="11" t="n">
        <v>16859467151.857</v>
      </c>
      <c r="T13" s="11" t="n">
        <v>16017286862.4814</v>
      </c>
      <c r="U13" s="11" t="n">
        <v>17200670162.6792</v>
      </c>
      <c r="V13" s="11" t="n">
        <v>17152015481.4607</v>
      </c>
      <c r="W13" s="11" t="n">
        <v>18083817438.1251</v>
      </c>
      <c r="X13" s="11" t="n">
        <v>20115335707.0979</v>
      </c>
      <c r="Y13" s="11" t="n">
        <v>21999502947.9658</v>
      </c>
      <c r="Z13" s="11" t="n">
        <v>23344033630.316</v>
      </c>
      <c r="AA13" s="11" t="n">
        <v>24603304926.816</v>
      </c>
      <c r="AB13" s="11" t="n">
        <v>29431348843.942</v>
      </c>
      <c r="AC13" s="11" t="n">
        <v>27712425711.2847</v>
      </c>
      <c r="AD13" s="11" t="n">
        <v>33343577655.1474</v>
      </c>
      <c r="AE13" s="11" t="n">
        <v>36085133512.4392</v>
      </c>
      <c r="AF13" s="11" t="n">
        <v>32304581545.352</v>
      </c>
      <c r="AG13" s="11" t="n">
        <v>30045037512.2976</v>
      </c>
      <c r="AH13" s="11" t="n">
        <v>22997637252.2522</v>
      </c>
      <c r="AI13" s="11" t="n">
        <v>18957292336.654</v>
      </c>
      <c r="AJ13" s="11" t="n">
        <v>20142912337.8292</v>
      </c>
      <c r="AK13" s="11" t="n">
        <v>18786109348.9192</v>
      </c>
      <c r="AL13" s="11" t="n">
        <v>18595013349.1576</v>
      </c>
      <c r="AM13" s="11" t="n">
        <v>19253058755.914</v>
      </c>
      <c r="AN13" s="11" t="n">
        <v>22386774558.096</v>
      </c>
      <c r="AO13" s="11" t="n">
        <v>25089223470.9406</v>
      </c>
      <c r="AP13" s="11" t="n">
        <v>31333759586.704</v>
      </c>
      <c r="AQ13" s="11" t="n">
        <v>23685615167.9392</v>
      </c>
      <c r="AR13" s="11" t="n">
        <v>26075657016.0868</v>
      </c>
      <c r="AS13" s="11" t="n">
        <v>9778189094.30119</v>
      </c>
      <c r="AT13" s="11"/>
      <c r="AU13" s="11"/>
    </row>
    <row r="14">
      <c r="A14" t="str">
        <f>K14</f>
      </c>
      <c r="K14" t="s">
        <v>199</v>
      </c>
      <c r="L14" s="11" t="n">
        <v>9599790286.00426</v>
      </c>
      <c r="M14" s="11" t="n">
        <v>13327652463.8129</v>
      </c>
      <c r="N14" s="11" t="n">
        <v>12067354463.6484</v>
      </c>
      <c r="O14" s="11" t="n">
        <v>11662250191.4387</v>
      </c>
      <c r="P14" s="11" t="n">
        <v>12785182451.0326</v>
      </c>
      <c r="Q14" s="11" t="n">
        <v>12548489270.2275</v>
      </c>
      <c r="R14" s="11" t="n">
        <v>12230994001.4041</v>
      </c>
      <c r="S14" s="11" t="n">
        <v>10935696259.9783</v>
      </c>
      <c r="T14" s="11" t="n">
        <v>10746341558.9921</v>
      </c>
      <c r="U14" s="11" t="n">
        <v>10809371132.6625</v>
      </c>
      <c r="V14" s="11" t="n">
        <v>10898413570.3117</v>
      </c>
      <c r="W14" s="11" t="n">
        <v>12135977169.0806</v>
      </c>
      <c r="X14" s="11" t="n">
        <v>13648786446.0173</v>
      </c>
      <c r="Y14" s="11" t="n">
        <v>17400106365.1451</v>
      </c>
      <c r="Z14" s="11" t="n">
        <v>16218185471.1852</v>
      </c>
      <c r="AA14" s="11" t="n">
        <v>19198335961.214</v>
      </c>
      <c r="AB14" s="11" t="n">
        <v>20115673024.8883</v>
      </c>
      <c r="AC14" s="11" t="n">
        <v>21271517503.2494</v>
      </c>
      <c r="AD14" s="11" t="n">
        <v>23393663768.4418</v>
      </c>
      <c r="AE14" s="11" t="n">
        <v>27421241489.3305</v>
      </c>
      <c r="AF14" s="11" t="n">
        <v>26713111721.3551</v>
      </c>
      <c r="AG14" s="11" t="n">
        <v>23541455171.8209</v>
      </c>
      <c r="AH14" s="11" t="n">
        <v>23305419752.4635</v>
      </c>
      <c r="AI14" s="11" t="n">
        <v>17454012758.7292</v>
      </c>
      <c r="AJ14" s="11" t="n">
        <v>21240154878.0931</v>
      </c>
      <c r="AK14" s="11" t="n">
        <v>18321474444.4537</v>
      </c>
      <c r="AL14" s="11" t="n">
        <v>19443615499.8262</v>
      </c>
      <c r="AM14" s="11" t="n">
        <v>18443258795.8479</v>
      </c>
      <c r="AN14" s="11" t="n">
        <v>22486841474.4162</v>
      </c>
      <c r="AO14" s="11" t="n">
        <v>21285052913.8192</v>
      </c>
      <c r="AP14" s="11" t="n">
        <v>23127509703.9043</v>
      </c>
      <c r="AQ14" s="11" t="n">
        <v>21321914888.0119</v>
      </c>
      <c r="AR14" s="11" t="n">
        <v>21742194765.7339</v>
      </c>
      <c r="AS14" s="11" t="n">
        <v>7029254239.99343</v>
      </c>
      <c r="AT14" s="11"/>
      <c r="AU14" s="11"/>
    </row>
    <row r="15">
      <c r="A15" t="str">
        <f>K15</f>
      </c>
      <c r="K15" t="s">
        <v>200</v>
      </c>
      <c r="L15" s="11" t="n">
        <v>2416770349.72902</v>
      </c>
      <c r="M15" s="11" t="n">
        <v>1895333029.01465</v>
      </c>
      <c r="N15" s="11" t="n">
        <v>1159982033.53733</v>
      </c>
      <c r="O15" s="11" t="n">
        <v>987868115.259726</v>
      </c>
      <c r="P15" s="11" t="n">
        <v>790290205.129873</v>
      </c>
      <c r="Q15" s="11" t="n">
        <v>849954319.124804</v>
      </c>
      <c r="R15" s="11" t="n">
        <v>926042345.179145</v>
      </c>
      <c r="S15" s="11" t="n">
        <v>1018855795.79358</v>
      </c>
      <c r="T15" s="11" t="n">
        <v>685183717.124421</v>
      </c>
      <c r="U15" s="11" t="n">
        <v>87342671.2883202</v>
      </c>
      <c r="V15" s="11" t="n">
        <v>2352533.65133486</v>
      </c>
      <c r="W15" s="11" t="n">
        <v>2090783.62577719</v>
      </c>
      <c r="X15" s="11" t="n">
        <v>44711438.2860374</v>
      </c>
      <c r="Y15" s="11" t="n">
        <v>117366479.992051</v>
      </c>
      <c r="Z15" s="11" t="n">
        <v>389959204.792361</v>
      </c>
      <c r="AA15" s="11" t="n">
        <v>1524800211.9057</v>
      </c>
      <c r="AB15" s="11" t="n">
        <v>1550942613.80333</v>
      </c>
      <c r="AC15" s="11" t="n">
        <v>1445953386.80747</v>
      </c>
      <c r="AD15" s="11" t="n">
        <v>2335570172.89299</v>
      </c>
      <c r="AE15" s="11" t="n">
        <v>3927551012.45325</v>
      </c>
      <c r="AF15" s="11" t="n">
        <v>3248380855.07757</v>
      </c>
      <c r="AG15" s="11" t="n">
        <v>2438831209.68277</v>
      </c>
      <c r="AH15" s="11" t="n">
        <v>1834468434.73327</v>
      </c>
      <c r="AI15" s="11" t="n">
        <v>677499742.646593</v>
      </c>
      <c r="AJ15" s="11" t="n">
        <v>304891591.637156</v>
      </c>
      <c r="AK15" s="11" t="n">
        <v>393141842.530469</v>
      </c>
      <c r="AL15" s="11" t="n">
        <v>468675546.70191</v>
      </c>
      <c r="AM15" s="11" t="n">
        <v>233804287.442935</v>
      </c>
      <c r="AN15" s="11" t="n">
        <v>173461067.577581</v>
      </c>
      <c r="AO15" s="11" t="n">
        <v>339409934.935775</v>
      </c>
      <c r="AP15" s="11" t="n">
        <v>166532142.702245</v>
      </c>
      <c r="AQ15" s="11" t="n">
        <v>343009118.851248</v>
      </c>
      <c r="AR15" s="11" t="n">
        <v>264118065.5521</v>
      </c>
      <c r="AS15" s="11" t="n">
        <v>204487226.31577</v>
      </c>
      <c r="AT15" s="11"/>
      <c r="AU15" s="11"/>
    </row>
    <row r="16">
      <c r="A16" t="str">
        <f>K16</f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1"/>
      <c r="AE16" s="11"/>
      <c r="AF16" s="11"/>
      <c r="AG16" s="11"/>
      <c r="AH16" s="11"/>
      <c r="AI16" s="11"/>
      <c r="AJ16" s="11"/>
      <c r="AK16" s="11"/>
      <c r="AL16" s="11"/>
      <c r="AM16" s="11"/>
      <c r="AN16" s="11"/>
      <c r="AO16" s="11"/>
      <c r="AP16" s="11"/>
      <c r="AQ16" s="11"/>
      <c r="AR16" s="11"/>
      <c r="AS16" s="11"/>
      <c r="AT16" s="11"/>
      <c r="AU16" s="11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../output/AcqTrends/Platform//Facilities_and_Construction/DoD_Facilities_and_Construction_Contracts.xlsx</dc:creator>
  <cp:lastModifiedBy>../output/AcqTrends/Platform//Facilities_and_Construction/DoD_Facilities_and_Construction_Contracts.xlsx</cp:lastModifiedBy>
  <dcterms:created xsi:type="dcterms:W3CDTF">2023-11-12T22:34:15Z</dcterms:created>
</coreProperties>
</file>