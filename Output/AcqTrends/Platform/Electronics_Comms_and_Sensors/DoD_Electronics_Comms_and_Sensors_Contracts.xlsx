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SR" sheetId="1" state="visible" r:id="rId1"/>
    <sheet name="Cust" sheetId="2" state="visible" r:id="rId2"/>
    <sheet name="Price" sheetId="3" state="visible" r:id="rId3"/>
    <sheet name="Veh" sheetId="4" state="visible" r:id="rId4"/>
    <sheet name="FYQ" sheetId="5" state="visible" r:id="rId5"/>
    <sheet name="Proj" sheetId="6" state="visible" r:id="rId6"/>
    <sheet name="PSC" sheetId="7" state="visible" r:id="rId7"/>
    <sheet name="AllProj" sheetId="8" state="visible" r:id="rId8"/>
    <sheet name="AllPSC" sheetId="9" state="visible" r:id="rId9"/>
    <sheet name="vend" sheetId="10" state="visible" r:id="rId10"/>
  </sheets>
</workbook>
</file>

<file path=xl/sharedStrings.xml><?xml version="1.0" encoding="utf-8"?>
<sst xmlns="http://schemas.openxmlformats.org/spreadsheetml/2006/main" count="552" uniqueCount="552">
  <si>
    <t xml:space="preserve">SimpleArea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</si>
  <si>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</si>
  <si>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</si>
  <si>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</si>
  <si>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</si>
  <si>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</si>
  <si>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</si>
  <si>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</si>
  <si>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</si>
  <si>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</si>
  <si>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</si>
  <si>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</si>
  <si>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</si>
  <si>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</si>
  <si>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</si>
  <si>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</si>
  <si>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</si>
  <si>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</si>
  <si>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</si>
  <si>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</si>
  <si>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</si>
  <si>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</si>
  <si>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</si>
  <si>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</si>
  <si>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</si>
  <si>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</si>
  <si>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</si>
  <si>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</si>
  <si>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</si>
  <si>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</si>
  <si>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</si>
  <si>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</si>
  <si>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</si>
  <si>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</si>
  <si>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</si>
  <si>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Products (All)</t>
  </si>
  <si>
    <t xml:space="preserve">R&amp;D</t>
  </si>
  <si>
    <t xml:space="preserve">Services (Non-R&amp;D)</t>
  </si>
  <si>
    <t xml:space="preserve">Unlabeled</t>
  </si>
  <si>
    <t xml:space="preserve">SubCustomer.JPO</t>
  </si>
  <si>
    <t xml:space="preserve">SubCustomer.sum</t>
  </si>
  <si>
    <t xml:space="preserve">Air Force</t>
  </si>
  <si>
    <t xml:space="preserve">Army</t>
  </si>
  <si>
    <t xml:space="preserve">DLA</t>
  </si>
  <si>
    <t xml:space="preserve">Other DoD</t>
  </si>
  <si>
    <t xml:space="preserve">Navy</t>
  </si>
  <si>
    <t xml:space="preserve">PricingUCA.sumlong</t>
  </si>
  <si>
    <t xml:space="preserve">PricingUCA</t>
  </si>
  <si>
    <t xml:space="preserve">Firm-Fixed-Price</t>
  </si>
  <si>
    <t xml:space="preserve">FFP</t>
  </si>
  <si>
    <t xml:space="preserve">Less Common</t>
  </si>
  <si>
    <t xml:space="preserve">Other FP</t>
  </si>
  <si>
    <t xml:space="preserve">T&amp;M/LH/FPLOE</t>
  </si>
  <si>
    <t xml:space="preserve">Incentive</t>
  </si>
  <si>
    <t xml:space="preserve">Other Cost-Based</t>
  </si>
  <si>
    <t xml:space="preserve">Other CB</t>
  </si>
  <si>
    <t xml:space="preserve">Undefinitized
Contract Award</t>
  </si>
  <si>
    <t xml:space="preserve">UCA</t>
  </si>
  <si>
    <t xml:space="preserve">Unclear</t>
  </si>
  <si>
    <t xml:space="preserve">Combination/Other</t>
  </si>
  <si>
    <t xml:space="preserve">Vehicle.AwardTask</t>
  </si>
  <si>
    <t xml:space="preserve">Vehicle.sum7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</si>
  <si>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</si>
  <si>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</si>
  <si>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</si>
  <si>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</si>
  <si>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</si>
  <si>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</si>
  <si>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</si>
  <si>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</si>
  <si>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</si>
  <si>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TopProject</t>
  </si>
  <si>
    <t xml:space="preserve">AN/FSD JOINT STARS</t>
  </si>
  <si>
    <t xml:space="preserve">CANES</t>
  </si>
  <si>
    <t xml:space="preserve">CEC</t>
  </si>
  <si>
    <t xml:space="preserve">FBCB2</t>
  </si>
  <si>
    <t xml:space="preserve">GCSS-AF</t>
  </si>
  <si>
    <t xml:space="preserve">MIDS-LVT</t>
  </si>
  <si>
    <t xml:space="preserve">MQ-9 Reaper</t>
  </si>
  <si>
    <t xml:space="preserve">Other Labeled Project</t>
  </si>
  <si>
    <t xml:space="preserve">PEACE SHIELD PROGRAM</t>
  </si>
  <si>
    <t xml:space="preserve">SINCGARS</t>
  </si>
  <si>
    <t xml:space="preserve">ZBL</t>
  </si>
  <si>
    <t xml:space="preserve">Department of Defense Healthcare Management System Modernization (DHMSM)</t>
  </si>
  <si>
    <t xml:space="preserve">TopPStext</t>
  </si>
  <si>
    <t xml:space="preserve">ADP SOFTWARE</t>
  </si>
  <si>
    <t xml:space="preserve">ADP SVCS/TELECOMM &amp;
TRANSMISSION</t>
  </si>
  <si>
    <t xml:space="preserve">ADPE SYSTEM
CONFIGURATION</t>
  </si>
  <si>
    <t xml:space="preserve">ELEC COUNTERMEASURE
&amp; QUICK REAC EQ</t>
  </si>
  <si>
    <t xml:space="preserve">ENGINEERING AND
TECHNICAL SERVICES</t>
  </si>
  <si>
    <t xml:space="preserve">IT AND TELECOM-
OTHER IT AND
TELECOMMUNICATIONS</t>
  </si>
  <si>
    <t xml:space="preserve">MAINT-REP OF
COMMUNICATION EQ</t>
  </si>
  <si>
    <t xml:space="preserve">MISC COMMUNICATION
EQ</t>
  </si>
  <si>
    <t xml:space="preserve">MISCELLANEOUS
ELECTRICAL AND
ELECTRONIC
COMPONENTS</t>
  </si>
  <si>
    <t xml:space="preserve">Other Labeled PSC</t>
  </si>
  <si>
    <t xml:space="preserve">Project.Name</t>
  </si>
  <si>
    <t xml:space="preserve">ProjectID</t>
  </si>
  <si>
    <t xml:space="preserve">****AFX</t>
  </si>
  <si>
    <t xml:space="preserve">10KW 60 CYCLE GE</t>
  </si>
  <si>
    <t xml:space="preserve">155 MM HIP</t>
  </si>
  <si>
    <t xml:space="preserve">214 COMMERCIAL</t>
  </si>
  <si>
    <t xml:space="preserve">2GFM</t>
  </si>
  <si>
    <t xml:space="preserve">319</t>
  </si>
  <si>
    <t xml:space="preserve">39A</t>
  </si>
  <si>
    <t xml:space="preserve">404L TRAFF CNTRL &amp; LAND S</t>
  </si>
  <si>
    <t xml:space="preserve">407L TACTICAL AIR CONTROL</t>
  </si>
  <si>
    <t xml:space="preserve">411L AWACS</t>
  </si>
  <si>
    <t xml:space="preserve">421</t>
  </si>
  <si>
    <t xml:space="preserve">427M CHEYENNE</t>
  </si>
  <si>
    <t xml:space="preserve">433L WEATHER SYSTEM</t>
  </si>
  <si>
    <t xml:space="preserve">439</t>
  </si>
  <si>
    <t xml:space="preserve">466</t>
  </si>
  <si>
    <t xml:space="preserve">469</t>
  </si>
  <si>
    <t xml:space="preserve">470</t>
  </si>
  <si>
    <t xml:space="preserve">474L BMEWS</t>
  </si>
  <si>
    <t xml:space="preserve">483</t>
  </si>
  <si>
    <t xml:space="preserve">5./54 MK-41 PROJECTILE</t>
  </si>
  <si>
    <t xml:space="preserve">511</t>
  </si>
  <si>
    <t xml:space="preserve">522</t>
  </si>
  <si>
    <t xml:space="preserve">586</t>
  </si>
  <si>
    <t xml:space="preserve">589</t>
  </si>
  <si>
    <t xml:space="preserve">750 KW</t>
  </si>
  <si>
    <t xml:space="preserve">&lt;15KW 60 CYCLE DE</t>
  </si>
  <si>
    <t xml:space="preserve">&lt;60 KW</t>
  </si>
  <si>
    <t xml:space="preserve">A/EA-3 SKYWARRIOR</t>
  </si>
  <si>
    <t xml:space="preserve">AAG</t>
  </si>
  <si>
    <t xml:space="preserve">ABH</t>
  </si>
  <si>
    <t xml:space="preserve">ABMS</t>
  </si>
  <si>
    <t xml:space="preserve">ACD</t>
  </si>
  <si>
    <t xml:space="preserve">ACS</t>
  </si>
  <si>
    <t xml:space="preserve">ACWS</t>
  </si>
  <si>
    <t xml:space="preserve">ADS</t>
  </si>
  <si>
    <t xml:space="preserve">ADV WIDEBAND</t>
  </si>
  <si>
    <t xml:space="preserve">AEC</t>
  </si>
  <si>
    <t xml:space="preserve">AF INT COM CTRL SYS</t>
  </si>
  <si>
    <t xml:space="preserve">AFATDS (ATCCS)</t>
  </si>
  <si>
    <t xml:space="preserve">AFATDS ADV FLD ART TAC DA</t>
  </si>
  <si>
    <t xml:space="preserve">AFN</t>
  </si>
  <si>
    <t xml:space="preserve">AFSATCOMM</t>
  </si>
  <si>
    <t xml:space="preserve">AFSCN</t>
  </si>
  <si>
    <t xml:space="preserve">AFU</t>
  </si>
  <si>
    <t xml:space="preserve">AH-64E New Build</t>
  </si>
  <si>
    <t xml:space="preserve">AHJ</t>
  </si>
  <si>
    <t xml:space="preserve">AIG</t>
  </si>
  <si>
    <t xml:space="preserve">AIR TRAFFIC CNTL COMM CON</t>
  </si>
  <si>
    <t xml:space="preserve">ALL SOURCE ANALYSIS SYS</t>
  </si>
  <si>
    <t xml:space="preserve">AN/AFQ-137</t>
  </si>
  <si>
    <t xml:space="preserve">AN/ALE-40 COUNTERMEASURES</t>
  </si>
  <si>
    <t xml:space="preserve">AN/ALE-41</t>
  </si>
  <si>
    <t xml:space="preserve">AN/ALE-50</t>
  </si>
  <si>
    <t xml:space="preserve">AN/ALQ-101 ECM</t>
  </si>
  <si>
    <t xml:space="preserve">AN/ALQ-119</t>
  </si>
  <si>
    <t xml:space="preserve">AN/ALQ-122 ECM SYS</t>
  </si>
  <si>
    <t xml:space="preserve">AN/ALQ-126 ECM</t>
  </si>
  <si>
    <t xml:space="preserve">AN/ALQ-131</t>
  </si>
  <si>
    <t xml:space="preserve">AN/ALQ-133 QUICK LOOK</t>
  </si>
  <si>
    <t xml:space="preserve">AN/ALQ-135</t>
  </si>
  <si>
    <t xml:space="preserve">AN/ALQ-136 COUNTERMEASURE</t>
  </si>
  <si>
    <t xml:space="preserve">AN/ALQ-136 COUNTERMEASURES</t>
  </si>
  <si>
    <t xml:space="preserve">AN/ALQ-155</t>
  </si>
  <si>
    <t xml:space="preserve">AN/ALQ-165 (V) (ASPJ)</t>
  </si>
  <si>
    <t xml:space="preserve">AN/ALQ-61 ECM</t>
  </si>
  <si>
    <t xml:space="preserve">AN/ALR-31 ELEC COUNTERMEA</t>
  </si>
  <si>
    <t xml:space="preserve">AN/ALR-45</t>
  </si>
  <si>
    <t xml:space="preserve">AN/ALR-46</t>
  </si>
  <si>
    <t xml:space="preserve">AN/ALR-56 WARNING RECVR</t>
  </si>
  <si>
    <t xml:space="preserve">AN/ALR-62 COUNTERMEASURES</t>
  </si>
  <si>
    <t xml:space="preserve">AN/ALR-67 COUNT WARNING S</t>
  </si>
  <si>
    <t xml:space="preserve">AN/ALR-69</t>
  </si>
  <si>
    <t xml:space="preserve">AN/APN-159 BOMB NAV &amp; FR</t>
  </si>
  <si>
    <t xml:space="preserve">AN/APN-169 STATION KEEPIN</t>
  </si>
  <si>
    <t xml:space="preserve">AN/APN-194</t>
  </si>
  <si>
    <t xml:space="preserve">AN/APN-221 DOPPLER</t>
  </si>
  <si>
    <t xml:space="preserve">AN/APR-38</t>
  </si>
  <si>
    <t xml:space="preserve">AN/APR-39</t>
  </si>
  <si>
    <t xml:space="preserve">AN/APX-72</t>
  </si>
  <si>
    <t xml:space="preserve">AN/ARA-63</t>
  </si>
  <si>
    <t xml:space="preserve">AN/ARC-159</t>
  </si>
  <si>
    <t xml:space="preserve">AN/ARC-164 (V)</t>
  </si>
  <si>
    <t xml:space="preserve">AN/ARC-186 RADIO</t>
  </si>
  <si>
    <t xml:space="preserve">AN/ARN-52 TACAN</t>
  </si>
  <si>
    <t xml:space="preserve">AN/ARN-84 TACAN NAVIG</t>
  </si>
  <si>
    <t xml:space="preserve">AN/ASM-189 AIR COND SHELT</t>
  </si>
  <si>
    <t xml:space="preserve">AN/ASQ-104 NAVIGATION SYS</t>
  </si>
  <si>
    <t xml:space="preserve">AN/ASW-20</t>
  </si>
  <si>
    <t xml:space="preserve">AN/BQQ-5</t>
  </si>
  <si>
    <t xml:space="preserve">AN/BQQ-6 SONAR</t>
  </si>
  <si>
    <t xml:space="preserve">AN/BQR-15 TOWED ARRAY</t>
  </si>
  <si>
    <t xml:space="preserve">AN/BQS-15 SONAR</t>
  </si>
  <si>
    <t xml:space="preserve">AN/BRD() LF-VHF-DF</t>
  </si>
  <si>
    <t xml:space="preserve">AN/BSY-1</t>
  </si>
  <si>
    <t xml:space="preserve">AN/BSY-1 (V) SONAR</t>
  </si>
  <si>
    <t xml:space="preserve">AN/BSY-2 SUBMARINE COMBAT</t>
  </si>
  <si>
    <t xml:space="preserve">AN/FPQ-16</t>
  </si>
  <si>
    <t xml:space="preserve">AN/FQQ-1/2/3/9 CAESAR/SOS</t>
  </si>
  <si>
    <t xml:space="preserve">AN/FSA-52 COMM CTRL EQUIP</t>
  </si>
  <si>
    <t xml:space="preserve">AN/GRC-103 RADIO</t>
  </si>
  <si>
    <t xml:space="preserve">AN/GRC-142/122 RADIO</t>
  </si>
  <si>
    <t xml:space="preserve">AN/GRC-143 RADIO</t>
  </si>
  <si>
    <t xml:space="preserve">AN/GRC-171</t>
  </si>
  <si>
    <t xml:space="preserve">AN/GRC-193</t>
  </si>
  <si>
    <t xml:space="preserve">AN/GRC-206</t>
  </si>
  <si>
    <t xml:space="preserve">AN/GRC-212</t>
  </si>
  <si>
    <t xml:space="preserve">AN/GRN-9</t>
  </si>
  <si>
    <t xml:space="preserve">AN/GSG-10 (TACFIRE)</t>
  </si>
  <si>
    <t xml:space="preserve">AN/GXC-7</t>
  </si>
  <si>
    <t xml:space="preserve">AN/MLQ-34 COUNTERMEASURES</t>
  </si>
  <si>
    <t xml:space="preserve">AN/MSC-46 SAT COMM TERM</t>
  </si>
  <si>
    <t xml:space="preserve">AN/PRC-104</t>
  </si>
  <si>
    <t xml:space="preserve">AN/PRC-90 RADIO</t>
  </si>
  <si>
    <t xml:space="preserve">AN/SLQ-21 ECM</t>
  </si>
  <si>
    <t xml:space="preserve">AN/SLQ-25 TORP CM TRANS S</t>
  </si>
  <si>
    <t xml:space="preserve">AN/SLQ-32</t>
  </si>
  <si>
    <t xml:space="preserve">AN/SPA 25</t>
  </si>
  <si>
    <t xml:space="preserve">AN/SPN-46(V)</t>
  </si>
  <si>
    <t xml:space="preserve">AN/SPS 40</t>
  </si>
  <si>
    <t xml:space="preserve">AN/SPS 49</t>
  </si>
  <si>
    <t xml:space="preserve">AN/SPS-58</t>
  </si>
  <si>
    <t xml:space="preserve">AN/SQQ-16 MINE SONAR</t>
  </si>
  <si>
    <t xml:space="preserve">AN/SQQ-89</t>
  </si>
  <si>
    <t xml:space="preserve">AN/SQQ-89 SONAR</t>
  </si>
  <si>
    <t xml:space="preserve">AN/SQS-53 SONAR</t>
  </si>
  <si>
    <t xml:space="preserve">AN/SQS-56</t>
  </si>
  <si>
    <t xml:space="preserve">AN/SSQ-36</t>
  </si>
  <si>
    <t xml:space="preserve">AN/SSQ-53 (DIFAR)</t>
  </si>
  <si>
    <t xml:space="preserve">AN/SSQ-57 SPECIAL PURPOSE</t>
  </si>
  <si>
    <t xml:space="preserve">AN/SSQ-62 DICASS</t>
  </si>
  <si>
    <t xml:space="preserve">AN/SSQ-77(VLAD)</t>
  </si>
  <si>
    <t xml:space="preserve">AN/SYR-1 TRACKING SET</t>
  </si>
  <si>
    <t xml:space="preserve">AN/TPQ-36</t>
  </si>
  <si>
    <t xml:space="preserve">AN/TPQ-37</t>
  </si>
  <si>
    <t xml:space="preserve">AN/TPS-43</t>
  </si>
  <si>
    <t xml:space="preserve">AN/TPX-46 (MARK XIFF)</t>
  </si>
  <si>
    <t xml:space="preserve">AN/TRC-110 RADIO</t>
  </si>
  <si>
    <t xml:space="preserve">AN/TRC-112 RADIO</t>
  </si>
  <si>
    <t xml:space="preserve">AN/TRC-170 RADIO</t>
  </si>
  <si>
    <t xml:space="preserve">AN/TSC-61 FLIGHT COORD CN</t>
  </si>
  <si>
    <t xml:space="preserve">AN/TSC-75 COMM CENTRAL</t>
  </si>
  <si>
    <t xml:space="preserve">AN/TSM-55 ELEC TEST EQUIP</t>
  </si>
  <si>
    <t xml:space="preserve">AN/TSQ-114</t>
  </si>
  <si>
    <t xml:space="preserve">AN/TSQ-18 LANDING CNTRL C</t>
  </si>
  <si>
    <t xml:space="preserve">AN/TTC-3 CENT  OFF TEL</t>
  </si>
  <si>
    <t xml:space="preserve">AN/TTC-38 CENT OFF TEL</t>
  </si>
  <si>
    <t xml:space="preserve">AN/TTC-39</t>
  </si>
  <si>
    <t xml:space="preserve">AN/TTC-39 CIRCUIT SWITCH</t>
  </si>
  <si>
    <t xml:space="preserve">AN/TTC-39(Z) SYSTEM</t>
  </si>
  <si>
    <t xml:space="preserve">AN/TYC-39 MESSAGE SWITCH</t>
  </si>
  <si>
    <t xml:space="preserve">AN/TYC-5 DATA COMM TERMIN</t>
  </si>
  <si>
    <t xml:space="preserve">AN/TYQ-3 TDC</t>
  </si>
  <si>
    <t xml:space="preserve">AN/UGC-129</t>
  </si>
  <si>
    <t xml:space="preserve">AN/UGC-74</t>
  </si>
  <si>
    <t xml:space="preserve">AN/ULQ-6</t>
  </si>
  <si>
    <t xml:space="preserve">AN/URC-82</t>
  </si>
  <si>
    <t xml:space="preserve">AN/USG-13 TACMO 3</t>
  </si>
  <si>
    <t xml:space="preserve">AN/USH-24</t>
  </si>
  <si>
    <t xml:space="preserve">AN/USM-247 (VAST)</t>
  </si>
  <si>
    <t xml:space="preserve">AN/USM-410 TEST STATION</t>
  </si>
  <si>
    <t xml:space="preserve">AN/UYA-4 NTDS</t>
  </si>
  <si>
    <t xml:space="preserve">AN/UYH/K-3 MEMORY UNITS</t>
  </si>
  <si>
    <t xml:space="preserve">AN/UYK-20 GARD</t>
  </si>
  <si>
    <t xml:space="preserve">AN/UYK-43</t>
  </si>
  <si>
    <t xml:space="preserve">AN/UYK-5 ADP SYSTEM</t>
  </si>
  <si>
    <t xml:space="preserve">AN/UYQ-21 NTDS</t>
  </si>
  <si>
    <t xml:space="preserve">AN/VRC-12 RADIO</t>
  </si>
  <si>
    <t xml:space="preserve">AN/VRC-67 RADIO TERMINAL</t>
  </si>
  <si>
    <t xml:space="preserve">AN/VVS-2</t>
  </si>
  <si>
    <t xml:space="preserve">AN/WLR-1</t>
  </si>
  <si>
    <t xml:space="preserve">AN/WLR-8</t>
  </si>
  <si>
    <t xml:space="preserve">AN/WLR-9</t>
  </si>
  <si>
    <t xml:space="preserve">AN/WRC-1</t>
  </si>
  <si>
    <t xml:space="preserve">AN/WRN-5</t>
  </si>
  <si>
    <t xml:space="preserve">AN/WSC-28 SAT COMM</t>
  </si>
  <si>
    <t xml:space="preserve">AN/WSN-1 INERT NAV SYS</t>
  </si>
  <si>
    <t xml:space="preserve">ANTENNA IMPROV PLAN</t>
  </si>
  <si>
    <t xml:space="preserve">ANTENNA TEST STATION</t>
  </si>
  <si>
    <t xml:space="preserve">AOC-WS</t>
  </si>
  <si>
    <t xml:space="preserve">APC</t>
  </si>
  <si>
    <t xml:space="preserve">ARC-210 RADIO SET</t>
  </si>
  <si>
    <t xml:space="preserve">ARL</t>
  </si>
  <si>
    <t xml:space="preserve">ARMORED MORTAR SYSTEM</t>
  </si>
  <si>
    <t xml:space="preserve">ARMY DATA DISTRIBUTION SY</t>
  </si>
  <si>
    <t xml:space="preserve">ARMY WWMCCS INFO SYS</t>
  </si>
  <si>
    <t xml:space="preserve">ASAS (ATCCS)</t>
  </si>
  <si>
    <t xml:space="preserve">ASF</t>
  </si>
  <si>
    <t xml:space="preserve">AT NAV,INTEGR AND CRD ATN</t>
  </si>
  <si>
    <t xml:space="preserve">ATARS</t>
  </si>
  <si>
    <t xml:space="preserve">ATCCS-CHS</t>
  </si>
  <si>
    <t xml:space="preserve">ATIRCMS/CMWS</t>
  </si>
  <si>
    <t xml:space="preserve">ATS</t>
  </si>
  <si>
    <t xml:space="preserve">AUJ</t>
  </si>
  <si>
    <t xml:space="preserve">AUTO TEST SUPPORT SYS</t>
  </si>
  <si>
    <t xml:space="preserve">AUTODIN</t>
  </si>
  <si>
    <t xml:space="preserve">AVENGER - FADS, LOS, RPMS</t>
  </si>
  <si>
    <t xml:space="preserve">AVG</t>
  </si>
  <si>
    <t xml:space="preserve">AVIONICS</t>
  </si>
  <si>
    <t xml:space="preserve">Advanced Pilot Training (APT)</t>
  </si>
  <si>
    <t xml:space="preserve">Air Force Integrated Personnel and Pay System Increment 1 (AFIPPS Inc 1)</t>
  </si>
  <si>
    <t xml:space="preserve">B1-CMUP COMPUTER UPGRADE</t>
  </si>
  <si>
    <t xml:space="preserve">BAT FLD CMBT ID SYS - NEA</t>
  </si>
  <si>
    <t xml:space="preserve">BAT FLD CMBT ID SYS - NEAR TRM</t>
  </si>
  <si>
    <t xml:space="preserve">BCS-M</t>
  </si>
  <si>
    <t xml:space="preserve">BIOMETRICS</t>
  </si>
  <si>
    <t xml:space="preserve">BSM</t>
  </si>
  <si>
    <t xml:space="preserve">BSM ENERGY</t>
  </si>
  <si>
    <t xml:space="preserve">BTLFLD DIGITALIZATION</t>
  </si>
  <si>
    <t xml:space="preserve">C-1 TRADER</t>
  </si>
  <si>
    <t xml:space="preserve">C-121 WARNING STAR</t>
  </si>
  <si>
    <t xml:space="preserve">C-3 INERT NAVIG EQUIP</t>
  </si>
  <si>
    <t xml:space="preserve">C9B COMMERCIAL ACFT</t>
  </si>
  <si>
    <t xml:space="preserve">CAC2S INC 1</t>
  </si>
  <si>
    <t xml:space="preserve">CAINS GROUND SUPPORT EQUI</t>
  </si>
  <si>
    <t xml:space="preserve">CASS</t>
  </si>
  <si>
    <t xml:space="preserve">CBDP</t>
  </si>
  <si>
    <t xml:space="preserve">CCIC2S</t>
  </si>
  <si>
    <t xml:space="preserve">CDL</t>
  </si>
  <si>
    <t xml:space="preserve">CGS</t>
  </si>
  <si>
    <t xml:space="preserve">CHAALS</t>
  </si>
  <si>
    <t xml:space="preserve">CHCS II</t>
  </si>
  <si>
    <t xml:space="preserve">CHEYENNE MOUNTAIN UPGRADE</t>
  </si>
  <si>
    <t xml:space="preserve">CIRCM</t>
  </si>
  <si>
    <t xml:space="preserve">CIS (MK XV IFF)</t>
  </si>
  <si>
    <t xml:space="preserve">CITS</t>
  </si>
  <si>
    <t xml:space="preserve">CNN</t>
  </si>
  <si>
    <t xml:space="preserve">CNZ</t>
  </si>
  <si>
    <t xml:space="preserve">COBRA JUDY</t>
  </si>
  <si>
    <t xml:space="preserve">COMBAT SUPPORT TRAINING S</t>
  </si>
  <si>
    <t xml:space="preserve">COMMON GROUND EQUIPMENT</t>
  </si>
  <si>
    <t xml:space="preserve">CONDOR</t>
  </si>
  <si>
    <t xml:space="preserve">CORPS/THEATER ADP SVC CTR</t>
  </si>
  <si>
    <t xml:space="preserve">CSSCS CBT SRV SPPT CTRL S</t>
  </si>
  <si>
    <t xml:space="preserve">CX-4566 A/G CABLE ASSEMBL</t>
  </si>
  <si>
    <t xml:space="preserve">DCAPES</t>
  </si>
  <si>
    <t xml:space="preserve">DCGS ARMY</t>
  </si>
  <si>
    <t xml:space="preserve">DCGS-N INC 2</t>
  </si>
  <si>
    <t xml:space="preserve">DCS TRANSMISSION FACILITI</t>
  </si>
  <si>
    <t xml:space="preserve">DEAMS</t>
  </si>
  <si>
    <t xml:space="preserve">DEAMS Inc 1</t>
  </si>
  <si>
    <t xml:space="preserve">DEF METEOR SAT PROG</t>
  </si>
  <si>
    <t xml:space="preserve">DGTL TOPOGRAPHIC SPPT SYS</t>
  </si>
  <si>
    <t xml:space="preserve">DIMHRS</t>
  </si>
  <si>
    <t xml:space="preserve">DJC2</t>
  </si>
  <si>
    <t xml:space="preserve">DJN</t>
  </si>
  <si>
    <t xml:space="preserve">DLS</t>
  </si>
  <si>
    <t xml:space="preserve">DMLSS</t>
  </si>
  <si>
    <t xml:space="preserve">DMS</t>
  </si>
  <si>
    <t xml:space="preserve">DPPS</t>
  </si>
  <si>
    <t xml:space="preserve">DTS</t>
  </si>
  <si>
    <t xml:space="preserve">Defense Enterprise Office Solution (DEOS)</t>
  </si>
  <si>
    <t xml:space="preserve">Distributed Common Ground System - Army Increment 2 (DCGS-A Inc 2)</t>
  </si>
  <si>
    <t xml:space="preserve">ELECTRONIC DECEPTION SYST</t>
  </si>
  <si>
    <t xml:space="preserve">ELECTRONICS ALL SOURCE AN</t>
  </si>
  <si>
    <t xml:space="preserve">EMSP</t>
  </si>
  <si>
    <t xml:space="preserve">F-8 CRUSADER</t>
  </si>
  <si>
    <t xml:space="preserve">FAAD C2I(ATCCS)</t>
  </si>
  <si>
    <t xml:space="preserve">FAB-T</t>
  </si>
  <si>
    <t xml:space="preserve">FIREFINDER</t>
  </si>
  <si>
    <t xml:space="preserve">FORCE PROVIDER</t>
  </si>
  <si>
    <t xml:space="preserve">FRIGATE DL</t>
  </si>
  <si>
    <t xml:space="preserve">GAE</t>
  </si>
  <si>
    <t xml:space="preserve">GAJ</t>
  </si>
  <si>
    <t xml:space="preserve">GAV</t>
  </si>
  <si>
    <t xml:space="preserve">GBSD</t>
  </si>
  <si>
    <t xml:space="preserve">GBW</t>
  </si>
  <si>
    <t xml:space="preserve">GCA</t>
  </si>
  <si>
    <t xml:space="preserve">GCCS-A</t>
  </si>
  <si>
    <t xml:space="preserve">GCCS-AF</t>
  </si>
  <si>
    <t xml:space="preserve">GCCS-J</t>
  </si>
  <si>
    <t xml:space="preserve">GCCS-M</t>
  </si>
  <si>
    <t xml:space="preserve">GCH</t>
  </si>
  <si>
    <t xml:space="preserve">GCI</t>
  </si>
  <si>
    <t xml:space="preserve">GCSS ARMY</t>
  </si>
  <si>
    <t xml:space="preserve">GCSS DOD</t>
  </si>
  <si>
    <t xml:space="preserve">GCSS-A INC 1</t>
  </si>
  <si>
    <t xml:space="preserve">GCSS-AT</t>
  </si>
  <si>
    <t xml:space="preserve">GCSS-CC/JTF</t>
  </si>
  <si>
    <t xml:space="preserve">GCSS-MC</t>
  </si>
  <si>
    <t xml:space="preserve">GFD</t>
  </si>
  <si>
    <t xml:space="preserve">GFEBS</t>
  </si>
  <si>
    <t xml:space="preserve">GHI</t>
  </si>
  <si>
    <t xml:space="preserve">GHR</t>
  </si>
  <si>
    <t xml:space="preserve">GHT</t>
  </si>
  <si>
    <t xml:space="preserve">GHY</t>
  </si>
  <si>
    <t xml:space="preserve">GIB</t>
  </si>
  <si>
    <t xml:space="preserve">GIGBE</t>
  </si>
  <si>
    <t xml:space="preserve">GIH</t>
  </si>
  <si>
    <t xml:space="preserve">GIL</t>
  </si>
  <si>
    <t xml:space="preserve">GNF</t>
  </si>
  <si>
    <t xml:space="preserve">GNL</t>
  </si>
  <si>
    <t xml:space="preserve">GNP</t>
  </si>
  <si>
    <t xml:space="preserve">GNW</t>
  </si>
  <si>
    <t xml:space="preserve">GOGGLES AN/PVS-5</t>
  </si>
  <si>
    <t xml:space="preserve">GROUND BASED COMMON SENSO</t>
  </si>
  <si>
    <t xml:space="preserve">GROUND COMMAND POST</t>
  </si>
  <si>
    <t xml:space="preserve">GRU</t>
  </si>
  <si>
    <t xml:space="preserve">GSS</t>
  </si>
  <si>
    <t xml:space="preserve">GSSI GRND SUP SYS INTEG</t>
  </si>
  <si>
    <t xml:space="preserve">GTN</t>
  </si>
  <si>
    <t xml:space="preserve">GTP</t>
  </si>
  <si>
    <t xml:space="preserve">GUARDRAIL COMMON SENSOR</t>
  </si>
  <si>
    <t xml:space="preserve">GYI</t>
  </si>
  <si>
    <t xml:space="preserve">GYY</t>
  </si>
  <si>
    <t xml:space="preserve">HELMET SYSTEM HGU-51/PCD</t>
  </si>
  <si>
    <t xml:space="preserve">HFAJ</t>
  </si>
  <si>
    <t xml:space="preserve">HPCM</t>
  </si>
  <si>
    <t xml:space="preserve">IAA</t>
  </si>
  <si>
    <t xml:space="preserve">IDECM</t>
  </si>
  <si>
    <t xml:space="preserve">IDHS INTELLIGENCE DATA HA</t>
  </si>
  <si>
    <t xml:space="preserve">ILS-S</t>
  </si>
  <si>
    <t xml:space="preserve">IMAGERY PROCESSING SYSTEM</t>
  </si>
  <si>
    <t xml:space="preserve">IMDS</t>
  </si>
  <si>
    <t xml:space="preserve">INTEGRATED MET SYS SENSOR</t>
  </si>
  <si>
    <t xml:space="preserve">INTGR FAMILY OF TEST EQUI</t>
  </si>
  <si>
    <t xml:space="preserve">IPPS-A INC 2</t>
  </si>
  <si>
    <t xml:space="preserve">ISPAN</t>
  </si>
  <si>
    <t xml:space="preserve">Integrated Strategic Planning and Analysis Network Increment 4 (ISPAN Inc 4)</t>
  </si>
  <si>
    <t xml:space="preserve">JADC2</t>
  </si>
  <si>
    <t xml:space="preserve">JCALS</t>
  </si>
  <si>
    <t xml:space="preserve">JMPS</t>
  </si>
  <si>
    <t xml:space="preserve">JOINT TAC INFO DIST SYS/T</t>
  </si>
  <si>
    <t xml:space="preserve">JOINT TACTCL INF DSPLY SY</t>
  </si>
  <si>
    <t xml:space="preserve">JPALS</t>
  </si>
  <si>
    <t xml:space="preserve">JSIMS</t>
  </si>
  <si>
    <t xml:space="preserve">JSTARS GND STATION MODULE</t>
  </si>
  <si>
    <t xml:space="preserve">JSTARS RECAP</t>
  </si>
  <si>
    <t xml:space="preserve">JTIDS (ARMY)</t>
  </si>
  <si>
    <t xml:space="preserve">JTIDS (NAVY)</t>
  </si>
  <si>
    <t xml:space="preserve">JTIDY (AIR FORCE)</t>
  </si>
  <si>
    <t xml:space="preserve">JTRS AMF</t>
  </si>
  <si>
    <t xml:space="preserve">JTRS CLUSTER 1</t>
  </si>
  <si>
    <t xml:space="preserve">JTRS CLUSTER 5</t>
  </si>
  <si>
    <t xml:space="preserve">JTRS WAVEFORM</t>
  </si>
  <si>
    <t xml:space="preserve">Joint Operational Medicine Information Systems (OMIS)</t>
  </si>
  <si>
    <t xml:space="preserve">KMI</t>
  </si>
  <si>
    <t xml:space="preserve">Key Management Infrastructure Increment 3 (KMI Inc 3)</t>
  </si>
  <si>
    <t xml:space="preserve">L-188 LOCKHEED ELECTRA CO</t>
  </si>
  <si>
    <t xml:space="preserve">LAMPS</t>
  </si>
  <si>
    <t xml:space="preserve">LAND WARRIOR</t>
  </si>
  <si>
    <t xml:space="preserve">LANTIRN</t>
  </si>
  <si>
    <t xml:space="preserve">LANTRIN</t>
  </si>
  <si>
    <t xml:space="preserve">LMP</t>
  </si>
  <si>
    <t xml:space="preserve">LW MAN-TRANSP RADIO DIR F</t>
  </si>
  <si>
    <t xml:space="preserve">M-12 (AIMS) IFF</t>
  </si>
  <si>
    <t xml:space="preserve">M89</t>
  </si>
  <si>
    <t xml:space="preserve">MAC C3 SUPPORT</t>
  </si>
  <si>
    <t xml:space="preserve">MARK XII PROGRAM</t>
  </si>
  <si>
    <t xml:space="preserve">MATCALS</t>
  </si>
  <si>
    <t xml:space="preserve">MCS (ATCCS)</t>
  </si>
  <si>
    <t xml:space="preserve">METEOROLOGICAL MEASURING</t>
  </si>
  <si>
    <t xml:space="preserve">MINE CTMS SUPPORT SHIP-MC</t>
  </si>
  <si>
    <t xml:space="preserve">MK-113 FIRE CONTROL</t>
  </si>
  <si>
    <t xml:space="preserve">MK30 MOBILE TARGET</t>
  </si>
  <si>
    <t xml:space="preserve">MK74 FIRE CONTROLS SYS</t>
  </si>
  <si>
    <t xml:space="preserve">MK92 FIRE CONTROL SYS</t>
  </si>
  <si>
    <t xml:space="preserve">MLR</t>
  </si>
  <si>
    <t xml:space="preserve">MLS</t>
  </si>
  <si>
    <t xml:space="preserve">MOBILE SUBSCRIBER EQUIP</t>
  </si>
  <si>
    <t xml:space="preserve">MODERNIZATION</t>
  </si>
  <si>
    <t xml:space="preserve">MOTIF</t>
  </si>
  <si>
    <t xml:space="preserve">MP RTIP</t>
  </si>
  <si>
    <t xml:space="preserve">MPS</t>
  </si>
  <si>
    <t xml:space="preserve">MQ-1C Gray Eagle</t>
  </si>
  <si>
    <t xml:space="preserve">MQM-36 TARGET DRONE</t>
  </si>
  <si>
    <t xml:space="preserve">MSE</t>
  </si>
  <si>
    <t xml:space="preserve">MULTI SYS TEST EQUIP (MTE</t>
  </si>
  <si>
    <t xml:space="preserve">N WARNING SYS PROG/EX DEW</t>
  </si>
  <si>
    <t xml:space="preserve">N40</t>
  </si>
  <si>
    <t xml:space="preserve">N78</t>
  </si>
  <si>
    <t xml:space="preserve">N88</t>
  </si>
  <si>
    <t xml:space="preserve">NAS</t>
  </si>
  <si>
    <t xml:space="preserve">NAVY EPS</t>
  </si>
  <si>
    <t xml:space="preserve">NAVY ERP</t>
  </si>
  <si>
    <t xml:space="preserve">NCES</t>
  </si>
  <si>
    <t xml:space="preserve">NEMAIS</t>
  </si>
  <si>
    <t xml:space="preserve">NGEN INC 1</t>
  </si>
  <si>
    <t xml:space="preserve">NOE COMM EQUIP</t>
  </si>
  <si>
    <t xml:space="preserve">NSIPS</t>
  </si>
  <si>
    <t xml:space="preserve">NTCSS</t>
  </si>
  <si>
    <t xml:space="preserve">NV LASER SYSTEMS</t>
  </si>
  <si>
    <t xml:space="preserve">NV THERMAL SYSTEMS</t>
  </si>
  <si>
    <t xml:space="preserve">OCX</t>
  </si>
  <si>
    <t xml:space="preserve">OPERATIONAL CONTROL CENTE</t>
  </si>
  <si>
    <t xml:space="preserve">OPTION GRND COMM NETWORK</t>
  </si>
  <si>
    <t xml:space="preserve">OTHR (OVER THE HORIZON RA</t>
  </si>
  <si>
    <t xml:space="preserve">Other UAS</t>
  </si>
  <si>
    <t xml:space="preserve">PACER SPEAK</t>
  </si>
  <si>
    <t xml:space="preserve">PAVEPAWS</t>
  </si>
  <si>
    <t xml:space="preserve">PEACE HAWK</t>
  </si>
  <si>
    <t xml:space="preserve">PHOENIX (AIM-54A/B)</t>
  </si>
  <si>
    <t xml:space="preserve">PHOTO PROC INTREP SYS</t>
  </si>
  <si>
    <t xml:space="preserve">PHYSICAL SECURITY SYSTEMS</t>
  </si>
  <si>
    <t xml:space="preserve">PKI</t>
  </si>
  <si>
    <t xml:space="preserve">PROPHET SYSTEM</t>
  </si>
  <si>
    <t xml:space="preserve">PRV</t>
  </si>
  <si>
    <t xml:space="preserve">QCK RESP MULTI-CLR PTR QR</t>
  </si>
  <si>
    <t xml:space="preserve">QM-107 GD MSL TGT SYS</t>
  </si>
  <si>
    <t xml:space="preserve">QUICK ERECT ANTENNA MAST</t>
  </si>
  <si>
    <t xml:space="preserve">RA-5 VIGILANTE</t>
  </si>
  <si>
    <t xml:space="preserve">RCAS</t>
  </si>
  <si>
    <t xml:space="preserve">REMOTE SENSING CHEM AGENT</t>
  </si>
  <si>
    <t xml:space="preserve">RMS</t>
  </si>
  <si>
    <t xml:space="preserve">ROCKET LAUNCHER LAU-68</t>
  </si>
  <si>
    <t xml:space="preserve">RV-1</t>
  </si>
  <si>
    <t xml:space="preserve">SATCOM</t>
  </si>
  <si>
    <t xml:space="preserve">SCY</t>
  </si>
  <si>
    <t xml:space="preserve">SEC MOB ANTI-JAM REL TAC</t>
  </si>
  <si>
    <t xml:space="preserve">SGL CHAN ANTI-JAM MANPORT</t>
  </si>
  <si>
    <t xml:space="preserve">SHELTER GENERAL PURPOSE</t>
  </si>
  <si>
    <t xml:space="preserve">SHORTSTOP</t>
  </si>
  <si>
    <t xml:space="preserve">SIAP</t>
  </si>
  <si>
    <t xml:space="preserve">SIGHT CREW SRVD WPNS AN/T</t>
  </si>
  <si>
    <t xml:space="preserve">SIGHT INDIVIDUAL AN/PVS-4</t>
  </si>
  <si>
    <t xml:space="preserve">SIGHT THERMAL NIGHT AN/TA</t>
  </si>
  <si>
    <t xml:space="preserve">SIGNAL GENERATOR 2.0-18.0</t>
  </si>
  <si>
    <t xml:space="preserve">SMART-T</t>
  </si>
  <si>
    <t xml:space="preserve">SPACE FENCE INC 1</t>
  </si>
  <si>
    <t xml:space="preserve">SPECTRUM ANALYZER</t>
  </si>
  <si>
    <t xml:space="preserve">SPS</t>
  </si>
  <si>
    <t xml:space="preserve">STATUS OF FORCES AGREEMENT</t>
  </si>
  <si>
    <t xml:space="preserve">STD ARMY CND &amp; CTRL SYS S</t>
  </si>
  <si>
    <t xml:space="preserve">STINGRAY</t>
  </si>
  <si>
    <t xml:space="preserve">SURTASS</t>
  </si>
  <si>
    <t xml:space="preserve">SURTASS (T-AGOS)</t>
  </si>
  <si>
    <t xml:space="preserve">T-33 SHOOTING STAR</t>
  </si>
  <si>
    <t xml:space="preserve">TACFIRE</t>
  </si>
  <si>
    <t xml:space="preserve">TACSATCOM</t>
  </si>
  <si>
    <t xml:space="preserve">TACTAS</t>
  </si>
  <si>
    <t xml:space="preserve">TACTICAL CONTROL SYSTEM</t>
  </si>
  <si>
    <t xml:space="preserve">TBMCS</t>
  </si>
  <si>
    <t xml:space="preserve">TCAIMS II</t>
  </si>
  <si>
    <t xml:space="preserve">TDC</t>
  </si>
  <si>
    <t xml:space="preserve">TEAMMATE</t>
  </si>
  <si>
    <t xml:space="preserve">TEST EQUIPMENT MOD TEMOD</t>
  </si>
  <si>
    <t xml:space="preserve">TEST SET AIR DATA COMPUTE</t>
  </si>
  <si>
    <t xml:space="preserve">THIRD GEN NV SYSTEM</t>
  </si>
  <si>
    <t xml:space="preserve">TMIP</t>
  </si>
  <si>
    <t xml:space="preserve">TOWED SONAR ARRAY</t>
  </si>
  <si>
    <t xml:space="preserve">VAN ELECTRONIC 6 TON M373</t>
  </si>
  <si>
    <t xml:space="preserve">VAST</t>
  </si>
  <si>
    <t xml:space="preserve">WAM (WWMCCS/WIS)</t>
  </si>
  <si>
    <t xml:space="preserve">WCS</t>
  </si>
  <si>
    <t xml:space="preserve">WIN-T</t>
  </si>
  <si>
    <t xml:space="preserve">XM23 RANGE FINDER LASER</t>
  </si>
  <si>
    <t xml:space="preserve">Grand Total</t>
  </si>
  <si>
    <t xml:space="preserve"/>
  </si>
  <si>
    <t xml:space="preserve">Shiny.VendorSize</t>
  </si>
  <si>
    <t xml:space="preserve">Big Five</t>
  </si>
  <si>
    <t xml:space="preserve">Large</t>
  </si>
  <si>
    <t xml:space="preserve">Medium</t>
  </si>
  <si>
    <t xml:space="preserve">Small</t>
  </si>
  <si>
    <t xml:space="preserve">Firm Fixed-Price</t>
  </si>
  <si>
    <t xml:space="preserve">2024</t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</si>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</sst>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211" formatCode="0.00,,,&quot;B&quot;"/>
    <numFmt numFmtId="207" formatCode="0.00,,,&quot;B&quot;"/>
    <numFmt numFmtId="210" formatCode="0.00,,,&quot;B&quot;"/>
    <numFmt numFmtId="209" formatCode="0.00,,,&quot;B&quot;"/>
    <numFmt numFmtId="208" formatCode="0.00,,,&quot;B&quot;"/>
    <numFmt numFmtId="184" formatCode="0.00,,,&quot;B&quot;"/>
    <numFmt numFmtId="171" formatCode="0.00,,,&quot;B&quot;"/>
    <numFmt numFmtId="186" formatCode="0.00,,,&quot;B&quot;"/>
    <numFmt numFmtId="175" formatCode="0.00,,,&quot;B&quot;"/>
    <numFmt numFmtId="187" formatCode="0.00,,,&quot;B&quot;"/>
    <numFmt numFmtId="195" formatCode="0.00,,,&quot;B&quot;"/>
    <numFmt numFmtId="212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11" fontId="1" fillId="0" borderId="0" xfId="0" applyFont="1" applyNumberFormat="1"/>
    <xf numFmtId="207" fontId="1" fillId="0" borderId="0" xfId="0" applyFont="1" applyNumberFormat="1"/>
    <xf numFmtId="210" fontId="1" fillId="0" borderId="0" xfId="0" applyFont="1" applyNumberFormat="1"/>
    <xf numFmtId="209" fontId="1" fillId="0" borderId="0" xfId="0" applyFont="1" applyNumberFormat="1"/>
    <xf numFmtId="208" fontId="1" fillId="0" borderId="0" xfId="0" applyFont="1" applyNumberFormat="1"/>
    <xf numFmtId="184" fontId="1" fillId="0" borderId="0" xfId="0" applyFont="1" applyNumberFormat="1"/>
    <xf numFmtId="10" fontId="1" fillId="0" borderId="0" xfId="0" applyFont="1" applyNumberFormat="1"/>
    <xf numFmtId="171" fontId="1" fillId="0" borderId="0" xfId="0" applyFont="1" applyNumberFormat="1"/>
    <xf numFmtId="186" fontId="1" fillId="0" borderId="0" xfId="0" applyFont="1" applyNumberFormat="1"/>
    <xf numFmtId="175" fontId="1" fillId="0" borderId="0" xfId="0" applyFont="1" applyNumberFormat="1"/>
    <xf numFmtId="187" fontId="1" fillId="0" borderId="0" xfId="0" applyFont="1" applyNumberFormat="1"/>
    <xf numFmtId="195" fontId="1" fillId="0" borderId="0" xfId="0" applyFont="1" applyNumberFormat="1"/>
    <xf numFmtId="212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M1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550</v>
      </c>
      <c r="AW1" t="s">
        <v>551</v>
      </c>
    </row>
    <row r="2">
      <c r="A2" t="str">
        <f>M2</f>
      </c>
      <c r="M2" t="s">
        <v>35</v>
      </c>
      <c r="N2" s="1" t="n">
        <v>11895574314</v>
      </c>
      <c r="O2" s="1" t="n">
        <v>10215571897</v>
      </c>
      <c r="P2" s="1" t="n">
        <v>8562825039</v>
      </c>
      <c r="Q2" s="1" t="n">
        <v>8344260673</v>
      </c>
      <c r="R2" s="1" t="n">
        <v>7441394250</v>
      </c>
      <c r="S2" s="1" t="n">
        <v>8492348609</v>
      </c>
      <c r="T2" s="1" t="n">
        <v>8095303918</v>
      </c>
      <c r="U2" s="1" t="n">
        <v>9170052699.2</v>
      </c>
      <c r="V2" s="1" t="n">
        <v>9990694049</v>
      </c>
      <c r="W2" s="1" t="n">
        <v>11058948344.43</v>
      </c>
      <c r="X2" s="1" t="n">
        <v>8686125050.0859</v>
      </c>
      <c r="Y2" s="1" t="n">
        <v>9027005089.1619</v>
      </c>
      <c r="Z2" s="1" t="n">
        <v>10515173791.3809</v>
      </c>
      <c r="AA2" s="1" t="n">
        <v>13791626284.0065</v>
      </c>
      <c r="AB2" s="1" t="n">
        <v>16073404598.7344</v>
      </c>
      <c r="AC2" s="1" t="n">
        <v>18719184119.8874</v>
      </c>
      <c r="AD2" s="1" t="n">
        <v>20873537037.8245</v>
      </c>
      <c r="AE2" s="1" t="n">
        <v>23775625000.5701</v>
      </c>
      <c r="AF2" s="1" t="n">
        <v>26053549374.0776</v>
      </c>
      <c r="AG2" s="1" t="n">
        <v>23864826261.1382</v>
      </c>
      <c r="AH2" s="1" t="n">
        <v>24782813822.1851</v>
      </c>
      <c r="AI2" s="1" t="n">
        <v>21352502729.8973</v>
      </c>
      <c r="AJ2" s="1" t="n">
        <v>21431456774.7919</v>
      </c>
      <c r="AK2" s="1" t="n">
        <v>17685536868.5749</v>
      </c>
      <c r="AL2" s="1" t="n">
        <v>18018636497.9073</v>
      </c>
      <c r="AM2" s="1" t="n">
        <v>18263551981.7829</v>
      </c>
      <c r="AN2" s="1" t="n">
        <v>19567045930.8383</v>
      </c>
      <c r="AO2" s="1" t="n">
        <v>21348966965.1191</v>
      </c>
      <c r="AP2" s="1" t="n">
        <v>23522409970.5785</v>
      </c>
      <c r="AQ2" s="1" t="n">
        <v>25167741007.854</v>
      </c>
      <c r="AR2" s="1" t="n">
        <v>23285099734.6799</v>
      </c>
      <c r="AS2" s="1" t="n">
        <v>20883926384.8509</v>
      </c>
      <c r="AT2" s="1" t="n">
        <v>23686069771.7942</v>
      </c>
      <c r="AU2" s="1" t="n">
        <v>26737865221.1997</v>
      </c>
      <c r="AV2" s="1" t="n">
        <v>29974534813.55</v>
      </c>
      <c r="AW2" s="1" t="n">
        <v>11609251727.03</v>
      </c>
      <c r="AX2" s="1"/>
      <c r="AY2" s="1"/>
    </row>
    <row r="3">
      <c r="A3" t="str">
        <f>M3</f>
      </c>
      <c r="M3" t="s">
        <v>36</v>
      </c>
      <c r="N3" s="1" t="n">
        <v>3700317000</v>
      </c>
      <c r="O3" s="1" t="n">
        <v>3935978444</v>
      </c>
      <c r="P3" s="1" t="n">
        <v>4288558977</v>
      </c>
      <c r="Q3" s="1" t="n">
        <v>3599198028</v>
      </c>
      <c r="R3" s="1" t="n">
        <v>3760083364</v>
      </c>
      <c r="S3" s="1" t="n">
        <v>3644965276</v>
      </c>
      <c r="T3" s="1" t="n">
        <v>3089791084</v>
      </c>
      <c r="U3" s="1" t="n">
        <v>4807757283</v>
      </c>
      <c r="V3" s="1" t="n">
        <v>3690178104</v>
      </c>
      <c r="W3" s="1" t="n">
        <v>4571714701</v>
      </c>
      <c r="X3" s="1" t="n">
        <v>3219854370</v>
      </c>
      <c r="Y3" s="1" t="n">
        <v>3755954512</v>
      </c>
      <c r="Z3" s="1" t="n">
        <v>4389212274</v>
      </c>
      <c r="AA3" s="1" t="n">
        <v>4497789570.32</v>
      </c>
      <c r="AB3" s="1" t="n">
        <v>5039304728.4075</v>
      </c>
      <c r="AC3" s="1" t="n">
        <v>5920884143.9395</v>
      </c>
      <c r="AD3" s="1" t="n">
        <v>5428838942.5222</v>
      </c>
      <c r="AE3" s="1" t="n">
        <v>6856882968.125</v>
      </c>
      <c r="AF3" s="1" t="n">
        <v>6831973921.6067</v>
      </c>
      <c r="AG3" s="1" t="n">
        <v>6917032059.6171</v>
      </c>
      <c r="AH3" s="1" t="n">
        <v>7622485933.2539</v>
      </c>
      <c r="AI3" s="1" t="n">
        <v>7751506910.9609</v>
      </c>
      <c r="AJ3" s="1" t="n">
        <v>7225058406.011</v>
      </c>
      <c r="AK3" s="1" t="n">
        <v>5490686853.7222</v>
      </c>
      <c r="AL3" s="1" t="n">
        <v>6008277090.7165</v>
      </c>
      <c r="AM3" s="1" t="n">
        <v>5488012306.9559</v>
      </c>
      <c r="AN3" s="1" t="n">
        <v>5778430374.6593</v>
      </c>
      <c r="AO3" s="1" t="n">
        <v>6120324378.9938</v>
      </c>
      <c r="AP3" s="1" t="n">
        <v>6909580068.2782</v>
      </c>
      <c r="AQ3" s="1" t="n">
        <v>7365727951.9716</v>
      </c>
      <c r="AR3" s="1" t="n">
        <v>7179705201.3361</v>
      </c>
      <c r="AS3" s="1" t="n">
        <v>5837910077.8723</v>
      </c>
      <c r="AT3" s="1" t="n">
        <v>5840455399.3832</v>
      </c>
      <c r="AU3" s="1" t="n">
        <v>4294113711.8959</v>
      </c>
      <c r="AV3" s="1" t="n">
        <v>2619999544.43</v>
      </c>
      <c r="AW3" s="1" t="n">
        <v>868440274.75</v>
      </c>
      <c r="AX3" s="1"/>
      <c r="AY3" s="1"/>
    </row>
    <row r="4">
      <c r="A4" t="str">
        <f>M4</f>
      </c>
      <c r="M4" t="s">
        <v>37</v>
      </c>
      <c r="N4" s="1" t="n">
        <v>4460848714.53</v>
      </c>
      <c r="O4" s="1" t="n">
        <v>5592848392</v>
      </c>
      <c r="P4" s="1" t="n">
        <v>6727671467</v>
      </c>
      <c r="Q4" s="1" t="n">
        <v>6670899423</v>
      </c>
      <c r="R4" s="1" t="n">
        <v>6638850688</v>
      </c>
      <c r="S4" s="1" t="n">
        <v>6798058651</v>
      </c>
      <c r="T4" s="1" t="n">
        <v>7253661638</v>
      </c>
      <c r="U4" s="1" t="n">
        <v>8016642641</v>
      </c>
      <c r="V4" s="1" t="n">
        <v>8446292932.39</v>
      </c>
      <c r="W4" s="1" t="n">
        <v>10430641416.02</v>
      </c>
      <c r="X4" s="1" t="n">
        <v>8846454134.721</v>
      </c>
      <c r="Y4" s="1" t="n">
        <v>9603882636.7188</v>
      </c>
      <c r="Z4" s="1" t="n">
        <v>10899260136.868</v>
      </c>
      <c r="AA4" s="1" t="n">
        <v>13190322503.9635</v>
      </c>
      <c r="AB4" s="1" t="n">
        <v>16419336767.8595</v>
      </c>
      <c r="AC4" s="1" t="n">
        <v>17593136400.5327</v>
      </c>
      <c r="AD4" s="1" t="n">
        <v>18898863390.013</v>
      </c>
      <c r="AE4" s="1" t="n">
        <v>21820124947.362</v>
      </c>
      <c r="AF4" s="1" t="n">
        <v>24064434107.0579</v>
      </c>
      <c r="AG4" s="1" t="n">
        <v>24557135010.9782</v>
      </c>
      <c r="AH4" s="1" t="n">
        <v>23693808629.0651</v>
      </c>
      <c r="AI4" s="1" t="n">
        <v>23274838748.209</v>
      </c>
      <c r="AJ4" s="1" t="n">
        <v>20917837112.4069</v>
      </c>
      <c r="AK4" s="1" t="n">
        <v>18341468263.4896</v>
      </c>
      <c r="AL4" s="1" t="n">
        <v>16854551606.7307</v>
      </c>
      <c r="AM4" s="1" t="n">
        <v>15804482001.2439</v>
      </c>
      <c r="AN4" s="1" t="n">
        <v>17982760359.1884</v>
      </c>
      <c r="AO4" s="1" t="n">
        <v>18421436453.461</v>
      </c>
      <c r="AP4" s="1" t="n">
        <v>20530847158.8329</v>
      </c>
      <c r="AQ4" s="1" t="n">
        <v>22400418973.7724</v>
      </c>
      <c r="AR4" s="1" t="n">
        <v>24887118131.4188</v>
      </c>
      <c r="AS4" s="1" t="n">
        <v>22895178761.4051</v>
      </c>
      <c r="AT4" s="1" t="n">
        <v>24003372066.3913</v>
      </c>
      <c r="AU4" s="1" t="n">
        <v>25277668374.4104</v>
      </c>
      <c r="AV4" s="1" t="n">
        <v>25489757151.8325</v>
      </c>
      <c r="AW4" s="1" t="n">
        <v>10674913480.69</v>
      </c>
      <c r="AX4" s="1"/>
      <c r="AY4" s="1"/>
    </row>
    <row r="5">
      <c r="A5" t="str">
        <f>M5</f>
      </c>
      <c r="M5" t="s">
        <v>38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 t="n">
        <v>13342</v>
      </c>
      <c r="Z5" s="1"/>
      <c r="AA5" s="1" t="n">
        <v>0</v>
      </c>
      <c r="AB5" s="1"/>
      <c r="AC5" s="1"/>
      <c r="AD5" s="1"/>
      <c r="AE5" s="1"/>
      <c r="AF5" s="1" t="n">
        <v>0</v>
      </c>
      <c r="AG5" s="1"/>
      <c r="AH5" s="1"/>
      <c r="AI5" s="1"/>
      <c r="AJ5" s="1"/>
      <c r="AK5" s="1" t="n">
        <v>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>
      <c r="A6" t="str">
        <f>M6</f>
      </c>
      <c r="M6" t="s">
        <v>542</v>
      </c>
      <c r="N6" s="1" t="str">
        <f>Sum(N2:N5)</f>
      </c>
      <c r="O6" s="1" t="str">
        <f>Sum(O2:O5)</f>
      </c>
      <c r="P6" s="1" t="str">
        <f>Sum(P2:P5)</f>
      </c>
      <c r="Q6" s="1" t="str">
        <f>Sum(Q2:Q5)</f>
      </c>
      <c r="R6" s="1" t="str">
        <f>Sum(R2:R5)</f>
      </c>
      <c r="S6" s="1" t="str">
        <f>Sum(S2:S5)</f>
      </c>
      <c r="T6" s="1" t="str">
        <f>Sum(T2:T5)</f>
      </c>
      <c r="U6" s="1" t="str">
        <f>Sum(U2:U5)</f>
      </c>
      <c r="V6" s="1" t="str">
        <f>Sum(V2:V5)</f>
      </c>
      <c r="W6" s="1" t="str">
        <f>Sum(W2:W5)</f>
      </c>
      <c r="X6" s="1" t="str">
        <f>Sum(X2:X5)</f>
      </c>
      <c r="Y6" s="1" t="str">
        <f>Sum(Y2:Y5)</f>
      </c>
      <c r="Z6" s="1" t="str">
        <f>Sum(Z2:Z5)</f>
      </c>
      <c r="AA6" s="1" t="str">
        <f>Sum(AA2:AA5)</f>
      </c>
      <c r="AB6" s="1" t="str">
        <f>Sum(AB2:AB5)</f>
      </c>
      <c r="AC6" s="1" t="str">
        <f>Sum(AC2:AC5)</f>
      </c>
      <c r="AD6" s="1" t="str">
        <f>Sum(AD2:AD5)</f>
      </c>
      <c r="AE6" s="1" t="str">
        <f>Sum(AE2:AE5)</f>
      </c>
      <c r="AF6" s="1" t="str">
        <f>Sum(AF2:AF5)</f>
      </c>
      <c r="AG6" s="1" t="str">
        <f>Sum(AG2:AG5)</f>
      </c>
      <c r="AH6" s="1" t="str">
        <f>Sum(AH2:AH5)</f>
      </c>
      <c r="AI6" s="1" t="str">
        <f>Sum(AI2:AI5)</f>
      </c>
      <c r="AJ6" s="1" t="str">
        <f>Sum(AJ2:AJ5)</f>
      </c>
      <c r="AK6" s="1" t="str">
        <f>Sum(AK2:AK5)</f>
      </c>
      <c r="AL6" s="1" t="str">
        <f>Sum(AL2:AL5)</f>
      </c>
      <c r="AM6" s="1" t="str">
        <f>Sum(AM2:AM5)</f>
      </c>
      <c r="AN6" s="1" t="str">
        <f>Sum(AN2:AN5)</f>
      </c>
      <c r="AO6" s="1" t="str">
        <f>Sum(AO2:AO5)</f>
      </c>
      <c r="AP6" s="1" t="str">
        <f>Sum(AP2:AP5)</f>
      </c>
      <c r="AQ6" s="1" t="str">
        <f>Sum(AQ2:AQ5)</f>
      </c>
      <c r="AR6" s="1" t="str">
        <f>Sum(AR2:AR5)</f>
      </c>
      <c r="AS6" s="1" t="str">
        <f>Sum(AS2:AS5)</f>
      </c>
      <c r="AT6" s="1" t="str">
        <f>Sum(AT2:AT5)</f>
      </c>
      <c r="AU6" s="1" t="str">
        <f>Sum(AU2:AU5)</f>
      </c>
      <c r="AV6" s="1" t="str">
        <f>Sum(AV2:AV5)</f>
      </c>
      <c r="AW6" s="1" t="str">
        <f>Sum(AW2:AW5)</f>
      </c>
      <c r="AX6" s="1" t="str">
        <f>Sum(AX2:AX5)</f>
      </c>
      <c r="AY6" s="1"/>
    </row>
    <row r="9">
      <c r="A9" t="str">
        <f>M9</f>
      </c>
      <c r="M9" t="s">
        <v>0</v>
      </c>
      <c r="N9" t="s">
        <v>1</v>
      </c>
      <c r="O9" t="s">
        <v>2</v>
      </c>
      <c r="P9" t="s">
        <v>3</v>
      </c>
      <c r="Q9" t="s">
        <v>4</v>
      </c>
      <c r="R9" t="s">
        <v>5</v>
      </c>
      <c r="S9" t="s">
        <v>6</v>
      </c>
      <c r="T9" t="s">
        <v>7</v>
      </c>
      <c r="U9" t="s">
        <v>8</v>
      </c>
      <c r="V9" t="s">
        <v>9</v>
      </c>
      <c r="W9" t="s">
        <v>10</v>
      </c>
      <c r="X9" t="s">
        <v>11</v>
      </c>
      <c r="Y9" t="s">
        <v>12</v>
      </c>
      <c r="Z9" t="s">
        <v>13</v>
      </c>
      <c r="AA9" t="s">
        <v>14</v>
      </c>
      <c r="AB9" t="s">
        <v>15</v>
      </c>
      <c r="AC9" t="s">
        <v>16</v>
      </c>
      <c r="AD9" t="s">
        <v>17</v>
      </c>
      <c r="AE9" t="s">
        <v>18</v>
      </c>
      <c r="AF9" t="s">
        <v>19</v>
      </c>
      <c r="AG9" t="s">
        <v>20</v>
      </c>
      <c r="AH9" t="s">
        <v>21</v>
      </c>
      <c r="AI9" t="s">
        <v>22</v>
      </c>
      <c r="AJ9" t="s">
        <v>23</v>
      </c>
      <c r="AK9" t="s">
        <v>24</v>
      </c>
      <c r="AL9" t="s">
        <v>25</v>
      </c>
      <c r="AM9" t="s">
        <v>26</v>
      </c>
      <c r="AN9" t="s">
        <v>27</v>
      </c>
      <c r="AO9" t="s">
        <v>28</v>
      </c>
      <c r="AP9" t="s">
        <v>29</v>
      </c>
      <c r="AQ9" t="s">
        <v>30</v>
      </c>
      <c r="AR9" t="s">
        <v>31</v>
      </c>
      <c r="AS9" t="s">
        <v>32</v>
      </c>
      <c r="AT9" t="s">
        <v>33</v>
      </c>
      <c r="AU9" t="s">
        <v>34</v>
      </c>
      <c r="AV9" t="s">
        <v>550</v>
      </c>
      <c r="AW9" t="s">
        <v>551</v>
      </c>
    </row>
    <row r="10">
      <c r="A10" t="str">
        <f>M10</f>
      </c>
      <c r="M10" t="s">
        <v>35</v>
      </c>
      <c r="N10" s="1" t="n">
        <v>24603401486.5462</v>
      </c>
      <c r="O10" s="1" t="n">
        <v>20399392466.0169</v>
      </c>
      <c r="P10" s="1" t="n">
        <v>16681520151.1523</v>
      </c>
      <c r="Q10" s="1" t="n">
        <v>15883110871.2434</v>
      </c>
      <c r="R10" s="1" t="n">
        <v>13861910522.6564</v>
      </c>
      <c r="S10" s="1" t="n">
        <v>15491048946.3616</v>
      </c>
      <c r="T10" s="1" t="n">
        <v>14493894822.3897</v>
      </c>
      <c r="U10" s="1" t="n">
        <v>16131839363.3037</v>
      </c>
      <c r="V10" s="1" t="n">
        <v>17357871100.7967</v>
      </c>
      <c r="W10" s="1" t="n">
        <v>18978853138.3124</v>
      </c>
      <c r="X10" s="1" t="n">
        <v>14602882308.3756</v>
      </c>
      <c r="Y10" s="1" t="n">
        <v>14816814718.4575</v>
      </c>
      <c r="Z10" s="1" t="n">
        <v>16992153363.9598</v>
      </c>
      <c r="AA10" s="1" t="n">
        <v>21867045323.0919</v>
      </c>
      <c r="AB10" s="1" t="n">
        <v>24877399511.2538</v>
      </c>
      <c r="AC10" s="1" t="n">
        <v>28116781183.0878</v>
      </c>
      <c r="AD10" s="1" t="n">
        <v>30366257480.4783</v>
      </c>
      <c r="AE10" s="1" t="n">
        <v>33661453775.3928</v>
      </c>
      <c r="AF10" s="1" t="n">
        <v>36136311451.0451</v>
      </c>
      <c r="AG10" s="1" t="n">
        <v>32765485772.4411</v>
      </c>
      <c r="AH10" s="1" t="n">
        <v>33733698507.6417</v>
      </c>
      <c r="AI10" s="1" t="n">
        <v>28492566789.5334</v>
      </c>
      <c r="AJ10" s="1" t="n">
        <v>28088232010.9654</v>
      </c>
      <c r="AK10" s="1" t="n">
        <v>22765722712.313</v>
      </c>
      <c r="AL10" s="1" t="n">
        <v>22778945291.4425</v>
      </c>
      <c r="AM10" s="1" t="n">
        <v>22851904370.4307</v>
      </c>
      <c r="AN10" s="1" t="n">
        <v>24288685151.5051</v>
      </c>
      <c r="AO10" s="1" t="n">
        <v>26060683979.3271</v>
      </c>
      <c r="AP10" s="1" t="n">
        <v>28090203327.4186</v>
      </c>
      <c r="AQ10" s="1" t="n">
        <v>29509424129.2042</v>
      </c>
      <c r="AR10" s="1" t="n">
        <v>26949958511.3386</v>
      </c>
      <c r="AS10" s="1" t="n">
        <v>23366644306.0954</v>
      </c>
      <c r="AT10" s="1" t="n">
        <v>24769626806.1217</v>
      </c>
      <c r="AU10" s="1" t="n">
        <v>26737865221.1997</v>
      </c>
      <c r="AV10" s="1" t="n">
        <v>29194857304.7087</v>
      </c>
      <c r="AW10" s="1" t="n">
        <v>11064501548.8089</v>
      </c>
      <c r="AX10" s="1"/>
      <c r="AY10" s="1"/>
    </row>
    <row r="11">
      <c r="A11" t="str">
        <f>M11</f>
      </c>
      <c r="M11" t="s">
        <v>36</v>
      </c>
      <c r="N11" s="1" t="n">
        <v>7653298813.1011</v>
      </c>
      <c r="O11" s="1" t="n">
        <v>7859723354.35452</v>
      </c>
      <c r="P11" s="1" t="n">
        <v>8354682323.69553</v>
      </c>
      <c r="Q11" s="1" t="n">
        <v>6850991785.43897</v>
      </c>
      <c r="R11" s="1" t="n">
        <v>7004324377.71953</v>
      </c>
      <c r="S11" s="1" t="n">
        <v>6648848051.11095</v>
      </c>
      <c r="T11" s="1" t="n">
        <v>5531985883.20787</v>
      </c>
      <c r="U11" s="1" t="n">
        <v>8457745089.4994</v>
      </c>
      <c r="V11" s="1" t="n">
        <v>6411329939.0472</v>
      </c>
      <c r="W11" s="1" t="n">
        <v>7845764280.49272</v>
      </c>
      <c r="X11" s="1" t="n">
        <v>5413133490.95219</v>
      </c>
      <c r="Y11" s="1" t="n">
        <v>6164977370.18839</v>
      </c>
      <c r="Z11" s="1" t="n">
        <v>7092813641.17028</v>
      </c>
      <c r="AA11" s="1" t="n">
        <v>7131382939.36902</v>
      </c>
      <c r="AB11" s="1" t="n">
        <v>7799517284.43487</v>
      </c>
      <c r="AC11" s="1" t="n">
        <v>8893347211.04086</v>
      </c>
      <c r="AD11" s="1" t="n">
        <v>7897728154.55037</v>
      </c>
      <c r="AE11" s="1" t="n">
        <v>9707952958.93517</v>
      </c>
      <c r="AF11" s="1" t="n">
        <v>9475957916.9753</v>
      </c>
      <c r="AG11" s="1" t="n">
        <v>9496818164.81382</v>
      </c>
      <c r="AH11" s="1" t="n">
        <v>10375522497.0033</v>
      </c>
      <c r="AI11" s="1" t="n">
        <v>10343533550.7926</v>
      </c>
      <c r="AJ11" s="1" t="n">
        <v>9469217092.11637</v>
      </c>
      <c r="AK11" s="1" t="n">
        <v>7067891426.81279</v>
      </c>
      <c r="AL11" s="1" t="n">
        <v>7595592217.04448</v>
      </c>
      <c r="AM11" s="1" t="n">
        <v>6866765706.22163</v>
      </c>
      <c r="AN11" s="1" t="n">
        <v>7172798415.05337</v>
      </c>
      <c r="AO11" s="1" t="n">
        <v>7471079970.87293</v>
      </c>
      <c r="AP11" s="1" t="n">
        <v>8251344537.73149</v>
      </c>
      <c r="AQ11" s="1" t="n">
        <v>8636388545.44928</v>
      </c>
      <c r="AR11" s="1" t="n">
        <v>8309724222.97462</v>
      </c>
      <c r="AS11" s="1" t="n">
        <v>6531931101.78576</v>
      </c>
      <c r="AT11" s="1" t="n">
        <v>6107636345.51103</v>
      </c>
      <c r="AU11" s="1" t="n">
        <v>4294113711.8959</v>
      </c>
      <c r="AV11" s="1" t="n">
        <v>2551849872.36093</v>
      </c>
      <c r="AW11" s="1" t="n">
        <v>827689759.077833</v>
      </c>
      <c r="AX11" s="1"/>
      <c r="AY11" s="1"/>
    </row>
    <row r="12">
      <c r="A12" t="str">
        <f>M12</f>
      </c>
      <c r="M12" t="s">
        <v>37</v>
      </c>
      <c r="N12" s="1" t="n">
        <v>9226292820.94913</v>
      </c>
      <c r="O12" s="1" t="n">
        <v>11168313482.7571</v>
      </c>
      <c r="P12" s="1" t="n">
        <v>13106397320.5039</v>
      </c>
      <c r="Q12" s="1" t="n">
        <v>12697905698.1364</v>
      </c>
      <c r="R12" s="1" t="n">
        <v>12366923605.7923</v>
      </c>
      <c r="S12" s="1" t="n">
        <v>12400463540.9425</v>
      </c>
      <c r="T12" s="1" t="n">
        <v>12987011966.8526</v>
      </c>
      <c r="U12" s="1" t="n">
        <v>14102775148.5992</v>
      </c>
      <c r="V12" s="1" t="n">
        <v>14674622531.822</v>
      </c>
      <c r="W12" s="1" t="n">
        <v>17900581990.9403</v>
      </c>
      <c r="X12" s="1" t="n">
        <v>14872423299.3279</v>
      </c>
      <c r="Y12" s="1" t="n">
        <v>15763694403.6868</v>
      </c>
      <c r="Z12" s="1" t="n">
        <v>17612823475.2678</v>
      </c>
      <c r="AA12" s="1" t="n">
        <v>20913659787.5227</v>
      </c>
      <c r="AB12" s="1" t="n">
        <v>25412811453.5251</v>
      </c>
      <c r="AC12" s="1" t="n">
        <v>26425423422.8329</v>
      </c>
      <c r="AD12" s="1" t="n">
        <v>27493555632.1666</v>
      </c>
      <c r="AE12" s="1" t="n">
        <v>30892863059.1755</v>
      </c>
      <c r="AF12" s="1" t="n">
        <v>33377405638.6735</v>
      </c>
      <c r="AG12" s="1" t="n">
        <v>33715998977.306</v>
      </c>
      <c r="AH12" s="1" t="n">
        <v>32251373977.3626</v>
      </c>
      <c r="AI12" s="1" t="n">
        <v>31057712809.4883</v>
      </c>
      <c r="AJ12" s="1" t="n">
        <v>27415078132.8103</v>
      </c>
      <c r="AK12" s="1" t="n">
        <v>23610070970.774</v>
      </c>
      <c r="AL12" s="1" t="n">
        <v>21307323059.9941</v>
      </c>
      <c r="AM12" s="1" t="n">
        <v>19775042208.4851</v>
      </c>
      <c r="AN12" s="1" t="n">
        <v>22322102481.0351</v>
      </c>
      <c r="AO12" s="1" t="n">
        <v>22487047483.0596</v>
      </c>
      <c r="AP12" s="1" t="n">
        <v>24517711913.7503</v>
      </c>
      <c r="AQ12" s="1" t="n">
        <v>26264711797.6396</v>
      </c>
      <c r="AR12" s="1" t="n">
        <v>28804119748.2867</v>
      </c>
      <c r="AS12" s="1" t="n">
        <v>25616997904.6803</v>
      </c>
      <c r="AT12" s="1" t="n">
        <v>25101444600.193</v>
      </c>
      <c r="AU12" s="1" t="n">
        <v>25277668374.4104</v>
      </c>
      <c r="AV12" s="1" t="n">
        <v>24826734673.5612</v>
      </c>
      <c r="AW12" s="1" t="n">
        <v>10174006001.2216</v>
      </c>
      <c r="AX12" s="1"/>
      <c r="AY12" s="1"/>
    </row>
    <row r="13">
      <c r="A13" t="str">
        <f>M13</f>
      </c>
      <c r="M13" t="s">
        <v>38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 t="n">
        <v>21899.3940981609</v>
      </c>
      <c r="Z13" s="1"/>
      <c r="AA13" s="1" t="n">
        <v>0</v>
      </c>
      <c r="AB13" s="1"/>
      <c r="AC13" s="1"/>
      <c r="AD13" s="1"/>
      <c r="AE13" s="1"/>
      <c r="AF13" s="1" t="n">
        <v>0</v>
      </c>
      <c r="AG13" s="1"/>
      <c r="AH13" s="1"/>
      <c r="AI13" s="1"/>
      <c r="AJ13" s="1"/>
      <c r="AK13" s="1" t="n"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>
      <c r="A14" t="str">
        <f>M14</f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39</v>
      </c>
      <c r="N1" t="s">
        <v>40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550</v>
      </c>
      <c r="AX1" t="s">
        <v>551</v>
      </c>
    </row>
    <row r="2">
      <c r="A2" t="str">
        <f>M2</f>
      </c>
      <c r="B2" t="str">
        <f>N2</f>
      </c>
      <c r="M2" t="s">
        <v>41</v>
      </c>
      <c r="N2" t="s">
        <v>41</v>
      </c>
      <c r="O2" s="13" t="n">
        <v>6904544000</v>
      </c>
      <c r="P2" s="13" t="n">
        <v>6858530000</v>
      </c>
      <c r="Q2" s="13" t="n">
        <v>5812264395</v>
      </c>
      <c r="R2" s="13" t="n">
        <v>6051983904</v>
      </c>
      <c r="S2" s="13" t="n">
        <v>6929069201</v>
      </c>
      <c r="T2" s="13" t="n">
        <v>6001570027</v>
      </c>
      <c r="U2" s="13" t="n">
        <v>5166630656</v>
      </c>
      <c r="V2" s="13" t="n">
        <v>6250999483</v>
      </c>
      <c r="W2" s="13" t="n">
        <v>6091863889</v>
      </c>
      <c r="X2" s="13" t="n">
        <v>7505970542</v>
      </c>
      <c r="Y2" s="13" t="n">
        <v>6220862677.6992</v>
      </c>
      <c r="Z2" s="13" t="n">
        <v>6231182308.3724</v>
      </c>
      <c r="AA2" s="13" t="n">
        <v>6897133017.4434</v>
      </c>
      <c r="AB2" s="13" t="n">
        <v>8170110392.4493</v>
      </c>
      <c r="AC2" s="13" t="n">
        <v>9417999634.0743</v>
      </c>
      <c r="AD2" s="13" t="n">
        <v>9796014469.0519</v>
      </c>
      <c r="AE2" s="13" t="n">
        <v>9979829660.4647</v>
      </c>
      <c r="AF2" s="13" t="n">
        <v>11645743793.9818</v>
      </c>
      <c r="AG2" s="13" t="n">
        <v>10767607919.356</v>
      </c>
      <c r="AH2" s="13" t="n">
        <v>10808043100.9871</v>
      </c>
      <c r="AI2" s="13" t="n">
        <v>9973698680.9733</v>
      </c>
      <c r="AJ2" s="13" t="n">
        <v>9724850771.7809</v>
      </c>
      <c r="AK2" s="13" t="n">
        <v>10507984427.1079</v>
      </c>
      <c r="AL2" s="13" t="n">
        <v>8371518958.5057</v>
      </c>
      <c r="AM2" s="13" t="n">
        <v>8946404179.8855</v>
      </c>
      <c r="AN2" s="13" t="n">
        <v>8413480848.5642</v>
      </c>
      <c r="AO2" s="13" t="n">
        <v>9780085091.272</v>
      </c>
      <c r="AP2" s="13" t="n">
        <v>10876128700.6579</v>
      </c>
      <c r="AQ2" s="13" t="n">
        <v>12046878516.2695</v>
      </c>
      <c r="AR2" s="13" t="n">
        <v>12831869079.6119</v>
      </c>
      <c r="AS2" s="13" t="n">
        <v>12456304633.7211</v>
      </c>
      <c r="AT2" s="13" t="n">
        <v>12128043781.693</v>
      </c>
      <c r="AU2" s="13" t="n">
        <v>13378147135.7025</v>
      </c>
      <c r="AV2" s="13" t="n">
        <v>13670616316.6985</v>
      </c>
      <c r="AW2" s="13" t="n">
        <v>13460184011.4925</v>
      </c>
      <c r="AX2" s="13" t="n">
        <v>5489970876.55</v>
      </c>
      <c r="AY2" s="13"/>
    </row>
    <row r="3">
      <c r="A3" t="str">
        <f>M3</f>
      </c>
      <c r="B3" t="str">
        <f>N3</f>
      </c>
      <c r="M3" t="s">
        <v>42</v>
      </c>
      <c r="N3" t="s">
        <v>42</v>
      </c>
      <c r="O3" s="13" t="n">
        <v>4419741134.53</v>
      </c>
      <c r="P3" s="13" t="n">
        <v>4299187000</v>
      </c>
      <c r="Q3" s="13" t="n">
        <v>4502403465</v>
      </c>
      <c r="R3" s="13" t="n">
        <v>5021341707</v>
      </c>
      <c r="S3" s="13" t="n">
        <v>2534031984</v>
      </c>
      <c r="T3" s="13" t="n">
        <v>5631956298</v>
      </c>
      <c r="U3" s="13" t="n">
        <v>6200365609</v>
      </c>
      <c r="V3" s="13" t="n">
        <v>7535414006.2</v>
      </c>
      <c r="W3" s="13" t="n">
        <v>6784040633</v>
      </c>
      <c r="X3" s="13" t="n">
        <v>7735632683.31</v>
      </c>
      <c r="Y3" s="13" t="n">
        <v>4580530895.9665</v>
      </c>
      <c r="Z3" s="13" t="n">
        <v>6382222467.1912</v>
      </c>
      <c r="AA3" s="13" t="n">
        <v>6829597972.3017</v>
      </c>
      <c r="AB3" s="13" t="n">
        <v>9322517559.2423</v>
      </c>
      <c r="AC3" s="13" t="n">
        <v>11718340388.3056</v>
      </c>
      <c r="AD3" s="13" t="n">
        <v>15482354724.6472</v>
      </c>
      <c r="AE3" s="13" t="n">
        <v>16368438909.2554</v>
      </c>
      <c r="AF3" s="13" t="n">
        <v>19993837560.0241</v>
      </c>
      <c r="AG3" s="13" t="n">
        <v>24927282899.8378</v>
      </c>
      <c r="AH3" s="13" t="n">
        <v>22925357499.7923</v>
      </c>
      <c r="AI3" s="13" t="n">
        <v>22279474215.9459</v>
      </c>
      <c r="AJ3" s="13" t="n">
        <v>17500742881.2913</v>
      </c>
      <c r="AK3" s="13" t="n">
        <v>15394594295.4761</v>
      </c>
      <c r="AL3" s="13" t="n">
        <v>11972796371.0325</v>
      </c>
      <c r="AM3" s="13" t="n">
        <v>10901495723.4415</v>
      </c>
      <c r="AN3" s="13" t="n">
        <v>10278630136.8088</v>
      </c>
      <c r="AO3" s="13" t="n">
        <v>11054840911.99</v>
      </c>
      <c r="AP3" s="13" t="n">
        <v>11207115747.4204</v>
      </c>
      <c r="AQ3" s="13" t="n">
        <v>12645108763.6318</v>
      </c>
      <c r="AR3" s="13" t="n">
        <v>11770170606.6276</v>
      </c>
      <c r="AS3" s="13" t="n">
        <v>11712507895.8049</v>
      </c>
      <c r="AT3" s="13" t="n">
        <v>10086127686.9593</v>
      </c>
      <c r="AU3" s="13" t="n">
        <v>10703176071.4727</v>
      </c>
      <c r="AV3" s="13" t="n">
        <v>11320660880.5034</v>
      </c>
      <c r="AW3" s="13" t="n">
        <v>11915325110.77</v>
      </c>
      <c r="AX3" s="13" t="n">
        <v>4146419728.76</v>
      </c>
      <c r="AY3" s="13"/>
    </row>
    <row r="4">
      <c r="A4" t="str">
        <f>M4</f>
      </c>
      <c r="B4" t="str">
        <f>N4</f>
      </c>
      <c r="M4" t="s">
        <v>43</v>
      </c>
      <c r="N4" t="s">
        <v>44</v>
      </c>
      <c r="O4" s="13" t="n">
        <v>430942000</v>
      </c>
      <c r="P4" s="13" t="n">
        <v>404258000</v>
      </c>
      <c r="Q4" s="13" t="n">
        <v>324808828</v>
      </c>
      <c r="R4" s="13" t="n">
        <v>328107540</v>
      </c>
      <c r="S4" s="13" t="n">
        <v>228554942</v>
      </c>
      <c r="T4" s="13" t="n">
        <v>372293135</v>
      </c>
      <c r="U4" s="13" t="n">
        <v>440514944</v>
      </c>
      <c r="V4" s="13" t="n">
        <v>589116273</v>
      </c>
      <c r="W4" s="13" t="n">
        <v>758381115</v>
      </c>
      <c r="X4" s="13" t="n">
        <v>1004111092</v>
      </c>
      <c r="Y4" s="13" t="n">
        <v>844139727</v>
      </c>
      <c r="Z4" s="13" t="n">
        <v>926642097.6719</v>
      </c>
      <c r="AA4" s="13" t="n">
        <v>1155517218</v>
      </c>
      <c r="AB4" s="13" t="n">
        <v>1451703267.84</v>
      </c>
      <c r="AC4" s="13" t="n">
        <v>1557867707.6127</v>
      </c>
      <c r="AD4" s="13" t="n">
        <v>1646017618.0912</v>
      </c>
      <c r="AE4" s="13" t="n">
        <v>1509991032.1236</v>
      </c>
      <c r="AF4" s="13" t="n">
        <v>1275999627.4244</v>
      </c>
      <c r="AG4" s="13" t="n">
        <v>1501608133.0936</v>
      </c>
      <c r="AH4" s="13" t="n">
        <v>1431069076.507</v>
      </c>
      <c r="AI4" s="13" t="n">
        <v>1812705241.2068</v>
      </c>
      <c r="AJ4" s="13" t="n">
        <v>2084860250.27</v>
      </c>
      <c r="AK4" s="13" t="n">
        <v>1903493361.0876</v>
      </c>
      <c r="AL4" s="13" t="n">
        <v>1857050670.6415</v>
      </c>
      <c r="AM4" s="13" t="n">
        <v>1687835242.4139</v>
      </c>
      <c r="AN4" s="13" t="n">
        <v>1864088245.0896</v>
      </c>
      <c r="AO4" s="13" t="n">
        <v>2058880988.3146</v>
      </c>
      <c r="AP4" s="13" t="n">
        <v>2100323417.1684</v>
      </c>
      <c r="AQ4" s="13" t="n">
        <v>2991991629.3989</v>
      </c>
      <c r="AR4" s="13" t="n">
        <v>3428524861.471</v>
      </c>
      <c r="AS4" s="13" t="n">
        <v>3075175046.4628</v>
      </c>
      <c r="AT4" s="13" t="n">
        <v>2780296455.2674</v>
      </c>
      <c r="AU4" s="13" t="n">
        <v>2620125572.9689</v>
      </c>
      <c r="AV4" s="13" t="n">
        <v>3885809197.0129</v>
      </c>
      <c r="AW4" s="13" t="n">
        <v>4793154092.16</v>
      </c>
      <c r="AX4" s="13" t="n">
        <v>2167344134.68</v>
      </c>
      <c r="AY4" s="13"/>
    </row>
    <row r="5">
      <c r="A5" t="str">
        <f>M5</f>
      </c>
      <c r="B5" t="str">
        <f>N5</f>
      </c>
      <c r="M5" t="s">
        <v>45</v>
      </c>
      <c r="N5" t="s">
        <v>45</v>
      </c>
      <c r="O5" s="13" t="n">
        <v>7596659894</v>
      </c>
      <c r="P5" s="13" t="n">
        <v>6857449733</v>
      </c>
      <c r="Q5" s="13" t="n">
        <v>7007143719</v>
      </c>
      <c r="R5" s="13" t="n">
        <v>5371446016</v>
      </c>
      <c r="S5" s="13" t="n">
        <v>5949776081</v>
      </c>
      <c r="T5" s="13" t="n">
        <v>4988444486</v>
      </c>
      <c r="U5" s="13" t="n">
        <v>4443405928</v>
      </c>
      <c r="V5" s="13" t="n">
        <v>5462882649</v>
      </c>
      <c r="W5" s="13" t="n">
        <v>5880479597.07</v>
      </c>
      <c r="X5" s="13" t="n">
        <v>6924265171</v>
      </c>
      <c r="Y5" s="13" t="n">
        <v>6575625378.7397</v>
      </c>
      <c r="Z5" s="13" t="n">
        <v>5743759210.4297</v>
      </c>
      <c r="AA5" s="13" t="n">
        <v>7166613394.8302</v>
      </c>
      <c r="AB5" s="13" t="n">
        <v>7907048109.7339</v>
      </c>
      <c r="AC5" s="13" t="n">
        <v>9779610861.7269</v>
      </c>
      <c r="AD5" s="13" t="n">
        <v>9827454629.9293</v>
      </c>
      <c r="AE5" s="13" t="n">
        <v>11778838774.8369</v>
      </c>
      <c r="AF5" s="13" t="n">
        <v>14034876115.0913</v>
      </c>
      <c r="AG5" s="13" t="n">
        <v>14193971484.5345</v>
      </c>
      <c r="AH5" s="13" t="n">
        <v>13895498098.6057</v>
      </c>
      <c r="AI5" s="13" t="n">
        <v>14454008004.0159</v>
      </c>
      <c r="AJ5" s="13" t="n">
        <v>15100503025.0901</v>
      </c>
      <c r="AK5" s="13" t="n">
        <v>13708493313.2074</v>
      </c>
      <c r="AL5" s="13" t="n">
        <v>12403650718.4226</v>
      </c>
      <c r="AM5" s="13" t="n">
        <v>11691388304.7249</v>
      </c>
      <c r="AN5" s="13" t="n">
        <v>11660815511.504</v>
      </c>
      <c r="AO5" s="13" t="n">
        <v>12341069956.982</v>
      </c>
      <c r="AP5" s="13" t="n">
        <v>12784421257.8799</v>
      </c>
      <c r="AQ5" s="13" t="n">
        <v>13122936075.5069</v>
      </c>
      <c r="AR5" s="13" t="n">
        <v>15086726447.4958</v>
      </c>
      <c r="AS5" s="13" t="n">
        <v>15925901441.8149</v>
      </c>
      <c r="AT5" s="13" t="n">
        <v>14187710740.8425</v>
      </c>
      <c r="AU5" s="13" t="n">
        <v>15785216806.4256</v>
      </c>
      <c r="AV5" s="13" t="n">
        <v>16680339147.4871</v>
      </c>
      <c r="AW5" s="13" t="n">
        <v>17296727584.19</v>
      </c>
      <c r="AX5" s="13" t="n">
        <v>6675384529.69</v>
      </c>
      <c r="AY5" s="13"/>
    </row>
    <row r="6">
      <c r="A6" t="str">
        <f>M6</f>
      </c>
      <c r="B6" t="str">
        <f>N6</f>
      </c>
      <c r="M6" t="s">
        <v>44</v>
      </c>
      <c r="N6" t="s">
        <v>44</v>
      </c>
      <c r="O6" s="13" t="n">
        <v>704853000</v>
      </c>
      <c r="P6" s="13" t="n">
        <v>1324974000</v>
      </c>
      <c r="Q6" s="13" t="n">
        <v>1932435076</v>
      </c>
      <c r="R6" s="13" t="n">
        <v>1841478957</v>
      </c>
      <c r="S6" s="13" t="n">
        <v>2198896094</v>
      </c>
      <c r="T6" s="13" t="n">
        <v>1941108590</v>
      </c>
      <c r="U6" s="13" t="n">
        <v>2187839503</v>
      </c>
      <c r="V6" s="13" t="n">
        <v>2156040212</v>
      </c>
      <c r="W6" s="13" t="n">
        <v>2612399851.32</v>
      </c>
      <c r="X6" s="13" t="n">
        <v>2891324973.14</v>
      </c>
      <c r="Y6" s="13" t="n">
        <v>2531274875.4015</v>
      </c>
      <c r="Z6" s="13" t="n">
        <v>3103049496.2155</v>
      </c>
      <c r="AA6" s="13" t="n">
        <v>3754784599.6736</v>
      </c>
      <c r="AB6" s="13" t="n">
        <v>4628359029.0245</v>
      </c>
      <c r="AC6" s="13" t="n">
        <v>5058227503.2819</v>
      </c>
      <c r="AD6" s="13" t="n">
        <v>5481363222.64</v>
      </c>
      <c r="AE6" s="13" t="n">
        <v>5564140993.6791</v>
      </c>
      <c r="AF6" s="13" t="n">
        <v>5502175819.5355</v>
      </c>
      <c r="AG6" s="13" t="n">
        <v>5559486965.9203</v>
      </c>
      <c r="AH6" s="13" t="n">
        <v>6279025555.8414</v>
      </c>
      <c r="AI6" s="13" t="n">
        <v>7579222242.3622</v>
      </c>
      <c r="AJ6" s="13" t="n">
        <v>7967891460.6349</v>
      </c>
      <c r="AK6" s="13" t="n">
        <v>8059786896.3308</v>
      </c>
      <c r="AL6" s="13" t="n">
        <v>6912675267.1844</v>
      </c>
      <c r="AM6" s="13" t="n">
        <v>7654341744.8887</v>
      </c>
      <c r="AN6" s="13" t="n">
        <v>7339031548.0161</v>
      </c>
      <c r="AO6" s="13" t="n">
        <v>8093359716.1274</v>
      </c>
      <c r="AP6" s="13" t="n">
        <v>8922738674.4473</v>
      </c>
      <c r="AQ6" s="13" t="n">
        <v>10155922212.8825</v>
      </c>
      <c r="AR6" s="13" t="n">
        <v>11816596938.3917</v>
      </c>
      <c r="AS6" s="13" t="n">
        <v>12182034049.6311</v>
      </c>
      <c r="AT6" s="13" t="n">
        <v>10434836559.3661</v>
      </c>
      <c r="AU6" s="13" t="n">
        <v>11043231650.999</v>
      </c>
      <c r="AV6" s="13" t="n">
        <v>10752221765.8041</v>
      </c>
      <c r="AW6" s="13" t="n">
        <v>10618900711.2</v>
      </c>
      <c r="AX6" s="13" t="n">
        <v>4673486212.79</v>
      </c>
      <c r="AY6" s="13"/>
    </row>
    <row r="7">
      <c r="A7" t="str">
        <f>M7</f>
      </c>
      <c r="B7" t="str">
        <f>N7</f>
      </c>
      <c r="M7" t="s">
        <v>542</v>
      </c>
      <c r="N7" t="s">
        <v>543</v>
      </c>
      <c r="O7" s="13" t="str">
        <f>Sum(O2:O6)</f>
      </c>
      <c r="P7" s="13" t="str">
        <f>Sum(P2:P6)</f>
      </c>
      <c r="Q7" s="13" t="str">
        <f>Sum(Q2:Q6)</f>
      </c>
      <c r="R7" s="13" t="str">
        <f>Sum(R2:R6)</f>
      </c>
      <c r="S7" s="13" t="str">
        <f>Sum(S2:S6)</f>
      </c>
      <c r="T7" s="13" t="str">
        <f>Sum(T2:T6)</f>
      </c>
      <c r="U7" s="13" t="str">
        <f>Sum(U2:U6)</f>
      </c>
      <c r="V7" s="13" t="str">
        <f>Sum(V2:V6)</f>
      </c>
      <c r="W7" s="13" t="str">
        <f>Sum(W2:W6)</f>
      </c>
      <c r="X7" s="13" t="str">
        <f>Sum(X2:X6)</f>
      </c>
      <c r="Y7" s="13" t="str">
        <f>Sum(Y2:Y6)</f>
      </c>
      <c r="Z7" s="13" t="str">
        <f>Sum(Z2:Z6)</f>
      </c>
      <c r="AA7" s="13" t="str">
        <f>Sum(AA2:AA6)</f>
      </c>
      <c r="AB7" s="13" t="str">
        <f>Sum(AB2:AB6)</f>
      </c>
      <c r="AC7" s="13" t="str">
        <f>Sum(AC2:AC6)</f>
      </c>
      <c r="AD7" s="13" t="str">
        <f>Sum(AD2:AD6)</f>
      </c>
      <c r="AE7" s="13" t="str">
        <f>Sum(AE2:AE6)</f>
      </c>
      <c r="AF7" s="13" t="str">
        <f>Sum(AF2:AF6)</f>
      </c>
      <c r="AG7" s="13" t="str">
        <f>Sum(AG2:AG6)</f>
      </c>
      <c r="AH7" s="13" t="str">
        <f>Sum(AH2:AH6)</f>
      </c>
      <c r="AI7" s="13" t="str">
        <f>Sum(AI2:AI6)</f>
      </c>
      <c r="AJ7" s="13" t="str">
        <f>Sum(AJ2:AJ6)</f>
      </c>
      <c r="AK7" s="13" t="str">
        <f>Sum(AK2:AK6)</f>
      </c>
      <c r="AL7" s="13" t="str">
        <f>Sum(AL2:AL6)</f>
      </c>
      <c r="AM7" s="13" t="str">
        <f>Sum(AM2:AM6)</f>
      </c>
      <c r="AN7" s="13" t="str">
        <f>Sum(AN2:AN6)</f>
      </c>
      <c r="AO7" s="13" t="str">
        <f>Sum(AO2:AO6)</f>
      </c>
      <c r="AP7" s="13" t="str">
        <f>Sum(AP2:AP6)</f>
      </c>
      <c r="AQ7" s="13" t="str">
        <f>Sum(AQ2:AQ6)</f>
      </c>
      <c r="AR7" s="13" t="str">
        <f>Sum(AR2:AR6)</f>
      </c>
      <c r="AS7" s="13" t="str">
        <f>Sum(AS2:AS6)</f>
      </c>
      <c r="AT7" s="13" t="str">
        <f>Sum(AT2:AT6)</f>
      </c>
      <c r="AU7" s="13" t="str">
        <f>Sum(AU2:AU6)</f>
      </c>
      <c r="AV7" s="13" t="str">
        <f>Sum(AV2:AV6)</f>
      </c>
      <c r="AW7" s="13" t="str">
        <f>Sum(AW2:AW6)</f>
      </c>
      <c r="AX7" s="13" t="str">
        <f>Sum(AX2:AX6)</f>
      </c>
      <c r="AY7" s="13"/>
    </row>
    <row r="10">
      <c r="A10" t="str">
        <f>M10</f>
      </c>
      <c r="B10" t="str">
        <f>N10</f>
      </c>
      <c r="M10" t="s">
        <v>39</v>
      </c>
      <c r="N10" t="s">
        <v>40</v>
      </c>
      <c r="O10" t="s">
        <v>1</v>
      </c>
      <c r="P10" t="s">
        <v>2</v>
      </c>
      <c r="Q10" t="s">
        <v>3</v>
      </c>
      <c r="R10" t="s">
        <v>4</v>
      </c>
      <c r="S10" t="s">
        <v>5</v>
      </c>
      <c r="T10" t="s">
        <v>6</v>
      </c>
      <c r="U10" t="s">
        <v>7</v>
      </c>
      <c r="V10" t="s">
        <v>8</v>
      </c>
      <c r="W10" t="s">
        <v>9</v>
      </c>
      <c r="X10" t="s">
        <v>10</v>
      </c>
      <c r="Y10" t="s">
        <v>11</v>
      </c>
      <c r="Z10" t="s">
        <v>12</v>
      </c>
      <c r="AA10" t="s">
        <v>13</v>
      </c>
      <c r="AB10" t="s">
        <v>14</v>
      </c>
      <c r="AC10" t="s">
        <v>15</v>
      </c>
      <c r="AD10" t="s">
        <v>16</v>
      </c>
      <c r="AE10" t="s">
        <v>17</v>
      </c>
      <c r="AF10" t="s">
        <v>18</v>
      </c>
      <c r="AG10" t="s">
        <v>19</v>
      </c>
      <c r="AH10" t="s">
        <v>20</v>
      </c>
      <c r="AI10" t="s">
        <v>21</v>
      </c>
      <c r="AJ10" t="s">
        <v>22</v>
      </c>
      <c r="AK10" t="s">
        <v>23</v>
      </c>
      <c r="AL10" t="s">
        <v>24</v>
      </c>
      <c r="AM10" t="s">
        <v>25</v>
      </c>
      <c r="AN10" t="s">
        <v>26</v>
      </c>
      <c r="AO10" t="s">
        <v>27</v>
      </c>
      <c r="AP10" t="s">
        <v>28</v>
      </c>
      <c r="AQ10" t="s">
        <v>29</v>
      </c>
      <c r="AR10" t="s">
        <v>30</v>
      </c>
      <c r="AS10" t="s">
        <v>31</v>
      </c>
      <c r="AT10" t="s">
        <v>32</v>
      </c>
      <c r="AU10" t="s">
        <v>33</v>
      </c>
      <c r="AV10" t="s">
        <v>34</v>
      </c>
      <c r="AW10" t="s">
        <v>550</v>
      </c>
      <c r="AX10" t="s">
        <v>551</v>
      </c>
    </row>
    <row r="11">
      <c r="A11" t="str">
        <f>M11</f>
      </c>
      <c r="B11" t="str">
        <f>N11</f>
      </c>
      <c r="M11" t="s">
        <v>41</v>
      </c>
      <c r="N11" t="s">
        <v>41</v>
      </c>
      <c r="O11" s="13" t="n">
        <v>14280543639.965</v>
      </c>
      <c r="P11" s="13" t="n">
        <v>13695742795.4707</v>
      </c>
      <c r="Q11" s="13" t="n">
        <v>11323062796.1471</v>
      </c>
      <c r="R11" s="13" t="n">
        <v>11519814050.0628</v>
      </c>
      <c r="S11" s="13" t="n">
        <v>12907545823.0904</v>
      </c>
      <c r="T11" s="13" t="n">
        <v>10947574025.0165</v>
      </c>
      <c r="U11" s="13" t="n">
        <v>9250375535.33863</v>
      </c>
      <c r="V11" s="13" t="n">
        <v>10996678299.2041</v>
      </c>
      <c r="W11" s="13" t="n">
        <v>10584028259.7228</v>
      </c>
      <c r="X11" s="13" t="n">
        <v>12881397773.1315</v>
      </c>
      <c r="Y11" s="13" t="n">
        <v>10458348805.1567</v>
      </c>
      <c r="Z11" s="13" t="n">
        <v>10227785719.4225</v>
      </c>
      <c r="AA11" s="13" t="n">
        <v>11145525916.0903</v>
      </c>
      <c r="AB11" s="13" t="n">
        <v>12953959929.5503</v>
      </c>
      <c r="AC11" s="13" t="n">
        <v>14576584447.5885</v>
      </c>
      <c r="AD11" s="13" t="n">
        <v>14713910260.6546</v>
      </c>
      <c r="AE11" s="13" t="n">
        <v>14518386439.8178</v>
      </c>
      <c r="AF11" s="13" t="n">
        <v>16488006788.1196</v>
      </c>
      <c r="AG11" s="13" t="n">
        <v>14934688082.9884</v>
      </c>
      <c r="AH11" s="13" t="n">
        <v>14839026212.8157</v>
      </c>
      <c r="AI11" s="13" t="n">
        <v>13575929945.8092</v>
      </c>
      <c r="AJ11" s="13" t="n">
        <v>12976743927.3169</v>
      </c>
      <c r="AK11" s="13" t="n">
        <v>13771845174.0238</v>
      </c>
      <c r="AL11" s="13" t="n">
        <v>10776245058.6873</v>
      </c>
      <c r="AM11" s="13" t="n">
        <v>11309937430.1941</v>
      </c>
      <c r="AN11" s="13" t="n">
        <v>10527199745.461</v>
      </c>
      <c r="AO11" s="13" t="n">
        <v>12140075123.0647</v>
      </c>
      <c r="AP11" s="13" t="n">
        <v>13276490307.4435</v>
      </c>
      <c r="AQ11" s="13" t="n">
        <v>14386249853.0544</v>
      </c>
      <c r="AR11" s="13" t="n">
        <v>15045492836.3464</v>
      </c>
      <c r="AS11" s="13" t="n">
        <v>14416811476.3711</v>
      </c>
      <c r="AT11" s="13" t="n">
        <v>13569846970.0192</v>
      </c>
      <c r="AU11" s="13" t="n">
        <v>13990151810.8057</v>
      </c>
      <c r="AV11" s="13" t="n">
        <v>13670616316.6985</v>
      </c>
      <c r="AW11" s="13" t="n">
        <v>13110066726.8072</v>
      </c>
      <c r="AX11" s="13" t="n">
        <v>5232360594.35875</v>
      </c>
      <c r="AY11" s="13"/>
    </row>
    <row r="12">
      <c r="A12" t="str">
        <f>M12</f>
      </c>
      <c r="B12" t="str">
        <f>N12</f>
      </c>
      <c r="M12" t="s">
        <v>42</v>
      </c>
      <c r="N12" t="s">
        <v>42</v>
      </c>
      <c r="O12" s="13" t="n">
        <v>9141270755.75216</v>
      </c>
      <c r="P12" s="13" t="n">
        <v>8585011566.85637</v>
      </c>
      <c r="Q12" s="13" t="n">
        <v>8771279780.67235</v>
      </c>
      <c r="R12" s="13" t="n">
        <v>9558010011.929</v>
      </c>
      <c r="S12" s="13" t="n">
        <v>4720422469.72166</v>
      </c>
      <c r="T12" s="13" t="n">
        <v>10273354838.9226</v>
      </c>
      <c r="U12" s="13" t="n">
        <v>11101182600.1229</v>
      </c>
      <c r="V12" s="13" t="n">
        <v>13256203892.3301</v>
      </c>
      <c r="W12" s="13" t="n">
        <v>11786618854.7699</v>
      </c>
      <c r="X12" s="13" t="n">
        <v>13275533265.5492</v>
      </c>
      <c r="Y12" s="13" t="n">
        <v>7700666660.67805</v>
      </c>
      <c r="Z12" s="13" t="n">
        <v>10475701171.5752</v>
      </c>
      <c r="AA12" s="13" t="n">
        <v>11036391643.3472</v>
      </c>
      <c r="AB12" s="13" t="n">
        <v>14781136741.6237</v>
      </c>
      <c r="AC12" s="13" t="n">
        <v>18136906444.307</v>
      </c>
      <c r="AD12" s="13" t="n">
        <v>23254965451.6924</v>
      </c>
      <c r="AE12" s="13" t="n">
        <v>23812362493.7756</v>
      </c>
      <c r="AF12" s="13" t="n">
        <v>28307211221.7166</v>
      </c>
      <c r="AG12" s="13" t="n">
        <v>34574178188.293</v>
      </c>
      <c r="AH12" s="13" t="n">
        <v>31475631406.9954</v>
      </c>
      <c r="AI12" s="13" t="n">
        <v>30326220077.4274</v>
      </c>
      <c r="AJ12" s="13" t="n">
        <v>23352816843.9692</v>
      </c>
      <c r="AK12" s="13" t="n">
        <v>20176273635.0532</v>
      </c>
      <c r="AL12" s="13" t="n">
        <v>15411992539.4087</v>
      </c>
      <c r="AM12" s="13" t="n">
        <v>13781540834.5692</v>
      </c>
      <c r="AN12" s="13" t="n">
        <v>12860930512.2941</v>
      </c>
      <c r="AO12" s="13" t="n">
        <v>13722436757.2075</v>
      </c>
      <c r="AP12" s="13" t="n">
        <v>13680526195.5041</v>
      </c>
      <c r="AQ12" s="13" t="n">
        <v>15100649836.136</v>
      </c>
      <c r="AR12" s="13" t="n">
        <v>13800640923.4613</v>
      </c>
      <c r="AS12" s="13" t="n">
        <v>13555948029.0973</v>
      </c>
      <c r="AT12" s="13" t="n">
        <v>11285184296.474</v>
      </c>
      <c r="AU12" s="13" t="n">
        <v>11192809929.4165</v>
      </c>
      <c r="AV12" s="13" t="n">
        <v>11320660880.5034</v>
      </c>
      <c r="AW12" s="13" t="n">
        <v>11605391660.3533</v>
      </c>
      <c r="AX12" s="13" t="n">
        <v>3951853968.68069</v>
      </c>
      <c r="AY12" s="13"/>
    </row>
    <row r="13">
      <c r="A13" t="str">
        <f>M13</f>
      </c>
      <c r="B13" t="str">
        <f>N13</f>
      </c>
      <c r="M13" t="s">
        <v>43</v>
      </c>
      <c r="N13" t="s">
        <v>44</v>
      </c>
      <c r="O13" s="13" t="n">
        <v>891309554.590976</v>
      </c>
      <c r="P13" s="13" t="n">
        <v>807259513.483415</v>
      </c>
      <c r="Q13" s="13" t="n">
        <v>632770725.184284</v>
      </c>
      <c r="R13" s="13" t="n">
        <v>624545258.080639</v>
      </c>
      <c r="S13" s="13" t="n">
        <v>425754643.427867</v>
      </c>
      <c r="T13" s="13" t="n">
        <v>679106739.750114</v>
      </c>
      <c r="U13" s="13" t="n">
        <v>788701366.953037</v>
      </c>
      <c r="V13" s="13" t="n">
        <v>1036365808.79991</v>
      </c>
      <c r="W13" s="13" t="n">
        <v>1317614329.38346</v>
      </c>
      <c r="X13" s="13" t="n">
        <v>1723208785.87129</v>
      </c>
      <c r="Y13" s="13" t="n">
        <v>1419145247.63645</v>
      </c>
      <c r="Z13" s="13" t="n">
        <v>1520978900.07971</v>
      </c>
      <c r="AA13" s="13" t="n">
        <v>1867275441.42412</v>
      </c>
      <c r="AB13" s="13" t="n">
        <v>2301719934.96883</v>
      </c>
      <c r="AC13" s="13" t="n">
        <v>2411169152.73905</v>
      </c>
      <c r="AD13" s="13" t="n">
        <v>2472368287.79352</v>
      </c>
      <c r="AE13" s="13" t="n">
        <v>2196694139.16719</v>
      </c>
      <c r="AF13" s="13" t="n">
        <v>1806556188.32039</v>
      </c>
      <c r="AG13" s="13" t="n">
        <v>2082732697.79058</v>
      </c>
      <c r="AH13" s="13" t="n">
        <v>1964802632.65215</v>
      </c>
      <c r="AI13" s="13" t="n">
        <v>2467405538.7267</v>
      </c>
      <c r="AJ13" s="13" t="n">
        <v>2782016734.95101</v>
      </c>
      <c r="AK13" s="13" t="n">
        <v>2494733032.82156</v>
      </c>
      <c r="AL13" s="13" t="n">
        <v>2390490090.55873</v>
      </c>
      <c r="AM13" s="13" t="n">
        <v>2133741176.94089</v>
      </c>
      <c r="AN13" s="13" t="n">
        <v>2332403157.79324</v>
      </c>
      <c r="AO13" s="13" t="n">
        <v>2555700654.37315</v>
      </c>
      <c r="AP13" s="13" t="n">
        <v>2563864795.82998</v>
      </c>
      <c r="AQ13" s="13" t="n">
        <v>3573003502.9945</v>
      </c>
      <c r="AR13" s="13" t="n">
        <v>4019979156.77437</v>
      </c>
      <c r="AS13" s="13" t="n">
        <v>3559179082.8297</v>
      </c>
      <c r="AT13" s="13" t="n">
        <v>3110822990.77904</v>
      </c>
      <c r="AU13" s="13" t="n">
        <v>2739987395.66743</v>
      </c>
      <c r="AV13" s="13" t="n">
        <v>3885809197.0129</v>
      </c>
      <c r="AW13" s="13" t="n">
        <v>4668477780.57373</v>
      </c>
      <c r="AX13" s="13" t="n">
        <v>2065644117.19442</v>
      </c>
      <c r="AY13" s="13"/>
    </row>
    <row r="14">
      <c r="A14" t="str">
        <f>M14</f>
      </c>
      <c r="B14" t="str">
        <f>N14</f>
      </c>
      <c r="M14" t="s">
        <v>45</v>
      </c>
      <c r="N14" t="s">
        <v>45</v>
      </c>
      <c r="O14" s="13" t="n">
        <v>15712034441.9905</v>
      </c>
      <c r="P14" s="13" t="n">
        <v>13693585619.0813</v>
      </c>
      <c r="Q14" s="13" t="n">
        <v>13650846375.8323</v>
      </c>
      <c r="R14" s="13" t="n">
        <v>10224425620.7247</v>
      </c>
      <c r="S14" s="13" t="n">
        <v>11083307898.2025</v>
      </c>
      <c r="T14" s="13" t="n">
        <v>9099513133.14412</v>
      </c>
      <c r="U14" s="13" t="n">
        <v>7955508381.89232</v>
      </c>
      <c r="V14" s="13" t="n">
        <v>9610233250.01559</v>
      </c>
      <c r="W14" s="13" t="n">
        <v>10216768360.2545</v>
      </c>
      <c r="X14" s="13" t="n">
        <v>11883102052.5862</v>
      </c>
      <c r="Y14" s="13" t="n">
        <v>11054766418.3989</v>
      </c>
      <c r="Z14" s="13" t="n">
        <v>9427735463.50933</v>
      </c>
      <c r="AA14" s="13" t="n">
        <v>11580996788.1825</v>
      </c>
      <c r="AB14" s="13" t="n">
        <v>12536866633.9174</v>
      </c>
      <c r="AC14" s="13" t="n">
        <v>15136263445.4516</v>
      </c>
      <c r="AD14" s="13" t="n">
        <v>14761134333.9951</v>
      </c>
      <c r="AE14" s="13" t="n">
        <v>17135536273.0138</v>
      </c>
      <c r="AF14" s="13" t="n">
        <v>19870532681.2726</v>
      </c>
      <c r="AG14" s="13" t="n">
        <v>19687059407.0659</v>
      </c>
      <c r="AH14" s="13" t="n">
        <v>19077982813.2356</v>
      </c>
      <c r="AI14" s="13" t="n">
        <v>19674406293.5272</v>
      </c>
      <c r="AJ14" s="13" t="n">
        <v>20149960706.7373</v>
      </c>
      <c r="AK14" s="13" t="n">
        <v>17966456725.1927</v>
      </c>
      <c r="AL14" s="13" t="n">
        <v>15966610172.7307</v>
      </c>
      <c r="AM14" s="13" t="n">
        <v>14780113612.1076</v>
      </c>
      <c r="AN14" s="13" t="n">
        <v>14590362335.6463</v>
      </c>
      <c r="AO14" s="13" t="n">
        <v>15319040169.7489</v>
      </c>
      <c r="AP14" s="13" t="n">
        <v>15605943032.4919</v>
      </c>
      <c r="AQ14" s="13" t="n">
        <v>15671265957.6454</v>
      </c>
      <c r="AR14" s="13" t="n">
        <v>17689335301.1501</v>
      </c>
      <c r="AS14" s="13" t="n">
        <v>18432490648.659</v>
      </c>
      <c r="AT14" s="13" t="n">
        <v>15874370761.9808</v>
      </c>
      <c r="AU14" s="13" t="n">
        <v>16507336722.2149</v>
      </c>
      <c r="AV14" s="13" t="n">
        <v>16680339147.4871</v>
      </c>
      <c r="AW14" s="13" t="n">
        <v>16846816699.573</v>
      </c>
      <c r="AX14" s="13" t="n">
        <v>6362150137.17731</v>
      </c>
      <c r="AY14" s="13"/>
    </row>
    <row r="15">
      <c r="A15" t="str">
        <f>M15</f>
      </c>
      <c r="B15" t="str">
        <f>N15</f>
      </c>
      <c r="M15" t="s">
        <v>44</v>
      </c>
      <c r="N15" t="s">
        <v>44</v>
      </c>
      <c r="O15" s="13" t="n">
        <v>1457834728.29781</v>
      </c>
      <c r="P15" s="13" t="n">
        <v>2645829808.23676</v>
      </c>
      <c r="Q15" s="13" t="n">
        <v>3764640117.51573</v>
      </c>
      <c r="R15" s="13" t="n">
        <v>3505213414.02161</v>
      </c>
      <c r="S15" s="13" t="n">
        <v>4096127671.72586</v>
      </c>
      <c r="T15" s="13" t="n">
        <v>3540811801.58168</v>
      </c>
      <c r="U15" s="13" t="n">
        <v>3917124788.14329</v>
      </c>
      <c r="V15" s="13" t="n">
        <v>3792878351.05261</v>
      </c>
      <c r="W15" s="13" t="n">
        <v>4538793767.53528</v>
      </c>
      <c r="X15" s="13" t="n">
        <v>4961957532.60728</v>
      </c>
      <c r="Y15" s="13" t="n">
        <v>4255511966.78553</v>
      </c>
      <c r="Z15" s="13" t="n">
        <v>5093307137.14007</v>
      </c>
      <c r="AA15" s="13" t="n">
        <v>6067600691.3538</v>
      </c>
      <c r="AB15" s="13" t="n">
        <v>7338404809.92346</v>
      </c>
      <c r="AC15" s="13" t="n">
        <v>7828804759.12763</v>
      </c>
      <c r="AD15" s="13" t="n">
        <v>8233173482.82596</v>
      </c>
      <c r="AE15" s="13" t="n">
        <v>8094561921.42093</v>
      </c>
      <c r="AF15" s="13" t="n">
        <v>7789962914.07427</v>
      </c>
      <c r="AG15" s="13" t="n">
        <v>7711016630.5559</v>
      </c>
      <c r="AH15" s="13" t="n">
        <v>8620859848.86207</v>
      </c>
      <c r="AI15" s="13" t="n">
        <v>10316633126.517</v>
      </c>
      <c r="AJ15" s="13" t="n">
        <v>10632274936.8399</v>
      </c>
      <c r="AK15" s="13" t="n">
        <v>10563218668.8008</v>
      </c>
      <c r="AL15" s="13" t="n">
        <v>8898347248.51446</v>
      </c>
      <c r="AM15" s="13" t="n">
        <v>9676527514.66928</v>
      </c>
      <c r="AN15" s="13" t="n">
        <v>9182816533.94269</v>
      </c>
      <c r="AO15" s="13" t="n">
        <v>10046333343.1993</v>
      </c>
      <c r="AP15" s="13" t="n">
        <v>10891987101.9902</v>
      </c>
      <c r="AQ15" s="13" t="n">
        <v>12128090629.07</v>
      </c>
      <c r="AR15" s="13" t="n">
        <v>13855076254.5609</v>
      </c>
      <c r="AS15" s="13" t="n">
        <v>14099373245.6429</v>
      </c>
      <c r="AT15" s="13" t="n">
        <v>11675348293.3084</v>
      </c>
      <c r="AU15" s="13" t="n">
        <v>11548421893.7212</v>
      </c>
      <c r="AV15" s="13" t="n">
        <v>10752221765.8041</v>
      </c>
      <c r="AW15" s="13" t="n">
        <v>10342688983.3236</v>
      </c>
      <c r="AX15" s="13" t="n">
        <v>4454188491.69711</v>
      </c>
      <c r="AY15" s="13"/>
    </row>
    <row r="16">
      <c r="A16" t="str">
        <f>M16</f>
      </c>
      <c r="B16" t="str">
        <f>N16</f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M1" t="s">
        <v>46</v>
      </c>
      <c r="N1" t="s">
        <v>46</v>
      </c>
      <c r="O1" t="s">
        <v>47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550</v>
      </c>
      <c r="AY1" t="s">
        <v>551</v>
      </c>
    </row>
    <row r="2">
      <c r="A2" t="str">
        <f>N2</f>
      </c>
      <c r="B2" t="str">
        <f>O2</f>
      </c>
      <c r="M2" t="s">
        <v>48</v>
      </c>
      <c r="N2" t="s">
        <v>53</v>
      </c>
      <c r="O2" t="s">
        <v>53</v>
      </c>
      <c r="P2" s="3" t="n">
        <v>235117000</v>
      </c>
      <c r="Q2" s="3" t="n">
        <v>143700000</v>
      </c>
      <c r="R2" s="3" t="n">
        <v>32876000</v>
      </c>
      <c r="S2" s="3" t="n">
        <v>69783000</v>
      </c>
      <c r="T2" s="3" t="n">
        <v>71331000</v>
      </c>
      <c r="U2" s="3" t="n">
        <v>108147000</v>
      </c>
      <c r="V2" s="3" t="n">
        <v>69369000</v>
      </c>
      <c r="W2" s="3" t="n">
        <v>95117355</v>
      </c>
      <c r="X2" s="3" t="n">
        <v>622184216</v>
      </c>
      <c r="Y2" s="3" t="n">
        <v>147020819</v>
      </c>
      <c r="Z2" s="3" t="n">
        <v>418939429</v>
      </c>
      <c r="AA2" s="3" t="n">
        <v>410489406</v>
      </c>
      <c r="AB2" s="3" t="n">
        <v>1080790165</v>
      </c>
      <c r="AC2" s="3" t="n">
        <v>1037676423</v>
      </c>
      <c r="AD2" s="3" t="n">
        <v>847635769</v>
      </c>
      <c r="AE2" s="3" t="n">
        <v>1117765656.71</v>
      </c>
      <c r="AF2" s="3" t="n">
        <v>1112505653.6105</v>
      </c>
      <c r="AG2" s="3" t="n">
        <v>831477108.24</v>
      </c>
      <c r="AH2" s="3" t="n">
        <v>825862733.9586</v>
      </c>
      <c r="AI2" s="3" t="n">
        <v>877324653.7295</v>
      </c>
      <c r="AJ2" s="3" t="n">
        <v>2010836485.8802</v>
      </c>
      <c r="AK2" s="3" t="n">
        <v>2122474043.7692</v>
      </c>
      <c r="AL2" s="3" t="n">
        <v>1798059417.4429</v>
      </c>
      <c r="AM2" s="3" t="n">
        <v>2118842442.1282</v>
      </c>
      <c r="AN2" s="3" t="n">
        <v>3180517793.2464</v>
      </c>
      <c r="AO2" s="3" t="n">
        <v>2462636218.7265</v>
      </c>
      <c r="AP2" s="3" t="n">
        <v>3629790766.591</v>
      </c>
      <c r="AQ2" s="3" t="n">
        <v>3839686421.0861</v>
      </c>
      <c r="AR2" s="3" t="n">
        <v>3077631936.0128</v>
      </c>
      <c r="AS2" s="3" t="n">
        <v>3710692317.7476</v>
      </c>
      <c r="AT2" s="3" t="n">
        <v>3858230909.8718</v>
      </c>
      <c r="AU2" s="3" t="n">
        <v>3174180591.3364</v>
      </c>
      <c r="AV2" s="3" t="n">
        <v>4806294241.0137</v>
      </c>
      <c r="AW2" s="3" t="n">
        <v>4229786433.668</v>
      </c>
      <c r="AX2" s="3" t="n">
        <v>4578540914.81</v>
      </c>
      <c r="AY2" s="3" t="n">
        <v>1899680123.79</v>
      </c>
      <c r="AZ2" s="3"/>
    </row>
    <row r="3">
      <c r="A3" t="str">
        <f>N3</f>
      </c>
      <c r="B3" t="str">
        <f>O3</f>
      </c>
      <c r="M3" t="s">
        <v>50</v>
      </c>
      <c r="N3"/>
      <c r="O3" t="s">
        <v>59</v>
      </c>
      <c r="P3" s="3"/>
      <c r="Q3" s="3"/>
      <c r="R3" s="3"/>
      <c r="S3" s="3"/>
      <c r="T3" s="3"/>
      <c r="U3" s="3"/>
      <c r="V3" s="3"/>
      <c r="W3" s="3"/>
      <c r="X3" s="3" t="n">
        <v>25000</v>
      </c>
      <c r="Y3" s="3" t="n">
        <v>0</v>
      </c>
      <c r="Z3" s="3" t="n">
        <v>630815.8438</v>
      </c>
      <c r="AA3" s="3" t="n">
        <v>165305</v>
      </c>
      <c r="AB3" s="3" t="n">
        <v>21370907</v>
      </c>
      <c r="AC3" s="3" t="n">
        <v>95453350.9297</v>
      </c>
      <c r="AD3" s="3" t="n">
        <v>192038212.1778</v>
      </c>
      <c r="AE3" s="3" t="n">
        <v>355929347.3926</v>
      </c>
      <c r="AF3" s="3" t="n">
        <v>689542515.6918</v>
      </c>
      <c r="AG3" s="3" t="n">
        <v>2735717101.5958</v>
      </c>
      <c r="AH3" s="3" t="n">
        <v>4180645160.7277</v>
      </c>
      <c r="AI3" s="3" t="n">
        <v>4736782052.693</v>
      </c>
      <c r="AJ3" s="3" t="n">
        <v>264108443.0138</v>
      </c>
      <c r="AK3" s="3" t="n">
        <v>117238155.4005</v>
      </c>
      <c r="AL3" s="3" t="n">
        <v>2582684.387</v>
      </c>
      <c r="AM3" s="3" t="n">
        <v>7389956.98</v>
      </c>
      <c r="AN3" s="3" t="n">
        <v>-7419796.22</v>
      </c>
      <c r="AO3" s="3" t="n">
        <v>0</v>
      </c>
      <c r="AP3" s="3"/>
      <c r="AQ3" s="3"/>
      <c r="AR3" s="3"/>
      <c r="AS3" s="3"/>
      <c r="AT3" s="3"/>
      <c r="AU3" s="3"/>
      <c r="AV3" s="3" t="n">
        <v>467462</v>
      </c>
      <c r="AW3" s="3"/>
      <c r="AX3" s="3"/>
      <c r="AY3" s="3"/>
      <c r="AZ3" s="3"/>
    </row>
    <row r="4">
      <c r="A4" t="str">
        <f>N4</f>
      </c>
      <c r="B4" t="str">
        <f>O4</f>
      </c>
      <c r="M4" t="s">
        <v>50</v>
      </c>
      <c r="N4"/>
      <c r="O4" t="s">
        <v>49</v>
      </c>
      <c r="P4" s="3" t="n">
        <v>26787000</v>
      </c>
      <c r="Q4" s="3" t="n">
        <v>75993000</v>
      </c>
      <c r="R4" s="3" t="n">
        <v>74398000</v>
      </c>
      <c r="S4" s="3" t="n">
        <v>260574000</v>
      </c>
      <c r="T4" s="3" t="n">
        <v>85484000</v>
      </c>
      <c r="U4" s="3" t="n">
        <v>65359809</v>
      </c>
      <c r="V4" s="3" t="n">
        <v>49074000</v>
      </c>
      <c r="W4" s="3" t="n">
        <v>1723812052.2</v>
      </c>
      <c r="X4" s="3" t="n">
        <v>1743705544.82</v>
      </c>
      <c r="Y4" s="3" t="n">
        <v>2600396713.31</v>
      </c>
      <c r="Z4" s="3" t="n">
        <v>7747167156.4287</v>
      </c>
      <c r="AA4" s="3" t="n">
        <v>9365489411.6881</v>
      </c>
      <c r="AB4" s="3" t="n">
        <v>10261065740.0946</v>
      </c>
      <c r="AC4" s="3" t="n">
        <v>13928189462.4435</v>
      </c>
      <c r="AD4" s="3" t="n">
        <v>17719505731.1145</v>
      </c>
      <c r="AE4" s="3" t="n">
        <v>20006727023.4936</v>
      </c>
      <c r="AF4" s="3" t="n">
        <v>23589794886.1481</v>
      </c>
      <c r="AG4" s="3" t="n">
        <v>27714203313.792</v>
      </c>
      <c r="AH4" s="3" t="n">
        <v>29281288811.1491</v>
      </c>
      <c r="AI4" s="3" t="n">
        <v>28914260799.8967</v>
      </c>
      <c r="AJ4" s="3" t="n">
        <v>30672036994.0491</v>
      </c>
      <c r="AK4" s="3" t="n">
        <v>28178818541.7714</v>
      </c>
      <c r="AL4" s="3" t="n">
        <v>29212409073.2522</v>
      </c>
      <c r="AM4" s="3" t="n">
        <v>25088985749.0759</v>
      </c>
      <c r="AN4" s="3" t="n">
        <v>25119208095.5993</v>
      </c>
      <c r="AO4" s="3" t="n">
        <v>24376174384.54</v>
      </c>
      <c r="AP4" s="3" t="n">
        <v>25821742144.3165</v>
      </c>
      <c r="AQ4" s="3" t="n">
        <v>26893227674.6915</v>
      </c>
      <c r="AR4" s="3" t="n">
        <v>31958175760.2815</v>
      </c>
      <c r="AS4" s="3" t="n">
        <v>34203528058.1073</v>
      </c>
      <c r="AT4" s="3" t="n">
        <v>34510729785.9947</v>
      </c>
      <c r="AU4" s="3" t="n">
        <v>31162665762.4394</v>
      </c>
      <c r="AV4" s="3" t="n">
        <v>33108482393.0022</v>
      </c>
      <c r="AW4" s="3" t="n">
        <v>36391963610.757</v>
      </c>
      <c r="AX4" s="3" t="n">
        <v>39132670780.2325</v>
      </c>
      <c r="AY4" s="3" t="n">
        <v>15012319051.18</v>
      </c>
      <c r="AZ4" s="3"/>
    </row>
    <row r="5">
      <c r="A5" t="str">
        <f>N5</f>
      </c>
      <c r="B5" t="str">
        <f>O5</f>
      </c>
      <c r="M5" t="s">
        <v>53</v>
      </c>
      <c r="N5"/>
      <c r="O5" t="s">
        <v>55</v>
      </c>
      <c r="P5" s="3" t="n">
        <v>89471134.53</v>
      </c>
      <c r="Q5" s="3" t="n">
        <v>201125000</v>
      </c>
      <c r="R5" s="3" t="n">
        <v>69381000</v>
      </c>
      <c r="S5" s="3" t="n">
        <v>29480000</v>
      </c>
      <c r="T5" s="3" t="n">
        <v>37163000</v>
      </c>
      <c r="U5" s="3" t="n">
        <v>68903000</v>
      </c>
      <c r="V5" s="3" t="n">
        <v>72731000</v>
      </c>
      <c r="W5" s="3" t="n">
        <v>1016809770</v>
      </c>
      <c r="X5" s="3" t="n">
        <v>1075941968.07</v>
      </c>
      <c r="Y5" s="3" t="n">
        <v>1563325236</v>
      </c>
      <c r="Z5" s="3" t="n">
        <v>5131200658.1172</v>
      </c>
      <c r="AA5" s="3" t="n">
        <v>5100026497.7071</v>
      </c>
      <c r="AB5" s="3" t="n">
        <v>5955519486.22</v>
      </c>
      <c r="AC5" s="3" t="n">
        <v>7021145816.5916</v>
      </c>
      <c r="AD5" s="3" t="n">
        <v>8006755849.4451</v>
      </c>
      <c r="AE5" s="3" t="n">
        <v>8894342388.0886</v>
      </c>
      <c r="AF5" s="3" t="n">
        <v>9253379454.7003</v>
      </c>
      <c r="AG5" s="3" t="n">
        <v>10561909610.2583</v>
      </c>
      <c r="AH5" s="3" t="n">
        <v>11193452450.1801</v>
      </c>
      <c r="AI5" s="3" t="n">
        <v>10905224966.936</v>
      </c>
      <c r="AJ5" s="3" t="n">
        <v>12624570598.0114</v>
      </c>
      <c r="AK5" s="3" t="n">
        <v>14400781876.4765</v>
      </c>
      <c r="AL5" s="3" t="n">
        <v>13999678742.8678</v>
      </c>
      <c r="AM5" s="3" t="n">
        <v>11973308894.9523</v>
      </c>
      <c r="AN5" s="3" t="n">
        <v>10942725108.5143</v>
      </c>
      <c r="AO5" s="3" t="n">
        <v>11125504410.6174</v>
      </c>
      <c r="AP5" s="3" t="n">
        <v>12025110844.7137</v>
      </c>
      <c r="AQ5" s="3" t="n">
        <v>12710723086.4429</v>
      </c>
      <c r="AR5" s="3" t="n">
        <v>14122158890.4026</v>
      </c>
      <c r="AS5" s="3" t="n">
        <v>15231732347.2197</v>
      </c>
      <c r="AT5" s="3" t="n">
        <v>15431720876.2668</v>
      </c>
      <c r="AU5" s="3" t="n">
        <v>14223707843.0547</v>
      </c>
      <c r="AV5" s="3" t="n">
        <v>13747187241.1163</v>
      </c>
      <c r="AW5" s="3" t="n">
        <v>13010444969.0304</v>
      </c>
      <c r="AX5" s="3" t="n">
        <v>11238562510.15</v>
      </c>
      <c r="AY5" s="3" t="n">
        <v>4557564788.01</v>
      </c>
      <c r="AZ5" s="3"/>
    </row>
    <row r="6">
      <c r="A6" t="str">
        <f>N6</f>
      </c>
      <c r="B6" t="str">
        <f>O6</f>
      </c>
      <c r="M6" t="s">
        <v>54</v>
      </c>
      <c r="N6"/>
      <c r="O6" t="s">
        <v>51</v>
      </c>
      <c r="P6" s="3" t="n">
        <v>261000</v>
      </c>
      <c r="Q6" s="3" t="n">
        <v>1858000</v>
      </c>
      <c r="R6" s="3" t="n">
        <v>2668000</v>
      </c>
      <c r="S6" s="3" t="n">
        <v>7239000</v>
      </c>
      <c r="T6" s="3" t="n">
        <v>522000</v>
      </c>
      <c r="U6" s="3" t="n">
        <v>612000</v>
      </c>
      <c r="V6" s="3" t="n">
        <v>63501000</v>
      </c>
      <c r="W6" s="3" t="n">
        <v>109478858</v>
      </c>
      <c r="X6" s="3" t="n">
        <v>57532090</v>
      </c>
      <c r="Y6" s="3" t="n">
        <v>91610734</v>
      </c>
      <c r="Z6" s="3" t="n">
        <v>351263617</v>
      </c>
      <c r="AA6" s="3" t="n">
        <v>910921044.54</v>
      </c>
      <c r="AB6" s="3" t="n">
        <v>646264465</v>
      </c>
      <c r="AC6" s="3" t="n">
        <v>793441443.5</v>
      </c>
      <c r="AD6" s="3" t="n">
        <v>986688632.6206</v>
      </c>
      <c r="AE6" s="3" t="n">
        <v>1077885901.5297</v>
      </c>
      <c r="AF6" s="3" t="n">
        <v>553242238.9076</v>
      </c>
      <c r="AG6" s="3" t="n">
        <v>386969562.0458</v>
      </c>
      <c r="AH6" s="3" t="n">
        <v>594426627.9578</v>
      </c>
      <c r="AI6" s="3" t="n">
        <v>537478892.7694</v>
      </c>
      <c r="AJ6" s="3" t="n">
        <v>685414373.1887</v>
      </c>
      <c r="AK6" s="3" t="n">
        <v>1160373338.4478</v>
      </c>
      <c r="AL6" s="3" t="n">
        <v>384587596.1517</v>
      </c>
      <c r="AM6" s="3" t="n">
        <v>174624894.3943</v>
      </c>
      <c r="AN6" s="3" t="n">
        <v>103293039.4268</v>
      </c>
      <c r="AO6" s="3" t="n">
        <v>131849767.6723</v>
      </c>
      <c r="AP6" s="3" t="n">
        <v>185902931.4156</v>
      </c>
      <c r="AQ6" s="3" t="n">
        <v>167118920.8239</v>
      </c>
      <c r="AR6" s="3" t="n">
        <v>113288756.337</v>
      </c>
      <c r="AS6" s="3" t="n">
        <v>89325008.7091</v>
      </c>
      <c r="AT6" s="3" t="n">
        <v>94769707.8832</v>
      </c>
      <c r="AU6" s="3" t="n">
        <v>183009392.6447</v>
      </c>
      <c r="AV6" s="3" t="n">
        <v>277125058.0801</v>
      </c>
      <c r="AW6" s="3" t="n">
        <v>338328499.7285</v>
      </c>
      <c r="AX6" s="3" t="n">
        <v>362513257.08</v>
      </c>
      <c r="AY6" s="3" t="n">
        <v>150147609.22</v>
      </c>
      <c r="AZ6" s="3"/>
    </row>
    <row r="7">
      <c r="A7" t="str">
        <f>N7</f>
      </c>
      <c r="B7" t="str">
        <f>O7</f>
      </c>
      <c r="M7" t="s">
        <v>56</v>
      </c>
      <c r="N7"/>
      <c r="O7" t="s">
        <v>52</v>
      </c>
      <c r="P7" s="3" t="n">
        <v>1815000</v>
      </c>
      <c r="Q7" s="3" t="n">
        <v>222000</v>
      </c>
      <c r="R7" s="3" t="n">
        <v>11493000</v>
      </c>
      <c r="S7" s="3" t="n">
        <v>4373000</v>
      </c>
      <c r="T7" s="3" t="n">
        <v>758000</v>
      </c>
      <c r="U7" s="3"/>
      <c r="V7" s="3" t="n">
        <v>237000</v>
      </c>
      <c r="W7" s="3" t="n">
        <v>344916808</v>
      </c>
      <c r="X7" s="3" t="n">
        <v>485028570</v>
      </c>
      <c r="Y7" s="3" t="n">
        <v>920931869.49</v>
      </c>
      <c r="Z7" s="3" t="n">
        <v>1872242063.2094</v>
      </c>
      <c r="AA7" s="3" t="n">
        <v>1711195301.9849</v>
      </c>
      <c r="AB7" s="3" t="n">
        <v>2193214227.6717</v>
      </c>
      <c r="AC7" s="3" t="n">
        <v>3246531633.0783</v>
      </c>
      <c r="AD7" s="3" t="n">
        <v>4084153850.8455</v>
      </c>
      <c r="AE7" s="3" t="n">
        <v>5522754581.7448</v>
      </c>
      <c r="AF7" s="3" t="n">
        <v>6394160386.9567</v>
      </c>
      <c r="AG7" s="3" t="n">
        <v>8077796578.3709</v>
      </c>
      <c r="AH7" s="3" t="n">
        <v>8309062943.0967</v>
      </c>
      <c r="AI7" s="3" t="n">
        <v>7387386073.49</v>
      </c>
      <c r="AJ7" s="3" t="n">
        <v>7081299622.3888</v>
      </c>
      <c r="AK7" s="3" t="n">
        <v>4316728969.4846</v>
      </c>
      <c r="AL7" s="3" t="n">
        <v>1990250178.5524</v>
      </c>
      <c r="AM7" s="3" t="n">
        <v>932758665.8704</v>
      </c>
      <c r="AN7" s="3" t="n">
        <v>627279844.9644</v>
      </c>
      <c r="AO7" s="3" t="n">
        <v>479839857.8507</v>
      </c>
      <c r="AP7" s="3" t="n">
        <v>584697013.2376</v>
      </c>
      <c r="AQ7" s="3" t="n">
        <v>546084503.4571</v>
      </c>
      <c r="AR7" s="3" t="n">
        <v>514702447.9887</v>
      </c>
      <c r="AS7" s="3" t="n">
        <v>455333807.738</v>
      </c>
      <c r="AT7" s="3" t="n">
        <v>468425324.0615</v>
      </c>
      <c r="AU7" s="3" t="n">
        <v>-8044837.6523</v>
      </c>
      <c r="AV7" s="3" t="n">
        <v>532188343.9647</v>
      </c>
      <c r="AW7" s="3" t="n">
        <v>837182633.3788</v>
      </c>
      <c r="AX7" s="3" t="n">
        <v>996313536.73</v>
      </c>
      <c r="AY7" s="3" t="n">
        <v>421746062.17</v>
      </c>
      <c r="AZ7" s="3"/>
    </row>
    <row r="8">
      <c r="A8" t="str">
        <f>N8</f>
      </c>
      <c r="B8" t="str">
        <f>O8</f>
      </c>
      <c r="M8" t="s">
        <v>58</v>
      </c>
      <c r="N8"/>
      <c r="O8" t="s">
        <v>57</v>
      </c>
      <c r="P8" s="3"/>
      <c r="Q8" s="3"/>
      <c r="R8" s="3"/>
      <c r="S8" s="3" t="n">
        <v>271000</v>
      </c>
      <c r="T8" s="3" t="n">
        <v>1250000</v>
      </c>
      <c r="U8" s="3"/>
      <c r="V8" s="3" t="n">
        <v>71000</v>
      </c>
      <c r="W8" s="3" t="n">
        <v>101576652</v>
      </c>
      <c r="X8" s="3" t="n">
        <v>164154588</v>
      </c>
      <c r="Y8" s="3" t="n">
        <v>86019020</v>
      </c>
      <c r="Z8" s="3" t="n">
        <v>572636615</v>
      </c>
      <c r="AA8" s="3" t="n">
        <v>700276048.88</v>
      </c>
      <c r="AB8" s="3" t="n">
        <v>763005276</v>
      </c>
      <c r="AC8" s="3" t="n">
        <v>819932065</v>
      </c>
      <c r="AD8" s="3" t="n">
        <v>1386046005</v>
      </c>
      <c r="AE8" s="3" t="n">
        <v>2098175272.17</v>
      </c>
      <c r="AF8" s="3" t="n">
        <v>1586235191.2896</v>
      </c>
      <c r="AG8" s="3" t="n">
        <v>1731758563.2948</v>
      </c>
      <c r="AH8" s="3" t="n">
        <v>1170878334.1035</v>
      </c>
      <c r="AI8" s="3" t="n">
        <v>1608472749.577</v>
      </c>
      <c r="AJ8" s="3" t="n">
        <v>2681974569.992</v>
      </c>
      <c r="AK8" s="3" t="n">
        <v>2061885429.5918</v>
      </c>
      <c r="AL8" s="3" t="n">
        <v>1911599756.2075</v>
      </c>
      <c r="AM8" s="3" t="n">
        <v>862309966.4676</v>
      </c>
      <c r="AN8" s="3" t="n">
        <v>472771543.7355</v>
      </c>
      <c r="AO8" s="3" t="n">
        <v>796087619.2333</v>
      </c>
      <c r="AP8" s="3" t="n">
        <v>929044662.8191</v>
      </c>
      <c r="AQ8" s="3" t="n">
        <v>1466237171.2659</v>
      </c>
      <c r="AR8" s="3" t="n">
        <v>1176879406.667</v>
      </c>
      <c r="AS8" s="3" t="n">
        <v>1243225490.5163</v>
      </c>
      <c r="AT8" s="3" t="n">
        <v>988046463.3568</v>
      </c>
      <c r="AU8" s="3" t="n">
        <v>881496472.3054</v>
      </c>
      <c r="AV8" s="3" t="n">
        <v>1058152498.3917</v>
      </c>
      <c r="AW8" s="3" t="n">
        <v>1501941160.9433</v>
      </c>
      <c r="AX8" s="3" t="n">
        <v>1775690510.81</v>
      </c>
      <c r="AY8" s="3" t="n">
        <v>1111147848.1</v>
      </c>
      <c r="AZ8" s="3"/>
    </row>
    <row r="9">
      <c r="A9" t="str">
        <f>N9</f>
      </c>
      <c r="B9" t="str">
        <f>O9</f>
      </c>
      <c r="M9" t="s">
        <v>58</v>
      </c>
      <c r="N9"/>
      <c r="O9"/>
      <c r="P9" s="3" t="n">
        <v>19703288894</v>
      </c>
      <c r="Q9" s="3" t="n">
        <v>19321500733</v>
      </c>
      <c r="R9" s="3" t="n">
        <v>19388239483</v>
      </c>
      <c r="S9" s="3" t="n">
        <v>18242638124</v>
      </c>
      <c r="T9" s="3" t="n">
        <v>17643820302</v>
      </c>
      <c r="U9" s="3" t="n">
        <v>18692350727</v>
      </c>
      <c r="V9" s="3" t="n">
        <v>18183773640</v>
      </c>
      <c r="W9" s="3" t="n">
        <v>18602741128</v>
      </c>
      <c r="X9" s="3" t="n">
        <v>17978593108.5</v>
      </c>
      <c r="Y9" s="3" t="n">
        <v>20652000069.65</v>
      </c>
      <c r="Z9" s="3" t="n">
        <v>4658353200.2078</v>
      </c>
      <c r="AA9" s="3" t="n">
        <v>4188292564.0806</v>
      </c>
      <c r="AB9" s="3" t="n">
        <v>4882415935.2626</v>
      </c>
      <c r="AC9" s="3" t="n">
        <v>4537368163.7469</v>
      </c>
      <c r="AD9" s="3" t="n">
        <v>4309222044.7979</v>
      </c>
      <c r="AE9" s="3" t="n">
        <v>3159624493.2303</v>
      </c>
      <c r="AF9" s="3" t="n">
        <v>2022379043.0551</v>
      </c>
      <c r="AG9" s="3" t="n">
        <v>412801078.4595</v>
      </c>
      <c r="AH9" s="3" t="n">
        <v>1394340341.5687</v>
      </c>
      <c r="AI9" s="3" t="n">
        <v>372063142.6419</v>
      </c>
      <c r="AJ9" s="3" t="n">
        <v>78867297.9801</v>
      </c>
      <c r="AK9" s="3" t="n">
        <v>20548034.1254</v>
      </c>
      <c r="AL9" s="3" t="n">
        <v>275184844.3483</v>
      </c>
      <c r="AM9" s="3" t="n">
        <v>359471415.918</v>
      </c>
      <c r="AN9" s="3" t="n">
        <v>443089566.0878</v>
      </c>
      <c r="AO9" s="3" t="n">
        <v>183954031.3425</v>
      </c>
      <c r="AP9" s="3" t="n">
        <v>151948301.5925</v>
      </c>
      <c r="AQ9" s="3" t="n">
        <v>267650019.8065</v>
      </c>
      <c r="AR9" s="3" t="n">
        <v>0</v>
      </c>
      <c r="AS9" s="3" t="n">
        <v>50903.56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/>
    </row>
    <row r="10">
      <c r="A10" t="str">
        <f>N10</f>
      </c>
      <c r="B10" t="str">
        <f>O10</f>
      </c>
      <c r="N10" t="s">
        <v>542</v>
      </c>
      <c r="O10" t="s">
        <v>543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 t="str">
        <f>Sum(AP2:AP9)</f>
      </c>
      <c r="AQ10" s="3" t="str">
        <f>Sum(AQ2:AQ9)</f>
      </c>
      <c r="AR10" s="3" t="str">
        <f>Sum(AR2:AR9)</f>
      </c>
      <c r="AS10" s="3" t="str">
        <f>Sum(AS2:AS9)</f>
      </c>
      <c r="AT10" s="3" t="str">
        <f>Sum(AT2:AT9)</f>
      </c>
      <c r="AU10" s="3" t="str">
        <f>Sum(AU2:AU9)</f>
      </c>
      <c r="AV10" s="3" t="str">
        <f>Sum(AV2:AV9)</f>
      </c>
      <c r="AW10" s="3" t="str">
        <f>Sum(AW2:AW9)</f>
      </c>
      <c r="AX10" s="3" t="str">
        <f>Sum(AX2:AX9)</f>
      </c>
      <c r="AY10" s="3" t="str">
        <f>Sum(AY2:AY9)</f>
      </c>
      <c r="AZ10" s="3"/>
    </row>
    <row r="13">
      <c r="A13" t="str">
        <f>N13</f>
      </c>
      <c r="B13" t="str">
        <f>O13</f>
      </c>
      <c r="M13" t="s">
        <v>46</v>
      </c>
      <c r="N13" t="s">
        <v>46</v>
      </c>
      <c r="O13" t="s">
        <v>47</v>
      </c>
      <c r="P13" t="s">
        <v>1</v>
      </c>
      <c r="Q13" t="s">
        <v>2</v>
      </c>
      <c r="R13" t="s">
        <v>3</v>
      </c>
      <c r="S13" t="s">
        <v>4</v>
      </c>
      <c r="T13" t="s">
        <v>5</v>
      </c>
      <c r="U13" t="s">
        <v>6</v>
      </c>
      <c r="V13" t="s">
        <v>7</v>
      </c>
      <c r="W13" t="s">
        <v>8</v>
      </c>
      <c r="X13" t="s">
        <v>9</v>
      </c>
      <c r="Y13" t="s">
        <v>10</v>
      </c>
      <c r="Z13" t="s">
        <v>11</v>
      </c>
      <c r="AA13" t="s">
        <v>12</v>
      </c>
      <c r="AB13" t="s">
        <v>13</v>
      </c>
      <c r="AC13" t="s">
        <v>14</v>
      </c>
      <c r="AD13" t="s">
        <v>15</v>
      </c>
      <c r="AE13" t="s">
        <v>16</v>
      </c>
      <c r="AF13" t="s">
        <v>17</v>
      </c>
      <c r="AG13" t="s">
        <v>18</v>
      </c>
      <c r="AH13" t="s">
        <v>19</v>
      </c>
      <c r="AI13" t="s">
        <v>20</v>
      </c>
      <c r="AJ13" t="s">
        <v>21</v>
      </c>
      <c r="AK13" t="s">
        <v>22</v>
      </c>
      <c r="AL13" t="s">
        <v>23</v>
      </c>
      <c r="AM13" t="s">
        <v>24</v>
      </c>
      <c r="AN13" t="s">
        <v>25</v>
      </c>
      <c r="AO13" t="s">
        <v>26</v>
      </c>
      <c r="AP13" t="s">
        <v>27</v>
      </c>
      <c r="AQ13" t="s">
        <v>28</v>
      </c>
      <c r="AR13" t="s">
        <v>29</v>
      </c>
      <c r="AS13" t="s">
        <v>30</v>
      </c>
      <c r="AT13" t="s">
        <v>31</v>
      </c>
      <c r="AU13" t="s">
        <v>32</v>
      </c>
      <c r="AV13" t="s">
        <v>33</v>
      </c>
      <c r="AW13" t="s">
        <v>34</v>
      </c>
      <c r="AX13" t="s">
        <v>550</v>
      </c>
      <c r="AY13" t="s">
        <v>551</v>
      </c>
    </row>
    <row r="14">
      <c r="A14" t="str">
        <f>N14</f>
      </c>
      <c r="B14" t="str">
        <f>O14</f>
      </c>
      <c r="M14" t="s">
        <v>48</v>
      </c>
      <c r="N14" t="s">
        <v>53</v>
      </c>
      <c r="O14" t="s">
        <v>53</v>
      </c>
      <c r="P14" s="3" t="n">
        <v>486288244.234181</v>
      </c>
      <c r="Q14" s="3" t="n">
        <v>286953361.683793</v>
      </c>
      <c r="R14" s="3" t="n">
        <v>64046813.2878412</v>
      </c>
      <c r="S14" s="3" t="n">
        <v>132830357.219591</v>
      </c>
      <c r="T14" s="3" t="n">
        <v>132876166.249571</v>
      </c>
      <c r="U14" s="3" t="n">
        <v>197272927.376852</v>
      </c>
      <c r="V14" s="3" t="n">
        <v>124198794.772704</v>
      </c>
      <c r="W14" s="3" t="n">
        <v>167329233.741066</v>
      </c>
      <c r="X14" s="3" t="n">
        <v>1080985301.8529</v>
      </c>
      <c r="Y14" s="3" t="n">
        <v>252310296.166704</v>
      </c>
      <c r="Z14" s="3" t="n">
        <v>704309820.633375</v>
      </c>
      <c r="AA14" s="3" t="n">
        <v>673772243.675159</v>
      </c>
      <c r="AB14" s="3" t="n">
        <v>1746519135.32735</v>
      </c>
      <c r="AC14" s="3" t="n">
        <v>1645267708.47601</v>
      </c>
      <c r="AD14" s="3" t="n">
        <v>1311917057.51638</v>
      </c>
      <c r="AE14" s="3" t="n">
        <v>1678917851.46214</v>
      </c>
      <c r="AF14" s="3" t="n">
        <v>1618443154.35412</v>
      </c>
      <c r="AG14" s="3" t="n">
        <v>1177202628.47546</v>
      </c>
      <c r="AH14" s="3" t="n">
        <v>1145472831.42284</v>
      </c>
      <c r="AI14" s="3" t="n">
        <v>1204532903.15363</v>
      </c>
      <c r="AJ14" s="3" t="n">
        <v>2737096451.1756</v>
      </c>
      <c r="AK14" s="3" t="n">
        <v>2832208206.0418</v>
      </c>
      <c r="AL14" s="3" t="n">
        <v>2356550495.71999</v>
      </c>
      <c r="AM14" s="3" t="n">
        <v>2727481776.04278</v>
      </c>
      <c r="AN14" s="3" t="n">
        <v>4020772649.43068</v>
      </c>
      <c r="AO14" s="3" t="n">
        <v>3081324346.19672</v>
      </c>
      <c r="AP14" s="3" t="n">
        <v>4505679876.62469</v>
      </c>
      <c r="AQ14" s="3" t="n">
        <v>4687105215.1202</v>
      </c>
      <c r="AR14" s="3" t="n">
        <v>3675274215.42642</v>
      </c>
      <c r="AS14" s="3" t="n">
        <v>4350823277.43369</v>
      </c>
      <c r="AT14" s="3" t="n">
        <v>4465480677.90092</v>
      </c>
      <c r="AU14" s="3" t="n">
        <v>3551532766.1216</v>
      </c>
      <c r="AV14" s="3" t="n">
        <v>5026165835.75585</v>
      </c>
      <c r="AW14" s="3" t="n">
        <v>4229786433.668</v>
      </c>
      <c r="AX14" s="3" t="n">
        <v>4459446977.34635</v>
      </c>
      <c r="AY14" s="3" t="n">
        <v>1810539918.1738</v>
      </c>
      <c r="AZ14" s="3"/>
    </row>
    <row r="15">
      <c r="A15" t="str">
        <f>N15</f>
      </c>
      <c r="B15" t="str">
        <f>O15</f>
      </c>
      <c r="M15" t="s">
        <v>50</v>
      </c>
      <c r="N15"/>
      <c r="O15" t="s">
        <v>59</v>
      </c>
      <c r="P15" s="3"/>
      <c r="Q15" s="3"/>
      <c r="R15" s="3"/>
      <c r="S15" s="3"/>
      <c r="T15" s="3"/>
      <c r="U15" s="3"/>
      <c r="V15" s="3"/>
      <c r="W15" s="3"/>
      <c r="X15" s="3" t="n">
        <v>43435.0982415834</v>
      </c>
      <c r="Y15" s="3" t="n">
        <v>0</v>
      </c>
      <c r="Z15" s="3" t="n">
        <v>1060510.81145544</v>
      </c>
      <c r="AA15" s="3" t="n">
        <v>271329.586373594</v>
      </c>
      <c r="AB15" s="3" t="n">
        <v>34534638.8443507</v>
      </c>
      <c r="AC15" s="3" t="n">
        <v>151344207.567549</v>
      </c>
      <c r="AD15" s="3" t="n">
        <v>297224604.558901</v>
      </c>
      <c r="AE15" s="3" t="n">
        <v>534616653.866064</v>
      </c>
      <c r="AF15" s="3" t="n">
        <v>1003127813.80995</v>
      </c>
      <c r="AG15" s="3" t="n">
        <v>3873219516.02578</v>
      </c>
      <c r="AH15" s="3" t="n">
        <v>5798561010.83383</v>
      </c>
      <c r="AI15" s="3" t="n">
        <v>6503419017.44332</v>
      </c>
      <c r="AJ15" s="3" t="n">
        <v>359497297.355909</v>
      </c>
      <c r="AK15" s="3" t="n">
        <v>156441425.873383</v>
      </c>
      <c r="AL15" s="3" t="n">
        <v>3384886.01290419</v>
      </c>
      <c r="AM15" s="3" t="n">
        <v>9512728.54835076</v>
      </c>
      <c r="AN15" s="3" t="n">
        <v>-9380017.86032263</v>
      </c>
      <c r="AO15" s="3" t="n">
        <v>0</v>
      </c>
      <c r="AP15" s="3"/>
      <c r="AQ15" s="3"/>
      <c r="AR15" s="3"/>
      <c r="AS15" s="3"/>
      <c r="AT15" s="3"/>
      <c r="AU15" s="3"/>
      <c r="AV15" s="3" t="n">
        <v>488846.794660361</v>
      </c>
      <c r="AW15" s="3"/>
      <c r="AX15" s="3"/>
      <c r="AY15" s="3"/>
      <c r="AZ15" s="3"/>
    </row>
    <row r="16">
      <c r="A16" t="str">
        <f>N16</f>
      </c>
      <c r="B16" t="str">
        <f>O16</f>
      </c>
      <c r="M16" t="s">
        <v>50</v>
      </c>
      <c r="N16"/>
      <c r="O16" t="s">
        <v>49</v>
      </c>
      <c r="P16" s="3" t="n">
        <v>55403068.2524063</v>
      </c>
      <c r="Q16" s="3" t="n">
        <v>151749803.858291</v>
      </c>
      <c r="R16" s="3" t="n">
        <v>144937182.594866</v>
      </c>
      <c r="S16" s="3" t="n">
        <v>495996696.933891</v>
      </c>
      <c r="T16" s="3" t="n">
        <v>159240529.302524</v>
      </c>
      <c r="U16" s="3" t="n">
        <v>119224027.057819</v>
      </c>
      <c r="V16" s="3" t="n">
        <v>87862469.6143188</v>
      </c>
      <c r="W16" s="3" t="n">
        <v>3032508103.366</v>
      </c>
      <c r="X16" s="3" t="n">
        <v>3029520865.74602</v>
      </c>
      <c r="Y16" s="3" t="n">
        <v>4462679975.18209</v>
      </c>
      <c r="Z16" s="3" t="n">
        <v>13024331281.9359</v>
      </c>
      <c r="AA16" s="3" t="n">
        <v>15372398706.9938</v>
      </c>
      <c r="AB16" s="3" t="n">
        <v>16581523633.6159</v>
      </c>
      <c r="AC16" s="3" t="n">
        <v>22083570419.6144</v>
      </c>
      <c r="AD16" s="3" t="n">
        <v>27425130780.9172</v>
      </c>
      <c r="AE16" s="3" t="n">
        <v>30050709598.5935</v>
      </c>
      <c r="AF16" s="3" t="n">
        <v>34317795979.0135</v>
      </c>
      <c r="AG16" s="3" t="n">
        <v>39237680344.7513</v>
      </c>
      <c r="AH16" s="3" t="n">
        <v>40613190816.161</v>
      </c>
      <c r="AI16" s="3" t="n">
        <v>39698164591.3932</v>
      </c>
      <c r="AJ16" s="3" t="n">
        <v>41749950429.2066</v>
      </c>
      <c r="AK16" s="3" t="n">
        <v>37601534560.5075</v>
      </c>
      <c r="AL16" s="3" t="n">
        <v>38286007912.1572</v>
      </c>
      <c r="AM16" s="3" t="n">
        <v>32295818721.3154</v>
      </c>
      <c r="AN16" s="3" t="n">
        <v>31755403192.7149</v>
      </c>
      <c r="AO16" s="3" t="n">
        <v>30500200974.4915</v>
      </c>
      <c r="AP16" s="3" t="n">
        <v>32052675054.9609</v>
      </c>
      <c r="AQ16" s="3" t="n">
        <v>32828563028.8023</v>
      </c>
      <c r="AR16" s="3" t="n">
        <v>38164102071.2815</v>
      </c>
      <c r="AS16" s="3" t="n">
        <v>40103973410.5197</v>
      </c>
      <c r="AT16" s="3" t="n">
        <v>39942398638.0172</v>
      </c>
      <c r="AU16" s="3" t="n">
        <v>34867338309.9487</v>
      </c>
      <c r="AV16" s="3" t="n">
        <v>34623082718.7838</v>
      </c>
      <c r="AW16" s="3" t="n">
        <v>36391963610.757</v>
      </c>
      <c r="AX16" s="3" t="n">
        <v>38114777976.9572</v>
      </c>
      <c r="AY16" s="3" t="n">
        <v>14307884030.6522</v>
      </c>
      <c r="AZ16" s="3"/>
    </row>
    <row r="17">
      <c r="A17" t="str">
        <f>N17</f>
      </c>
      <c r="B17" t="str">
        <f>O17</f>
      </c>
      <c r="M17" t="s">
        <v>53</v>
      </c>
      <c r="N17"/>
      <c r="O17" t="s">
        <v>55</v>
      </c>
      <c r="P17" s="3" t="n">
        <v>185051531.451294</v>
      </c>
      <c r="Q17" s="3" t="n">
        <v>401624877.304474</v>
      </c>
      <c r="R17" s="3" t="n">
        <v>135163400.435689</v>
      </c>
      <c r="S17" s="3" t="n">
        <v>56114511.1392967</v>
      </c>
      <c r="T17" s="3" t="n">
        <v>69227642.4882986</v>
      </c>
      <c r="U17" s="3" t="n">
        <v>125687226.784351</v>
      </c>
      <c r="V17" s="3" t="n">
        <v>130218145.607022</v>
      </c>
      <c r="W17" s="3" t="n">
        <v>1788758735.71684</v>
      </c>
      <c r="X17" s="3" t="n">
        <v>1869345803.41452</v>
      </c>
      <c r="Y17" s="3" t="n">
        <v>2682906108.01211</v>
      </c>
      <c r="Z17" s="3" t="n">
        <v>8626438012.24158</v>
      </c>
      <c r="AA17" s="3" t="n">
        <v>8371120535.47827</v>
      </c>
      <c r="AB17" s="3" t="n">
        <v>9623911357.01919</v>
      </c>
      <c r="AC17" s="3" t="n">
        <v>11132241450.7047</v>
      </c>
      <c r="AD17" s="3" t="n">
        <v>12392350533.5888</v>
      </c>
      <c r="AE17" s="3" t="n">
        <v>13359571501.1779</v>
      </c>
      <c r="AF17" s="3" t="n">
        <v>13461566316.0882</v>
      </c>
      <c r="AG17" s="3" t="n">
        <v>14953517819.9127</v>
      </c>
      <c r="AH17" s="3" t="n">
        <v>15525335076.0195</v>
      </c>
      <c r="AI17" s="3" t="n">
        <v>14972453165.5723</v>
      </c>
      <c r="AJ17" s="3" t="n">
        <v>17184225382.8547</v>
      </c>
      <c r="AK17" s="3" t="n">
        <v>19216259781.2244</v>
      </c>
      <c r="AL17" s="3" t="n">
        <v>18348086587.8969</v>
      </c>
      <c r="AM17" s="3" t="n">
        <v>15412652286.2701</v>
      </c>
      <c r="AN17" s="3" t="n">
        <v>13833662531.2959</v>
      </c>
      <c r="AO17" s="3" t="n">
        <v>13920565020.3107</v>
      </c>
      <c r="AP17" s="3" t="n">
        <v>14926838330.71</v>
      </c>
      <c r="AQ17" s="3" t="n">
        <v>15515979674.6015</v>
      </c>
      <c r="AR17" s="3" t="n">
        <v>16864526855.4413</v>
      </c>
      <c r="AS17" s="3" t="n">
        <v>17859356146.281</v>
      </c>
      <c r="AT17" s="3" t="n">
        <v>17860530644.6056</v>
      </c>
      <c r="AU17" s="3" t="n">
        <v>15914647263.0535</v>
      </c>
      <c r="AV17" s="3" t="n">
        <v>14376074244.3568</v>
      </c>
      <c r="AW17" s="3" t="n">
        <v>13010444969.0304</v>
      </c>
      <c r="AX17" s="3" t="n">
        <v>10946232554.8938</v>
      </c>
      <c r="AY17" s="3" t="n">
        <v>4343706540.38994</v>
      </c>
      <c r="AZ17" s="3"/>
    </row>
    <row r="18">
      <c r="A18" t="str">
        <f>N18</f>
      </c>
      <c r="B18" t="str">
        <f>O18</f>
      </c>
      <c r="M18" t="s">
        <v>54</v>
      </c>
      <c r="N18"/>
      <c r="O18" t="s">
        <v>51</v>
      </c>
      <c r="P18" s="3" t="n">
        <v>539821.585615337</v>
      </c>
      <c r="Q18" s="3" t="n">
        <v>3710225.09400478</v>
      </c>
      <c r="R18" s="3" t="n">
        <v>5197618.25805939</v>
      </c>
      <c r="S18" s="3" t="n">
        <v>13779272.2570342</v>
      </c>
      <c r="T18" s="3" t="n">
        <v>972387.304009145</v>
      </c>
      <c r="U18" s="3" t="n">
        <v>1116360.43121523</v>
      </c>
      <c r="V18" s="3" t="n">
        <v>113692682.132674</v>
      </c>
      <c r="W18" s="3" t="n">
        <v>192593806.040832</v>
      </c>
      <c r="X18" s="3" t="n">
        <v>99956479.2477447</v>
      </c>
      <c r="Y18" s="3" t="n">
        <v>157218083.702752</v>
      </c>
      <c r="Z18" s="3" t="n">
        <v>590535046.259159</v>
      </c>
      <c r="AA18" s="3" t="n">
        <v>1495174557.53934</v>
      </c>
      <c r="AB18" s="3" t="n">
        <v>1044340789.87441</v>
      </c>
      <c r="AC18" s="3" t="n">
        <v>1258025677.96911</v>
      </c>
      <c r="AD18" s="3" t="n">
        <v>1527134289.2002</v>
      </c>
      <c r="AE18" s="3" t="n">
        <v>1619017252.00982</v>
      </c>
      <c r="AF18" s="3" t="n">
        <v>804841855.27837</v>
      </c>
      <c r="AG18" s="3" t="n">
        <v>547870267.342135</v>
      </c>
      <c r="AH18" s="3" t="n">
        <v>824470610.674253</v>
      </c>
      <c r="AI18" s="3" t="n">
        <v>737937784.307308</v>
      </c>
      <c r="AJ18" s="3" t="n">
        <v>932967579.220316</v>
      </c>
      <c r="AK18" s="3" t="n">
        <v>1548390615.59866</v>
      </c>
      <c r="AL18" s="3" t="n">
        <v>504043460.169931</v>
      </c>
      <c r="AM18" s="3" t="n">
        <v>224786047.151981</v>
      </c>
      <c r="AN18" s="3" t="n">
        <v>130581828.117969</v>
      </c>
      <c r="AO18" s="3" t="n">
        <v>164974386.423641</v>
      </c>
      <c r="AP18" s="3" t="n">
        <v>230762363.71373</v>
      </c>
      <c r="AQ18" s="3" t="n">
        <v>204002066.688924</v>
      </c>
      <c r="AR18" s="3" t="n">
        <v>135288187.060641</v>
      </c>
      <c r="AS18" s="3" t="n">
        <v>104734452.190966</v>
      </c>
      <c r="AT18" s="3" t="n">
        <v>109685581.109194</v>
      </c>
      <c r="AU18" s="3" t="n">
        <v>204765871.311694</v>
      </c>
      <c r="AV18" s="3" t="n">
        <v>289802585.798468</v>
      </c>
      <c r="AW18" s="3" t="n">
        <v>338328499.7285</v>
      </c>
      <c r="AX18" s="3" t="n">
        <v>353083805.214936</v>
      </c>
      <c r="AY18" s="3" t="n">
        <v>143102113.196201</v>
      </c>
      <c r="AZ18" s="3"/>
    </row>
    <row r="19">
      <c r="A19" t="str">
        <f>N19</f>
      </c>
      <c r="B19" t="str">
        <f>O19</f>
      </c>
      <c r="M19" t="s">
        <v>56</v>
      </c>
      <c r="N19"/>
      <c r="O19" t="s">
        <v>52</v>
      </c>
      <c r="P19" s="3" t="n">
        <v>3753931.71606068</v>
      </c>
      <c r="Q19" s="3" t="n">
        <v>443309.995085609</v>
      </c>
      <c r="R19" s="3" t="n">
        <v>22389890.0449312</v>
      </c>
      <c r="S19" s="3" t="n">
        <v>8323906.2826372</v>
      </c>
      <c r="T19" s="3" t="n">
        <v>1412010.6828332</v>
      </c>
      <c r="U19" s="3"/>
      <c r="V19" s="3" t="n">
        <v>424326.635256827</v>
      </c>
      <c r="W19" s="3" t="n">
        <v>606773234.884995</v>
      </c>
      <c r="X19" s="3" t="n">
        <v>842690543.516988</v>
      </c>
      <c r="Y19" s="3" t="n">
        <v>1580460470.29828</v>
      </c>
      <c r="Z19" s="3" t="n">
        <v>3147563538.88398</v>
      </c>
      <c r="AA19" s="3" t="n">
        <v>2808734844.63265</v>
      </c>
      <c r="AB19" s="3" t="n">
        <v>3544157543.75487</v>
      </c>
      <c r="AC19" s="3" t="n">
        <v>5147475207.16253</v>
      </c>
      <c r="AD19" s="3" t="n">
        <v>6321195138.76415</v>
      </c>
      <c r="AE19" s="3" t="n">
        <v>8295344557.12956</v>
      </c>
      <c r="AF19" s="3" t="n">
        <v>9302051699.71702</v>
      </c>
      <c r="AG19" s="3" t="n">
        <v>11436518540.4522</v>
      </c>
      <c r="AH19" s="3" t="n">
        <v>11524682570.7682</v>
      </c>
      <c r="AI19" s="3" t="n">
        <v>10142596080.0153</v>
      </c>
      <c r="AJ19" s="3" t="n">
        <v>9638874270.60851</v>
      </c>
      <c r="AK19" s="3" t="n">
        <v>5760200105.40213</v>
      </c>
      <c r="AL19" s="3" t="n">
        <v>2608437184.76473</v>
      </c>
      <c r="AM19" s="3" t="n">
        <v>1200694403.71044</v>
      </c>
      <c r="AN19" s="3" t="n">
        <v>792999696.315983</v>
      </c>
      <c r="AO19" s="3" t="n">
        <v>600390031.230651</v>
      </c>
      <c r="AP19" s="3" t="n">
        <v>725787720.525122</v>
      </c>
      <c r="AQ19" s="3" t="n">
        <v>666605353.498137</v>
      </c>
      <c r="AR19" s="3" t="n">
        <v>614652003.566245</v>
      </c>
      <c r="AS19" s="3" t="n">
        <v>533883372.715614</v>
      </c>
      <c r="AT19" s="3" t="n">
        <v>542151126.383882</v>
      </c>
      <c r="AU19" s="3" t="n">
        <v>-9001222.11012666</v>
      </c>
      <c r="AV19" s="3" t="n">
        <v>556534148.450033</v>
      </c>
      <c r="AW19" s="3" t="n">
        <v>837182633.3788</v>
      </c>
      <c r="AX19" s="3" t="n">
        <v>970398096.801594</v>
      </c>
      <c r="AY19" s="3" t="n">
        <v>401956135.31397</v>
      </c>
      <c r="AZ19" s="3"/>
    </row>
    <row r="20">
      <c r="A20" t="str">
        <f>N20</f>
      </c>
      <c r="B20" t="str">
        <f>O20</f>
      </c>
      <c r="M20" t="s">
        <v>58</v>
      </c>
      <c r="N20"/>
      <c r="O20" t="s">
        <v>57</v>
      </c>
      <c r="P20" s="3"/>
      <c r="Q20" s="3"/>
      <c r="R20" s="3"/>
      <c r="S20" s="3" t="n">
        <v>515842.351382273</v>
      </c>
      <c r="T20" s="3" t="n">
        <v>2328513.65902573</v>
      </c>
      <c r="U20" s="3"/>
      <c r="V20" s="3" t="n">
        <v>127118.949802678</v>
      </c>
      <c r="W20" s="3" t="n">
        <v>178692346.366685</v>
      </c>
      <c r="X20" s="3" t="n">
        <v>285202826.263466</v>
      </c>
      <c r="Y20" s="3" t="n">
        <v>147621844.034005</v>
      </c>
      <c r="Z20" s="3" t="n">
        <v>962701440.06606</v>
      </c>
      <c r="AA20" s="3" t="n">
        <v>1149424461.99416</v>
      </c>
      <c r="AB20" s="3" t="n">
        <v>1232989860.60789</v>
      </c>
      <c r="AC20" s="3" t="n">
        <v>1300027368.63623</v>
      </c>
      <c r="AD20" s="3" t="n">
        <v>2145234383.64</v>
      </c>
      <c r="AE20" s="3" t="n">
        <v>3151522771.16041</v>
      </c>
      <c r="AF20" s="3" t="n">
        <v>2307612081.07717</v>
      </c>
      <c r="AG20" s="3" t="n">
        <v>2451818230.94412</v>
      </c>
      <c r="AH20" s="3" t="n">
        <v>1624009978.25437</v>
      </c>
      <c r="AI20" s="3" t="n">
        <v>2208371031.69889</v>
      </c>
      <c r="AJ20" s="3" t="n">
        <v>3650631530.3181</v>
      </c>
      <c r="AK20" s="3" t="n">
        <v>2751359363.2634</v>
      </c>
      <c r="AL20" s="3" t="n">
        <v>2505357336.58649</v>
      </c>
      <c r="AM20" s="3" t="n">
        <v>1110009254.14639</v>
      </c>
      <c r="AN20" s="3" t="n">
        <v>597672145.245424</v>
      </c>
      <c r="AO20" s="3" t="n">
        <v>996088721.588717</v>
      </c>
      <c r="AP20" s="3" t="n">
        <v>1153228412.02799</v>
      </c>
      <c r="AQ20" s="3" t="n">
        <v>1789835715.30811</v>
      </c>
      <c r="AR20" s="3" t="n">
        <v>1405416446.12424</v>
      </c>
      <c r="AS20" s="3" t="n">
        <v>1457694128.22687</v>
      </c>
      <c r="AT20" s="3" t="n">
        <v>1143555814.5831</v>
      </c>
      <c r="AU20" s="3" t="n">
        <v>986290324.236135</v>
      </c>
      <c r="AV20" s="3" t="n">
        <v>1106559371.88613</v>
      </c>
      <c r="AW20" s="3" t="n">
        <v>1501941160.9433</v>
      </c>
      <c r="AX20" s="3" t="n">
        <v>1729502439.41696</v>
      </c>
      <c r="AY20" s="3" t="n">
        <v>1059008571.38218</v>
      </c>
      <c r="AZ20" s="3"/>
    </row>
    <row r="21">
      <c r="A21" t="str">
        <f>N21</f>
      </c>
      <c r="B21" t="str">
        <f>O21</f>
      </c>
      <c r="M21" t="s">
        <v>58</v>
      </c>
      <c r="N21"/>
      <c r="O21"/>
      <c r="P21" s="3" t="n">
        <v>40751956523.3569</v>
      </c>
      <c r="Q21" s="3" t="n">
        <v>38582947725.1929</v>
      </c>
      <c r="R21" s="3" t="n">
        <v>37770864890.7304</v>
      </c>
      <c r="S21" s="3" t="n">
        <v>34724447768.6349</v>
      </c>
      <c r="T21" s="3" t="n">
        <v>32867101256.482</v>
      </c>
      <c r="U21" s="3" t="n">
        <v>34097059996.7648</v>
      </c>
      <c r="V21" s="3" t="n">
        <v>32556369134.7384</v>
      </c>
      <c r="W21" s="3" t="n">
        <v>32725704141.2859</v>
      </c>
      <c r="X21" s="3" t="n">
        <v>31236078316.5261</v>
      </c>
      <c r="Y21" s="3" t="n">
        <v>35442002632.3495</v>
      </c>
      <c r="Z21" s="3" t="n">
        <v>7831499447.82415</v>
      </c>
      <c r="AA21" s="3" t="n">
        <v>6874611711.82715</v>
      </c>
      <c r="AB21" s="3" t="n">
        <v>7889813521.3539</v>
      </c>
      <c r="AC21" s="3" t="n">
        <v>7194136009.85309</v>
      </c>
      <c r="AD21" s="3" t="n">
        <v>6669541461.02814</v>
      </c>
      <c r="AE21" s="3" t="n">
        <v>4745851631.56221</v>
      </c>
      <c r="AF21" s="3" t="n">
        <v>2942102367.85701</v>
      </c>
      <c r="AG21" s="3" t="n">
        <v>584442445.599792</v>
      </c>
      <c r="AH21" s="3" t="n">
        <v>1933952112.55998</v>
      </c>
      <c r="AI21" s="3" t="n">
        <v>510828340.977056</v>
      </c>
      <c r="AJ21" s="3" t="n">
        <v>107352041.267865</v>
      </c>
      <c r="AK21" s="3" t="n">
        <v>27419091.9030683</v>
      </c>
      <c r="AL21" s="3" t="n">
        <v>360659372.583948</v>
      </c>
      <c r="AM21" s="3" t="n">
        <v>462729892.714372</v>
      </c>
      <c r="AN21" s="3" t="n">
        <v>560148543.220526</v>
      </c>
      <c r="AO21" s="3" t="n">
        <v>230168804.895511</v>
      </c>
      <c r="AP21" s="3" t="n">
        <v>188614289.031214</v>
      </c>
      <c r="AQ21" s="3" t="n">
        <v>326720379.240558</v>
      </c>
      <c r="AR21" s="3" t="n">
        <v>0</v>
      </c>
      <c r="AS21" s="3" t="n">
        <v>59684.9252881944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60</v>
      </c>
      <c r="O1" t="s">
        <v>61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550</v>
      </c>
      <c r="AY1" t="s">
        <v>551</v>
      </c>
    </row>
    <row r="2">
      <c r="A2" t="str">
        <f>N2</f>
      </c>
      <c r="B2" t="str">
        <f>O2</f>
      </c>
      <c r="N2" t="s">
        <v>62</v>
      </c>
      <c r="O2" t="s">
        <v>63</v>
      </c>
      <c r="P2" s="4" t="n">
        <v>278592134.53</v>
      </c>
      <c r="Q2" s="4" t="n">
        <v>214066000</v>
      </c>
      <c r="R2" s="4" t="n">
        <v>115231000</v>
      </c>
      <c r="S2" s="4" t="n">
        <v>356753000</v>
      </c>
      <c r="T2" s="4" t="n">
        <v>143143000</v>
      </c>
      <c r="U2" s="4" t="n">
        <v>214881809</v>
      </c>
      <c r="V2" s="4" t="n">
        <v>164943000</v>
      </c>
      <c r="W2" s="4" t="n">
        <v>2173573690.2</v>
      </c>
      <c r="X2" s="4" t="n">
        <v>2155383374</v>
      </c>
      <c r="Y2" s="4" t="n">
        <v>2039443037</v>
      </c>
      <c r="Z2" s="4" t="n">
        <v>8021951004</v>
      </c>
      <c r="AA2" s="4" t="n">
        <v>8320647958.99</v>
      </c>
      <c r="AB2" s="4" t="n">
        <v>8800415383.6</v>
      </c>
      <c r="AC2" s="4" t="n">
        <v>9400367347.09</v>
      </c>
      <c r="AD2" s="4" t="n">
        <v>10909289706.63</v>
      </c>
      <c r="AE2" s="4" t="n">
        <v>12674014351.44</v>
      </c>
      <c r="AF2" s="4" t="n">
        <v>11694165809.04</v>
      </c>
      <c r="AG2" s="4" t="n">
        <v>13703083958.18</v>
      </c>
      <c r="AH2" s="4" t="n">
        <v>13721625705.65</v>
      </c>
      <c r="AI2" s="4" t="n">
        <v>13379281715.7</v>
      </c>
      <c r="AJ2" s="4" t="n">
        <v>13819567276.7127</v>
      </c>
      <c r="AK2" s="4" t="n">
        <v>14502433721.5332</v>
      </c>
      <c r="AL2" s="4" t="n">
        <v>14857238761.6137</v>
      </c>
      <c r="AM2" s="4" t="n">
        <v>12864103169.5605</v>
      </c>
      <c r="AN2" s="4" t="n">
        <v>12340311320.3711</v>
      </c>
      <c r="AO2" s="4" t="n">
        <v>12027676031.5248</v>
      </c>
      <c r="AP2" s="4" t="n">
        <v>11818138692.8012</v>
      </c>
      <c r="AQ2" s="4" t="n">
        <v>12312033724.5194</v>
      </c>
      <c r="AR2" s="4" t="n">
        <v>13208356060.49</v>
      </c>
      <c r="AS2" s="4" t="n">
        <v>13080121424.65</v>
      </c>
      <c r="AT2" s="4" t="n">
        <v>13053629049.57</v>
      </c>
      <c r="AU2" s="4" t="n">
        <v>11949916109.8</v>
      </c>
      <c r="AV2" s="4" t="n">
        <v>12996451209.82</v>
      </c>
      <c r="AW2" s="4" t="n">
        <v>12745224505.08</v>
      </c>
      <c r="AX2" s="4" t="n">
        <v>12779481202.97</v>
      </c>
      <c r="AY2" s="4" t="n">
        <v>5038072478.95</v>
      </c>
      <c r="AZ2" s="4"/>
    </row>
    <row r="3">
      <c r="A3" t="str">
        <f>N3</f>
      </c>
      <c r="B3" t="str">
        <f>O3</f>
      </c>
      <c r="N3" t="s">
        <v>62</v>
      </c>
      <c r="O3" t="s">
        <v>64</v>
      </c>
      <c r="P3" s="4" t="n">
        <v>65004000</v>
      </c>
      <c r="Q3" s="4" t="n">
        <v>202409000</v>
      </c>
      <c r="R3" s="4" t="n">
        <v>60358000</v>
      </c>
      <c r="S3" s="4" t="n">
        <v>408000</v>
      </c>
      <c r="T3" s="4" t="n">
        <v>44289000</v>
      </c>
      <c r="U3" s="4" t="n">
        <v>1650000</v>
      </c>
      <c r="V3" s="4" t="n">
        <v>4838000</v>
      </c>
      <c r="W3" s="4" t="n">
        <v>16133614</v>
      </c>
      <c r="X3" s="4" t="n">
        <v>155179794</v>
      </c>
      <c r="Y3" s="4" t="n">
        <v>252960583</v>
      </c>
      <c r="Z3" s="4" t="n">
        <v>569967042.0107</v>
      </c>
      <c r="AA3" s="4" t="n">
        <v>661192807.95</v>
      </c>
      <c r="AB3" s="4" t="n">
        <v>899616095.1</v>
      </c>
      <c r="AC3" s="4" t="n">
        <v>1531424547.22</v>
      </c>
      <c r="AD3" s="4" t="n">
        <v>1656253978.5</v>
      </c>
      <c r="AE3" s="4" t="n">
        <v>1813240780.51</v>
      </c>
      <c r="AF3" s="4" t="n">
        <v>2003895787.07</v>
      </c>
      <c r="AG3" s="4" t="n">
        <v>2163684328.85</v>
      </c>
      <c r="AH3" s="4" t="n">
        <v>2336363087.25</v>
      </c>
      <c r="AI3" s="4" t="n">
        <v>2268088750.6</v>
      </c>
      <c r="AJ3" s="4" t="n">
        <v>2796810770.592</v>
      </c>
      <c r="AK3" s="4" t="n">
        <v>2404648227.8275</v>
      </c>
      <c r="AL3" s="4" t="n">
        <v>1861725343.9855</v>
      </c>
      <c r="AM3" s="4" t="n">
        <v>1783372534.0627</v>
      </c>
      <c r="AN3" s="4" t="n">
        <v>1788415710.7609</v>
      </c>
      <c r="AO3" s="4" t="n">
        <v>1657489192.2591</v>
      </c>
      <c r="AP3" s="4" t="n">
        <v>1857710221.0115</v>
      </c>
      <c r="AQ3" s="4" t="n">
        <v>1701205861.0879</v>
      </c>
      <c r="AR3" s="4" t="n">
        <v>2111986748.43</v>
      </c>
      <c r="AS3" s="4" t="n">
        <v>2382497299.38</v>
      </c>
      <c r="AT3" s="4" t="n">
        <v>2084797685.09</v>
      </c>
      <c r="AU3" s="4" t="n">
        <v>1981481809.3</v>
      </c>
      <c r="AV3" s="4" t="n">
        <v>2191729697.14</v>
      </c>
      <c r="AW3" s="4" t="n">
        <v>2198074759.53</v>
      </c>
      <c r="AX3" s="4" t="n">
        <v>2459980789.02</v>
      </c>
      <c r="AY3" s="4" t="n">
        <v>1012331422.78</v>
      </c>
      <c r="AZ3" s="4"/>
    </row>
    <row r="4">
      <c r="A4" t="str">
        <f>N4</f>
      </c>
      <c r="B4" t="str">
        <f>O4</f>
      </c>
      <c r="N4" t="s">
        <v>65</v>
      </c>
      <c r="O4" t="s">
        <v>66</v>
      </c>
      <c r="P4" s="4" t="n">
        <v>8008000</v>
      </c>
      <c r="Q4" s="4" t="n">
        <v>2356000</v>
      </c>
      <c r="R4" s="4" t="n">
        <v>705000</v>
      </c>
      <c r="S4" s="4" t="n">
        <v>35000</v>
      </c>
      <c r="T4" s="4" t="n">
        <v>3331000</v>
      </c>
      <c r="U4" s="4" t="n">
        <v>7826000</v>
      </c>
      <c r="V4" s="4" t="n">
        <v>46000</v>
      </c>
      <c r="W4" s="4" t="n">
        <v>3310210</v>
      </c>
      <c r="X4" s="4" t="n">
        <v>1278785</v>
      </c>
      <c r="Y4" s="4" t="n">
        <v>902234</v>
      </c>
      <c r="Z4" s="4" t="n">
        <v>8221442</v>
      </c>
      <c r="AA4" s="4" t="n">
        <v>9130615</v>
      </c>
      <c r="AB4" s="4" t="n">
        <v>22280053</v>
      </c>
      <c r="AC4" s="4" t="n">
        <v>20611069</v>
      </c>
      <c r="AD4" s="4" t="n">
        <v>49463752.6406</v>
      </c>
      <c r="AE4" s="4" t="n">
        <v>10742864.4004</v>
      </c>
      <c r="AF4" s="4" t="n">
        <v>1916858.1523</v>
      </c>
      <c r="AG4" s="4" t="n">
        <v>2709667.3293</v>
      </c>
      <c r="AH4" s="4" t="n">
        <v>930314.2947</v>
      </c>
      <c r="AI4" s="4" t="n">
        <v>244427.5315</v>
      </c>
      <c r="AJ4" s="4" t="n">
        <v>142424882.104</v>
      </c>
      <c r="AK4" s="4" t="n">
        <v>558733140.6799</v>
      </c>
      <c r="AL4" s="4" t="n">
        <v>1698954793.6019</v>
      </c>
      <c r="AM4" s="4" t="n">
        <v>1568548888.3238</v>
      </c>
      <c r="AN4" s="4" t="n">
        <v>2014605978.4852</v>
      </c>
      <c r="AO4" s="4" t="n">
        <v>2244578535.65</v>
      </c>
      <c r="AP4" s="4" t="n">
        <v>2682951279.3963</v>
      </c>
      <c r="AQ4" s="4" t="n">
        <v>3000140277.8821</v>
      </c>
      <c r="AR4" s="4" t="n">
        <v>2727769881.0172</v>
      </c>
      <c r="AS4" s="4" t="n">
        <v>2830983359.2267</v>
      </c>
      <c r="AT4" s="4" t="n">
        <v>3799391450.2057</v>
      </c>
      <c r="AU4" s="4" t="n">
        <v>3310187177.4694</v>
      </c>
      <c r="AV4" s="4" t="n">
        <v>3759755574.563</v>
      </c>
      <c r="AW4" s="4" t="n">
        <v>5131997329.1368</v>
      </c>
      <c r="AX4" s="4" t="n">
        <v>6144401901.72</v>
      </c>
      <c r="AY4" s="4" t="n">
        <v>2686921749.26</v>
      </c>
      <c r="AZ4" s="4"/>
    </row>
    <row r="5">
      <c r="A5" t="str">
        <f>N5</f>
      </c>
      <c r="B5" t="str">
        <f>O5</f>
      </c>
      <c r="N5" t="s">
        <v>65</v>
      </c>
      <c r="O5" t="s">
        <v>67</v>
      </c>
      <c r="P5" s="4" t="n">
        <v>35000</v>
      </c>
      <c r="Q5" s="4" t="n">
        <v>225000</v>
      </c>
      <c r="R5" s="4" t="n">
        <v>784000</v>
      </c>
      <c r="S5" s="4" t="n">
        <v>350000</v>
      </c>
      <c r="T5" s="4" t="n">
        <v>4747000</v>
      </c>
      <c r="U5" s="4" t="n">
        <v>19289000</v>
      </c>
      <c r="V5" s="4" t="n">
        <v>83739000</v>
      </c>
      <c r="W5" s="4" t="n">
        <v>173888914</v>
      </c>
      <c r="X5" s="4" t="n">
        <v>488601045.32</v>
      </c>
      <c r="Y5" s="4" t="n">
        <v>972782199.57</v>
      </c>
      <c r="Z5" s="4" t="n">
        <v>3403814853.3234</v>
      </c>
      <c r="AA5" s="4" t="n">
        <v>3676182868.7866</v>
      </c>
      <c r="AB5" s="4" t="n">
        <v>4907435115.6817</v>
      </c>
      <c r="AC5" s="4" t="n">
        <v>5762931430.4176</v>
      </c>
      <c r="AD5" s="4" t="n">
        <v>6164915620.1155</v>
      </c>
      <c r="AE5" s="4" t="n">
        <v>5568805912.6965</v>
      </c>
      <c r="AF5" s="4" t="n">
        <v>5862450974.101</v>
      </c>
      <c r="AG5" s="4" t="n">
        <v>5091094395.5873</v>
      </c>
      <c r="AH5" s="4" t="n">
        <v>4762596010.0103</v>
      </c>
      <c r="AI5" s="4" t="n">
        <v>4299315325.8996</v>
      </c>
      <c r="AJ5" s="4" t="n">
        <v>4158166004.4077</v>
      </c>
      <c r="AK5" s="4" t="n">
        <v>4261793823.0651</v>
      </c>
      <c r="AL5" s="4" t="n">
        <v>4464067385.5296</v>
      </c>
      <c r="AM5" s="4" t="n">
        <v>3778591623.2397</v>
      </c>
      <c r="AN5" s="4" t="n">
        <v>4125640111.1352</v>
      </c>
      <c r="AO5" s="4" t="n">
        <v>3898086895.3259</v>
      </c>
      <c r="AP5" s="4" t="n">
        <v>4437681367.4164</v>
      </c>
      <c r="AQ5" s="4" t="n">
        <v>4694702009.0262</v>
      </c>
      <c r="AR5" s="4" t="n">
        <v>5483277848.1843</v>
      </c>
      <c r="AS5" s="4" t="n">
        <v>6372885740.4149</v>
      </c>
      <c r="AT5" s="4" t="n">
        <v>7180073373.7323</v>
      </c>
      <c r="AU5" s="4" t="n">
        <v>7269439601.5908</v>
      </c>
      <c r="AV5" s="4" t="n">
        <v>7652966743.2939</v>
      </c>
      <c r="AW5" s="4" t="n">
        <v>7807578975.3932</v>
      </c>
      <c r="AX5" s="4" t="n">
        <v>7740469058.4</v>
      </c>
      <c r="AY5" s="4" t="n">
        <v>2827259418.11</v>
      </c>
      <c r="AZ5" s="4"/>
    </row>
    <row r="6">
      <c r="A6" t="str">
        <f>N6</f>
      </c>
      <c r="B6" t="str">
        <f>O6</f>
      </c>
      <c r="N6" t="s">
        <v>65</v>
      </c>
      <c r="O6" t="s">
        <v>68</v>
      </c>
      <c r="P6" s="4"/>
      <c r="Q6" s="4" t="n">
        <v>59000</v>
      </c>
      <c r="R6" s="4" t="n">
        <v>154000</v>
      </c>
      <c r="S6" s="4"/>
      <c r="T6" s="4"/>
      <c r="U6" s="4" t="n">
        <v>0</v>
      </c>
      <c r="V6" s="4" t="n">
        <v>0</v>
      </c>
      <c r="W6" s="4" t="n">
        <v>243565784</v>
      </c>
      <c r="X6" s="4" t="n">
        <v>382509264</v>
      </c>
      <c r="Y6" s="4" t="n">
        <v>678993561.94</v>
      </c>
      <c r="Z6" s="4" t="n">
        <v>1726149162.3012</v>
      </c>
      <c r="AA6" s="4" t="n">
        <v>2168532694.635</v>
      </c>
      <c r="AB6" s="4" t="n">
        <v>2402379757.1437</v>
      </c>
      <c r="AC6" s="4" t="n">
        <v>3518300065.647</v>
      </c>
      <c r="AD6" s="4" t="n">
        <v>4579288833.2287</v>
      </c>
      <c r="AE6" s="4" t="n">
        <v>5927502446.7852</v>
      </c>
      <c r="AF6" s="4" t="n">
        <v>7213638627.2023</v>
      </c>
      <c r="AG6" s="4" t="n">
        <v>10844780533.4714</v>
      </c>
      <c r="AH6" s="4" t="n">
        <v>12803754268.4698</v>
      </c>
      <c r="AI6" s="4" t="n">
        <v>13503154589.4892</v>
      </c>
      <c r="AJ6" s="4" t="n">
        <v>13440584461.217</v>
      </c>
      <c r="AK6" s="4" t="n">
        <v>11438130563.5045</v>
      </c>
      <c r="AL6" s="4" t="n">
        <v>10635674263.3454</v>
      </c>
      <c r="AM6" s="4" t="n">
        <v>8153385061.3369</v>
      </c>
      <c r="AN6" s="4" t="n">
        <v>7982863443.861</v>
      </c>
      <c r="AO6" s="4" t="n">
        <v>7991905869.8759</v>
      </c>
      <c r="AP6" s="4" t="n">
        <v>9541811440.3088</v>
      </c>
      <c r="AQ6" s="4" t="n">
        <v>10536540025.5294</v>
      </c>
      <c r="AR6" s="4" t="n">
        <v>11227087671.6687</v>
      </c>
      <c r="AS6" s="4" t="n">
        <v>11467219376.4914</v>
      </c>
      <c r="AT6" s="4" t="n">
        <v>11218833082.8735</v>
      </c>
      <c r="AU6" s="4" t="n">
        <v>9081763949.8806</v>
      </c>
      <c r="AV6" s="4" t="n">
        <v>9512957833.6978</v>
      </c>
      <c r="AW6" s="4" t="n">
        <v>9678912907.9636</v>
      </c>
      <c r="AX6" s="4" t="n">
        <v>10219815756.9625</v>
      </c>
      <c r="AY6" s="4" t="n">
        <v>4107389734.17</v>
      </c>
      <c r="AZ6" s="4"/>
    </row>
    <row r="7">
      <c r="A7" t="str">
        <f>N7</f>
      </c>
      <c r="B7" t="str">
        <f>O7</f>
      </c>
      <c r="N7" t="s">
        <v>65</v>
      </c>
      <c r="O7" t="s">
        <v>69</v>
      </c>
      <c r="P7" s="4" t="n">
        <v>2464000</v>
      </c>
      <c r="Q7" s="4" t="n">
        <v>3661000</v>
      </c>
      <c r="R7" s="4" t="n">
        <v>10692000</v>
      </c>
      <c r="S7" s="4" t="n">
        <v>7140000</v>
      </c>
      <c r="T7" s="4" t="n">
        <v>998000</v>
      </c>
      <c r="U7" s="4" t="n">
        <v>1048000</v>
      </c>
      <c r="V7" s="4" t="n">
        <v>3559000</v>
      </c>
      <c r="W7" s="4" t="n">
        <v>884978928</v>
      </c>
      <c r="X7" s="4" t="n">
        <v>1398987022.07</v>
      </c>
      <c r="Y7" s="4" t="n">
        <v>2478043838.94</v>
      </c>
      <c r="Z7" s="4" t="n">
        <v>6877753921.1716</v>
      </c>
      <c r="AA7" s="4" t="n">
        <v>7262420236.5191</v>
      </c>
      <c r="AB7" s="4" t="n">
        <v>8471974712.1727</v>
      </c>
      <c r="AC7" s="4" t="n">
        <v>11100018359.9154</v>
      </c>
      <c r="AD7" s="4" t="n">
        <v>14095162856.8866</v>
      </c>
      <c r="AE7" s="4" t="n">
        <v>16205571687.5275</v>
      </c>
      <c r="AF7" s="4" t="n">
        <v>18394961962.6743</v>
      </c>
      <c r="AG7" s="4" t="n">
        <v>20642076077.8442</v>
      </c>
      <c r="AH7" s="4" t="n">
        <v>23321648594.586</v>
      </c>
      <c r="AI7" s="4" t="n">
        <v>21888069170.9824</v>
      </c>
      <c r="AJ7" s="4" t="n">
        <v>21739164076.1566</v>
      </c>
      <c r="AK7" s="4" t="n">
        <v>19212876925.027</v>
      </c>
      <c r="AL7" s="4" t="n">
        <v>16056713455.1747</v>
      </c>
      <c r="AM7" s="4" t="n">
        <v>13369690709.2631</v>
      </c>
      <c r="AN7" s="4" t="n">
        <v>12628805322.9511</v>
      </c>
      <c r="AO7" s="4" t="n">
        <v>11736193013.387</v>
      </c>
      <c r="AP7" s="4" t="n">
        <v>12989923609.5916</v>
      </c>
      <c r="AQ7" s="4" t="n">
        <v>13646109069.0189</v>
      </c>
      <c r="AR7" s="4" t="n">
        <v>16203832165.6124</v>
      </c>
      <c r="AS7" s="4" t="n">
        <v>18800180733.435</v>
      </c>
      <c r="AT7" s="4" t="n">
        <v>18015198425.9633</v>
      </c>
      <c r="AU7" s="4" t="n">
        <v>16023394354.8023</v>
      </c>
      <c r="AV7" s="4" t="n">
        <v>17416036179.054</v>
      </c>
      <c r="AW7" s="4" t="n">
        <v>18747858830.4024</v>
      </c>
      <c r="AX7" s="4" t="n">
        <v>18740127596.74</v>
      </c>
      <c r="AY7" s="4" t="n">
        <v>7480630679.2</v>
      </c>
      <c r="AZ7" s="4"/>
    </row>
    <row r="8">
      <c r="A8" t="str">
        <f>N8</f>
      </c>
      <c r="B8" t="str">
        <f>O8</f>
      </c>
      <c r="N8" t="s">
        <v>65</v>
      </c>
      <c r="O8" t="s">
        <v>70</v>
      </c>
      <c r="P8" s="4" t="n">
        <v>197000</v>
      </c>
      <c r="Q8" s="4" t="n">
        <v>1832000</v>
      </c>
      <c r="R8" s="4" t="n">
        <v>2709000</v>
      </c>
      <c r="S8" s="4" t="n">
        <v>7066000</v>
      </c>
      <c r="T8" s="4"/>
      <c r="U8" s="4"/>
      <c r="V8" s="4" t="n">
        <v>0</v>
      </c>
      <c r="W8" s="4" t="n">
        <v>72801046</v>
      </c>
      <c r="X8" s="4" t="n">
        <v>63211358</v>
      </c>
      <c r="Y8" s="4" t="n">
        <v>60720104</v>
      </c>
      <c r="Z8" s="4" t="n">
        <v>144576130</v>
      </c>
      <c r="AA8" s="4" t="n">
        <v>288748398</v>
      </c>
      <c r="AB8" s="4" t="n">
        <v>299545085.5508</v>
      </c>
      <c r="AC8" s="4" t="n">
        <v>146085539</v>
      </c>
      <c r="AD8" s="4" t="n">
        <v>77671347</v>
      </c>
      <c r="AE8" s="4" t="n">
        <v>33326621</v>
      </c>
      <c r="AF8" s="4" t="n">
        <v>30209352.1198</v>
      </c>
      <c r="AG8" s="4" t="n">
        <v>5203954.7949</v>
      </c>
      <c r="AH8" s="4" t="n">
        <v>3039422.4814</v>
      </c>
      <c r="AI8" s="4" t="n">
        <v>839351.5308</v>
      </c>
      <c r="AJ8" s="4" t="n">
        <v>2390913.3141</v>
      </c>
      <c r="AK8" s="4" t="n">
        <v>231987.43</v>
      </c>
      <c r="AL8" s="4" t="n">
        <v>-21710.041</v>
      </c>
      <c r="AM8" s="4"/>
      <c r="AN8" s="4" t="n">
        <v>823307.79</v>
      </c>
      <c r="AO8" s="4" t="n">
        <v>116751.96</v>
      </c>
      <c r="AP8" s="4" t="n">
        <v>20054.1602</v>
      </c>
      <c r="AQ8" s="4" t="n">
        <v>-3169.49</v>
      </c>
      <c r="AR8" s="4" t="n">
        <v>526822.287</v>
      </c>
      <c r="AS8" s="4"/>
      <c r="AT8" s="4"/>
      <c r="AU8" s="4" t="n">
        <v>832221.2852</v>
      </c>
      <c r="AV8" s="4"/>
      <c r="AW8" s="4"/>
      <c r="AX8" s="4" t="n">
        <v>15204</v>
      </c>
      <c r="AY8" s="4"/>
      <c r="AZ8" s="4"/>
    </row>
    <row r="9">
      <c r="A9" t="str">
        <f>N9</f>
      </c>
      <c r="B9" t="str">
        <f>O9</f>
      </c>
      <c r="N9"/>
      <c r="O9"/>
      <c r="P9" s="4" t="n">
        <v>19702439894</v>
      </c>
      <c r="Q9" s="4" t="n">
        <v>19319790733</v>
      </c>
      <c r="R9" s="4" t="n">
        <v>19388422483</v>
      </c>
      <c r="S9" s="4" t="n">
        <v>18242606124</v>
      </c>
      <c r="T9" s="4" t="n">
        <v>17643820302</v>
      </c>
      <c r="U9" s="4" t="n">
        <v>18690677727</v>
      </c>
      <c r="V9" s="4" t="n">
        <v>18181631640</v>
      </c>
      <c r="W9" s="4" t="n">
        <v>18426200437</v>
      </c>
      <c r="X9" s="4" t="n">
        <v>17482014443</v>
      </c>
      <c r="Y9" s="4" t="n">
        <v>19577458903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 t="n">
        <v>0</v>
      </c>
      <c r="AU9" s="4"/>
      <c r="AV9" s="4" t="n">
        <v>0</v>
      </c>
      <c r="AW9" s="4" t="n">
        <v>0</v>
      </c>
      <c r="AX9" s="4" t="n">
        <v>0</v>
      </c>
      <c r="AY9" s="4" t="n">
        <v>0</v>
      </c>
      <c r="AZ9" s="4"/>
    </row>
    <row r="10">
      <c r="A10" t="str">
        <f>N10</f>
      </c>
      <c r="B10" t="str">
        <f>O10</f>
      </c>
      <c r="N10" t="s">
        <v>542</v>
      </c>
      <c r="O10" t="s">
        <v>543</v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 t="str">
        <f>Sum(AH2:AH9)</f>
      </c>
      <c r="AI10" s="4" t="str">
        <f>Sum(AI2:AI9)</f>
      </c>
      <c r="AJ10" s="4" t="str">
        <f>Sum(AJ2:AJ9)</f>
      </c>
      <c r="AK10" s="4" t="str">
        <f>Sum(AK2:AK9)</f>
      </c>
      <c r="AL10" s="4" t="str">
        <f>Sum(AL2:AL9)</f>
      </c>
      <c r="AM10" s="4" t="str">
        <f>Sum(AM2:AM9)</f>
      </c>
      <c r="AN10" s="4" t="str">
        <f>Sum(AN2:AN9)</f>
      </c>
      <c r="AO10" s="4" t="str">
        <f>Sum(AO2:AO9)</f>
      </c>
      <c r="AP10" s="4" t="str">
        <f>Sum(AP2:AP9)</f>
      </c>
      <c r="AQ10" s="4" t="str">
        <f>Sum(AQ2:AQ9)</f>
      </c>
      <c r="AR10" s="4" t="str">
        <f>Sum(AR2:AR9)</f>
      </c>
      <c r="AS10" s="4" t="str">
        <f>Sum(AS2:AS9)</f>
      </c>
      <c r="AT10" s="4" t="str">
        <f>Sum(AT2:AT9)</f>
      </c>
      <c r="AU10" s="4" t="str">
        <f>Sum(AU2:AU9)</f>
      </c>
      <c r="AV10" s="4" t="str">
        <f>Sum(AV2:AV9)</f>
      </c>
      <c r="AW10" s="4" t="str">
        <f>Sum(AW2:AW9)</f>
      </c>
      <c r="AX10" s="4" t="str">
        <f>Sum(AX2:AX9)</f>
      </c>
      <c r="AY10" s="4" t="str">
        <f>Sum(AY2:AY9)</f>
      </c>
      <c r="AZ10" s="4"/>
    </row>
    <row r="13">
      <c r="A13" t="str">
        <f>N13</f>
      </c>
      <c r="B13" t="str">
        <f>O13</f>
      </c>
      <c r="N13" t="s">
        <v>60</v>
      </c>
      <c r="O13" t="s">
        <v>61</v>
      </c>
      <c r="P13" t="s">
        <v>1</v>
      </c>
      <c r="Q13" t="s">
        <v>2</v>
      </c>
      <c r="R13" t="s">
        <v>3</v>
      </c>
      <c r="S13" t="s">
        <v>4</v>
      </c>
      <c r="T13" t="s">
        <v>5</v>
      </c>
      <c r="U13" t="s">
        <v>6</v>
      </c>
      <c r="V13" t="s">
        <v>7</v>
      </c>
      <c r="W13" t="s">
        <v>8</v>
      </c>
      <c r="X13" t="s">
        <v>9</v>
      </c>
      <c r="Y13" t="s">
        <v>10</v>
      </c>
      <c r="Z13" t="s">
        <v>11</v>
      </c>
      <c r="AA13" t="s">
        <v>12</v>
      </c>
      <c r="AB13" t="s">
        <v>13</v>
      </c>
      <c r="AC13" t="s">
        <v>14</v>
      </c>
      <c r="AD13" t="s">
        <v>15</v>
      </c>
      <c r="AE13" t="s">
        <v>16</v>
      </c>
      <c r="AF13" t="s">
        <v>17</v>
      </c>
      <c r="AG13" t="s">
        <v>18</v>
      </c>
      <c r="AH13" t="s">
        <v>19</v>
      </c>
      <c r="AI13" t="s">
        <v>20</v>
      </c>
      <c r="AJ13" t="s">
        <v>21</v>
      </c>
      <c r="AK13" t="s">
        <v>22</v>
      </c>
      <c r="AL13" t="s">
        <v>23</v>
      </c>
      <c r="AM13" t="s">
        <v>24</v>
      </c>
      <c r="AN13" t="s">
        <v>25</v>
      </c>
      <c r="AO13" t="s">
        <v>26</v>
      </c>
      <c r="AP13" t="s">
        <v>27</v>
      </c>
      <c r="AQ13" t="s">
        <v>28</v>
      </c>
      <c r="AR13" t="s">
        <v>29</v>
      </c>
      <c r="AS13" t="s">
        <v>30</v>
      </c>
      <c r="AT13" t="s">
        <v>31</v>
      </c>
      <c r="AU13" t="s">
        <v>32</v>
      </c>
      <c r="AV13" t="s">
        <v>33</v>
      </c>
      <c r="AW13" t="s">
        <v>34</v>
      </c>
      <c r="AX13" t="s">
        <v>550</v>
      </c>
      <c r="AY13" t="s">
        <v>551</v>
      </c>
    </row>
    <row r="14">
      <c r="A14" t="str">
        <f>N14</f>
      </c>
      <c r="B14" t="str">
        <f>O14</f>
      </c>
      <c r="N14" t="s">
        <v>62</v>
      </c>
      <c r="O14" t="s">
        <v>63</v>
      </c>
      <c r="P14" s="4" t="n">
        <v>576207079.700943</v>
      </c>
      <c r="Q14" s="4" t="n">
        <v>427466654.990973</v>
      </c>
      <c r="R14" s="4" t="n">
        <v>224485288.416207</v>
      </c>
      <c r="S14" s="4" t="n">
        <v>679071241.264502</v>
      </c>
      <c r="T14" s="4" t="n">
        <v>266648344.555136</v>
      </c>
      <c r="U14" s="4" t="n">
        <v>391969851.234557</v>
      </c>
      <c r="V14" s="4" t="n">
        <v>295315224.469059</v>
      </c>
      <c r="W14" s="4" t="n">
        <v>3823723021.53385</v>
      </c>
      <c r="X14" s="4" t="n">
        <v>3744771543.91862</v>
      </c>
      <c r="Y14" s="4" t="n">
        <v>3499997348.54281</v>
      </c>
      <c r="Z14" s="4" t="n">
        <v>13486290574.8529</v>
      </c>
      <c r="AA14" s="4" t="n">
        <v>13657408844.6994</v>
      </c>
      <c r="AB14" s="4" t="n">
        <v>14221163704.1373</v>
      </c>
      <c r="AC14" s="4" t="n">
        <v>14904569961.4777</v>
      </c>
      <c r="AD14" s="4" t="n">
        <v>16884708945.6837</v>
      </c>
      <c r="AE14" s="4" t="n">
        <v>19036753201.8749</v>
      </c>
      <c r="AF14" s="4" t="n">
        <v>17012356331.0439</v>
      </c>
      <c r="AG14" s="4" t="n">
        <v>19400782407.5094</v>
      </c>
      <c r="AH14" s="4" t="n">
        <v>19031915114.314</v>
      </c>
      <c r="AI14" s="4" t="n">
        <v>18369237634.6821</v>
      </c>
      <c r="AJ14" s="4" t="n">
        <v>18810822667.819</v>
      </c>
      <c r="AK14" s="4" t="n">
        <v>19351902989.9477</v>
      </c>
      <c r="AL14" s="4" t="n">
        <v>19472011341.262</v>
      </c>
      <c r="AM14" s="4" t="n">
        <v>16559327990.8387</v>
      </c>
      <c r="AN14" s="4" t="n">
        <v>15600474346.5882</v>
      </c>
      <c r="AO14" s="4" t="n">
        <v>15049389228.6168</v>
      </c>
      <c r="AP14" s="4" t="n">
        <v>14669922624.0315</v>
      </c>
      <c r="AQ14" s="4" t="n">
        <v>15029299570.408</v>
      </c>
      <c r="AR14" s="4" t="n">
        <v>15773273564.4086</v>
      </c>
      <c r="AS14" s="4" t="n">
        <v>15336571155.1559</v>
      </c>
      <c r="AT14" s="4" t="n">
        <v>15108149216.3148</v>
      </c>
      <c r="AU14" s="4" t="n">
        <v>13370543167.0133</v>
      </c>
      <c r="AV14" s="4" t="n">
        <v>13590994596.0961</v>
      </c>
      <c r="AW14" s="4" t="n">
        <v>12745224505.08</v>
      </c>
      <c r="AX14" s="4" t="n">
        <v>12447069903.4922</v>
      </c>
      <c r="AY14" s="4" t="n">
        <v>4801666985.69939</v>
      </c>
      <c r="AZ14" s="4"/>
    </row>
    <row r="15">
      <c r="A15" t="str">
        <f>N15</f>
      </c>
      <c r="B15" t="str">
        <f>O15</f>
      </c>
      <c r="N15" t="s">
        <v>62</v>
      </c>
      <c r="O15" t="s">
        <v>64</v>
      </c>
      <c r="P15" s="4" t="n">
        <v>134446599.047277</v>
      </c>
      <c r="Q15" s="4" t="n">
        <v>404188886.465239</v>
      </c>
      <c r="R15" s="4" t="n">
        <v>117585398.358301</v>
      </c>
      <c r="S15" s="4" t="n">
        <v>776618.743040471</v>
      </c>
      <c r="T15" s="4" t="n">
        <v>82502033.1556725</v>
      </c>
      <c r="U15" s="4" t="n">
        <v>3009795.28023714</v>
      </c>
      <c r="V15" s="4" t="n">
        <v>8661992.66401912</v>
      </c>
      <c r="W15" s="4" t="n">
        <v>28382047.2940416</v>
      </c>
      <c r="X15" s="4" t="n">
        <v>269609983.899947</v>
      </c>
      <c r="Y15" s="4" t="n">
        <v>434119195.154478</v>
      </c>
      <c r="Z15" s="4" t="n">
        <v>958213424.990111</v>
      </c>
      <c r="AA15" s="4" t="n">
        <v>1085273712.79918</v>
      </c>
      <c r="AB15" s="4" t="n">
        <v>1453748170.01654</v>
      </c>
      <c r="AC15" s="4" t="n">
        <v>2428120461.89138</v>
      </c>
      <c r="AD15" s="4" t="n">
        <v>2563445203.0463</v>
      </c>
      <c r="AE15" s="4" t="n">
        <v>2723542539.63915</v>
      </c>
      <c r="AF15" s="4" t="n">
        <v>2915213426.64383</v>
      </c>
      <c r="AG15" s="4" t="n">
        <v>3063337347.32019</v>
      </c>
      <c r="AH15" s="4" t="n">
        <v>3240539051.75752</v>
      </c>
      <c r="AI15" s="4" t="n">
        <v>3113998353.69569</v>
      </c>
      <c r="AJ15" s="4" t="n">
        <v>3806943472.80365</v>
      </c>
      <c r="AK15" s="4" t="n">
        <v>3208738624.38503</v>
      </c>
      <c r="AL15" s="4" t="n">
        <v>2439991548.50111</v>
      </c>
      <c r="AM15" s="4" t="n">
        <v>2295647845.18176</v>
      </c>
      <c r="AN15" s="4" t="n">
        <v>2260893805.06178</v>
      </c>
      <c r="AO15" s="4" t="n">
        <v>2073900222.38324</v>
      </c>
      <c r="AP15" s="4" t="n">
        <v>2305986239.33154</v>
      </c>
      <c r="AQ15" s="4" t="n">
        <v>2076661995.02893</v>
      </c>
      <c r="AR15" s="4" t="n">
        <v>2522111350.93797</v>
      </c>
      <c r="AS15" s="4" t="n">
        <v>2793501541.20498</v>
      </c>
      <c r="AT15" s="4" t="n">
        <v>2412925508.49719</v>
      </c>
      <c r="AU15" s="4" t="n">
        <v>2217043853.90372</v>
      </c>
      <c r="AV15" s="4" t="n">
        <v>2291993867.32785</v>
      </c>
      <c r="AW15" s="4" t="n">
        <v>2198074759.53</v>
      </c>
      <c r="AX15" s="4" t="n">
        <v>2395993417.5625</v>
      </c>
      <c r="AY15" s="4" t="n">
        <v>964828988.002549</v>
      </c>
      <c r="AZ15" s="4"/>
    </row>
    <row r="16">
      <c r="A16" t="str">
        <f>N16</f>
      </c>
      <c r="B16" t="str">
        <f>O16</f>
      </c>
      <c r="N16" t="s">
        <v>65</v>
      </c>
      <c r="O16" t="s">
        <v>66</v>
      </c>
      <c r="P16" s="4" t="n">
        <v>16562801.7532859</v>
      </c>
      <c r="Q16" s="4" t="n">
        <v>4704677.24514277</v>
      </c>
      <c r="R16" s="4" t="n">
        <v>1373433.61016937</v>
      </c>
      <c r="S16" s="4" t="n">
        <v>66621.7058980796</v>
      </c>
      <c r="T16" s="4" t="n">
        <v>6205023.19857177</v>
      </c>
      <c r="U16" s="4" t="n">
        <v>14275550.2200823</v>
      </c>
      <c r="V16" s="4" t="n">
        <v>82358.7562101859</v>
      </c>
      <c r="W16" s="4" t="n">
        <v>5823279.07269935</v>
      </c>
      <c r="X16" s="4" t="n">
        <v>2221766.08419453</v>
      </c>
      <c r="Y16" s="4" t="n">
        <v>1548372.05574042</v>
      </c>
      <c r="Z16" s="4" t="n">
        <v>13821669.5291474</v>
      </c>
      <c r="AA16" s="4" t="n">
        <v>14986878.7470828</v>
      </c>
      <c r="AB16" s="4" t="n">
        <v>36003787.0076358</v>
      </c>
      <c r="AC16" s="4" t="n">
        <v>32679480.3382276</v>
      </c>
      <c r="AD16" s="4" t="n">
        <v>76556869.3432213</v>
      </c>
      <c r="AE16" s="4" t="n">
        <v>16136107.5189557</v>
      </c>
      <c r="AF16" s="4" t="n">
        <v>2788593.42816785</v>
      </c>
      <c r="AG16" s="4" t="n">
        <v>3836338.33178883</v>
      </c>
      <c r="AH16" s="4" t="n">
        <v>1290347.30039844</v>
      </c>
      <c r="AI16" s="4" t="n">
        <v>335589.57094935</v>
      </c>
      <c r="AJ16" s="4" t="n">
        <v>193864912.489551</v>
      </c>
      <c r="AK16" s="4" t="n">
        <v>745567933.170539</v>
      </c>
      <c r="AL16" s="4" t="n">
        <v>2226663213.81204</v>
      </c>
      <c r="AM16" s="4" t="n">
        <v>2019115920.40711</v>
      </c>
      <c r="AN16" s="4" t="n">
        <v>2546840842.9826</v>
      </c>
      <c r="AO16" s="4" t="n">
        <v>2808484028.72331</v>
      </c>
      <c r="AP16" s="4" t="n">
        <v>3330362648.11858</v>
      </c>
      <c r="AQ16" s="4" t="n">
        <v>3662271237.9142</v>
      </c>
      <c r="AR16" s="4" t="n">
        <v>3257472796.53834</v>
      </c>
      <c r="AS16" s="4" t="n">
        <v>3319355862.09623</v>
      </c>
      <c r="AT16" s="4" t="n">
        <v>4397380432.89878</v>
      </c>
      <c r="AU16" s="4" t="n">
        <v>3703708054.56551</v>
      </c>
      <c r="AV16" s="4" t="n">
        <v>3931751589.07365</v>
      </c>
      <c r="AW16" s="4" t="n">
        <v>5131997329.1368</v>
      </c>
      <c r="AX16" s="4" t="n">
        <v>5984577837.79868</v>
      </c>
      <c r="AY16" s="4" t="n">
        <v>2560841176.9551</v>
      </c>
      <c r="AZ16" s="4"/>
    </row>
    <row r="17">
      <c r="A17" t="str">
        <f>N17</f>
      </c>
      <c r="B17" t="str">
        <f>O17</f>
      </c>
      <c r="N17" t="s">
        <v>65</v>
      </c>
      <c r="O17" t="s">
        <v>67</v>
      </c>
      <c r="P17" s="4" t="n">
        <v>72389.867802823</v>
      </c>
      <c r="Q17" s="4" t="n">
        <v>449300.670694874</v>
      </c>
      <c r="R17" s="4" t="n">
        <v>1527336.09981955</v>
      </c>
      <c r="S17" s="4" t="n">
        <v>666217.058980796</v>
      </c>
      <c r="T17" s="4" t="n">
        <v>8842763.47151611</v>
      </c>
      <c r="U17" s="4" t="n">
        <v>35185418.885148</v>
      </c>
      <c r="V17" s="4" t="n">
        <v>149926954.049669</v>
      </c>
      <c r="W17" s="4" t="n">
        <v>305903152.328891</v>
      </c>
      <c r="X17" s="4" t="n">
        <v>848897376.176581</v>
      </c>
      <c r="Y17" s="4" t="n">
        <v>1669443596.82287</v>
      </c>
      <c r="Z17" s="4" t="n">
        <v>5722402960.5803</v>
      </c>
      <c r="AA17" s="4" t="n">
        <v>6034041179.76806</v>
      </c>
      <c r="AB17" s="4" t="n">
        <v>7930243642.54414</v>
      </c>
      <c r="AC17" s="4" t="n">
        <v>9137304055.93644</v>
      </c>
      <c r="AD17" s="4" t="n">
        <v>9541666663.87893</v>
      </c>
      <c r="AE17" s="4" t="n">
        <v>8364515050.20587</v>
      </c>
      <c r="AF17" s="4" t="n">
        <v>8528535217.75653</v>
      </c>
      <c r="AG17" s="4" t="n">
        <v>7207955149.82735</v>
      </c>
      <c r="AH17" s="4" t="n">
        <v>6605727698.06455</v>
      </c>
      <c r="AI17" s="4" t="n">
        <v>5902794078.63926</v>
      </c>
      <c r="AJ17" s="4" t="n">
        <v>5659983541.16865</v>
      </c>
      <c r="AK17" s="4" t="n">
        <v>5686895193.64306</v>
      </c>
      <c r="AL17" s="4" t="n">
        <v>5850641034.57599</v>
      </c>
      <c r="AM17" s="4" t="n">
        <v>4863995352.64295</v>
      </c>
      <c r="AN17" s="4" t="n">
        <v>5215585008.03565</v>
      </c>
      <c r="AO17" s="4" t="n">
        <v>4877403313.90458</v>
      </c>
      <c r="AP17" s="4" t="n">
        <v>5508519063.98422</v>
      </c>
      <c r="AQ17" s="4" t="n">
        <v>5730822743.51917</v>
      </c>
      <c r="AR17" s="4" t="n">
        <v>6548070110.54061</v>
      </c>
      <c r="AS17" s="4" t="n">
        <v>7472271277.03569</v>
      </c>
      <c r="AT17" s="4" t="n">
        <v>8310150342.29194</v>
      </c>
      <c r="AU17" s="4" t="n">
        <v>8133643374.56359</v>
      </c>
      <c r="AV17" s="4" t="n">
        <v>8003063911.29453</v>
      </c>
      <c r="AW17" s="4" t="n">
        <v>7807578975.3932</v>
      </c>
      <c r="AX17" s="4" t="n">
        <v>7539129165.37894</v>
      </c>
      <c r="AY17" s="4" t="n">
        <v>2694593669.4376</v>
      </c>
      <c r="AZ17" s="4"/>
    </row>
    <row r="18">
      <c r="A18" t="str">
        <f>N18</f>
      </c>
      <c r="B18" t="str">
        <f>O18</f>
      </c>
      <c r="N18" t="s">
        <v>65</v>
      </c>
      <c r="O18" t="s">
        <v>68</v>
      </c>
      <c r="P18" s="4"/>
      <c r="Q18" s="4" t="n">
        <v>117816.620315545</v>
      </c>
      <c r="R18" s="4" t="n">
        <v>300012.44817884</v>
      </c>
      <c r="S18" s="4"/>
      <c r="T18" s="4"/>
      <c r="U18" s="4" t="n">
        <v>0</v>
      </c>
      <c r="V18" s="4" t="n">
        <v>0</v>
      </c>
      <c r="W18" s="4" t="n">
        <v>428477810.408648</v>
      </c>
      <c r="X18" s="4" t="n">
        <v>664573098.40623</v>
      </c>
      <c r="Y18" s="4" t="n">
        <v>1165257191.96522</v>
      </c>
      <c r="Z18" s="4" t="n">
        <v>2901956041.20807</v>
      </c>
      <c r="AA18" s="4" t="n">
        <v>3559402795.27497</v>
      </c>
      <c r="AB18" s="4" t="n">
        <v>3882161729.49219</v>
      </c>
      <c r="AC18" s="4" t="n">
        <v>5578372369.68621</v>
      </c>
      <c r="AD18" s="4" t="n">
        <v>7087533763.10976</v>
      </c>
      <c r="AE18" s="4" t="n">
        <v>8903288102.25301</v>
      </c>
      <c r="AF18" s="4" t="n">
        <v>10494206493.5047</v>
      </c>
      <c r="AG18" s="4" t="n">
        <v>15354005567.5917</v>
      </c>
      <c r="AH18" s="4" t="n">
        <v>17758826075.668</v>
      </c>
      <c r="AI18" s="4" t="n">
        <v>18539310311.4877</v>
      </c>
      <c r="AJ18" s="4" t="n">
        <v>18294961469.4403</v>
      </c>
      <c r="AK18" s="4" t="n">
        <v>15262927402.4977</v>
      </c>
      <c r="AL18" s="4" t="n">
        <v>13939196455.0576</v>
      </c>
      <c r="AM18" s="4" t="n">
        <v>10495452009.8811</v>
      </c>
      <c r="AN18" s="4" t="n">
        <v>10091840727.1208</v>
      </c>
      <c r="AO18" s="4" t="n">
        <v>9999712479.7002</v>
      </c>
      <c r="AP18" s="4" t="n">
        <v>11844304687.9873</v>
      </c>
      <c r="AQ18" s="4" t="n">
        <v>12861954411.6345</v>
      </c>
      <c r="AR18" s="4" t="n">
        <v>13407264641.0972</v>
      </c>
      <c r="AS18" s="4" t="n">
        <v>13445427623.318</v>
      </c>
      <c r="AT18" s="4" t="n">
        <v>12984573378.4326</v>
      </c>
      <c r="AU18" s="4" t="n">
        <v>10161420030.8002</v>
      </c>
      <c r="AV18" s="4" t="n">
        <v>9948143260.29141</v>
      </c>
      <c r="AW18" s="4" t="n">
        <v>9678912907.9636</v>
      </c>
      <c r="AX18" s="4" t="n">
        <v>9953984759.42511</v>
      </c>
      <c r="AY18" s="4" t="n">
        <v>3914655409.65681</v>
      </c>
      <c r="AZ18" s="4"/>
    </row>
    <row r="19">
      <c r="A19" t="str">
        <f>N19</f>
      </c>
      <c r="B19" t="str">
        <f>O19</f>
      </c>
      <c r="N19" t="s">
        <v>65</v>
      </c>
      <c r="O19" t="s">
        <v>69</v>
      </c>
      <c r="P19" s="4" t="n">
        <v>5096246.69331874</v>
      </c>
      <c r="Q19" s="4" t="n">
        <v>7310621.13517304</v>
      </c>
      <c r="R19" s="4" t="n">
        <v>20829435.6878452</v>
      </c>
      <c r="S19" s="4" t="n">
        <v>13590828.0032082</v>
      </c>
      <c r="T19" s="4" t="n">
        <v>1859085.30536614</v>
      </c>
      <c r="U19" s="4" t="n">
        <v>1911676.0325385</v>
      </c>
      <c r="V19" s="4" t="n">
        <v>6372061.15982721</v>
      </c>
      <c r="W19" s="4" t="n">
        <v>1556843605.45171</v>
      </c>
      <c r="X19" s="4" t="n">
        <v>2430605549.69243</v>
      </c>
      <c r="Y19" s="4" t="n">
        <v>4252703659.04456</v>
      </c>
      <c r="Z19" s="4" t="n">
        <v>11562696884.7109</v>
      </c>
      <c r="AA19" s="4" t="n">
        <v>11920446924.4484</v>
      </c>
      <c r="AB19" s="4" t="n">
        <v>13690415057.4122</v>
      </c>
      <c r="AC19" s="4" t="n">
        <v>17599418630.1943</v>
      </c>
      <c r="AD19" s="4" t="n">
        <v>21815602003.4837</v>
      </c>
      <c r="AE19" s="4" t="n">
        <v>24341259221.9214</v>
      </c>
      <c r="AF19" s="4" t="n">
        <v>26760493455.8992</v>
      </c>
      <c r="AG19" s="4" t="n">
        <v>29224985240.3809</v>
      </c>
      <c r="AH19" s="4" t="n">
        <v>32347161036.1198</v>
      </c>
      <c r="AI19" s="4" t="n">
        <v>30051474549.2149</v>
      </c>
      <c r="AJ19" s="4" t="n">
        <v>29590764471.4963</v>
      </c>
      <c r="AK19" s="4" t="n">
        <v>25637471444.4563</v>
      </c>
      <c r="AL19" s="4" t="n">
        <v>21044052096.03</v>
      </c>
      <c r="AM19" s="4" t="n">
        <v>17210145990.9482</v>
      </c>
      <c r="AN19" s="4" t="n">
        <v>15965185022.8063</v>
      </c>
      <c r="AO19" s="4" t="n">
        <v>14684676928.253</v>
      </c>
      <c r="AP19" s="4" t="n">
        <v>16124465890.7977</v>
      </c>
      <c r="AQ19" s="4" t="n">
        <v>16657805343.7513</v>
      </c>
      <c r="AR19" s="4" t="n">
        <v>19350438189.9957</v>
      </c>
      <c r="AS19" s="4" t="n">
        <v>22043397013.4823</v>
      </c>
      <c r="AT19" s="4" t="n">
        <v>20850623604.1646</v>
      </c>
      <c r="AU19" s="4" t="n">
        <v>17928283674.4991</v>
      </c>
      <c r="AV19" s="4" t="n">
        <v>18212760527.7422</v>
      </c>
      <c r="AW19" s="4" t="n">
        <v>18747858830.4024</v>
      </c>
      <c r="AX19" s="4" t="n">
        <v>18252671958.4497</v>
      </c>
      <c r="AY19" s="4" t="n">
        <v>7129611079.35684</v>
      </c>
      <c r="AZ19" s="4"/>
    </row>
    <row r="20">
      <c r="A20" t="str">
        <f>N20</f>
      </c>
      <c r="B20" t="str">
        <f>O20</f>
      </c>
      <c r="N20" t="s">
        <v>65</v>
      </c>
      <c r="O20" t="s">
        <v>70</v>
      </c>
      <c r="P20" s="4" t="n">
        <v>407451.541633032</v>
      </c>
      <c r="Q20" s="4" t="n">
        <v>3658305.90539115</v>
      </c>
      <c r="R20" s="4" t="n">
        <v>5277491.70205505</v>
      </c>
      <c r="S20" s="4" t="n">
        <v>13449970.6821666</v>
      </c>
      <c r="T20" s="4"/>
      <c r="U20" s="4"/>
      <c r="V20" s="4" t="n">
        <v>0</v>
      </c>
      <c r="W20" s="4" t="n">
        <v>128070668.520252</v>
      </c>
      <c r="X20" s="4" t="n">
        <v>109823661.788556</v>
      </c>
      <c r="Y20" s="4" t="n">
        <v>104205020.26664</v>
      </c>
      <c r="Z20" s="4" t="n">
        <v>243057542.784228</v>
      </c>
      <c r="AA20" s="4" t="n">
        <v>473948055.989703</v>
      </c>
      <c r="AB20" s="4" t="n">
        <v>484054389.787809</v>
      </c>
      <c r="AC20" s="4" t="n">
        <v>231623090.4593</v>
      </c>
      <c r="AD20" s="4" t="n">
        <v>120214800.668203</v>
      </c>
      <c r="AE20" s="4" t="n">
        <v>50057593.5482777</v>
      </c>
      <c r="AF20" s="4" t="n">
        <v>43947748.9189291</v>
      </c>
      <c r="AG20" s="4" t="n">
        <v>7367742.54193358</v>
      </c>
      <c r="AH20" s="4" t="n">
        <v>4215683.46954136</v>
      </c>
      <c r="AI20" s="4" t="n">
        <v>1152397.27034126</v>
      </c>
      <c r="AJ20" s="4" t="n">
        <v>3254446.79020086</v>
      </c>
      <c r="AK20" s="4" t="n">
        <v>309561.714016416</v>
      </c>
      <c r="AL20" s="4" t="n">
        <v>-28453.3466382381</v>
      </c>
      <c r="AM20" s="4"/>
      <c r="AN20" s="4" t="n">
        <v>1040815.88574177</v>
      </c>
      <c r="AO20" s="4" t="n">
        <v>146083.556344438</v>
      </c>
      <c r="AP20" s="4" t="n">
        <v>24893.3428580538</v>
      </c>
      <c r="AQ20" s="4" t="n">
        <v>-3868.99644374323</v>
      </c>
      <c r="AR20" s="4" t="n">
        <v>629125.382040169</v>
      </c>
      <c r="AS20" s="4"/>
      <c r="AT20" s="4"/>
      <c r="AU20" s="4" t="n">
        <v>931157.216170623</v>
      </c>
      <c r="AV20" s="4"/>
      <c r="AW20" s="4"/>
      <c r="AX20" s="4" t="n">
        <v>14808.5237426316</v>
      </c>
      <c r="AY20" s="4"/>
      <c r="AZ20" s="4"/>
    </row>
    <row r="21">
      <c r="A21" t="str">
        <f>N21</f>
      </c>
      <c r="B21" t="str">
        <f>O21</f>
      </c>
      <c r="N21"/>
      <c r="O21"/>
      <c r="P21" s="4" t="n">
        <v>40750200551.9922</v>
      </c>
      <c r="Q21" s="4" t="n">
        <v>38579533040.0956</v>
      </c>
      <c r="R21" s="4" t="n">
        <v>37771221399.0292</v>
      </c>
      <c r="S21" s="4" t="n">
        <v>34724386857.361</v>
      </c>
      <c r="T21" s="4" t="n">
        <v>32867101256.482</v>
      </c>
      <c r="U21" s="4" t="n">
        <v>34094008246.7625</v>
      </c>
      <c r="V21" s="4" t="n">
        <v>32552534081.3514</v>
      </c>
      <c r="W21" s="4" t="n">
        <v>32415136016.7922</v>
      </c>
      <c r="X21" s="4" t="n">
        <v>30373320591.6994</v>
      </c>
      <c r="Y21" s="4" t="n">
        <v>33597925025.8932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 t="n">
        <v>0</v>
      </c>
      <c r="AU21" s="4"/>
      <c r="AV21" s="4" t="n">
        <v>0</v>
      </c>
      <c r="AW21" s="4" t="n">
        <v>0</v>
      </c>
      <c r="AX21" s="4" t="n">
        <v>0</v>
      </c>
      <c r="AY21" s="4" t="n">
        <v>0</v>
      </c>
      <c r="AZ21" s="4"/>
    </row>
    <row r="22">
      <c r="A22" t="str">
        <f>N22</f>
      </c>
      <c r="B22" t="str">
        <f>O22</f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60</v>
      </c>
      <c r="N1" t="s">
        <v>61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550</v>
      </c>
      <c r="AX1" t="s">
        <v>551</v>
      </c>
    </row>
    <row r="2">
      <c r="A2" t="str">
        <f>M2</f>
      </c>
      <c r="B2" t="str">
        <f>N2</f>
      </c>
      <c r="M2" t="s">
        <v>62</v>
      </c>
      <c r="N2" t="s">
        <v>63</v>
      </c>
      <c r="O2" s="5" t="n">
        <v>278592134.53</v>
      </c>
      <c r="P2" s="5" t="n">
        <v>214066000</v>
      </c>
      <c r="Q2" s="5" t="n">
        <v>115231000</v>
      </c>
      <c r="R2" s="5" t="n">
        <v>356753000</v>
      </c>
      <c r="S2" s="5" t="n">
        <v>143143000</v>
      </c>
      <c r="T2" s="5" t="n">
        <v>214881809</v>
      </c>
      <c r="U2" s="5" t="n">
        <v>164943000</v>
      </c>
      <c r="V2" s="5" t="n">
        <v>2173573690.2</v>
      </c>
      <c r="W2" s="5" t="n">
        <v>2155383374</v>
      </c>
      <c r="X2" s="5" t="n">
        <v>2039443037</v>
      </c>
      <c r="Y2" s="5" t="n">
        <v>8021951004</v>
      </c>
      <c r="Z2" s="5" t="n">
        <v>8320647958.99</v>
      </c>
      <c r="AA2" s="5" t="n">
        <v>8800415383.6</v>
      </c>
      <c r="AB2" s="5" t="n">
        <v>9400367347.09</v>
      </c>
      <c r="AC2" s="5" t="n">
        <v>10909289706.63</v>
      </c>
      <c r="AD2" s="5" t="n">
        <v>12674014351.44</v>
      </c>
      <c r="AE2" s="5" t="n">
        <v>11694165809.04</v>
      </c>
      <c r="AF2" s="5" t="n">
        <v>13703083958.18</v>
      </c>
      <c r="AG2" s="5" t="n">
        <v>13721625705.65</v>
      </c>
      <c r="AH2" s="5" t="n">
        <v>13379281715.7</v>
      </c>
      <c r="AI2" s="5" t="n">
        <v>13819567276.7127</v>
      </c>
      <c r="AJ2" s="5" t="n">
        <v>14502433721.5332</v>
      </c>
      <c r="AK2" s="5" t="n">
        <v>14857238761.6137</v>
      </c>
      <c r="AL2" s="5" t="n">
        <v>12864103169.5605</v>
      </c>
      <c r="AM2" s="5" t="n">
        <v>12340311320.3711</v>
      </c>
      <c r="AN2" s="5" t="n">
        <v>12027676031.5248</v>
      </c>
      <c r="AO2" s="5" t="n">
        <v>11818138692.8012</v>
      </c>
      <c r="AP2" s="5" t="n">
        <v>12312033724.5194</v>
      </c>
      <c r="AQ2" s="5" t="n">
        <v>13208356060.49</v>
      </c>
      <c r="AR2" s="5" t="n">
        <v>13080121424.65</v>
      </c>
      <c r="AS2" s="5" t="n">
        <v>13053629049.57</v>
      </c>
      <c r="AT2" s="5" t="n">
        <v>11949916109.8</v>
      </c>
      <c r="AU2" s="5" t="n">
        <v>12996451209.82</v>
      </c>
      <c r="AV2" s="5" t="n">
        <v>12745224505.08</v>
      </c>
      <c r="AW2" s="5" t="n">
        <v>12779481202.97</v>
      </c>
      <c r="AX2" s="5" t="n">
        <v>5038072478.95</v>
      </c>
      <c r="AY2" s="5"/>
    </row>
    <row r="3">
      <c r="A3" t="str">
        <f>M3</f>
      </c>
      <c r="B3" t="str">
        <f>N3</f>
      </c>
      <c r="M3" t="s">
        <v>62</v>
      </c>
      <c r="N3" t="s">
        <v>64</v>
      </c>
      <c r="O3" s="5" t="n">
        <v>65004000</v>
      </c>
      <c r="P3" s="5" t="n">
        <v>202409000</v>
      </c>
      <c r="Q3" s="5" t="n">
        <v>60358000</v>
      </c>
      <c r="R3" s="5" t="n">
        <v>408000</v>
      </c>
      <c r="S3" s="5" t="n">
        <v>44289000</v>
      </c>
      <c r="T3" s="5" t="n">
        <v>1650000</v>
      </c>
      <c r="U3" s="5" t="n">
        <v>4838000</v>
      </c>
      <c r="V3" s="5" t="n">
        <v>16133614</v>
      </c>
      <c r="W3" s="5" t="n">
        <v>155179794</v>
      </c>
      <c r="X3" s="5" t="n">
        <v>252960583</v>
      </c>
      <c r="Y3" s="5" t="n">
        <v>569967042.0107</v>
      </c>
      <c r="Z3" s="5" t="n">
        <v>661192807.95</v>
      </c>
      <c r="AA3" s="5" t="n">
        <v>899616095.1</v>
      </c>
      <c r="AB3" s="5" t="n">
        <v>1531424547.22</v>
      </c>
      <c r="AC3" s="5" t="n">
        <v>1656253978.5</v>
      </c>
      <c r="AD3" s="5" t="n">
        <v>1813240780.51</v>
      </c>
      <c r="AE3" s="5" t="n">
        <v>2003895787.07</v>
      </c>
      <c r="AF3" s="5" t="n">
        <v>2163684328.85</v>
      </c>
      <c r="AG3" s="5" t="n">
        <v>2336363087.25</v>
      </c>
      <c r="AH3" s="5" t="n">
        <v>2268088750.6</v>
      </c>
      <c r="AI3" s="5" t="n">
        <v>2796810770.592</v>
      </c>
      <c r="AJ3" s="5" t="n">
        <v>2404648227.8275</v>
      </c>
      <c r="AK3" s="5" t="n">
        <v>1861725343.9855</v>
      </c>
      <c r="AL3" s="5" t="n">
        <v>1783372534.0627</v>
      </c>
      <c r="AM3" s="5" t="n">
        <v>1788415710.7609</v>
      </c>
      <c r="AN3" s="5" t="n">
        <v>1657489192.2591</v>
      </c>
      <c r="AO3" s="5" t="n">
        <v>1857710221.0115</v>
      </c>
      <c r="AP3" s="5" t="n">
        <v>1701205861.0879</v>
      </c>
      <c r="AQ3" s="5" t="n">
        <v>2111986748.43</v>
      </c>
      <c r="AR3" s="5" t="n">
        <v>2382497299.38</v>
      </c>
      <c r="AS3" s="5" t="n">
        <v>2084797685.09</v>
      </c>
      <c r="AT3" s="5" t="n">
        <v>1981481809.3</v>
      </c>
      <c r="AU3" s="5" t="n">
        <v>2191729697.14</v>
      </c>
      <c r="AV3" s="5" t="n">
        <v>2198074759.53</v>
      </c>
      <c r="AW3" s="5" t="n">
        <v>2459980789.02</v>
      </c>
      <c r="AX3" s="5" t="n">
        <v>1012331422.78</v>
      </c>
      <c r="AY3" s="5"/>
    </row>
    <row r="4">
      <c r="A4" t="str">
        <f>M4</f>
      </c>
      <c r="B4" t="str">
        <f>N4</f>
      </c>
      <c r="M4" t="s">
        <v>65</v>
      </c>
      <c r="N4" t="s">
        <v>66</v>
      </c>
      <c r="O4" s="5" t="n">
        <v>8008000</v>
      </c>
      <c r="P4" s="5" t="n">
        <v>2356000</v>
      </c>
      <c r="Q4" s="5" t="n">
        <v>705000</v>
      </c>
      <c r="R4" s="5" t="n">
        <v>35000</v>
      </c>
      <c r="S4" s="5" t="n">
        <v>3331000</v>
      </c>
      <c r="T4" s="5" t="n">
        <v>7826000</v>
      </c>
      <c r="U4" s="5" t="n">
        <v>46000</v>
      </c>
      <c r="V4" s="5" t="n">
        <v>3310210</v>
      </c>
      <c r="W4" s="5" t="n">
        <v>1278785</v>
      </c>
      <c r="X4" s="5" t="n">
        <v>902234</v>
      </c>
      <c r="Y4" s="5" t="n">
        <v>8221442</v>
      </c>
      <c r="Z4" s="5" t="n">
        <v>9130615</v>
      </c>
      <c r="AA4" s="5" t="n">
        <v>22280053</v>
      </c>
      <c r="AB4" s="5" t="n">
        <v>20611069</v>
      </c>
      <c r="AC4" s="5" t="n">
        <v>49463752.6406</v>
      </c>
      <c r="AD4" s="5" t="n">
        <v>10742864.4004</v>
      </c>
      <c r="AE4" s="5" t="n">
        <v>1916858.1523</v>
      </c>
      <c r="AF4" s="5" t="n">
        <v>2709667.3293</v>
      </c>
      <c r="AG4" s="5" t="n">
        <v>930314.2947</v>
      </c>
      <c r="AH4" s="5" t="n">
        <v>244427.5315</v>
      </c>
      <c r="AI4" s="5" t="n">
        <v>142424882.104</v>
      </c>
      <c r="AJ4" s="5" t="n">
        <v>558733140.6799</v>
      </c>
      <c r="AK4" s="5" t="n">
        <v>1698954793.6019</v>
      </c>
      <c r="AL4" s="5" t="n">
        <v>1568548888.3238</v>
      </c>
      <c r="AM4" s="5" t="n">
        <v>2014605978.4852</v>
      </c>
      <c r="AN4" s="5" t="n">
        <v>2244578535.65</v>
      </c>
      <c r="AO4" s="5" t="n">
        <v>2682951279.3963</v>
      </c>
      <c r="AP4" s="5" t="n">
        <v>3000140277.8821</v>
      </c>
      <c r="AQ4" s="5" t="n">
        <v>2727769881.0172</v>
      </c>
      <c r="AR4" s="5" t="n">
        <v>2830983359.2267</v>
      </c>
      <c r="AS4" s="5" t="n">
        <v>3799391450.2057</v>
      </c>
      <c r="AT4" s="5" t="n">
        <v>3310187177.4694</v>
      </c>
      <c r="AU4" s="5" t="n">
        <v>3759755574.563</v>
      </c>
      <c r="AV4" s="5" t="n">
        <v>5131997329.1368</v>
      </c>
      <c r="AW4" s="5" t="n">
        <v>6144401901.72</v>
      </c>
      <c r="AX4" s="5" t="n">
        <v>2686921749.26</v>
      </c>
      <c r="AY4" s="5"/>
    </row>
    <row r="5">
      <c r="A5" t="str">
        <f>M5</f>
      </c>
      <c r="B5" t="str">
        <f>N5</f>
      </c>
      <c r="M5" t="s">
        <v>65</v>
      </c>
      <c r="N5" t="s">
        <v>67</v>
      </c>
      <c r="O5" s="5" t="n">
        <v>35000</v>
      </c>
      <c r="P5" s="5" t="n">
        <v>225000</v>
      </c>
      <c r="Q5" s="5" t="n">
        <v>784000</v>
      </c>
      <c r="R5" s="5" t="n">
        <v>350000</v>
      </c>
      <c r="S5" s="5" t="n">
        <v>4747000</v>
      </c>
      <c r="T5" s="5" t="n">
        <v>19289000</v>
      </c>
      <c r="U5" s="5" t="n">
        <v>83739000</v>
      </c>
      <c r="V5" s="5" t="n">
        <v>173888914</v>
      </c>
      <c r="W5" s="5" t="n">
        <v>488601045.32</v>
      </c>
      <c r="X5" s="5" t="n">
        <v>972782199.57</v>
      </c>
      <c r="Y5" s="5" t="n">
        <v>3403814853.3234</v>
      </c>
      <c r="Z5" s="5" t="n">
        <v>3676182868.7866</v>
      </c>
      <c r="AA5" s="5" t="n">
        <v>4907435115.6817</v>
      </c>
      <c r="AB5" s="5" t="n">
        <v>5762931430.4176</v>
      </c>
      <c r="AC5" s="5" t="n">
        <v>6164915620.1155</v>
      </c>
      <c r="AD5" s="5" t="n">
        <v>5568805912.6965</v>
      </c>
      <c r="AE5" s="5" t="n">
        <v>5862450974.101</v>
      </c>
      <c r="AF5" s="5" t="n">
        <v>5091094395.5873</v>
      </c>
      <c r="AG5" s="5" t="n">
        <v>4762596010.0103</v>
      </c>
      <c r="AH5" s="5" t="n">
        <v>4299315325.8996</v>
      </c>
      <c r="AI5" s="5" t="n">
        <v>4158166004.4077</v>
      </c>
      <c r="AJ5" s="5" t="n">
        <v>4261793823.0651</v>
      </c>
      <c r="AK5" s="5" t="n">
        <v>4464067385.5296</v>
      </c>
      <c r="AL5" s="5" t="n">
        <v>3778591623.2397</v>
      </c>
      <c r="AM5" s="5" t="n">
        <v>4125640111.1352</v>
      </c>
      <c r="AN5" s="5" t="n">
        <v>3898086895.3259</v>
      </c>
      <c r="AO5" s="5" t="n">
        <v>4437681367.4164</v>
      </c>
      <c r="AP5" s="5" t="n">
        <v>4694702009.0262</v>
      </c>
      <c r="AQ5" s="5" t="n">
        <v>5483277848.1843</v>
      </c>
      <c r="AR5" s="5" t="n">
        <v>6372885740.4149</v>
      </c>
      <c r="AS5" s="5" t="n">
        <v>7180073373.7323</v>
      </c>
      <c r="AT5" s="5" t="n">
        <v>7269439601.5908</v>
      </c>
      <c r="AU5" s="5" t="n">
        <v>7652966743.2939</v>
      </c>
      <c r="AV5" s="5" t="n">
        <v>7807578975.3932</v>
      </c>
      <c r="AW5" s="5" t="n">
        <v>7740469058.4</v>
      </c>
      <c r="AX5" s="5" t="n">
        <v>2827259418.11</v>
      </c>
      <c r="AY5" s="5"/>
    </row>
    <row r="6">
      <c r="A6" t="str">
        <f>M6</f>
      </c>
      <c r="B6" t="str">
        <f>N6</f>
      </c>
      <c r="M6" t="s">
        <v>65</v>
      </c>
      <c r="N6" t="s">
        <v>68</v>
      </c>
      <c r="O6" s="5"/>
      <c r="P6" s="5" t="n">
        <v>59000</v>
      </c>
      <c r="Q6" s="5" t="n">
        <v>154000</v>
      </c>
      <c r="R6" s="5"/>
      <c r="S6" s="5"/>
      <c r="T6" s="5" t="n">
        <v>0</v>
      </c>
      <c r="U6" s="5" t="n">
        <v>0</v>
      </c>
      <c r="V6" s="5" t="n">
        <v>243565784</v>
      </c>
      <c r="W6" s="5" t="n">
        <v>382509264</v>
      </c>
      <c r="X6" s="5" t="n">
        <v>678993561.94</v>
      </c>
      <c r="Y6" s="5" t="n">
        <v>1726149162.3012</v>
      </c>
      <c r="Z6" s="5" t="n">
        <v>2168532694.635</v>
      </c>
      <c r="AA6" s="5" t="n">
        <v>2402379757.1437</v>
      </c>
      <c r="AB6" s="5" t="n">
        <v>3518300065.647</v>
      </c>
      <c r="AC6" s="5" t="n">
        <v>4579288833.2287</v>
      </c>
      <c r="AD6" s="5" t="n">
        <v>5927502446.7852</v>
      </c>
      <c r="AE6" s="5" t="n">
        <v>7213638627.2023</v>
      </c>
      <c r="AF6" s="5" t="n">
        <v>10844780533.4714</v>
      </c>
      <c r="AG6" s="5" t="n">
        <v>12803754268.4698</v>
      </c>
      <c r="AH6" s="5" t="n">
        <v>13503154589.4892</v>
      </c>
      <c r="AI6" s="5" t="n">
        <v>13440584461.217</v>
      </c>
      <c r="AJ6" s="5" t="n">
        <v>11438130563.5045</v>
      </c>
      <c r="AK6" s="5" t="n">
        <v>10635674263.3454</v>
      </c>
      <c r="AL6" s="5" t="n">
        <v>8153385061.3369</v>
      </c>
      <c r="AM6" s="5" t="n">
        <v>7982863443.861</v>
      </c>
      <c r="AN6" s="5" t="n">
        <v>7991905869.8759</v>
      </c>
      <c r="AO6" s="5" t="n">
        <v>9541811440.3088</v>
      </c>
      <c r="AP6" s="5" t="n">
        <v>10536540025.5294</v>
      </c>
      <c r="AQ6" s="5" t="n">
        <v>11227087671.6687</v>
      </c>
      <c r="AR6" s="5" t="n">
        <v>11467219376.4914</v>
      </c>
      <c r="AS6" s="5" t="n">
        <v>11218833082.8735</v>
      </c>
      <c r="AT6" s="5" t="n">
        <v>9081763949.8806</v>
      </c>
      <c r="AU6" s="5" t="n">
        <v>9512957833.6978</v>
      </c>
      <c r="AV6" s="5" t="n">
        <v>9678912907.9636</v>
      </c>
      <c r="AW6" s="5" t="n">
        <v>10219815756.9625</v>
      </c>
      <c r="AX6" s="5" t="n">
        <v>4107389734.17</v>
      </c>
      <c r="AY6" s="5"/>
    </row>
    <row r="7">
      <c r="A7" t="str">
        <f>M7</f>
      </c>
      <c r="B7" t="str">
        <f>N7</f>
      </c>
      <c r="M7" t="s">
        <v>65</v>
      </c>
      <c r="N7" t="s">
        <v>69</v>
      </c>
      <c r="O7" s="5" t="n">
        <v>2464000</v>
      </c>
      <c r="P7" s="5" t="n">
        <v>3661000</v>
      </c>
      <c r="Q7" s="5" t="n">
        <v>10692000</v>
      </c>
      <c r="R7" s="5" t="n">
        <v>7140000</v>
      </c>
      <c r="S7" s="5" t="n">
        <v>998000</v>
      </c>
      <c r="T7" s="5" t="n">
        <v>1048000</v>
      </c>
      <c r="U7" s="5" t="n">
        <v>3559000</v>
      </c>
      <c r="V7" s="5" t="n">
        <v>884978928</v>
      </c>
      <c r="W7" s="5" t="n">
        <v>1398987022.07</v>
      </c>
      <c r="X7" s="5" t="n">
        <v>2478043838.94</v>
      </c>
      <c r="Y7" s="5" t="n">
        <v>6877753921.1716</v>
      </c>
      <c r="Z7" s="5" t="n">
        <v>7262420236.5191</v>
      </c>
      <c r="AA7" s="5" t="n">
        <v>8471974712.1727</v>
      </c>
      <c r="AB7" s="5" t="n">
        <v>11100018359.9154</v>
      </c>
      <c r="AC7" s="5" t="n">
        <v>14095162856.8866</v>
      </c>
      <c r="AD7" s="5" t="n">
        <v>16205571687.5275</v>
      </c>
      <c r="AE7" s="5" t="n">
        <v>18394961962.6743</v>
      </c>
      <c r="AF7" s="5" t="n">
        <v>20642076077.8442</v>
      </c>
      <c r="AG7" s="5" t="n">
        <v>23321648594.586</v>
      </c>
      <c r="AH7" s="5" t="n">
        <v>21888069170.9824</v>
      </c>
      <c r="AI7" s="5" t="n">
        <v>21739164076.1566</v>
      </c>
      <c r="AJ7" s="5" t="n">
        <v>19212876925.027</v>
      </c>
      <c r="AK7" s="5" t="n">
        <v>16056713455.1747</v>
      </c>
      <c r="AL7" s="5" t="n">
        <v>13369690709.2631</v>
      </c>
      <c r="AM7" s="5" t="n">
        <v>12628805322.9511</v>
      </c>
      <c r="AN7" s="5" t="n">
        <v>11736193013.387</v>
      </c>
      <c r="AO7" s="5" t="n">
        <v>12989923609.5916</v>
      </c>
      <c r="AP7" s="5" t="n">
        <v>13646109069.0189</v>
      </c>
      <c r="AQ7" s="5" t="n">
        <v>16203832165.6124</v>
      </c>
      <c r="AR7" s="5" t="n">
        <v>18800180733.435</v>
      </c>
      <c r="AS7" s="5" t="n">
        <v>18015198425.9633</v>
      </c>
      <c r="AT7" s="5" t="n">
        <v>16023394354.8023</v>
      </c>
      <c r="AU7" s="5" t="n">
        <v>17416036179.054</v>
      </c>
      <c r="AV7" s="5" t="n">
        <v>18747858830.4024</v>
      </c>
      <c r="AW7" s="5" t="n">
        <v>18740127596.74</v>
      </c>
      <c r="AX7" s="5" t="n">
        <v>7480630679.2</v>
      </c>
      <c r="AY7" s="5"/>
    </row>
    <row r="8">
      <c r="A8" t="str">
        <f>M8</f>
      </c>
      <c r="B8" t="str">
        <f>N8</f>
      </c>
      <c r="M8" t="s">
        <v>65</v>
      </c>
      <c r="N8" t="s">
        <v>70</v>
      </c>
      <c r="O8" s="5" t="n">
        <v>197000</v>
      </c>
      <c r="P8" s="5" t="n">
        <v>1832000</v>
      </c>
      <c r="Q8" s="5" t="n">
        <v>2709000</v>
      </c>
      <c r="R8" s="5" t="n">
        <v>7066000</v>
      </c>
      <c r="S8" s="5"/>
      <c r="T8" s="5"/>
      <c r="U8" s="5" t="n">
        <v>0</v>
      </c>
      <c r="V8" s="5" t="n">
        <v>72801046</v>
      </c>
      <c r="W8" s="5" t="n">
        <v>63211358</v>
      </c>
      <c r="X8" s="5" t="n">
        <v>60720104</v>
      </c>
      <c r="Y8" s="5" t="n">
        <v>144576130</v>
      </c>
      <c r="Z8" s="5" t="n">
        <v>288748398</v>
      </c>
      <c r="AA8" s="5" t="n">
        <v>299545085.5508</v>
      </c>
      <c r="AB8" s="5" t="n">
        <v>146085539</v>
      </c>
      <c r="AC8" s="5" t="n">
        <v>77671347</v>
      </c>
      <c r="AD8" s="5" t="n">
        <v>33326621</v>
      </c>
      <c r="AE8" s="5" t="n">
        <v>30209352.1198</v>
      </c>
      <c r="AF8" s="5" t="n">
        <v>5203954.7949</v>
      </c>
      <c r="AG8" s="5" t="n">
        <v>3039422.4814</v>
      </c>
      <c r="AH8" s="5" t="n">
        <v>839351.5308</v>
      </c>
      <c r="AI8" s="5" t="n">
        <v>2390913.3141</v>
      </c>
      <c r="AJ8" s="5" t="n">
        <v>231987.43</v>
      </c>
      <c r="AK8" s="5" t="n">
        <v>-21710.041</v>
      </c>
      <c r="AL8" s="5"/>
      <c r="AM8" s="5" t="n">
        <v>823307.79</v>
      </c>
      <c r="AN8" s="5" t="n">
        <v>116751.96</v>
      </c>
      <c r="AO8" s="5" t="n">
        <v>20054.1602</v>
      </c>
      <c r="AP8" s="5" t="n">
        <v>-3169.49</v>
      </c>
      <c r="AQ8" s="5" t="n">
        <v>526822.287</v>
      </c>
      <c r="AR8" s="5"/>
      <c r="AS8" s="5"/>
      <c r="AT8" s="5" t="n">
        <v>832221.2852</v>
      </c>
      <c r="AU8" s="5"/>
      <c r="AV8" s="5"/>
      <c r="AW8" s="5" t="n">
        <v>15204</v>
      </c>
      <c r="AX8" s="5"/>
      <c r="AY8" s="5"/>
    </row>
    <row r="9">
      <c r="A9" t="str">
        <f>M9</f>
      </c>
      <c r="B9" t="str">
        <f>N9</f>
      </c>
      <c r="M9"/>
      <c r="N9"/>
      <c r="O9" s="5" t="n">
        <v>19702439894</v>
      </c>
      <c r="P9" s="5" t="n">
        <v>19319790733</v>
      </c>
      <c r="Q9" s="5" t="n">
        <v>19388422483</v>
      </c>
      <c r="R9" s="5" t="n">
        <v>18242606124</v>
      </c>
      <c r="S9" s="5" t="n">
        <v>17643820302</v>
      </c>
      <c r="T9" s="5" t="n">
        <v>18690677727</v>
      </c>
      <c r="U9" s="5" t="n">
        <v>18181631640</v>
      </c>
      <c r="V9" s="5" t="n">
        <v>18426200437</v>
      </c>
      <c r="W9" s="5" t="n">
        <v>17482014443</v>
      </c>
      <c r="X9" s="5" t="n">
        <v>19577458903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 t="n">
        <v>0</v>
      </c>
      <c r="AT9" s="5"/>
      <c r="AU9" s="5" t="n">
        <v>0</v>
      </c>
      <c r="AV9" s="5" t="n">
        <v>0</v>
      </c>
      <c r="AW9" s="5" t="n">
        <v>0</v>
      </c>
      <c r="AX9" s="5" t="n">
        <v>0</v>
      </c>
      <c r="AY9" s="5"/>
    </row>
    <row r="10">
      <c r="A10" t="str">
        <f>M10</f>
      </c>
      <c r="B10" t="str">
        <f>N10</f>
      </c>
      <c r="M10" t="s">
        <v>542</v>
      </c>
      <c r="N10" t="s">
        <v>543</v>
      </c>
      <c r="O10" s="5" t="str">
        <f>Sum(O2:O9)</f>
      </c>
      <c r="P10" s="5" t="str">
        <f>Sum(P2:P9)</f>
      </c>
      <c r="Q10" s="5" t="str">
        <f>Sum(Q2:Q9)</f>
      </c>
      <c r="R10" s="5" t="str">
        <f>Sum(R2:R9)</f>
      </c>
      <c r="S10" s="5" t="str">
        <f>Sum(S2:S9)</f>
      </c>
      <c r="T10" s="5" t="str">
        <f>Sum(T2:T9)</f>
      </c>
      <c r="U10" s="5" t="str">
        <f>Sum(U2:U9)</f>
      </c>
      <c r="V10" s="5" t="str">
        <f>Sum(V2:V9)</f>
      </c>
      <c r="W10" s="5" t="str">
        <f>Sum(W2:W9)</f>
      </c>
      <c r="X10" s="5" t="str">
        <f>Sum(X2:X9)</f>
      </c>
      <c r="Y10" s="5" t="str">
        <f>Sum(Y2:Y9)</f>
      </c>
      <c r="Z10" s="5" t="str">
        <f>Sum(Z2:Z9)</f>
      </c>
      <c r="AA10" s="5" t="str">
        <f>Sum(AA2:AA9)</f>
      </c>
      <c r="AB10" s="5" t="str">
        <f>Sum(AB2:AB9)</f>
      </c>
      <c r="AC10" s="5" t="str">
        <f>Sum(AC2:AC9)</f>
      </c>
      <c r="AD10" s="5" t="str">
        <f>Sum(AD2:AD9)</f>
      </c>
      <c r="AE10" s="5" t="str">
        <f>Sum(AE2:AE9)</f>
      </c>
      <c r="AF10" s="5" t="str">
        <f>Sum(AF2:AF9)</f>
      </c>
      <c r="AG10" s="5" t="str">
        <f>Sum(AG2:AG9)</f>
      </c>
      <c r="AH10" s="5" t="str">
        <f>Sum(AH2:AH9)</f>
      </c>
      <c r="AI10" s="5" t="str">
        <f>Sum(AI2:AI9)</f>
      </c>
      <c r="AJ10" s="5" t="str">
        <f>Sum(AJ2:AJ9)</f>
      </c>
      <c r="AK10" s="5" t="str">
        <f>Sum(AK2:AK9)</f>
      </c>
      <c r="AL10" s="5" t="str">
        <f>Sum(AL2:AL9)</f>
      </c>
      <c r="AM10" s="5" t="str">
        <f>Sum(AM2:AM9)</f>
      </c>
      <c r="AN10" s="5" t="str">
        <f>Sum(AN2:AN9)</f>
      </c>
      <c r="AO10" s="5" t="str">
        <f>Sum(AO2:AO9)</f>
      </c>
      <c r="AP10" s="5" t="str">
        <f>Sum(AP2:AP9)</f>
      </c>
      <c r="AQ10" s="5" t="str">
        <f>Sum(AQ2:AQ9)</f>
      </c>
      <c r="AR10" s="5" t="str">
        <f>Sum(AR2:AR9)</f>
      </c>
      <c r="AS10" s="5" t="str">
        <f>Sum(AS2:AS9)</f>
      </c>
      <c r="AT10" s="5" t="str">
        <f>Sum(AT2:AT9)</f>
      </c>
      <c r="AU10" s="5" t="str">
        <f>Sum(AU2:AU9)</f>
      </c>
      <c r="AV10" s="5" t="str">
        <f>Sum(AV2:AV9)</f>
      </c>
      <c r="AW10" s="5" t="str">
        <f>Sum(AW2:AW9)</f>
      </c>
      <c r="AX10" s="5" t="str">
        <f>Sum(AX2:AX9)</f>
      </c>
      <c r="AY10" s="5"/>
    </row>
    <row r="13">
      <c r="A13" t="str">
        <f>M13</f>
      </c>
      <c r="B13" t="str">
        <f>N13</f>
      </c>
      <c r="M13" t="s">
        <v>60</v>
      </c>
      <c r="N13" t="s">
        <v>61</v>
      </c>
      <c r="O13" t="s">
        <v>1</v>
      </c>
      <c r="P13" t="s">
        <v>2</v>
      </c>
      <c r="Q13" t="s">
        <v>3</v>
      </c>
      <c r="R13" t="s">
        <v>4</v>
      </c>
      <c r="S13" t="s">
        <v>5</v>
      </c>
      <c r="T13" t="s">
        <v>6</v>
      </c>
      <c r="U13" t="s">
        <v>7</v>
      </c>
      <c r="V13" t="s">
        <v>8</v>
      </c>
      <c r="W13" t="s">
        <v>9</v>
      </c>
      <c r="X13" t="s">
        <v>10</v>
      </c>
      <c r="Y13" t="s">
        <v>11</v>
      </c>
      <c r="Z13" t="s">
        <v>12</v>
      </c>
      <c r="AA13" t="s">
        <v>13</v>
      </c>
      <c r="AB13" t="s">
        <v>14</v>
      </c>
      <c r="AC13" t="s">
        <v>15</v>
      </c>
      <c r="AD13" t="s">
        <v>16</v>
      </c>
      <c r="AE13" t="s">
        <v>17</v>
      </c>
      <c r="AF13" t="s">
        <v>18</v>
      </c>
      <c r="AG13" t="s">
        <v>19</v>
      </c>
      <c r="AH13" t="s">
        <v>20</v>
      </c>
      <c r="AI13" t="s">
        <v>21</v>
      </c>
      <c r="AJ13" t="s">
        <v>22</v>
      </c>
      <c r="AK13" t="s">
        <v>23</v>
      </c>
      <c r="AL13" t="s">
        <v>24</v>
      </c>
      <c r="AM13" t="s">
        <v>25</v>
      </c>
      <c r="AN13" t="s">
        <v>26</v>
      </c>
      <c r="AO13" t="s">
        <v>27</v>
      </c>
      <c r="AP13" t="s">
        <v>28</v>
      </c>
      <c r="AQ13" t="s">
        <v>29</v>
      </c>
      <c r="AR13" t="s">
        <v>30</v>
      </c>
      <c r="AS13" t="s">
        <v>31</v>
      </c>
      <c r="AT13" t="s">
        <v>32</v>
      </c>
      <c r="AU13" t="s">
        <v>33</v>
      </c>
      <c r="AV13" t="s">
        <v>34</v>
      </c>
      <c r="AW13" t="s">
        <v>550</v>
      </c>
      <c r="AX13" t="s">
        <v>551</v>
      </c>
    </row>
    <row r="14">
      <c r="A14" t="str">
        <f>M14</f>
      </c>
      <c r="B14" t="str">
        <f>N14</f>
      </c>
      <c r="M14" t="s">
        <v>62</v>
      </c>
      <c r="N14" t="s">
        <v>63</v>
      </c>
      <c r="O14" s="5" t="n">
        <v>576207079.700943</v>
      </c>
      <c r="P14" s="5" t="n">
        <v>427466654.990973</v>
      </c>
      <c r="Q14" s="5" t="n">
        <v>224485288.416207</v>
      </c>
      <c r="R14" s="5" t="n">
        <v>679071241.264502</v>
      </c>
      <c r="S14" s="5" t="n">
        <v>266648344.555136</v>
      </c>
      <c r="T14" s="5" t="n">
        <v>391969851.234557</v>
      </c>
      <c r="U14" s="5" t="n">
        <v>295315224.469059</v>
      </c>
      <c r="V14" s="5" t="n">
        <v>3823723021.53385</v>
      </c>
      <c r="W14" s="5" t="n">
        <v>3744771543.91862</v>
      </c>
      <c r="X14" s="5" t="n">
        <v>3499997348.54281</v>
      </c>
      <c r="Y14" s="5" t="n">
        <v>13486290574.8529</v>
      </c>
      <c r="Z14" s="5" t="n">
        <v>13657408844.6994</v>
      </c>
      <c r="AA14" s="5" t="n">
        <v>14221163704.1373</v>
      </c>
      <c r="AB14" s="5" t="n">
        <v>14904569961.4777</v>
      </c>
      <c r="AC14" s="5" t="n">
        <v>16884708945.6837</v>
      </c>
      <c r="AD14" s="5" t="n">
        <v>19036753201.8749</v>
      </c>
      <c r="AE14" s="5" t="n">
        <v>17012356331.0439</v>
      </c>
      <c r="AF14" s="5" t="n">
        <v>19400782407.5094</v>
      </c>
      <c r="AG14" s="5" t="n">
        <v>19031915114.314</v>
      </c>
      <c r="AH14" s="5" t="n">
        <v>18369237634.6821</v>
      </c>
      <c r="AI14" s="5" t="n">
        <v>18810822667.819</v>
      </c>
      <c r="AJ14" s="5" t="n">
        <v>19351902989.9477</v>
      </c>
      <c r="AK14" s="5" t="n">
        <v>19472011341.262</v>
      </c>
      <c r="AL14" s="5" t="n">
        <v>16559327990.8387</v>
      </c>
      <c r="AM14" s="5" t="n">
        <v>15600474346.5882</v>
      </c>
      <c r="AN14" s="5" t="n">
        <v>15049389228.6168</v>
      </c>
      <c r="AO14" s="5" t="n">
        <v>14669922624.0315</v>
      </c>
      <c r="AP14" s="5" t="n">
        <v>15029299570.408</v>
      </c>
      <c r="AQ14" s="5" t="n">
        <v>15773273564.4086</v>
      </c>
      <c r="AR14" s="5" t="n">
        <v>15336571155.1559</v>
      </c>
      <c r="AS14" s="5" t="n">
        <v>15108149216.3148</v>
      </c>
      <c r="AT14" s="5" t="n">
        <v>13370543167.0133</v>
      </c>
      <c r="AU14" s="5" t="n">
        <v>13590994596.0961</v>
      </c>
      <c r="AV14" s="5" t="n">
        <v>12745224505.08</v>
      </c>
      <c r="AW14" s="5" t="n">
        <v>12447069903.4922</v>
      </c>
      <c r="AX14" s="5" t="n">
        <v>4801666985.69939</v>
      </c>
      <c r="AY14" s="5"/>
    </row>
    <row r="15">
      <c r="A15" t="str">
        <f>M15</f>
      </c>
      <c r="B15" t="str">
        <f>N15</f>
      </c>
      <c r="M15" t="s">
        <v>62</v>
      </c>
      <c r="N15" t="s">
        <v>64</v>
      </c>
      <c r="O15" s="5" t="n">
        <v>134446599.047277</v>
      </c>
      <c r="P15" s="5" t="n">
        <v>404188886.465239</v>
      </c>
      <c r="Q15" s="5" t="n">
        <v>117585398.358301</v>
      </c>
      <c r="R15" s="5" t="n">
        <v>776618.743040471</v>
      </c>
      <c r="S15" s="5" t="n">
        <v>82502033.1556725</v>
      </c>
      <c r="T15" s="5" t="n">
        <v>3009795.28023714</v>
      </c>
      <c r="U15" s="5" t="n">
        <v>8661992.66401912</v>
      </c>
      <c r="V15" s="5" t="n">
        <v>28382047.2940416</v>
      </c>
      <c r="W15" s="5" t="n">
        <v>269609983.899947</v>
      </c>
      <c r="X15" s="5" t="n">
        <v>434119195.154478</v>
      </c>
      <c r="Y15" s="5" t="n">
        <v>958213424.990111</v>
      </c>
      <c r="Z15" s="5" t="n">
        <v>1085273712.79918</v>
      </c>
      <c r="AA15" s="5" t="n">
        <v>1453748170.01654</v>
      </c>
      <c r="AB15" s="5" t="n">
        <v>2428120461.89138</v>
      </c>
      <c r="AC15" s="5" t="n">
        <v>2563445203.0463</v>
      </c>
      <c r="AD15" s="5" t="n">
        <v>2723542539.63915</v>
      </c>
      <c r="AE15" s="5" t="n">
        <v>2915213426.64383</v>
      </c>
      <c r="AF15" s="5" t="n">
        <v>3063337347.32019</v>
      </c>
      <c r="AG15" s="5" t="n">
        <v>3240539051.75752</v>
      </c>
      <c r="AH15" s="5" t="n">
        <v>3113998353.69569</v>
      </c>
      <c r="AI15" s="5" t="n">
        <v>3806943472.80365</v>
      </c>
      <c r="AJ15" s="5" t="n">
        <v>3208738624.38503</v>
      </c>
      <c r="AK15" s="5" t="n">
        <v>2439991548.50111</v>
      </c>
      <c r="AL15" s="5" t="n">
        <v>2295647845.18176</v>
      </c>
      <c r="AM15" s="5" t="n">
        <v>2260893805.06178</v>
      </c>
      <c r="AN15" s="5" t="n">
        <v>2073900222.38324</v>
      </c>
      <c r="AO15" s="5" t="n">
        <v>2305986239.33154</v>
      </c>
      <c r="AP15" s="5" t="n">
        <v>2076661995.02893</v>
      </c>
      <c r="AQ15" s="5" t="n">
        <v>2522111350.93797</v>
      </c>
      <c r="AR15" s="5" t="n">
        <v>2793501541.20498</v>
      </c>
      <c r="AS15" s="5" t="n">
        <v>2412925508.49719</v>
      </c>
      <c r="AT15" s="5" t="n">
        <v>2217043853.90372</v>
      </c>
      <c r="AU15" s="5" t="n">
        <v>2291993867.32785</v>
      </c>
      <c r="AV15" s="5" t="n">
        <v>2198074759.53</v>
      </c>
      <c r="AW15" s="5" t="n">
        <v>2395993417.5625</v>
      </c>
      <c r="AX15" s="5" t="n">
        <v>964828988.002549</v>
      </c>
      <c r="AY15" s="5"/>
    </row>
    <row r="16">
      <c r="A16" t="str">
        <f>M16</f>
      </c>
      <c r="B16" t="str">
        <f>N16</f>
      </c>
      <c r="M16" t="s">
        <v>65</v>
      </c>
      <c r="N16" t="s">
        <v>66</v>
      </c>
      <c r="O16" s="5" t="n">
        <v>16562801.7532859</v>
      </c>
      <c r="P16" s="5" t="n">
        <v>4704677.24514277</v>
      </c>
      <c r="Q16" s="5" t="n">
        <v>1373433.61016937</v>
      </c>
      <c r="R16" s="5" t="n">
        <v>66621.7058980796</v>
      </c>
      <c r="S16" s="5" t="n">
        <v>6205023.19857177</v>
      </c>
      <c r="T16" s="5" t="n">
        <v>14275550.2200823</v>
      </c>
      <c r="U16" s="5" t="n">
        <v>82358.7562101859</v>
      </c>
      <c r="V16" s="5" t="n">
        <v>5823279.07269935</v>
      </c>
      <c r="W16" s="5" t="n">
        <v>2221766.08419453</v>
      </c>
      <c r="X16" s="5" t="n">
        <v>1548372.05574042</v>
      </c>
      <c r="Y16" s="5" t="n">
        <v>13821669.5291474</v>
      </c>
      <c r="Z16" s="5" t="n">
        <v>14986878.7470828</v>
      </c>
      <c r="AA16" s="5" t="n">
        <v>36003787.0076358</v>
      </c>
      <c r="AB16" s="5" t="n">
        <v>32679480.3382276</v>
      </c>
      <c r="AC16" s="5" t="n">
        <v>76556869.3432213</v>
      </c>
      <c r="AD16" s="5" t="n">
        <v>16136107.5189557</v>
      </c>
      <c r="AE16" s="5" t="n">
        <v>2788593.42816785</v>
      </c>
      <c r="AF16" s="5" t="n">
        <v>3836338.33178883</v>
      </c>
      <c r="AG16" s="5" t="n">
        <v>1290347.30039844</v>
      </c>
      <c r="AH16" s="5" t="n">
        <v>335589.57094935</v>
      </c>
      <c r="AI16" s="5" t="n">
        <v>193864912.489551</v>
      </c>
      <c r="AJ16" s="5" t="n">
        <v>745567933.170539</v>
      </c>
      <c r="AK16" s="5" t="n">
        <v>2226663213.81204</v>
      </c>
      <c r="AL16" s="5" t="n">
        <v>2019115920.40711</v>
      </c>
      <c r="AM16" s="5" t="n">
        <v>2546840842.9826</v>
      </c>
      <c r="AN16" s="5" t="n">
        <v>2808484028.72331</v>
      </c>
      <c r="AO16" s="5" t="n">
        <v>3330362648.11858</v>
      </c>
      <c r="AP16" s="5" t="n">
        <v>3662271237.9142</v>
      </c>
      <c r="AQ16" s="5" t="n">
        <v>3257472796.53834</v>
      </c>
      <c r="AR16" s="5" t="n">
        <v>3319355862.09623</v>
      </c>
      <c r="AS16" s="5" t="n">
        <v>4397380432.89878</v>
      </c>
      <c r="AT16" s="5" t="n">
        <v>3703708054.56551</v>
      </c>
      <c r="AU16" s="5" t="n">
        <v>3931751589.07365</v>
      </c>
      <c r="AV16" s="5" t="n">
        <v>5131997329.1368</v>
      </c>
      <c r="AW16" s="5" t="n">
        <v>5984577837.79868</v>
      </c>
      <c r="AX16" s="5" t="n">
        <v>2560841176.9551</v>
      </c>
      <c r="AY16" s="5"/>
    </row>
    <row r="17">
      <c r="A17" t="str">
        <f>M17</f>
      </c>
      <c r="B17" t="str">
        <f>N17</f>
      </c>
      <c r="M17" t="s">
        <v>65</v>
      </c>
      <c r="N17" t="s">
        <v>67</v>
      </c>
      <c r="O17" s="5" t="n">
        <v>72389.867802823</v>
      </c>
      <c r="P17" s="5" t="n">
        <v>449300.670694874</v>
      </c>
      <c r="Q17" s="5" t="n">
        <v>1527336.09981955</v>
      </c>
      <c r="R17" s="5" t="n">
        <v>666217.058980796</v>
      </c>
      <c r="S17" s="5" t="n">
        <v>8842763.47151611</v>
      </c>
      <c r="T17" s="5" t="n">
        <v>35185418.885148</v>
      </c>
      <c r="U17" s="5" t="n">
        <v>149926954.049669</v>
      </c>
      <c r="V17" s="5" t="n">
        <v>305903152.328891</v>
      </c>
      <c r="W17" s="5" t="n">
        <v>848897376.176581</v>
      </c>
      <c r="X17" s="5" t="n">
        <v>1669443596.82287</v>
      </c>
      <c r="Y17" s="5" t="n">
        <v>5722402960.5803</v>
      </c>
      <c r="Z17" s="5" t="n">
        <v>6034041179.76806</v>
      </c>
      <c r="AA17" s="5" t="n">
        <v>7930243642.54414</v>
      </c>
      <c r="AB17" s="5" t="n">
        <v>9137304055.93644</v>
      </c>
      <c r="AC17" s="5" t="n">
        <v>9541666663.87893</v>
      </c>
      <c r="AD17" s="5" t="n">
        <v>8364515050.20587</v>
      </c>
      <c r="AE17" s="5" t="n">
        <v>8528535217.75653</v>
      </c>
      <c r="AF17" s="5" t="n">
        <v>7207955149.82735</v>
      </c>
      <c r="AG17" s="5" t="n">
        <v>6605727698.06455</v>
      </c>
      <c r="AH17" s="5" t="n">
        <v>5902794078.63926</v>
      </c>
      <c r="AI17" s="5" t="n">
        <v>5659983541.16865</v>
      </c>
      <c r="AJ17" s="5" t="n">
        <v>5686895193.64306</v>
      </c>
      <c r="AK17" s="5" t="n">
        <v>5850641034.57599</v>
      </c>
      <c r="AL17" s="5" t="n">
        <v>4863995352.64295</v>
      </c>
      <c r="AM17" s="5" t="n">
        <v>5215585008.03565</v>
      </c>
      <c r="AN17" s="5" t="n">
        <v>4877403313.90458</v>
      </c>
      <c r="AO17" s="5" t="n">
        <v>5508519063.98422</v>
      </c>
      <c r="AP17" s="5" t="n">
        <v>5730822743.51917</v>
      </c>
      <c r="AQ17" s="5" t="n">
        <v>6548070110.54061</v>
      </c>
      <c r="AR17" s="5" t="n">
        <v>7472271277.03569</v>
      </c>
      <c r="AS17" s="5" t="n">
        <v>8310150342.29194</v>
      </c>
      <c r="AT17" s="5" t="n">
        <v>8133643374.56359</v>
      </c>
      <c r="AU17" s="5" t="n">
        <v>8003063911.29453</v>
      </c>
      <c r="AV17" s="5" t="n">
        <v>7807578975.3932</v>
      </c>
      <c r="AW17" s="5" t="n">
        <v>7539129165.37894</v>
      </c>
      <c r="AX17" s="5" t="n">
        <v>2694593669.4376</v>
      </c>
      <c r="AY17" s="5"/>
    </row>
    <row r="18">
      <c r="A18" t="str">
        <f>M18</f>
      </c>
      <c r="B18" t="str">
        <f>N18</f>
      </c>
      <c r="M18" t="s">
        <v>65</v>
      </c>
      <c r="N18" t="s">
        <v>68</v>
      </c>
      <c r="O18" s="5"/>
      <c r="P18" s="5" t="n">
        <v>117816.620315545</v>
      </c>
      <c r="Q18" s="5" t="n">
        <v>300012.44817884</v>
      </c>
      <c r="R18" s="5"/>
      <c r="S18" s="5"/>
      <c r="T18" s="5" t="n">
        <v>0</v>
      </c>
      <c r="U18" s="5" t="n">
        <v>0</v>
      </c>
      <c r="V18" s="5" t="n">
        <v>428477810.408648</v>
      </c>
      <c r="W18" s="5" t="n">
        <v>664573098.40623</v>
      </c>
      <c r="X18" s="5" t="n">
        <v>1165257191.96522</v>
      </c>
      <c r="Y18" s="5" t="n">
        <v>2901956041.20807</v>
      </c>
      <c r="Z18" s="5" t="n">
        <v>3559402795.27497</v>
      </c>
      <c r="AA18" s="5" t="n">
        <v>3882161729.49219</v>
      </c>
      <c r="AB18" s="5" t="n">
        <v>5578372369.68621</v>
      </c>
      <c r="AC18" s="5" t="n">
        <v>7087533763.10976</v>
      </c>
      <c r="AD18" s="5" t="n">
        <v>8903288102.25301</v>
      </c>
      <c r="AE18" s="5" t="n">
        <v>10494206493.5047</v>
      </c>
      <c r="AF18" s="5" t="n">
        <v>15354005567.5917</v>
      </c>
      <c r="AG18" s="5" t="n">
        <v>17758826075.668</v>
      </c>
      <c r="AH18" s="5" t="n">
        <v>18539310311.4877</v>
      </c>
      <c r="AI18" s="5" t="n">
        <v>18294961469.4403</v>
      </c>
      <c r="AJ18" s="5" t="n">
        <v>15262927402.4977</v>
      </c>
      <c r="AK18" s="5" t="n">
        <v>13939196455.0576</v>
      </c>
      <c r="AL18" s="5" t="n">
        <v>10495452009.8811</v>
      </c>
      <c r="AM18" s="5" t="n">
        <v>10091840727.1208</v>
      </c>
      <c r="AN18" s="5" t="n">
        <v>9999712479.7002</v>
      </c>
      <c r="AO18" s="5" t="n">
        <v>11844304687.9873</v>
      </c>
      <c r="AP18" s="5" t="n">
        <v>12861954411.6345</v>
      </c>
      <c r="AQ18" s="5" t="n">
        <v>13407264641.0972</v>
      </c>
      <c r="AR18" s="5" t="n">
        <v>13445427623.318</v>
      </c>
      <c r="AS18" s="5" t="n">
        <v>12984573378.4326</v>
      </c>
      <c r="AT18" s="5" t="n">
        <v>10161420030.8002</v>
      </c>
      <c r="AU18" s="5" t="n">
        <v>9948143260.29141</v>
      </c>
      <c r="AV18" s="5" t="n">
        <v>9678912907.9636</v>
      </c>
      <c r="AW18" s="5" t="n">
        <v>9953984759.42511</v>
      </c>
      <c r="AX18" s="5" t="n">
        <v>3914655409.65681</v>
      </c>
      <c r="AY18" s="5"/>
    </row>
    <row r="19">
      <c r="A19" t="str">
        <f>M19</f>
      </c>
      <c r="B19" t="str">
        <f>N19</f>
      </c>
      <c r="M19" t="s">
        <v>65</v>
      </c>
      <c r="N19" t="s">
        <v>69</v>
      </c>
      <c r="O19" s="5" t="n">
        <v>5096246.69331874</v>
      </c>
      <c r="P19" s="5" t="n">
        <v>7310621.13517304</v>
      </c>
      <c r="Q19" s="5" t="n">
        <v>20829435.6878452</v>
      </c>
      <c r="R19" s="5" t="n">
        <v>13590828.0032082</v>
      </c>
      <c r="S19" s="5" t="n">
        <v>1859085.30536614</v>
      </c>
      <c r="T19" s="5" t="n">
        <v>1911676.0325385</v>
      </c>
      <c r="U19" s="5" t="n">
        <v>6372061.15982721</v>
      </c>
      <c r="V19" s="5" t="n">
        <v>1556843605.45171</v>
      </c>
      <c r="W19" s="5" t="n">
        <v>2430605549.69243</v>
      </c>
      <c r="X19" s="5" t="n">
        <v>4252703659.04456</v>
      </c>
      <c r="Y19" s="5" t="n">
        <v>11562696884.7109</v>
      </c>
      <c r="Z19" s="5" t="n">
        <v>11920446924.4484</v>
      </c>
      <c r="AA19" s="5" t="n">
        <v>13690415057.4122</v>
      </c>
      <c r="AB19" s="5" t="n">
        <v>17599418630.1943</v>
      </c>
      <c r="AC19" s="5" t="n">
        <v>21815602003.4837</v>
      </c>
      <c r="AD19" s="5" t="n">
        <v>24341259221.9214</v>
      </c>
      <c r="AE19" s="5" t="n">
        <v>26760493455.8992</v>
      </c>
      <c r="AF19" s="5" t="n">
        <v>29224985240.3809</v>
      </c>
      <c r="AG19" s="5" t="n">
        <v>32347161036.1198</v>
      </c>
      <c r="AH19" s="5" t="n">
        <v>30051474549.2149</v>
      </c>
      <c r="AI19" s="5" t="n">
        <v>29590764471.4963</v>
      </c>
      <c r="AJ19" s="5" t="n">
        <v>25637471444.4563</v>
      </c>
      <c r="AK19" s="5" t="n">
        <v>21044052096.03</v>
      </c>
      <c r="AL19" s="5" t="n">
        <v>17210145990.9482</v>
      </c>
      <c r="AM19" s="5" t="n">
        <v>15965185022.8063</v>
      </c>
      <c r="AN19" s="5" t="n">
        <v>14684676928.253</v>
      </c>
      <c r="AO19" s="5" t="n">
        <v>16124465890.7977</v>
      </c>
      <c r="AP19" s="5" t="n">
        <v>16657805343.7513</v>
      </c>
      <c r="AQ19" s="5" t="n">
        <v>19350438189.9957</v>
      </c>
      <c r="AR19" s="5" t="n">
        <v>22043397013.4823</v>
      </c>
      <c r="AS19" s="5" t="n">
        <v>20850623604.1646</v>
      </c>
      <c r="AT19" s="5" t="n">
        <v>17928283674.4991</v>
      </c>
      <c r="AU19" s="5" t="n">
        <v>18212760527.7422</v>
      </c>
      <c r="AV19" s="5" t="n">
        <v>18747858830.4024</v>
      </c>
      <c r="AW19" s="5" t="n">
        <v>18252671958.4497</v>
      </c>
      <c r="AX19" s="5" t="n">
        <v>7129611079.35684</v>
      </c>
      <c r="AY19" s="5"/>
    </row>
    <row r="20">
      <c r="A20" t="str">
        <f>M20</f>
      </c>
      <c r="B20" t="str">
        <f>N20</f>
      </c>
      <c r="M20" t="s">
        <v>65</v>
      </c>
      <c r="N20" t="s">
        <v>70</v>
      </c>
      <c r="O20" s="5" t="n">
        <v>407451.541633032</v>
      </c>
      <c r="P20" s="5" t="n">
        <v>3658305.90539115</v>
      </c>
      <c r="Q20" s="5" t="n">
        <v>5277491.70205505</v>
      </c>
      <c r="R20" s="5" t="n">
        <v>13449970.6821666</v>
      </c>
      <c r="S20" s="5"/>
      <c r="T20" s="5"/>
      <c r="U20" s="5" t="n">
        <v>0</v>
      </c>
      <c r="V20" s="5" t="n">
        <v>128070668.520252</v>
      </c>
      <c r="W20" s="5" t="n">
        <v>109823661.788556</v>
      </c>
      <c r="X20" s="5" t="n">
        <v>104205020.26664</v>
      </c>
      <c r="Y20" s="5" t="n">
        <v>243057542.784228</v>
      </c>
      <c r="Z20" s="5" t="n">
        <v>473948055.989703</v>
      </c>
      <c r="AA20" s="5" t="n">
        <v>484054389.787809</v>
      </c>
      <c r="AB20" s="5" t="n">
        <v>231623090.4593</v>
      </c>
      <c r="AC20" s="5" t="n">
        <v>120214800.668203</v>
      </c>
      <c r="AD20" s="5" t="n">
        <v>50057593.5482777</v>
      </c>
      <c r="AE20" s="5" t="n">
        <v>43947748.9189291</v>
      </c>
      <c r="AF20" s="5" t="n">
        <v>7367742.54193358</v>
      </c>
      <c r="AG20" s="5" t="n">
        <v>4215683.46954136</v>
      </c>
      <c r="AH20" s="5" t="n">
        <v>1152397.27034126</v>
      </c>
      <c r="AI20" s="5" t="n">
        <v>3254446.79020086</v>
      </c>
      <c r="AJ20" s="5" t="n">
        <v>309561.714016416</v>
      </c>
      <c r="AK20" s="5" t="n">
        <v>-28453.3466382381</v>
      </c>
      <c r="AL20" s="5"/>
      <c r="AM20" s="5" t="n">
        <v>1040815.88574177</v>
      </c>
      <c r="AN20" s="5" t="n">
        <v>146083.556344438</v>
      </c>
      <c r="AO20" s="5" t="n">
        <v>24893.3428580538</v>
      </c>
      <c r="AP20" s="5" t="n">
        <v>-3868.99644374323</v>
      </c>
      <c r="AQ20" s="5" t="n">
        <v>629125.382040169</v>
      </c>
      <c r="AR20" s="5"/>
      <c r="AS20" s="5"/>
      <c r="AT20" s="5" t="n">
        <v>931157.216170623</v>
      </c>
      <c r="AU20" s="5"/>
      <c r="AV20" s="5"/>
      <c r="AW20" s="5" t="n">
        <v>14808.5237426316</v>
      </c>
      <c r="AX20" s="5"/>
      <c r="AY20" s="5"/>
    </row>
    <row r="21">
      <c r="A21" t="str">
        <f>M21</f>
      </c>
      <c r="B21" t="str">
        <f>N21</f>
      </c>
      <c r="M21"/>
      <c r="N21"/>
      <c r="O21" s="5" t="n">
        <v>40750200551.9922</v>
      </c>
      <c r="P21" s="5" t="n">
        <v>38579533040.0956</v>
      </c>
      <c r="Q21" s="5" t="n">
        <v>37771221399.0292</v>
      </c>
      <c r="R21" s="5" t="n">
        <v>34724386857.361</v>
      </c>
      <c r="S21" s="5" t="n">
        <v>32867101256.482</v>
      </c>
      <c r="T21" s="5" t="n">
        <v>34094008246.7625</v>
      </c>
      <c r="U21" s="5" t="n">
        <v>32552534081.3514</v>
      </c>
      <c r="V21" s="5" t="n">
        <v>32415136016.7922</v>
      </c>
      <c r="W21" s="5" t="n">
        <v>30373320591.6994</v>
      </c>
      <c r="X21" s="5" t="n">
        <v>33597925025.8932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 t="n">
        <v>0</v>
      </c>
      <c r="AT21" s="5"/>
      <c r="AU21" s="5" t="n">
        <v>0</v>
      </c>
      <c r="AV21" s="5" t="n">
        <v>0</v>
      </c>
      <c r="AW21" s="5" t="n">
        <v>0</v>
      </c>
      <c r="AX21" s="5" t="n">
        <v>0</v>
      </c>
      <c r="AY21" s="5"/>
    </row>
    <row r="22">
      <c r="A22" t="str">
        <f>M22</f>
      </c>
      <c r="B22" t="str">
        <f>N22</f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M1</f>
      </c>
      <c r="M1" t="s">
        <v>71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>
      <c r="A2" t="str">
        <f>M2</f>
      </c>
      <c r="M2" t="s">
        <v>72</v>
      </c>
      <c r="N2" s="6" t="n">
        <v>440598490</v>
      </c>
      <c r="O2" s="6" t="n">
        <v>201230217</v>
      </c>
      <c r="P2" s="6" t="n">
        <v>225651948</v>
      </c>
      <c r="Q2" s="6" t="n">
        <v>229437727</v>
      </c>
      <c r="R2" s="6"/>
      <c r="S2" s="6"/>
      <c r="T2" s="6"/>
      <c r="U2" s="6"/>
      <c r="V2" s="6" t="n">
        <v>0</v>
      </c>
      <c r="W2" s="6" t="n">
        <v>-786732.8985</v>
      </c>
      <c r="X2" s="6" t="n">
        <v>-1534571.5421</v>
      </c>
      <c r="Y2" s="6" t="n">
        <v>-888138.7617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>
      <c r="A3" t="str">
        <f>M3</f>
      </c>
      <c r="M3" t="s">
        <v>74</v>
      </c>
      <c r="N3" s="6"/>
      <c r="O3" s="6"/>
      <c r="P3" s="6"/>
      <c r="Q3" s="6"/>
      <c r="R3" s="6" t="n">
        <v>138652929</v>
      </c>
      <c r="S3" s="6" t="n">
        <v>137081881</v>
      </c>
      <c r="T3" s="6" t="n">
        <v>88157324</v>
      </c>
      <c r="U3" s="6" t="n">
        <v>32348496</v>
      </c>
      <c r="V3" s="6" t="n">
        <v>42752802.6906</v>
      </c>
      <c r="W3" s="6" t="n">
        <v>72447181.8156</v>
      </c>
      <c r="X3" s="6" t="n">
        <v>98340539.9883</v>
      </c>
      <c r="Y3" s="6" t="n">
        <v>69644900.3875</v>
      </c>
      <c r="Z3" s="6" t="n">
        <v>58583429.5892</v>
      </c>
      <c r="AA3" s="6" t="n">
        <v>41034948.21</v>
      </c>
      <c r="AB3" s="6" t="n">
        <v>117118433.3225</v>
      </c>
      <c r="AC3" s="6" t="n">
        <v>120592865.89</v>
      </c>
      <c r="AD3" s="6" t="n">
        <v>152774905.1797</v>
      </c>
      <c r="AE3" s="6" t="n">
        <v>104419272.9219</v>
      </c>
      <c r="AF3" s="6" t="n">
        <v>119727170.2176</v>
      </c>
      <c r="AG3" s="6" t="n">
        <v>104767863.8983</v>
      </c>
      <c r="AH3" s="6" t="n">
        <v>151187983.1875</v>
      </c>
      <c r="AI3" s="6" t="n">
        <v>137173563.8686</v>
      </c>
      <c r="AJ3" s="6" t="n">
        <v>180727480.8613</v>
      </c>
      <c r="AK3" s="6" t="n">
        <v>93779612.7237</v>
      </c>
      <c r="AL3" s="6"/>
      <c r="AM3" s="6"/>
    </row>
    <row r="4">
      <c r="A4" t="str">
        <f>M4</f>
      </c>
      <c r="M4" t="s">
        <v>83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 t="n">
        <v>265582023.5</v>
      </c>
      <c r="AH4" s="6" t="n">
        <v>487402198.75</v>
      </c>
      <c r="AI4" s="6" t="n">
        <v>489189214.0313</v>
      </c>
      <c r="AJ4" s="6" t="n">
        <v>678232070.75</v>
      </c>
      <c r="AK4" s="6" t="n">
        <v>142304670.6954</v>
      </c>
      <c r="AL4" s="6"/>
      <c r="AM4" s="6"/>
    </row>
    <row r="5">
      <c r="A5" t="str">
        <f>M5</f>
      </c>
      <c r="M5" t="s">
        <v>75</v>
      </c>
      <c r="N5" s="6"/>
      <c r="O5" s="6"/>
      <c r="P5" s="6"/>
      <c r="Q5" s="6"/>
      <c r="R5" s="6" t="n">
        <v>62689562</v>
      </c>
      <c r="S5" s="6" t="n">
        <v>131986794</v>
      </c>
      <c r="T5" s="6" t="n">
        <v>192662861.4063</v>
      </c>
      <c r="U5" s="6" t="n">
        <v>584746411.4939</v>
      </c>
      <c r="V5" s="6" t="n">
        <v>516079825.4951</v>
      </c>
      <c r="W5" s="6" t="n">
        <v>436613597.1545</v>
      </c>
      <c r="X5" s="6" t="n">
        <v>176693991.9806</v>
      </c>
      <c r="Y5" s="6" t="n">
        <v>106260763.0338</v>
      </c>
      <c r="Z5" s="6" t="n">
        <v>104376872.5062</v>
      </c>
      <c r="AA5" s="6" t="n">
        <v>319301.72</v>
      </c>
      <c r="AB5" s="6" t="n">
        <v>2215922.48</v>
      </c>
      <c r="AC5" s="6" t="n">
        <v>-365291.8415</v>
      </c>
      <c r="AD5" s="6" t="n">
        <v>-5642.2799</v>
      </c>
      <c r="AE5" s="6" t="n">
        <v>-353651.7134</v>
      </c>
      <c r="AF5" s="6" t="n">
        <v>-332923.2226</v>
      </c>
      <c r="AG5" s="6" t="n">
        <v>-27067.0502</v>
      </c>
      <c r="AH5" s="6" t="n">
        <v>-73.63</v>
      </c>
      <c r="AI5" s="6" t="n">
        <v>-34.34</v>
      </c>
      <c r="AJ5" s="6"/>
      <c r="AK5" s="6" t="n">
        <v>0</v>
      </c>
      <c r="AL5" s="6"/>
      <c r="AM5" s="6"/>
    </row>
    <row r="6">
      <c r="A6" t="str">
        <f>M6</f>
      </c>
      <c r="M6" t="s">
        <v>76</v>
      </c>
      <c r="N6" s="6"/>
      <c r="O6" s="6"/>
      <c r="P6" s="6"/>
      <c r="Q6" s="6"/>
      <c r="R6" s="6" t="n">
        <v>84000</v>
      </c>
      <c r="S6" s="6" t="n">
        <v>83035159</v>
      </c>
      <c r="T6" s="6" t="n">
        <v>141360939.25</v>
      </c>
      <c r="U6" s="6" t="n">
        <v>142404724.7883</v>
      </c>
      <c r="V6" s="6" t="n">
        <v>145469517.2884</v>
      </c>
      <c r="W6" s="6" t="n">
        <v>136419174.4557</v>
      </c>
      <c r="X6" s="6" t="n">
        <v>141778690.0329</v>
      </c>
      <c r="Y6" s="6" t="n">
        <v>127881276.9199</v>
      </c>
      <c r="Z6" s="6" t="n">
        <v>109045553.2843</v>
      </c>
      <c r="AA6" s="6" t="n">
        <v>99332342.4169</v>
      </c>
      <c r="AB6" s="6" t="n">
        <v>104829324.1288</v>
      </c>
      <c r="AC6" s="6" t="n">
        <v>332055767.4303</v>
      </c>
      <c r="AD6" s="6" t="n">
        <v>242616383.8665</v>
      </c>
      <c r="AE6" s="6" t="n">
        <v>135225721.9806</v>
      </c>
      <c r="AF6" s="6" t="n">
        <v>368111529.0318</v>
      </c>
      <c r="AG6" s="6" t="n">
        <v>204791081.5448</v>
      </c>
      <c r="AH6" s="6" t="n">
        <v>127981064.865</v>
      </c>
      <c r="AI6" s="6" t="n">
        <v>99552310.0928</v>
      </c>
      <c r="AJ6" s="6" t="n">
        <v>86439797.669</v>
      </c>
      <c r="AK6" s="6" t="n">
        <v>2949275.687</v>
      </c>
      <c r="AL6" s="6"/>
      <c r="AM6" s="6"/>
    </row>
    <row r="7">
      <c r="A7" t="str">
        <f>M7</f>
      </c>
      <c r="M7" t="s">
        <v>77</v>
      </c>
      <c r="N7" s="6"/>
      <c r="O7" s="6" t="n">
        <v>262887</v>
      </c>
      <c r="P7" s="6" t="n">
        <v>1707801</v>
      </c>
      <c r="Q7" s="6" t="n">
        <v>1793854</v>
      </c>
      <c r="R7" s="6" t="n">
        <v>209677104</v>
      </c>
      <c r="S7" s="6" t="n">
        <v>195290328</v>
      </c>
      <c r="T7" s="6" t="n">
        <v>269484931</v>
      </c>
      <c r="U7" s="6" t="n">
        <v>365950603.5441</v>
      </c>
      <c r="V7" s="6" t="n">
        <v>243885308.6506</v>
      </c>
      <c r="W7" s="6" t="n">
        <v>114080141.3829</v>
      </c>
      <c r="X7" s="6" t="n">
        <v>105116634.0976</v>
      </c>
      <c r="Y7" s="6" t="n">
        <v>144960750.2504</v>
      </c>
      <c r="Z7" s="6" t="n">
        <v>207178088.2896</v>
      </c>
      <c r="AA7" s="6" t="n">
        <v>241617543.07</v>
      </c>
      <c r="AB7" s="6" t="n">
        <v>236113550.69</v>
      </c>
      <c r="AC7" s="6" t="n">
        <v>218319601.0649</v>
      </c>
      <c r="AD7" s="6" t="n">
        <v>481515665.2058</v>
      </c>
      <c r="AE7" s="6" t="n">
        <v>430150475.8633</v>
      </c>
      <c r="AF7" s="6" t="n">
        <v>480161015.3246</v>
      </c>
      <c r="AG7" s="6" t="n">
        <v>628561540.4904</v>
      </c>
      <c r="AH7" s="6" t="n">
        <v>690829678.8275</v>
      </c>
      <c r="AI7" s="6" t="n">
        <v>513563342.8842</v>
      </c>
      <c r="AJ7" s="6" t="n">
        <v>459632618.0985</v>
      </c>
      <c r="AK7" s="6" t="n">
        <v>192756535.5416</v>
      </c>
      <c r="AL7" s="6"/>
      <c r="AM7" s="6"/>
    </row>
    <row r="8">
      <c r="A8" t="str">
        <f>M8</f>
      </c>
      <c r="M8" t="s">
        <v>78</v>
      </c>
      <c r="N8" s="6"/>
      <c r="O8" s="6"/>
      <c r="P8" s="6"/>
      <c r="Q8" s="6"/>
      <c r="R8" s="6"/>
      <c r="S8" s="6" t="n">
        <v>20517218</v>
      </c>
      <c r="T8" s="6" t="n">
        <v>91284725</v>
      </c>
      <c r="U8" s="6" t="n">
        <v>199540142</v>
      </c>
      <c r="V8" s="6" t="n">
        <v>168167091</v>
      </c>
      <c r="W8" s="6" t="n">
        <v>139441494</v>
      </c>
      <c r="X8" s="6" t="n">
        <v>99215794</v>
      </c>
      <c r="Y8" s="6" t="n">
        <v>64526884.1992</v>
      </c>
      <c r="Z8" s="6" t="n">
        <v>-21284</v>
      </c>
      <c r="AA8" s="6" t="n">
        <v>-18.87</v>
      </c>
      <c r="AB8" s="6" t="n">
        <v>-123974.08</v>
      </c>
      <c r="AC8" s="6" t="n">
        <v>-21809.2299</v>
      </c>
      <c r="AD8" s="6" t="n">
        <v>-117924.4805</v>
      </c>
      <c r="AE8" s="6" t="n">
        <v>3334989.5938</v>
      </c>
      <c r="AF8" s="6" t="n">
        <v>13898060.3594</v>
      </c>
      <c r="AG8" s="6" t="n">
        <v>40891591.1901</v>
      </c>
      <c r="AH8" s="6" t="n">
        <v>65366835.5894</v>
      </c>
      <c r="AI8" s="6" t="n">
        <v>66892801.7532</v>
      </c>
      <c r="AJ8" s="6" t="n">
        <v>56006244.5396</v>
      </c>
      <c r="AK8" s="6" t="n">
        <v>104997881.9063</v>
      </c>
      <c r="AL8" s="6"/>
      <c r="AM8" s="6"/>
    </row>
    <row r="9">
      <c r="A9" t="str">
        <f>M9</f>
      </c>
      <c r="M9" t="s">
        <v>79</v>
      </c>
      <c r="N9" s="6" t="n">
        <v>1721030129</v>
      </c>
      <c r="O9" s="6" t="n">
        <v>1655833804</v>
      </c>
      <c r="P9" s="6" t="n">
        <v>1792461019</v>
      </c>
      <c r="Q9" s="6" t="n">
        <v>1784635917</v>
      </c>
      <c r="R9" s="6" t="n">
        <v>842287955.457</v>
      </c>
      <c r="S9" s="6" t="n">
        <v>1167772348.3184</v>
      </c>
      <c r="T9" s="6" t="n">
        <v>1002311562.7056</v>
      </c>
      <c r="U9" s="6" t="n">
        <v>1511639473.0116</v>
      </c>
      <c r="V9" s="6" t="n">
        <v>1942651415.1738</v>
      </c>
      <c r="W9" s="6" t="n">
        <v>1734205549.5861</v>
      </c>
      <c r="X9" s="6" t="n">
        <v>1470518085.9521</v>
      </c>
      <c r="Y9" s="6" t="n">
        <v>1751842108.4077</v>
      </c>
      <c r="Z9" s="6" t="n">
        <v>1834470473.327</v>
      </c>
      <c r="AA9" s="6" t="n">
        <v>1649986410.4274</v>
      </c>
      <c r="AB9" s="6" t="n">
        <v>1465849107.7281</v>
      </c>
      <c r="AC9" s="6" t="n">
        <v>488978968.5597</v>
      </c>
      <c r="AD9" s="6" t="n">
        <v>430821638.3569</v>
      </c>
      <c r="AE9" s="6" t="n">
        <v>563982216.3608</v>
      </c>
      <c r="AF9" s="6" t="n">
        <v>887871300.8177</v>
      </c>
      <c r="AG9" s="6" t="n">
        <v>869841138.4002</v>
      </c>
      <c r="AH9" s="6" t="n">
        <v>1114540633.7933</v>
      </c>
      <c r="AI9" s="6" t="n">
        <v>1145930508.62</v>
      </c>
      <c r="AJ9" s="6" t="n">
        <v>1014740736.2659</v>
      </c>
      <c r="AK9" s="6" t="n">
        <v>536855777.5632</v>
      </c>
      <c r="AL9" s="6"/>
      <c r="AM9" s="6"/>
    </row>
    <row r="10">
      <c r="A10" t="str">
        <f>M10</f>
      </c>
      <c r="M10" t="s">
        <v>80</v>
      </c>
      <c r="N10" s="6" t="n">
        <v>1394566</v>
      </c>
      <c r="O10" s="6" t="n">
        <v>-99306</v>
      </c>
      <c r="P10" s="6"/>
      <c r="Q10" s="6" t="n">
        <v>2740945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>
      <c r="A11" t="str">
        <f>M11</f>
      </c>
      <c r="M11" t="s">
        <v>81</v>
      </c>
      <c r="N11" s="6" t="n">
        <v>33167538</v>
      </c>
      <c r="O11" s="6" t="n">
        <v>135423809</v>
      </c>
      <c r="P11" s="6" t="n">
        <v>76594684</v>
      </c>
      <c r="Q11" s="6" t="n">
        <v>139065916</v>
      </c>
      <c r="R11" s="6" t="n">
        <v>280484081</v>
      </c>
      <c r="S11" s="6" t="n">
        <v>821663735</v>
      </c>
      <c r="T11" s="6" t="n">
        <v>889381849.8125</v>
      </c>
      <c r="U11" s="6" t="n">
        <v>556257433.1015</v>
      </c>
      <c r="V11" s="6" t="n">
        <v>726821067.8321</v>
      </c>
      <c r="W11" s="6" t="n">
        <v>442362968.4903</v>
      </c>
      <c r="X11" s="6" t="n">
        <v>55251848.9244</v>
      </c>
      <c r="Y11" s="6" t="n">
        <v>88749915.5508</v>
      </c>
      <c r="Z11" s="6" t="n">
        <v>76231462.688</v>
      </c>
      <c r="AA11" s="6" t="n">
        <v>-7850900.27</v>
      </c>
      <c r="AB11" s="6" t="n">
        <v>24160145.46</v>
      </c>
      <c r="AC11" s="6" t="n">
        <v>-450317.4465</v>
      </c>
      <c r="AD11" s="6" t="n">
        <v>-182275.75</v>
      </c>
      <c r="AE11" s="6" t="n">
        <v>0</v>
      </c>
      <c r="AF11" s="6" t="n">
        <v>0</v>
      </c>
      <c r="AG11" s="6"/>
      <c r="AH11" s="6"/>
      <c r="AI11" s="6" t="n">
        <v>54353.7813</v>
      </c>
      <c r="AJ11" s="6" t="n">
        <v>38919604</v>
      </c>
      <c r="AK11" s="6" t="n">
        <v>3165609.2539</v>
      </c>
      <c r="AL11" s="6"/>
      <c r="AM11" s="6"/>
    </row>
    <row r="12">
      <c r="A12" t="str">
        <f>M12</f>
      </c>
      <c r="M12"/>
      <c r="N12" s="6" t="n">
        <v>18554485541.8069</v>
      </c>
      <c r="O12" s="6" t="n">
        <v>20394069634.8908</v>
      </c>
      <c r="P12" s="6" t="n">
        <v>23706877300.2514</v>
      </c>
      <c r="Q12" s="6" t="n">
        <v>29326013362.7978</v>
      </c>
      <c r="R12" s="6" t="n">
        <v>35998170456.2182</v>
      </c>
      <c r="S12" s="6" t="n">
        <v>39675898126.2794</v>
      </c>
      <c r="T12" s="6" t="n">
        <v>42527860986.3657</v>
      </c>
      <c r="U12" s="6" t="n">
        <v>49061384983.6783</v>
      </c>
      <c r="V12" s="6" t="n">
        <v>53166629656.1687</v>
      </c>
      <c r="W12" s="6" t="n">
        <v>52270901155.5862</v>
      </c>
      <c r="X12" s="6" t="n">
        <v>53975555464.2606</v>
      </c>
      <c r="Y12" s="6" t="n">
        <v>50065097418.9693</v>
      </c>
      <c r="Z12" s="6" t="n">
        <v>47230350945.0186</v>
      </c>
      <c r="AA12" s="6" t="n">
        <v>39088195809.4528</v>
      </c>
      <c r="AB12" s="6" t="n">
        <v>38903910617.5664</v>
      </c>
      <c r="AC12" s="6" t="n">
        <v>38455843011.1692</v>
      </c>
      <c r="AD12" s="6" t="n">
        <v>41996761962.6637</v>
      </c>
      <c r="AE12" s="6" t="n">
        <v>44471504067.2406</v>
      </c>
      <c r="AF12" s="6" t="n">
        <v>49114236602.393</v>
      </c>
      <c r="AG12" s="6" t="n">
        <v>52810842143.2783</v>
      </c>
      <c r="AH12" s="6" t="n">
        <v>52719372350.2967</v>
      </c>
      <c r="AI12" s="6" t="n">
        <v>47152128036.7237</v>
      </c>
      <c r="AJ12" s="6" t="n">
        <v>51073125313.6937</v>
      </c>
      <c r="AK12" s="6" t="n">
        <v>28590966943.3625</v>
      </c>
      <c r="AL12" s="6"/>
      <c r="AM12" s="6"/>
    </row>
    <row r="13">
      <c r="A13" t="str">
        <f>M13</f>
      </c>
      <c r="M13" t="s">
        <v>542</v>
      </c>
      <c r="N13" s="6" t="str">
        <f>Sum(N2:N12)</f>
      </c>
      <c r="O13" s="6" t="str">
        <f>Sum(O2:O12)</f>
      </c>
      <c r="P13" s="6" t="str">
        <f>Sum(P2:P12)</f>
      </c>
      <c r="Q13" s="6" t="str">
        <f>Sum(Q2:Q12)</f>
      </c>
      <c r="R13" s="6" t="str">
        <f>Sum(R2:R12)</f>
      </c>
      <c r="S13" s="6" t="str">
        <f>Sum(S2:S12)</f>
      </c>
      <c r="T13" s="6" t="str">
        <f>Sum(T2:T12)</f>
      </c>
      <c r="U13" s="6" t="str">
        <f>Sum(U2:U12)</f>
      </c>
      <c r="V13" s="6" t="str">
        <f>Sum(V2:V12)</f>
      </c>
      <c r="W13" s="6" t="str">
        <f>Sum(W2:W12)</f>
      </c>
      <c r="X13" s="6" t="str">
        <f>Sum(X2:X12)</f>
      </c>
      <c r="Y13" s="6" t="str">
        <f>Sum(Y2:Y12)</f>
      </c>
      <c r="Z13" s="6" t="str">
        <f>Sum(Z2:Z12)</f>
      </c>
      <c r="AA13" s="6" t="str">
        <f>Sum(AA2:AA12)</f>
      </c>
      <c r="AB13" s="6" t="str">
        <f>Sum(AB2:AB12)</f>
      </c>
      <c r="AC13" s="6" t="str">
        <f>Sum(AC2:AC12)</f>
      </c>
      <c r="AD13" s="6" t="str">
        <f>Sum(AD2:AD12)</f>
      </c>
      <c r="AE13" s="6" t="str">
        <f>Sum(AE2:AE12)</f>
      </c>
      <c r="AF13" s="6" t="str">
        <f>Sum(AF2:AF12)</f>
      </c>
      <c r="AG13" s="6" t="str">
        <f>Sum(AG2:AG12)</f>
      </c>
      <c r="AH13" s="6" t="str">
        <f>Sum(AH2:AH12)</f>
      </c>
      <c r="AI13" s="6" t="str">
        <f>Sum(AI2:AI12)</f>
      </c>
      <c r="AJ13" s="6" t="str">
        <f>Sum(AJ2:AJ12)</f>
      </c>
      <c r="AK13" s="6" t="str">
        <f>Sum(AK2:AK12)</f>
      </c>
      <c r="AL13" s="6"/>
      <c r="AM13" s="6"/>
    </row>
    <row r="14">
      <c r="M14" t="str">
        <f>Sum(A2:A12)</f>
      </c>
    </row>
    <row r="15">
      <c r="M15" t="str">
        <f>Sum(B2:B12)</f>
      </c>
    </row>
    <row r="16">
      <c r="A16" t="str">
        <f>M16</f>
      </c>
      <c r="B16" t="str">
        <f>AC16</f>
      </c>
      <c r="C16" t="str">
        <f>AI16</f>
      </c>
      <c r="D16" t="str">
        <f>AJ16</f>
      </c>
      <c r="E16" t="str">
        <f>AK16</f>
      </c>
      <c r="F16" t="str">
        <f>AI16&amp;"-"&amp;AJ16</f>
      </c>
      <c r="G16" t="str">
        <f>AC16&amp;"-"&amp;AJ16</f>
      </c>
      <c r="H16" t="str">
        <f>AK16&amp;"/"&amp;AJ16</f>
      </c>
      <c r="I16" t="str">
        <f>"Share "&amp;AJ16</f>
      </c>
      <c r="J16" t="str">
        <f>"Share "&amp;AK16</f>
      </c>
      <c r="M16" t="s">
        <v>71</v>
      </c>
      <c r="N16" t="s">
        <v>11</v>
      </c>
      <c r="O16" t="s">
        <v>12</v>
      </c>
      <c r="P16" t="s">
        <v>13</v>
      </c>
      <c r="Q16" t="s">
        <v>14</v>
      </c>
      <c r="R16" t="s">
        <v>15</v>
      </c>
      <c r="S16" t="s">
        <v>16</v>
      </c>
      <c r="T16" t="s">
        <v>17</v>
      </c>
      <c r="U16" t="s">
        <v>18</v>
      </c>
      <c r="V16" t="s">
        <v>19</v>
      </c>
      <c r="W16" t="s">
        <v>20</v>
      </c>
      <c r="X16" t="s">
        <v>21</v>
      </c>
      <c r="Y16" t="s">
        <v>22</v>
      </c>
      <c r="Z16" t="s">
        <v>23</v>
      </c>
      <c r="AA16" t="s">
        <v>24</v>
      </c>
      <c r="AB16" t="s">
        <v>25</v>
      </c>
      <c r="AC16" t="s">
        <v>26</v>
      </c>
      <c r="AD16" t="s">
        <v>27</v>
      </c>
      <c r="AE16" t="s">
        <v>28</v>
      </c>
      <c r="AF16" t="s">
        <v>29</v>
      </c>
      <c r="AG16" t="s">
        <v>30</v>
      </c>
      <c r="AH16" t="s">
        <v>31</v>
      </c>
      <c r="AI16" t="s">
        <v>32</v>
      </c>
      <c r="AJ16" t="s">
        <v>33</v>
      </c>
      <c r="AK16" t="s">
        <v>34</v>
      </c>
    </row>
    <row r="17">
      <c r="A17" t="str">
        <f>M17</f>
      </c>
      <c r="B17" s="6" t="str">
        <f>AC17</f>
      </c>
      <c r="C17" s="6" t="str">
        <f>AI17</f>
      </c>
      <c r="D17" s="6" t="str">
        <f>AJ17</f>
      </c>
      <c r="E17" s="6" t="str">
        <f>AK17</f>
      </c>
      <c r="F17" s="7" t="str">
        <f>AJ17/AI17-1</f>
      </c>
      <c r="G17" s="7" t="str">
        <f>AJ17/AC17-1</f>
      </c>
      <c r="H17" s="7" t="str">
        <f>AK17/AJ17</f>
      </c>
      <c r="I17" s="7" t="str">
        <f>AJ17/Sum(AJ$16:AJ$27)</f>
      </c>
      <c r="J17" s="7" t="str">
        <f>AK17/Sum(AK16:AK$27)</f>
      </c>
      <c r="M17" t="s">
        <v>72</v>
      </c>
      <c r="N17" s="6" t="n">
        <v>711888220.175922</v>
      </c>
      <c r="O17" s="6" t="n">
        <v>317436067.15464</v>
      </c>
      <c r="P17" s="6" t="n">
        <v>350429767.067843</v>
      </c>
      <c r="Q17" s="6" t="n">
        <v>349626004.052508</v>
      </c>
      <c r="R17" s="6"/>
      <c r="S17" s="6"/>
      <c r="T17" s="6"/>
      <c r="U17" s="6"/>
      <c r="V17" s="6" t="n">
        <v>0</v>
      </c>
      <c r="W17" s="6" t="n">
        <v>-1038177.44911513</v>
      </c>
      <c r="X17" s="6" t="n">
        <v>-2007569.02369361</v>
      </c>
      <c r="Y17" s="6" t="n">
        <v>-1138933.95325569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>
      <c r="A18" t="str">
        <f>M18</f>
      </c>
      <c r="B18" s="6" t="str">
        <f>AC18</f>
      </c>
      <c r="C18" s="6" t="str">
        <f>AI18</f>
      </c>
      <c r="D18" s="6" t="str">
        <f>AJ18</f>
      </c>
      <c r="E18" s="6" t="str">
        <f>AK18</f>
      </c>
      <c r="F18" s="7" t="str">
        <f>AJ18/AI18-1</f>
      </c>
      <c r="G18" s="7" t="str">
        <f>AJ18/AC18-1</f>
      </c>
      <c r="H18" s="7" t="str">
        <f>AK18/AJ18</f>
      </c>
      <c r="I18" s="7" t="str">
        <f>AJ18/Sum(AJ$16:AJ$27)</f>
      </c>
      <c r="J18" s="7" t="str">
        <f>AK18/Sum(AK16:AK$27)</f>
      </c>
      <c r="M18" t="s">
        <v>74</v>
      </c>
      <c r="N18" s="6"/>
      <c r="O18" s="6"/>
      <c r="P18" s="6"/>
      <c r="Q18" s="6"/>
      <c r="R18" s="6" t="n">
        <v>206243365.749227</v>
      </c>
      <c r="S18" s="6" t="n">
        <v>197898902.63085</v>
      </c>
      <c r="T18" s="6" t="n">
        <v>123255821.090479</v>
      </c>
      <c r="U18" s="6" t="n">
        <v>44020381.4670362</v>
      </c>
      <c r="V18" s="6" t="n">
        <v>56990160.2688995</v>
      </c>
      <c r="W18" s="6" t="n">
        <v>95601735.4254562</v>
      </c>
      <c r="X18" s="6" t="n">
        <v>128651820.027657</v>
      </c>
      <c r="Y18" s="6" t="n">
        <v>89311428.7350826</v>
      </c>
      <c r="Z18" s="6" t="n">
        <v>73774112.8676035</v>
      </c>
      <c r="AA18" s="6" t="n">
        <v>50746646.6246489</v>
      </c>
      <c r="AB18" s="6" t="n">
        <v>142087902.806911</v>
      </c>
      <c r="AC18" s="6" t="n">
        <v>144644819.598432</v>
      </c>
      <c r="AD18" s="6" t="n">
        <v>181739503.304695</v>
      </c>
      <c r="AE18" s="6" t="n">
        <v>122037299.727268</v>
      </c>
      <c r="AF18" s="6" t="n">
        <v>136717832.280993</v>
      </c>
      <c r="AG18" s="6" t="n">
        <v>117337398.63944</v>
      </c>
      <c r="AH18" s="6" t="n">
        <v>167097619.213551</v>
      </c>
      <c r="AI18" s="6" t="n">
        <v>146677990.19625</v>
      </c>
      <c r="AJ18" s="6" t="n">
        <v>180727480.8613</v>
      </c>
      <c r="AK18" s="6" t="n">
        <v>89446842.6399369</v>
      </c>
      <c r="AL18" s="6"/>
      <c r="AM18" s="6"/>
    </row>
    <row r="19">
      <c r="A19" t="str">
        <f>M19</f>
      </c>
      <c r="B19" s="6" t="str">
        <f>AC19</f>
      </c>
      <c r="C19" s="6" t="str">
        <f>AI19</f>
      </c>
      <c r="D19" s="6" t="str">
        <f>AJ19</f>
      </c>
      <c r="E19" s="6" t="str">
        <f>AK19</f>
      </c>
      <c r="F19" s="7" t="str">
        <f>AJ19/AI19-1</f>
      </c>
      <c r="G19" s="7" t="str">
        <f>AJ19/AC19-1</f>
      </c>
      <c r="H19" s="7" t="str">
        <f>AK19/AJ19</f>
      </c>
      <c r="I19" s="7" t="str">
        <f>AJ19/Sum(AJ$16:AJ$27)</f>
      </c>
      <c r="J19" s="7" t="str">
        <f>AK19/Sum(AK16:AK$27)</f>
      </c>
      <c r="M19" t="s">
        <v>83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 t="n">
        <v>297445252.803271</v>
      </c>
      <c r="AH19" s="6" t="n">
        <v>538691933.667574</v>
      </c>
      <c r="AI19" s="6" t="n">
        <v>523083958.134435</v>
      </c>
      <c r="AJ19" s="6" t="n">
        <v>678232070.75</v>
      </c>
      <c r="AK19" s="6" t="n">
        <v>135729964.295349</v>
      </c>
      <c r="AL19" s="6"/>
      <c r="AM19" s="6"/>
    </row>
    <row r="20">
      <c r="A20" t="str">
        <f>M20</f>
      </c>
      <c r="B20" s="6" t="str">
        <f>AC20</f>
      </c>
      <c r="C20" s="6" t="str">
        <f>AI20</f>
      </c>
      <c r="D20" s="6" t="str">
        <f>AJ20</f>
      </c>
      <c r="E20" s="6" t="str">
        <f>AK20</f>
      </c>
      <c r="F20" s="7" t="str">
        <f>AJ20/AI20-1</f>
      </c>
      <c r="G20" s="7" t="str">
        <f>AJ20/AC20-1</f>
      </c>
      <c r="H20" s="7" t="str">
        <f>AK20/AJ20</f>
      </c>
      <c r="I20" s="7" t="str">
        <f>AJ20/Sum(AJ$16:AJ$27)</f>
      </c>
      <c r="J20" s="7" t="str">
        <f>AK20/Sum(AK16:AK$27)</f>
      </c>
      <c r="M20" t="s">
        <v>75</v>
      </c>
      <c r="N20" s="6"/>
      <c r="O20" s="6"/>
      <c r="P20" s="6"/>
      <c r="Q20" s="6"/>
      <c r="R20" s="6" t="n">
        <v>93249427.5993608</v>
      </c>
      <c r="S20" s="6" t="n">
        <v>190543356.305157</v>
      </c>
      <c r="T20" s="6" t="n">
        <v>269368647.989753</v>
      </c>
      <c r="U20" s="6" t="n">
        <v>795732824.65565</v>
      </c>
      <c r="V20" s="6" t="n">
        <v>687942546.816424</v>
      </c>
      <c r="W20" s="6" t="n">
        <v>576157920.187493</v>
      </c>
      <c r="X20" s="6" t="n">
        <v>231155977.575077</v>
      </c>
      <c r="Y20" s="6" t="n">
        <v>136266984.549124</v>
      </c>
      <c r="Z20" s="6" t="n">
        <v>131441795.521979</v>
      </c>
      <c r="AA20" s="6" t="n">
        <v>394870.525205973</v>
      </c>
      <c r="AB20" s="6" t="n">
        <v>2688353.73761271</v>
      </c>
      <c r="AC20" s="6" t="n">
        <v>-438148.410559733</v>
      </c>
      <c r="AD20" s="6" t="n">
        <v>-6711.99988850211</v>
      </c>
      <c r="AE20" s="6" t="n">
        <v>-413321.209194189</v>
      </c>
      <c r="AF20" s="6" t="n">
        <v>-380168.855800648</v>
      </c>
      <c r="AG20" s="6" t="n">
        <v>-30314.422201011</v>
      </c>
      <c r="AH20" s="6" t="n">
        <v>-81.3781455595936</v>
      </c>
      <c r="AI20" s="6" t="n">
        <v>-36.7193360097003</v>
      </c>
      <c r="AJ20" s="6"/>
      <c r="AK20" s="6" t="n">
        <v>0</v>
      </c>
      <c r="AL20" s="6"/>
      <c r="AM20" s="6"/>
    </row>
    <row r="21">
      <c r="A21" t="str">
        <f>M21</f>
      </c>
      <c r="B21" s="6" t="str">
        <f>AC21</f>
      </c>
      <c r="C21" s="6" t="str">
        <f>AI21</f>
      </c>
      <c r="D21" s="6" t="str">
        <f>AJ21</f>
      </c>
      <c r="E21" s="6" t="str">
        <f>AK21</f>
      </c>
      <c r="F21" s="7" t="str">
        <f>AJ21/AI21-1</f>
      </c>
      <c r="G21" s="7" t="str">
        <f>AJ21/AC21-1</f>
      </c>
      <c r="H21" s="7" t="str">
        <f>AK21/AJ21</f>
      </c>
      <c r="I21" s="7" t="str">
        <f>AJ21/Sum(AJ$16:AJ$27)</f>
      </c>
      <c r="J21" s="7" t="str">
        <f>AK21/Sum(AK16:AK$27)</f>
      </c>
      <c r="M21" t="s">
        <v>76</v>
      </c>
      <c r="N21" s="6"/>
      <c r="O21" s="6"/>
      <c r="P21" s="6"/>
      <c r="Q21" s="6"/>
      <c r="R21" s="6" t="n">
        <v>124948.263609599</v>
      </c>
      <c r="S21" s="6" t="n">
        <v>119874098.064632</v>
      </c>
      <c r="T21" s="6" t="n">
        <v>197641646.170885</v>
      </c>
      <c r="U21" s="6" t="n">
        <v>193786762.385778</v>
      </c>
      <c r="V21" s="6" t="n">
        <v>193913160.840053</v>
      </c>
      <c r="W21" s="6" t="n">
        <v>180019560.408417</v>
      </c>
      <c r="X21" s="6" t="n">
        <v>185478811.851549</v>
      </c>
      <c r="Y21" s="6" t="n">
        <v>163992761.661454</v>
      </c>
      <c r="Z21" s="6" t="n">
        <v>137321065.224718</v>
      </c>
      <c r="AA21" s="6" t="n">
        <v>122841224.344488</v>
      </c>
      <c r="AB21" s="6" t="n">
        <v>127178774.472776</v>
      </c>
      <c r="AC21" s="6" t="n">
        <v>398283482.377688</v>
      </c>
      <c r="AD21" s="6" t="n">
        <v>288614030.200936</v>
      </c>
      <c r="AE21" s="6" t="n">
        <v>158041532.969931</v>
      </c>
      <c r="AF21" s="6" t="n">
        <v>420350787.506304</v>
      </c>
      <c r="AG21" s="6" t="n">
        <v>229360911.627923</v>
      </c>
      <c r="AH21" s="6" t="n">
        <v>141448617.757107</v>
      </c>
      <c r="AI21" s="6" t="n">
        <v>106450050.228288</v>
      </c>
      <c r="AJ21" s="6" t="n">
        <v>86439797.669</v>
      </c>
      <c r="AK21" s="6" t="n">
        <v>2813014.37076859</v>
      </c>
      <c r="AL21" s="6"/>
      <c r="AM21" s="6"/>
    </row>
    <row r="22">
      <c r="A22" t="str">
        <f>M22</f>
      </c>
      <c r="B22" s="6" t="str">
        <f>AC22</f>
      </c>
      <c r="C22" s="6" t="str">
        <f>AI22</f>
      </c>
      <c r="D22" s="6" t="str">
        <f>AJ22</f>
      </c>
      <c r="E22" s="6" t="str">
        <f>AK22</f>
      </c>
      <c r="F22" s="7" t="str">
        <f>AJ22/AI22-1</f>
      </c>
      <c r="G22" s="7" t="str">
        <f>AJ22/AC22-1</f>
      </c>
      <c r="H22" s="7" t="str">
        <f>AK22/AJ22</f>
      </c>
      <c r="I22" s="7" t="str">
        <f>AJ22/Sum(AJ$16:AJ$27)</f>
      </c>
      <c r="J22" s="7" t="str">
        <f>AK22/Sum(AK16:AK$27)</f>
      </c>
      <c r="M22" t="s">
        <v>77</v>
      </c>
      <c r="N22" s="6"/>
      <c r="O22" s="6" t="n">
        <v>414698.232850795</v>
      </c>
      <c r="P22" s="6" t="n">
        <v>2652156.61523218</v>
      </c>
      <c r="Q22" s="6" t="n">
        <v>2733543.49380217</v>
      </c>
      <c r="R22" s="6" t="n">
        <v>311890357.898683</v>
      </c>
      <c r="S22" s="6" t="n">
        <v>281931801.078939</v>
      </c>
      <c r="T22" s="6" t="n">
        <v>376776255.616788</v>
      </c>
      <c r="U22" s="6" t="n">
        <v>497991781.939519</v>
      </c>
      <c r="V22" s="6" t="n">
        <v>325102962.905486</v>
      </c>
      <c r="W22" s="6" t="n">
        <v>150540838.448987</v>
      </c>
      <c r="X22" s="6" t="n">
        <v>137516494.148258</v>
      </c>
      <c r="Y22" s="6" t="n">
        <v>185895186.055811</v>
      </c>
      <c r="Z22" s="6" t="n">
        <v>260899366.533314</v>
      </c>
      <c r="AA22" s="6" t="n">
        <v>298800915.106338</v>
      </c>
      <c r="AB22" s="6" t="n">
        <v>286452595.804917</v>
      </c>
      <c r="AC22" s="6" t="n">
        <v>261862914.342205</v>
      </c>
      <c r="AD22" s="6" t="n">
        <v>572806232.312819</v>
      </c>
      <c r="AE22" s="6" t="n">
        <v>502727141.090319</v>
      </c>
      <c r="AF22" s="6" t="n">
        <v>548301384.236423</v>
      </c>
      <c r="AG22" s="6" t="n">
        <v>703973272.925908</v>
      </c>
      <c r="AH22" s="6" t="n">
        <v>763526255.066027</v>
      </c>
      <c r="AI22" s="6" t="n">
        <v>549146911.753927</v>
      </c>
      <c r="AJ22" s="6" t="n">
        <v>459632618.0985</v>
      </c>
      <c r="AK22" s="6" t="n">
        <v>183850871.225145</v>
      </c>
      <c r="AL22" s="6"/>
      <c r="AM22" s="6"/>
    </row>
    <row r="23">
      <c r="A23" t="str">
        <f>M23</f>
      </c>
      <c r="B23" s="6" t="str">
        <f>AC23</f>
      </c>
      <c r="C23" s="6" t="str">
        <f>AI23</f>
      </c>
      <c r="D23" s="6" t="str">
        <f>AJ23</f>
      </c>
      <c r="E23" s="6" t="str">
        <f>AK23</f>
      </c>
      <c r="F23" s="7" t="str">
        <f>AJ23/AI23-1</f>
      </c>
      <c r="G23" s="7" t="str">
        <f>AJ23/AC23-1</f>
      </c>
      <c r="H23" s="7" t="str">
        <f>AK23/AJ23</f>
      </c>
      <c r="I23" s="7" t="str">
        <f>AJ23/Sum(AJ$16:AJ$27)</f>
      </c>
      <c r="J23" s="7" t="str">
        <f>AK23/Sum(AK16:AK$27)</f>
      </c>
      <c r="M23" t="s">
        <v>78</v>
      </c>
      <c r="N23" s="6"/>
      <c r="O23" s="6"/>
      <c r="P23" s="6"/>
      <c r="Q23" s="6"/>
      <c r="R23" s="6"/>
      <c r="S23" s="6" t="n">
        <v>29619778.3224023</v>
      </c>
      <c r="T23" s="6" t="n">
        <v>127628349.210028</v>
      </c>
      <c r="U23" s="6" t="n">
        <v>271537606.225235</v>
      </c>
      <c r="V23" s="6" t="n">
        <v>224169384.575851</v>
      </c>
      <c r="W23" s="6" t="n">
        <v>184007831.397077</v>
      </c>
      <c r="X23" s="6" t="n">
        <v>129796851.58438</v>
      </c>
      <c r="Y23" s="6" t="n">
        <v>82748172.3369387</v>
      </c>
      <c r="Z23" s="6" t="n">
        <v>-26802.941194886</v>
      </c>
      <c r="AA23" s="6" t="n">
        <v>-23.3359432283569</v>
      </c>
      <c r="AB23" s="6" t="n">
        <v>-150405.162790306</v>
      </c>
      <c r="AC23" s="6" t="n">
        <v>-26159.027743347</v>
      </c>
      <c r="AD23" s="6" t="n">
        <v>-140281.785731273</v>
      </c>
      <c r="AE23" s="6" t="n">
        <v>3897682.03950529</v>
      </c>
      <c r="AF23" s="6" t="n">
        <v>15870354.9227312</v>
      </c>
      <c r="AG23" s="6" t="n">
        <v>45797563.8515583</v>
      </c>
      <c r="AH23" s="6" t="n">
        <v>72245441.5505122</v>
      </c>
      <c r="AI23" s="6" t="n">
        <v>71527643.1044269</v>
      </c>
      <c r="AJ23" s="6" t="n">
        <v>56006244.5396</v>
      </c>
      <c r="AK23" s="6" t="n">
        <v>100146809.60637</v>
      </c>
      <c r="AL23" s="6"/>
      <c r="AM23" s="6"/>
    </row>
    <row r="24">
      <c r="A24" t="str">
        <f>M24</f>
      </c>
      <c r="B24" s="6" t="str">
        <f>AC24</f>
      </c>
      <c r="C24" s="6" t="str">
        <f>AI24</f>
      </c>
      <c r="D24" s="6" t="str">
        <f>AJ24</f>
      </c>
      <c r="E24" s="6" t="str">
        <f>AK24</f>
      </c>
      <c r="F24" s="7" t="str">
        <f>AJ24/AI24-1</f>
      </c>
      <c r="G24" s="7" t="str">
        <f>AJ24/AC24-1</f>
      </c>
      <c r="H24" s="7" t="str">
        <f>AK24/AJ24</f>
      </c>
      <c r="I24" s="7" t="str">
        <f>AJ24/Sum(AJ$16:AJ$27)</f>
      </c>
      <c r="J24" s="7" t="str">
        <f>AK24/Sum(AK16:AK$27)</f>
      </c>
      <c r="M24" t="s">
        <v>79</v>
      </c>
      <c r="N24" s="6" t="n">
        <v>2780720095.98341</v>
      </c>
      <c r="O24" s="6" t="n">
        <v>2612039973.11928</v>
      </c>
      <c r="P24" s="6" t="n">
        <v>2783630732.78835</v>
      </c>
      <c r="Q24" s="6" t="n">
        <v>2719496625.54534</v>
      </c>
      <c r="R24" s="6" t="n">
        <v>1252885922.54323</v>
      </c>
      <c r="S24" s="6" t="n">
        <v>1685860046.33875</v>
      </c>
      <c r="T24" s="6" t="n">
        <v>1401366659.56149</v>
      </c>
      <c r="U24" s="6" t="n">
        <v>2057064607.96818</v>
      </c>
      <c r="V24" s="6" t="n">
        <v>2589584975.24892</v>
      </c>
      <c r="W24" s="6" t="n">
        <v>2288468039.33494</v>
      </c>
      <c r="X24" s="6" t="n">
        <v>1923772517.04976</v>
      </c>
      <c r="Y24" s="6" t="n">
        <v>2246532348.37928</v>
      </c>
      <c r="Z24" s="6" t="n">
        <v>2310148666.61991</v>
      </c>
      <c r="AA24" s="6" t="n">
        <v>2040486974.10144</v>
      </c>
      <c r="AB24" s="6" t="n">
        <v>1778365878.36642</v>
      </c>
      <c r="AC24" s="6" t="n">
        <v>586504634.190058</v>
      </c>
      <c r="AD24" s="6" t="n">
        <v>512501123.635467</v>
      </c>
      <c r="AE24" s="6" t="n">
        <v>659139494.586893</v>
      </c>
      <c r="AF24" s="6" t="n">
        <v>1013870447.04793</v>
      </c>
      <c r="AG24" s="6" t="n">
        <v>974200414.246534</v>
      </c>
      <c r="AH24" s="6" t="n">
        <v>1231824662.89438</v>
      </c>
      <c r="AI24" s="6" t="n">
        <v>1225329277.51265</v>
      </c>
      <c r="AJ24" s="6" t="n">
        <v>1014740736.2659</v>
      </c>
      <c r="AK24" s="6" t="n">
        <v>512052170.630268</v>
      </c>
      <c r="AL24" s="6"/>
      <c r="AM24" s="6"/>
    </row>
    <row r="25">
      <c r="A25" t="str">
        <f>M25</f>
      </c>
      <c r="B25" s="6" t="str">
        <f>AC25</f>
      </c>
      <c r="C25" s="6" t="str">
        <f>AI25</f>
      </c>
      <c r="D25" s="6" t="str">
        <f>AJ25</f>
      </c>
      <c r="E25" s="6" t="str">
        <f>AK25</f>
      </c>
      <c r="F25" s="7" t="str">
        <f>AJ25/AI25-1</f>
      </c>
      <c r="G25" s="7" t="str">
        <f>AJ25/AC25-1</f>
      </c>
      <c r="H25" s="7" t="str">
        <f>AK25/AJ25</f>
      </c>
      <c r="I25" s="7" t="str">
        <f>AJ25/Sum(AJ$16:AJ$27)</f>
      </c>
      <c r="J25" s="7" t="str">
        <f>AK25/Sum(AK16:AK$27)</f>
      </c>
      <c r="M25" t="s">
        <v>80</v>
      </c>
      <c r="N25" s="6" t="n">
        <v>2253242.19258639</v>
      </c>
      <c r="O25" s="6" t="n">
        <v>-156652.944845051</v>
      </c>
      <c r="P25" s="6"/>
      <c r="Q25" s="6" t="n">
        <v>4176757.066974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>
      <c r="A26" t="str">
        <f>M26</f>
      </c>
      <c r="B26" s="6" t="str">
        <f>AC26</f>
      </c>
      <c r="C26" s="6" t="str">
        <f>AI26</f>
      </c>
      <c r="D26" s="6" t="str">
        <f>AJ26</f>
      </c>
      <c r="E26" s="6" t="str">
        <f>AK26</f>
      </c>
      <c r="F26" s="7" t="str">
        <f>AJ26/AI26-1</f>
      </c>
      <c r="G26" s="7" t="str">
        <f>AJ26/AC26-1</f>
      </c>
      <c r="H26" s="7" t="str">
        <f>AK26/AJ26</f>
      </c>
      <c r="I26" s="7" t="str">
        <f>AJ26/Sum(AJ$16:AJ$27)</f>
      </c>
      <c r="J26" s="7" t="str">
        <f>AK26/Sum(AK16:AK$27)</f>
      </c>
      <c r="M26" t="s">
        <v>81</v>
      </c>
      <c r="N26" s="6" t="n">
        <v>53589787.8234609</v>
      </c>
      <c r="O26" s="6" t="n">
        <v>213627962.882241</v>
      </c>
      <c r="P26" s="6" t="n">
        <v>118948927.809633</v>
      </c>
      <c r="Q26" s="6" t="n">
        <v>211913973.986422</v>
      </c>
      <c r="R26" s="6" t="n">
        <v>417214272.512907</v>
      </c>
      <c r="S26" s="6" t="n">
        <v>1186198717.88939</v>
      </c>
      <c r="T26" s="6" t="n">
        <v>1243475699.89317</v>
      </c>
      <c r="U26" s="6" t="n">
        <v>756964540.144383</v>
      </c>
      <c r="V26" s="6" t="n">
        <v>968863946.589199</v>
      </c>
      <c r="W26" s="6" t="n">
        <v>583744825.068167</v>
      </c>
      <c r="X26" s="6" t="n">
        <v>72282000.1279525</v>
      </c>
      <c r="Y26" s="6" t="n">
        <v>113811373.321779</v>
      </c>
      <c r="Z26" s="6" t="n">
        <v>95998280.9446819</v>
      </c>
      <c r="AA26" s="6" t="n">
        <v>-9708964.65247545</v>
      </c>
      <c r="AB26" s="6" t="n">
        <v>29311051.2370712</v>
      </c>
      <c r="AC26" s="6" t="n">
        <v>-540132.165616112</v>
      </c>
      <c r="AD26" s="6" t="n">
        <v>-216833.414038293</v>
      </c>
      <c r="AE26" s="6" t="n">
        <v>0</v>
      </c>
      <c r="AF26" s="6" t="n">
        <v>0</v>
      </c>
      <c r="AG26" s="6"/>
      <c r="AH26" s="6"/>
      <c r="AI26" s="6" t="n">
        <v>58119.8240813181</v>
      </c>
      <c r="AJ26" s="6" t="n">
        <v>38919604</v>
      </c>
      <c r="AK26" s="6" t="n">
        <v>3019352.97629527</v>
      </c>
      <c r="AL26" s="6"/>
      <c r="AM26" s="6"/>
    </row>
    <row r="27">
      <c r="A27" t="str">
        <f>M27</f>
      </c>
      <c r="B27" s="6" t="str">
        <f>AC27</f>
      </c>
      <c r="C27" s="6" t="str">
        <f>AI27</f>
      </c>
      <c r="D27" s="6" t="str">
        <f>AJ27</f>
      </c>
      <c r="E27" s="6" t="str">
        <f>AK27</f>
      </c>
      <c r="F27" s="7" t="str">
        <f>AJ27/AI27-1</f>
      </c>
      <c r="G27" s="7" t="str">
        <f>AJ27/AC27-1</f>
      </c>
      <c r="H27" s="7" t="str">
        <f>AK27/AJ27</f>
      </c>
      <c r="I27" s="7" t="str">
        <f>AJ27/Sum(AJ$16:AJ$27)</f>
      </c>
      <c r="J27" s="7" t="str">
        <f>AK27/Sum(AK16:AK$27)</f>
      </c>
      <c r="M27"/>
      <c r="N27" s="6" t="n">
        <v>29979039847.905</v>
      </c>
      <c r="O27" s="6" t="n">
        <v>32171178636.5445</v>
      </c>
      <c r="P27" s="6" t="n">
        <v>36815970630.278</v>
      </c>
      <c r="Q27" s="6" t="n">
        <v>44688103394.7196</v>
      </c>
      <c r="R27" s="6" t="n">
        <v>53546534424.129</v>
      </c>
      <c r="S27" s="6" t="n">
        <v>57278297049.9515</v>
      </c>
      <c r="T27" s="6" t="n">
        <v>59459681706.04</v>
      </c>
      <c r="U27" s="6" t="n">
        <v>66763563977.832</v>
      </c>
      <c r="V27" s="6" t="n">
        <v>70871955857.2583</v>
      </c>
      <c r="W27" s="6" t="n">
        <v>68976994515.0645</v>
      </c>
      <c r="X27" s="6" t="n">
        <v>70612317649.5376</v>
      </c>
      <c r="Y27" s="6" t="n">
        <v>64202624389.8796</v>
      </c>
      <c r="Z27" s="6" t="n">
        <v>59477180933.7137</v>
      </c>
      <c r="AA27" s="6" t="n">
        <v>48339158362.9193</v>
      </c>
      <c r="AB27" s="6" t="n">
        <v>47198164403.5154</v>
      </c>
      <c r="AC27" s="6" t="n">
        <v>46125767339.5873</v>
      </c>
      <c r="AD27" s="6" t="n">
        <v>49958929122.0466</v>
      </c>
      <c r="AE27" s="6" t="n">
        <v>51974909605.3897</v>
      </c>
      <c r="AF27" s="6" t="n">
        <v>56084111486.2321</v>
      </c>
      <c r="AG27" s="6" t="n">
        <v>59146828106.2369</v>
      </c>
      <c r="AH27" s="6" t="n">
        <v>58267075335.2283</v>
      </c>
      <c r="AI27" s="6" t="n">
        <v>50419185583.9507</v>
      </c>
      <c r="AJ27" s="6" t="n">
        <v>51073125313.6937</v>
      </c>
      <c r="AK27" s="6" t="n">
        <v>27270017937.0679</v>
      </c>
      <c r="AL27" s="6"/>
      <c r="AM27" s="6"/>
    </row>
    <row r="28">
      <c r="A28" t="str">
        <f>M28</f>
      </c>
      <c r="B28" s="6" t="str">
        <f>AC28</f>
      </c>
      <c r="C28" s="6" t="str">
        <f>AI28</f>
      </c>
      <c r="D28" s="6" t="str">
        <f>AJ28</f>
      </c>
      <c r="E28" s="6" t="str">
        <f>AK28</f>
      </c>
      <c r="F28" s="7" t="str">
        <f>AJ28/AI28-1</f>
      </c>
      <c r="G28" s="7" t="str">
        <f>AJ28/AC28-1</f>
      </c>
      <c r="H28" s="7" t="str">
        <f>AK28/AJ28</f>
      </c>
      <c r="I28" s="7" t="str">
        <f>Sum(I$16:I$27)</f>
      </c>
      <c r="J28" s="7" t="str">
        <f>Sum(J$16:J$27)</f>
      </c>
      <c r="M28" t="s">
        <v>542</v>
      </c>
      <c r="N28" s="6" t="str">
        <f>Sum(N17:N27)</f>
      </c>
      <c r="O28" s="6" t="str">
        <f>Sum(O17:O27)</f>
      </c>
      <c r="P28" s="6" t="str">
        <f>Sum(P17:P27)</f>
      </c>
      <c r="Q28" s="6" t="str">
        <f>Sum(Q17:Q27)</f>
      </c>
      <c r="R28" s="6" t="str">
        <f>Sum(R17:R27)</f>
      </c>
      <c r="S28" s="6" t="str">
        <f>Sum(S17:S27)</f>
      </c>
      <c r="T28" s="6" t="str">
        <f>Sum(T17:T27)</f>
      </c>
      <c r="U28" s="6" t="str">
        <f>Sum(U17:U27)</f>
      </c>
      <c r="V28" s="6" t="str">
        <f>Sum(V17:V27)</f>
      </c>
      <c r="W28" s="6" t="str">
        <f>Sum(W17:W27)</f>
      </c>
      <c r="X28" s="6" t="str">
        <f>Sum(X17:X27)</f>
      </c>
      <c r="Y28" s="6" t="str">
        <f>Sum(Y17:Y27)</f>
      </c>
      <c r="Z28" s="6" t="str">
        <f>Sum(Z17:Z27)</f>
      </c>
      <c r="AA28" s="6" t="str">
        <f>Sum(AA17:AA27)</f>
      </c>
      <c r="AB28" s="6" t="str">
        <f>Sum(AB17:AB27)</f>
      </c>
      <c r="AC28" s="6" t="str">
        <f>Sum(AC17:AC27)</f>
      </c>
      <c r="AD28" s="6" t="str">
        <f>Sum(AD17:AD27)</f>
      </c>
      <c r="AE28" s="6" t="str">
        <f>Sum(AE17:AE27)</f>
      </c>
      <c r="AF28" s="6" t="str">
        <f>Sum(AF17:AF27)</f>
      </c>
      <c r="AG28" s="6" t="str">
        <f>Sum(AG17:AG27)</f>
      </c>
      <c r="AH28" s="6" t="str">
        <f>Sum(AH17:AH27)</f>
      </c>
      <c r="AI28" s="6" t="str">
        <f>Sum(AI17:AI27)</f>
      </c>
      <c r="AJ28" s="6" t="str">
        <f>Sum(AJ17:AJ27)</f>
      </c>
      <c r="AK28" s="6" t="str">
        <f>Sum(AK17:AK27)</f>
      </c>
      <c r="AL28" s="6"/>
      <c r="AM28" s="6"/>
    </row>
    <row r="29">
      <c r="M29" t="str">
        <f>Sum(A17:A27)</f>
      </c>
      <c r="N29" s="8" t="n">
        <v>29979039847.905</v>
      </c>
      <c r="O29" s="8" t="n">
        <v>32171178636.5445</v>
      </c>
      <c r="P29" s="8" t="n">
        <v>36815970630.278</v>
      </c>
      <c r="Q29" s="8" t="n">
        <v>44688103394.7196</v>
      </c>
      <c r="R29" s="8" t="n">
        <v>53546534424.129</v>
      </c>
      <c r="S29" s="8" t="n">
        <v>57278297049.9515</v>
      </c>
      <c r="T29" s="8" t="n">
        <v>59459681706.04</v>
      </c>
      <c r="U29" s="8" t="n">
        <v>66763563977.832</v>
      </c>
      <c r="V29" s="8" t="n">
        <v>70871955857.2583</v>
      </c>
      <c r="W29" s="8" t="n">
        <v>68976994515.0645</v>
      </c>
      <c r="X29" s="8" t="n">
        <v>70612317649.5376</v>
      </c>
      <c r="Y29" s="8" t="n">
        <v>64202624389.8796</v>
      </c>
      <c r="Z29" s="8" t="n">
        <v>59477180933.7137</v>
      </c>
      <c r="AA29" s="8" t="n">
        <v>48339158362.9193</v>
      </c>
      <c r="AB29" s="8" t="n">
        <v>47198164403.5154</v>
      </c>
      <c r="AC29" s="8" t="n">
        <v>46125767339.5873</v>
      </c>
      <c r="AD29" s="8" t="n">
        <v>49958929122.0466</v>
      </c>
      <c r="AE29" s="8" t="n">
        <v>51974909605.3897</v>
      </c>
      <c r="AF29" s="8" t="n">
        <v>56084111486.2321</v>
      </c>
      <c r="AG29" s="8" t="n">
        <v>59146828106.2369</v>
      </c>
      <c r="AH29" s="8" t="n">
        <v>58267075335.2283</v>
      </c>
      <c r="AI29" s="8" t="n">
        <v>50419185583.9507</v>
      </c>
      <c r="AJ29" s="8" t="n">
        <v>51073125313.6937</v>
      </c>
      <c r="AK29" s="8" t="n">
        <v>27270017937.0679</v>
      </c>
      <c r="AL29" s="8"/>
      <c r="AM29" s="8"/>
    </row>
    <row r="30">
      <c r="M30" t="str">
        <f>Sum(B17:B27)</f>
      </c>
    </row>
    <row r="31">
      <c r="M31" t="str">
        <f>Sum(C17:C27)</f>
      </c>
    </row>
    <row r="32">
      <c r="M32" t="str">
        <f>Sum(D17:D27)</f>
      </c>
    </row>
    <row r="33">
      <c r="M33" t="str">
        <f>Sum(E17:E27)</f>
      </c>
    </row>
    <row r="34">
      <c r="M34" t="str">
        <f>Sum(F17:F27)</f>
      </c>
    </row>
    <row r="35">
      <c r="M35" t="str">
        <f>Sum(G17:G27)</f>
      </c>
    </row>
    <row r="36">
      <c r="M36" t="str">
        <f>Sum(H17:H27)</f>
      </c>
    </row>
    <row r="37">
      <c r="M37" t="str">
        <f>Sum(I17:I27)</f>
      </c>
    </row>
    <row r="38">
      <c r="M38" t="str">
        <f>Sum(J17:J27)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M1</f>
      </c>
      <c r="M1" t="s">
        <v>84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>
      <c r="A2" t="str">
        <f>M2</f>
      </c>
      <c r="M2" t="s">
        <v>85</v>
      </c>
      <c r="N2" s="9" t="n">
        <v>641877119.7422</v>
      </c>
      <c r="O2" s="9" t="n">
        <v>629870809.4102</v>
      </c>
      <c r="P2" s="9" t="n">
        <v>821226165</v>
      </c>
      <c r="Q2" s="9" t="n">
        <v>1285600888.6791</v>
      </c>
      <c r="R2" s="9" t="n">
        <v>923889614.5964</v>
      </c>
      <c r="S2" s="9" t="n">
        <v>981039536.6565</v>
      </c>
      <c r="T2" s="9" t="n">
        <v>1481308626.49</v>
      </c>
      <c r="U2" s="9" t="n">
        <v>1343377747.6518</v>
      </c>
      <c r="V2" s="9" t="n">
        <v>1714639129.9055</v>
      </c>
      <c r="W2" s="9" t="n">
        <v>2059115936.9729</v>
      </c>
      <c r="X2" s="9" t="n">
        <v>2181838955.4037</v>
      </c>
      <c r="Y2" s="9" t="n">
        <v>2383432373.6058</v>
      </c>
      <c r="Z2" s="9" t="n">
        <v>2260243685.4927</v>
      </c>
      <c r="AA2" s="9" t="n">
        <v>1981475840.467</v>
      </c>
      <c r="AB2" s="9" t="n">
        <v>2353265503.8609</v>
      </c>
      <c r="AC2" s="9" t="n">
        <v>2584198918.5992</v>
      </c>
      <c r="AD2" s="9" t="n">
        <v>2842846276.9154</v>
      </c>
      <c r="AE2" s="9" t="n">
        <v>3036084143.101</v>
      </c>
      <c r="AF2" s="9" t="n">
        <v>2941508496.57</v>
      </c>
      <c r="AG2" s="9" t="n">
        <v>3507666907.3163</v>
      </c>
      <c r="AH2" s="9" t="n">
        <v>3562231571.1846</v>
      </c>
      <c r="AI2" s="9" t="n">
        <v>1166501984.76</v>
      </c>
      <c r="AJ2" s="9" t="n">
        <v>749620913.5802</v>
      </c>
      <c r="AK2" s="9" t="n">
        <v>179666178.0145</v>
      </c>
      <c r="AL2" s="9"/>
      <c r="AM2" s="9"/>
    </row>
    <row r="3">
      <c r="A3" t="str">
        <f>M3</f>
      </c>
      <c r="M3" t="s">
        <v>86</v>
      </c>
      <c r="N3" s="9" t="n">
        <v>351187908</v>
      </c>
      <c r="O3" s="9" t="n">
        <v>1025719373.2484</v>
      </c>
      <c r="P3" s="9" t="n">
        <v>815427351.4492</v>
      </c>
      <c r="Q3" s="9" t="n">
        <v>828615056.4004</v>
      </c>
      <c r="R3" s="9" t="n">
        <v>712110637.8609</v>
      </c>
      <c r="S3" s="9" t="n">
        <v>1121438640.6092</v>
      </c>
      <c r="T3" s="9" t="n">
        <v>944741825.4625</v>
      </c>
      <c r="U3" s="9" t="n">
        <v>1003134576.1278</v>
      </c>
      <c r="V3" s="9" t="n">
        <v>940846312.9265</v>
      </c>
      <c r="W3" s="9" t="n">
        <v>873617128.6325</v>
      </c>
      <c r="X3" s="9" t="n">
        <v>1479939084.5839</v>
      </c>
      <c r="Y3" s="9" t="n">
        <v>1377578956.109</v>
      </c>
      <c r="Z3" s="9" t="n">
        <v>983572867.8163</v>
      </c>
      <c r="AA3" s="9" t="n">
        <v>1101923003.7253</v>
      </c>
      <c r="AB3" s="9" t="n">
        <v>963543931.628</v>
      </c>
      <c r="AC3" s="9" t="n">
        <v>898308617.0824</v>
      </c>
      <c r="AD3" s="9" t="n">
        <v>1435381227.3639</v>
      </c>
      <c r="AE3" s="9" t="n">
        <v>1803118434.6465</v>
      </c>
      <c r="AF3" s="9" t="n">
        <v>1591926675.791</v>
      </c>
      <c r="AG3" s="9" t="n">
        <v>2039473772.2537</v>
      </c>
      <c r="AH3" s="9" t="n">
        <v>2487148022.9781</v>
      </c>
      <c r="AI3" s="9" t="n">
        <v>579573604.6659</v>
      </c>
      <c r="AJ3" s="9" t="n">
        <v>559986357.6148</v>
      </c>
      <c r="AK3" s="9" t="n">
        <v>304475696.4542</v>
      </c>
      <c r="AL3" s="9"/>
      <c r="AM3" s="9"/>
    </row>
    <row r="4">
      <c r="A4" t="str">
        <f>M4</f>
      </c>
      <c r="M4" t="s">
        <v>87</v>
      </c>
      <c r="N4" s="9" t="n">
        <v>1339727732.543</v>
      </c>
      <c r="O4" s="9" t="n">
        <v>1097148417</v>
      </c>
      <c r="P4" s="9" t="n">
        <v>1251060712.4033</v>
      </c>
      <c r="Q4" s="9" t="n">
        <v>1495220537.2436</v>
      </c>
      <c r="R4" s="9" t="n">
        <v>1361058381.626</v>
      </c>
      <c r="S4" s="9" t="n">
        <v>991755823.5686</v>
      </c>
      <c r="T4" s="9" t="n">
        <v>1044755712.2014</v>
      </c>
      <c r="U4" s="9" t="n">
        <v>1465073122.9674</v>
      </c>
      <c r="V4" s="9" t="n">
        <v>1900834605.8289</v>
      </c>
      <c r="W4" s="9" t="n">
        <v>1494126729.7796</v>
      </c>
      <c r="X4" s="9" t="n">
        <v>1188877615.4633</v>
      </c>
      <c r="Y4" s="9" t="n">
        <v>984281497.6038</v>
      </c>
      <c r="Z4" s="9" t="n">
        <v>985730287.3726</v>
      </c>
      <c r="AA4" s="9" t="n">
        <v>724052874.8979</v>
      </c>
      <c r="AB4" s="9" t="n">
        <v>658323638.1881</v>
      </c>
      <c r="AC4" s="9" t="n">
        <v>727812275.7493</v>
      </c>
      <c r="AD4" s="9" t="n">
        <v>925224205.2999</v>
      </c>
      <c r="AE4" s="9" t="n">
        <v>1000977518.5718</v>
      </c>
      <c r="AF4" s="9" t="n">
        <v>978330768.4442</v>
      </c>
      <c r="AG4" s="9" t="n">
        <v>1034817437.5223</v>
      </c>
      <c r="AH4" s="9" t="n">
        <v>997183380.9892</v>
      </c>
      <c r="AI4" s="9" t="n">
        <v>136261710.3218</v>
      </c>
      <c r="AJ4" s="9" t="n">
        <v>99691626.4961</v>
      </c>
      <c r="AK4" s="9" t="n">
        <v>14144260.1074</v>
      </c>
      <c r="AL4" s="9"/>
      <c r="AM4" s="9"/>
    </row>
    <row r="5">
      <c r="A5" t="str">
        <f>M5</f>
      </c>
      <c r="M5" t="s">
        <v>88</v>
      </c>
      <c r="N5" s="9" t="n">
        <v>491631144</v>
      </c>
      <c r="O5" s="9" t="n">
        <v>300732196</v>
      </c>
      <c r="P5" s="9" t="n">
        <v>305677407</v>
      </c>
      <c r="Q5" s="9" t="n">
        <v>465950460</v>
      </c>
      <c r="R5" s="9" t="n">
        <v>769688340</v>
      </c>
      <c r="S5" s="9" t="n">
        <v>973667085</v>
      </c>
      <c r="T5" s="9" t="n">
        <v>1278631827.9922</v>
      </c>
      <c r="U5" s="9" t="n">
        <v>2696482989.6133</v>
      </c>
      <c r="V5" s="9" t="n">
        <v>2442519726.477</v>
      </c>
      <c r="W5" s="9" t="n">
        <v>2341494074.3916</v>
      </c>
      <c r="X5" s="9" t="n">
        <v>1696055957.0317</v>
      </c>
      <c r="Y5" s="9" t="n">
        <v>1365327166.9176</v>
      </c>
      <c r="Z5" s="9" t="n">
        <v>1829002184.9173</v>
      </c>
      <c r="AA5" s="9" t="n">
        <v>1667634173.7817</v>
      </c>
      <c r="AB5" s="9" t="n">
        <v>1129285752.9649</v>
      </c>
      <c r="AC5" s="9" t="n">
        <v>1152695466.0709</v>
      </c>
      <c r="AD5" s="9" t="n">
        <v>1136352104.4056</v>
      </c>
      <c r="AE5" s="9" t="n">
        <v>998234272.5168</v>
      </c>
      <c r="AF5" s="9" t="n">
        <v>1118797821.3056</v>
      </c>
      <c r="AG5" s="9" t="n">
        <v>1798001745.8521</v>
      </c>
      <c r="AH5" s="9" t="n">
        <v>1132954059.8557</v>
      </c>
      <c r="AI5" s="9" t="n">
        <v>1204826803.6533</v>
      </c>
      <c r="AJ5" s="9" t="n">
        <v>1010906263.4309</v>
      </c>
      <c r="AK5" s="9" t="n">
        <v>1309599808.2079</v>
      </c>
      <c r="AL5" s="9"/>
      <c r="AM5" s="9"/>
    </row>
    <row r="6">
      <c r="A6" t="str">
        <f>M6</f>
      </c>
      <c r="M6" t="s">
        <v>89</v>
      </c>
      <c r="N6" s="9" t="n">
        <v>814070669</v>
      </c>
      <c r="O6" s="9" t="n">
        <v>711114343</v>
      </c>
      <c r="P6" s="9" t="n">
        <v>916473463</v>
      </c>
      <c r="Q6" s="9" t="n">
        <v>847695122</v>
      </c>
      <c r="R6" s="9" t="n">
        <v>966537953.375</v>
      </c>
      <c r="S6" s="9" t="n">
        <v>1012912359</v>
      </c>
      <c r="T6" s="9" t="n">
        <v>1029710135.69</v>
      </c>
      <c r="U6" s="9" t="n">
        <v>1922031011.4328</v>
      </c>
      <c r="V6" s="9" t="n">
        <v>2354140065.9908</v>
      </c>
      <c r="W6" s="9" t="n">
        <v>2646633367.5519</v>
      </c>
      <c r="X6" s="9" t="n">
        <v>3091092037.4034</v>
      </c>
      <c r="Y6" s="9" t="n">
        <v>2637663150.1015</v>
      </c>
      <c r="Z6" s="9" t="n">
        <v>2113382221.1912</v>
      </c>
      <c r="AA6" s="9" t="n">
        <v>1705901634.3329</v>
      </c>
      <c r="AB6" s="9" t="n">
        <v>1045704927.3628</v>
      </c>
      <c r="AC6" s="9" t="n">
        <v>987338517.6224</v>
      </c>
      <c r="AD6" s="9" t="n">
        <v>1147623859.5144</v>
      </c>
      <c r="AE6" s="9" t="n">
        <v>1273437545.9269</v>
      </c>
      <c r="AF6" s="9" t="n">
        <v>905524380.2804</v>
      </c>
      <c r="AG6" s="9" t="n">
        <v>1272385333.9664</v>
      </c>
      <c r="AH6" s="9" t="n">
        <v>1179205071.9607</v>
      </c>
      <c r="AI6" s="9" t="n">
        <v>1158924124.55</v>
      </c>
      <c r="AJ6" s="9" t="n">
        <v>1245347519.4283</v>
      </c>
      <c r="AK6" s="9" t="n">
        <v>400437665.0497</v>
      </c>
      <c r="AL6" s="9"/>
      <c r="AM6" s="9"/>
    </row>
    <row r="7">
      <c r="A7" t="str">
        <f>M7</f>
      </c>
      <c r="M7" t="s">
        <v>90</v>
      </c>
      <c r="N7" s="9" t="n">
        <v>2435579587.132</v>
      </c>
      <c r="O7" s="9" t="n">
        <v>2316779497.0697</v>
      </c>
      <c r="P7" s="9" t="n">
        <v>2819894442.8714</v>
      </c>
      <c r="Q7" s="9" t="n">
        <v>3646169674.172</v>
      </c>
      <c r="R7" s="9" t="n">
        <v>5672550740.0513</v>
      </c>
      <c r="S7" s="9" t="n">
        <v>5657850364.3533</v>
      </c>
      <c r="T7" s="9" t="n">
        <v>6490660424.4984</v>
      </c>
      <c r="U7" s="9" t="n">
        <v>6688554319.4974</v>
      </c>
      <c r="V7" s="9" t="n">
        <v>6617845487.8148</v>
      </c>
      <c r="W7" s="9" t="n">
        <v>7015052329.9102</v>
      </c>
      <c r="X7" s="9" t="n">
        <v>6943317286.6748</v>
      </c>
      <c r="Y7" s="9" t="n">
        <v>7837467133.8587</v>
      </c>
      <c r="Z7" s="9" t="n">
        <v>6712302828.3272</v>
      </c>
      <c r="AA7" s="9" t="n">
        <v>5613203975.0445</v>
      </c>
      <c r="AB7" s="9" t="n">
        <v>5393361688.0726</v>
      </c>
      <c r="AC7" s="9" t="n">
        <v>4216906745.115</v>
      </c>
      <c r="AD7" s="9" t="n">
        <v>4294092048.9373</v>
      </c>
      <c r="AE7" s="9" t="n">
        <v>4246980696.2553</v>
      </c>
      <c r="AF7" s="9" t="n">
        <v>4561125875.9834</v>
      </c>
      <c r="AG7" s="9" t="n">
        <v>4046777076.7495</v>
      </c>
      <c r="AH7" s="9" t="n">
        <v>4209152987.9945</v>
      </c>
      <c r="AI7" s="9" t="n">
        <v>2844702833.9271</v>
      </c>
      <c r="AJ7" s="9" t="n">
        <v>2025246489.9319</v>
      </c>
      <c r="AK7" s="9" t="n">
        <v>812958382.4892</v>
      </c>
      <c r="AL7" s="9"/>
      <c r="AM7" s="9"/>
    </row>
    <row r="8">
      <c r="A8" t="str">
        <f>M8</f>
      </c>
      <c r="M8" t="s">
        <v>91</v>
      </c>
      <c r="N8" s="9" t="n">
        <v>521021751</v>
      </c>
      <c r="O8" s="9" t="n">
        <v>264768243.0508</v>
      </c>
      <c r="P8" s="9" t="n">
        <v>293015040.0271</v>
      </c>
      <c r="Q8" s="9" t="n">
        <v>825486114.4331</v>
      </c>
      <c r="R8" s="9" t="n">
        <v>1114657763.4399</v>
      </c>
      <c r="S8" s="9" t="n">
        <v>1214986039.2011</v>
      </c>
      <c r="T8" s="9" t="n">
        <v>1381029832.5159</v>
      </c>
      <c r="U8" s="9" t="n">
        <v>2026765897.7634</v>
      </c>
      <c r="V8" s="9" t="n">
        <v>2217915458.641</v>
      </c>
      <c r="W8" s="9" t="n">
        <v>2519573734.0585</v>
      </c>
      <c r="X8" s="9" t="n">
        <v>2276642298.8994</v>
      </c>
      <c r="Y8" s="9" t="n">
        <v>2451895695.847</v>
      </c>
      <c r="Z8" s="9" t="n">
        <v>2265462135.5057</v>
      </c>
      <c r="AA8" s="9" t="n">
        <v>1890553631.4922</v>
      </c>
      <c r="AB8" s="9" t="n">
        <v>1336795988.8198</v>
      </c>
      <c r="AC8" s="9" t="n">
        <v>1327624153.8112</v>
      </c>
      <c r="AD8" s="9" t="n">
        <v>1553963813.1582</v>
      </c>
      <c r="AE8" s="9" t="n">
        <v>1323243256.1922</v>
      </c>
      <c r="AF8" s="9" t="n">
        <v>1557027750.4191</v>
      </c>
      <c r="AG8" s="9" t="n">
        <v>1256665380.0856</v>
      </c>
      <c r="AH8" s="9" t="n">
        <v>1450620691.1102</v>
      </c>
      <c r="AI8" s="9" t="n">
        <v>776270522.9253</v>
      </c>
      <c r="AJ8" s="9" t="n">
        <v>671933615.0434</v>
      </c>
      <c r="AK8" s="9" t="n">
        <v>365942759.0056</v>
      </c>
      <c r="AL8" s="9"/>
      <c r="AM8" s="9"/>
    </row>
    <row r="9">
      <c r="A9" t="str">
        <f>M9</f>
      </c>
      <c r="M9" t="s">
        <v>92</v>
      </c>
      <c r="N9" s="9" t="n">
        <v>893225383.7109</v>
      </c>
      <c r="O9" s="9" t="n">
        <v>1178381810.6851</v>
      </c>
      <c r="P9" s="9" t="n">
        <v>1043321344</v>
      </c>
      <c r="Q9" s="9" t="n">
        <v>1357368238.9646</v>
      </c>
      <c r="R9" s="9" t="n">
        <v>1688205233.8494</v>
      </c>
      <c r="S9" s="9" t="n">
        <v>2186240206.5633</v>
      </c>
      <c r="T9" s="9" t="n">
        <v>2162093371.9563</v>
      </c>
      <c r="U9" s="9" t="n">
        <v>2766950147.4032</v>
      </c>
      <c r="V9" s="9" t="n">
        <v>2504364775.9165</v>
      </c>
      <c r="W9" s="9" t="n">
        <v>3147977997.7128</v>
      </c>
      <c r="X9" s="9" t="n">
        <v>3388448284.4046</v>
      </c>
      <c r="Y9" s="9" t="n">
        <v>3015871471.8675</v>
      </c>
      <c r="Z9" s="9" t="n">
        <v>2936196357.1895</v>
      </c>
      <c r="AA9" s="9" t="n">
        <v>2143189248.0424</v>
      </c>
      <c r="AB9" s="9" t="n">
        <v>1624894419.2672</v>
      </c>
      <c r="AC9" s="9" t="n">
        <v>1961365734.7356</v>
      </c>
      <c r="AD9" s="9" t="n">
        <v>2016705243.1316</v>
      </c>
      <c r="AE9" s="9" t="n">
        <v>2028751303.8439</v>
      </c>
      <c r="AF9" s="9" t="n">
        <v>2697152667.2257</v>
      </c>
      <c r="AG9" s="9" t="n">
        <v>2665912190.0078</v>
      </c>
      <c r="AH9" s="9" t="n">
        <v>2341768776.8267</v>
      </c>
      <c r="AI9" s="9" t="n">
        <v>422807505.9804</v>
      </c>
      <c r="AJ9" s="9" t="n">
        <v>213150006.5664</v>
      </c>
      <c r="AK9" s="9" t="n">
        <v>108428309.4101</v>
      </c>
      <c r="AL9" s="9"/>
      <c r="AM9" s="9"/>
    </row>
    <row r="10">
      <c r="A10" t="str">
        <f>M10</f>
      </c>
      <c r="M10" t="s">
        <v>93</v>
      </c>
      <c r="N10" s="9" t="n">
        <v>261591100.3501</v>
      </c>
      <c r="O10" s="9" t="n">
        <v>269655652.3799</v>
      </c>
      <c r="P10" s="9" t="n">
        <v>354186894.4063</v>
      </c>
      <c r="Q10" s="9" t="n">
        <v>295937791</v>
      </c>
      <c r="R10" s="9" t="n">
        <v>342239100.48</v>
      </c>
      <c r="S10" s="9" t="n">
        <v>627853243.6719</v>
      </c>
      <c r="T10" s="9" t="n">
        <v>602643691.011</v>
      </c>
      <c r="U10" s="9" t="n">
        <v>615121005.2408</v>
      </c>
      <c r="V10" s="9" t="n">
        <v>633511086.3849</v>
      </c>
      <c r="W10" s="9" t="n">
        <v>640047360.7067</v>
      </c>
      <c r="X10" s="9" t="n">
        <v>594329042.2771</v>
      </c>
      <c r="Y10" s="9" t="n">
        <v>544437005.1299</v>
      </c>
      <c r="Z10" s="9" t="n">
        <v>561371012.5023</v>
      </c>
      <c r="AA10" s="9" t="n">
        <v>475130232.7524</v>
      </c>
      <c r="AB10" s="9" t="n">
        <v>398710696.4688</v>
      </c>
      <c r="AC10" s="9" t="n">
        <v>376465059.2299</v>
      </c>
      <c r="AD10" s="9" t="n">
        <v>425522597.2851</v>
      </c>
      <c r="AE10" s="9" t="n">
        <v>442268754.6104</v>
      </c>
      <c r="AF10" s="9" t="n">
        <v>578996643.1952</v>
      </c>
      <c r="AG10" s="9" t="n">
        <v>678951854.8216</v>
      </c>
      <c r="AH10" s="9" t="n">
        <v>450116328.2598</v>
      </c>
      <c r="AI10" s="9" t="n">
        <v>593174826.2083</v>
      </c>
      <c r="AJ10" s="9" t="n">
        <v>499734217.9209</v>
      </c>
      <c r="AK10" s="9" t="n">
        <v>285126921.2172</v>
      </c>
      <c r="AL10" s="9"/>
      <c r="AM10" s="9"/>
    </row>
    <row r="11">
      <c r="A11" t="str">
        <f>M11</f>
      </c>
      <c r="M11" t="s">
        <v>94</v>
      </c>
      <c r="N11" s="9" t="n">
        <v>13000763869.3287</v>
      </c>
      <c r="O11" s="9" t="n">
        <v>14592537362.0467</v>
      </c>
      <c r="P11" s="9" t="n">
        <v>17183009932.0941</v>
      </c>
      <c r="Q11" s="9" t="n">
        <v>20435643838.905</v>
      </c>
      <c r="R11" s="9" t="n">
        <v>23981108322.3963</v>
      </c>
      <c r="S11" s="9" t="n">
        <v>27465502290.9739</v>
      </c>
      <c r="T11" s="9" t="n">
        <v>28786929731.7224</v>
      </c>
      <c r="U11" s="9" t="n">
        <v>31926781449.9198</v>
      </c>
      <c r="V11" s="9" t="n">
        <v>35625840034.4134</v>
      </c>
      <c r="W11" s="9" t="n">
        <v>32608045869.8561</v>
      </c>
      <c r="X11" s="9" t="n">
        <v>33280395915.5525</v>
      </c>
      <c r="Y11" s="9" t="n">
        <v>29820121427.9161</v>
      </c>
      <c r="Z11" s="9" t="n">
        <v>28972951960.3881</v>
      </c>
      <c r="AA11" s="9" t="n">
        <v>23809570821.6208</v>
      </c>
      <c r="AB11" s="9" t="n">
        <v>25950186580.6627</v>
      </c>
      <c r="AC11" s="9" t="n">
        <v>25382237307.5803</v>
      </c>
      <c r="AD11" s="9" t="n">
        <v>27526473336.7508</v>
      </c>
      <c r="AE11" s="9" t="n">
        <v>29555167166.5828</v>
      </c>
      <c r="AF11" s="9" t="n">
        <v>34053281675.7069</v>
      </c>
      <c r="AG11" s="9" t="n">
        <v>36624598616.6766</v>
      </c>
      <c r="AH11" s="9" t="n">
        <v>37546299780.5199</v>
      </c>
      <c r="AI11" s="9" t="n">
        <v>40721440180.423</v>
      </c>
      <c r="AJ11" s="9" t="n">
        <v>46512206855.8651</v>
      </c>
      <c r="AK11" s="9" t="n">
        <v>25886996326.7778</v>
      </c>
      <c r="AL11" s="9"/>
      <c r="AM11" s="9"/>
    </row>
    <row r="12">
      <c r="A12" t="str">
        <f>M12</f>
      </c>
      <c r="M12"/>
      <c r="N12" s="9"/>
      <c r="O12" s="9" t="n">
        <v>13342</v>
      </c>
      <c r="P12" s="9"/>
      <c r="Q12" s="9" t="n">
        <v>0</v>
      </c>
      <c r="R12" s="9"/>
      <c r="S12" s="9"/>
      <c r="T12" s="9"/>
      <c r="U12" s="9"/>
      <c r="V12" s="9" t="n">
        <v>0</v>
      </c>
      <c r="W12" s="9"/>
      <c r="X12" s="9"/>
      <c r="Y12" s="9"/>
      <c r="Z12" s="9"/>
      <c r="AA12" s="9" t="n">
        <v>0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>
      <c r="A13" t="str">
        <f>M13</f>
      </c>
      <c r="M13" t="s">
        <v>542</v>
      </c>
      <c r="N13" s="9" t="str">
        <f>Sum(N2:N12)</f>
      </c>
      <c r="O13" s="9" t="str">
        <f>Sum(O2:O12)</f>
      </c>
      <c r="P13" s="9" t="str">
        <f>Sum(P2:P12)</f>
      </c>
      <c r="Q13" s="9" t="str">
        <f>Sum(Q2:Q12)</f>
      </c>
      <c r="R13" s="9" t="str">
        <f>Sum(R2:R12)</f>
      </c>
      <c r="S13" s="9" t="str">
        <f>Sum(S2:S12)</f>
      </c>
      <c r="T13" s="9" t="str">
        <f>Sum(T2:T12)</f>
      </c>
      <c r="U13" s="9" t="str">
        <f>Sum(U2:U12)</f>
      </c>
      <c r="V13" s="9" t="str">
        <f>Sum(V2:V12)</f>
      </c>
      <c r="W13" s="9" t="str">
        <f>Sum(W2:W12)</f>
      </c>
      <c r="X13" s="9" t="str">
        <f>Sum(X2:X12)</f>
      </c>
      <c r="Y13" s="9" t="str">
        <f>Sum(Y2:Y12)</f>
      </c>
      <c r="Z13" s="9" t="str">
        <f>Sum(Z2:Z12)</f>
      </c>
      <c r="AA13" s="9" t="str">
        <f>Sum(AA2:AA12)</f>
      </c>
      <c r="AB13" s="9" t="str">
        <f>Sum(AB2:AB12)</f>
      </c>
      <c r="AC13" s="9" t="str">
        <f>Sum(AC2:AC12)</f>
      </c>
      <c r="AD13" s="9" t="str">
        <f>Sum(AD2:AD12)</f>
      </c>
      <c r="AE13" s="9" t="str">
        <f>Sum(AE2:AE12)</f>
      </c>
      <c r="AF13" s="9" t="str">
        <f>Sum(AF2:AF12)</f>
      </c>
      <c r="AG13" s="9" t="str">
        <f>Sum(AG2:AG12)</f>
      </c>
      <c r="AH13" s="9" t="str">
        <f>Sum(AH2:AH12)</f>
      </c>
      <c r="AI13" s="9" t="str">
        <f>Sum(AI2:AI12)</f>
      </c>
      <c r="AJ13" s="9" t="str">
        <f>Sum(AJ2:AJ12)</f>
      </c>
      <c r="AK13" s="9" t="str">
        <f>Sum(AK2:AK12)</f>
      </c>
      <c r="AL13" s="9"/>
      <c r="AM13" s="9"/>
    </row>
    <row r="16">
      <c r="A16" t="str">
        <f>M16</f>
      </c>
      <c r="B16" t="str">
        <f>AC16</f>
      </c>
      <c r="C16" t="str">
        <f>AI16</f>
      </c>
      <c r="D16" t="str">
        <f>AJ16</f>
      </c>
      <c r="E16" t="str">
        <f>AK16</f>
      </c>
      <c r="F16" t="str">
        <f>AI16&amp;"-"&amp;AJ16</f>
      </c>
      <c r="G16" t="str">
        <f>AC16&amp;"-"&amp;AJ16</f>
      </c>
      <c r="H16" t="str">
        <f>AK16&amp;"/"&amp;AJ16</f>
      </c>
      <c r="I16" t="str">
        <f>"Share "&amp;AJ16</f>
      </c>
      <c r="J16" t="str">
        <f>"Share "&amp;AK16</f>
      </c>
      <c r="M16" t="s">
        <v>84</v>
      </c>
      <c r="N16" t="s">
        <v>11</v>
      </c>
      <c r="O16" t="s">
        <v>12</v>
      </c>
      <c r="P16" t="s">
        <v>13</v>
      </c>
      <c r="Q16" t="s">
        <v>14</v>
      </c>
      <c r="R16" t="s">
        <v>15</v>
      </c>
      <c r="S16" t="s">
        <v>16</v>
      </c>
      <c r="T16" t="s">
        <v>17</v>
      </c>
      <c r="U16" t="s">
        <v>18</v>
      </c>
      <c r="V16" t="s">
        <v>19</v>
      </c>
      <c r="W16" t="s">
        <v>20</v>
      </c>
      <c r="X16" t="s">
        <v>21</v>
      </c>
      <c r="Y16" t="s">
        <v>22</v>
      </c>
      <c r="Z16" t="s">
        <v>23</v>
      </c>
      <c r="AA16" t="s">
        <v>24</v>
      </c>
      <c r="AB16" t="s">
        <v>25</v>
      </c>
      <c r="AC16" t="s">
        <v>26</v>
      </c>
      <c r="AD16" t="s">
        <v>27</v>
      </c>
      <c r="AE16" t="s">
        <v>28</v>
      </c>
      <c r="AF16" t="s">
        <v>29</v>
      </c>
      <c r="AG16" t="s">
        <v>30</v>
      </c>
      <c r="AH16" t="s">
        <v>31</v>
      </c>
      <c r="AI16" t="s">
        <v>32</v>
      </c>
      <c r="AJ16" t="s">
        <v>33</v>
      </c>
      <c r="AK16" t="s">
        <v>34</v>
      </c>
    </row>
    <row r="17">
      <c r="A17" t="str">
        <f>M17</f>
      </c>
      <c r="B17" s="9" t="str">
        <f>AC17</f>
      </c>
      <c r="C17" s="9" t="str">
        <f>AI17</f>
      </c>
      <c r="D17" s="9" t="str">
        <f>AJ17</f>
      </c>
      <c r="E17" s="9" t="str">
        <f>AK17</f>
      </c>
      <c r="F17" s="7" t="str">
        <f>AJ17/AI17-1</f>
      </c>
      <c r="G17" s="7" t="str">
        <f>AJ17/AC17-1</f>
      </c>
      <c r="H17" s="7" t="str">
        <f>AK17/AJ17</f>
      </c>
      <c r="I17" s="7" t="str">
        <f>AJ17/Sum(AJ$16:AJ$27)</f>
      </c>
      <c r="J17" s="7" t="str">
        <f>AK17/Sum(AK16:AK$27)</f>
      </c>
      <c r="M17" t="s">
        <v>85</v>
      </c>
      <c r="N17" s="9" t="n">
        <v>1037100150.62676</v>
      </c>
      <c r="O17" s="9" t="n">
        <v>993606802.872374</v>
      </c>
      <c r="P17" s="9" t="n">
        <v>1275336181.50271</v>
      </c>
      <c r="Q17" s="9" t="n">
        <v>1959047918.54579</v>
      </c>
      <c r="R17" s="9" t="n">
        <v>1374266703.69955</v>
      </c>
      <c r="S17" s="9" t="n">
        <v>1416282343.99409</v>
      </c>
      <c r="T17" s="9" t="n">
        <v>2071069115.55567</v>
      </c>
      <c r="U17" s="9" t="n">
        <v>1828091201.08583</v>
      </c>
      <c r="V17" s="9" t="n">
        <v>2285641002.85584</v>
      </c>
      <c r="W17" s="9" t="n">
        <v>2717221734.28194</v>
      </c>
      <c r="X17" s="9" t="n">
        <v>2854342193.49746</v>
      </c>
      <c r="Y17" s="9" t="n">
        <v>3056472898.8885</v>
      </c>
      <c r="Z17" s="9" t="n">
        <v>2846324872.59788</v>
      </c>
      <c r="AA17" s="9" t="n">
        <v>2450429661.97661</v>
      </c>
      <c r="AB17" s="9" t="n">
        <v>2854978082.49119</v>
      </c>
      <c r="AC17" s="9" t="n">
        <v>3099611105.75315</v>
      </c>
      <c r="AD17" s="9" t="n">
        <v>3381821574.23363</v>
      </c>
      <c r="AE17" s="9" t="n">
        <v>3548344095.88303</v>
      </c>
      <c r="AF17" s="9" t="n">
        <v>3358942373.3666</v>
      </c>
      <c r="AG17" s="9" t="n">
        <v>3928499588.36301</v>
      </c>
      <c r="AH17" s="9" t="n">
        <v>3937088134.14152</v>
      </c>
      <c r="AI17" s="9" t="n">
        <v>1247326101.75844</v>
      </c>
      <c r="AJ17" s="9" t="n">
        <v>749620913.5802</v>
      </c>
      <c r="AK17" s="9" t="n">
        <v>171365309.429568</v>
      </c>
      <c r="AL17" s="9"/>
      <c r="AM17" s="9"/>
    </row>
    <row r="18">
      <c r="A18" t="str">
        <f>M18</f>
      </c>
      <c r="B18" s="9" t="str">
        <f>AC18</f>
      </c>
      <c r="C18" s="9" t="str">
        <f>AI18</f>
      </c>
      <c r="D18" s="9" t="str">
        <f>AJ18</f>
      </c>
      <c r="E18" s="9" t="str">
        <f>AK18</f>
      </c>
      <c r="F18" s="7" t="str">
        <f>AJ18/AI18-1</f>
      </c>
      <c r="G18" s="7" t="str">
        <f>AJ18/AC18-1</f>
      </c>
      <c r="H18" s="7" t="str">
        <f>AK18/AJ18</f>
      </c>
      <c r="I18" s="7" t="str">
        <f>AJ18/Sum(AJ$16:AJ$27)</f>
      </c>
      <c r="J18" s="7" t="str">
        <f>AK18/Sum(AK16:AK$27)</f>
      </c>
      <c r="M18" t="s">
        <v>86</v>
      </c>
      <c r="N18" s="9" t="n">
        <v>567424856.071171</v>
      </c>
      <c r="O18" s="9" t="n">
        <v>1618048863.15008</v>
      </c>
      <c r="P18" s="9" t="n">
        <v>1266330822.14336</v>
      </c>
      <c r="Q18" s="9" t="n">
        <v>1262675388.45961</v>
      </c>
      <c r="R18" s="9" t="n">
        <v>1059249853.55528</v>
      </c>
      <c r="S18" s="9" t="n">
        <v>1618970171.15189</v>
      </c>
      <c r="T18" s="9" t="n">
        <v>1320876407.45423</v>
      </c>
      <c r="U18" s="9" t="n">
        <v>1365082528.22386</v>
      </c>
      <c r="V18" s="9" t="n">
        <v>1254162973.83174</v>
      </c>
      <c r="W18" s="9" t="n">
        <v>1152830400.04583</v>
      </c>
      <c r="X18" s="9" t="n">
        <v>1936097328.5731</v>
      </c>
      <c r="Y18" s="9" t="n">
        <v>1766583684.96368</v>
      </c>
      <c r="Z18" s="9" t="n">
        <v>1238613312.20474</v>
      </c>
      <c r="AA18" s="9" t="n">
        <v>1362713972.28162</v>
      </c>
      <c r="AB18" s="9" t="n">
        <v>1168970012.86172</v>
      </c>
      <c r="AC18" s="9" t="n">
        <v>1077474085.24251</v>
      </c>
      <c r="AD18" s="9" t="n">
        <v>1707515190.45067</v>
      </c>
      <c r="AE18" s="9" t="n">
        <v>2107347606.38777</v>
      </c>
      <c r="AF18" s="9" t="n">
        <v>1817839374.87932</v>
      </c>
      <c r="AG18" s="9" t="n">
        <v>2284159838.00064</v>
      </c>
      <c r="AH18" s="9" t="n">
        <v>2748872658.45671</v>
      </c>
      <c r="AI18" s="9" t="n">
        <v>619730865.814805</v>
      </c>
      <c r="AJ18" s="9" t="n">
        <v>559986357.6148</v>
      </c>
      <c r="AK18" s="9" t="n">
        <v>290408425.855456</v>
      </c>
      <c r="AL18" s="9"/>
      <c r="AM18" s="9"/>
    </row>
    <row r="19">
      <c r="A19" t="str">
        <f>M19</f>
      </c>
      <c r="B19" s="9" t="str">
        <f>AC19</f>
      </c>
      <c r="C19" s="9" t="str">
        <f>AI19</f>
      </c>
      <c r="D19" s="9" t="str">
        <f>AJ19</f>
      </c>
      <c r="E19" s="9" t="str">
        <f>AK19</f>
      </c>
      <c r="F19" s="7" t="str">
        <f>AJ19/AI19-1</f>
      </c>
      <c r="G19" s="7" t="str">
        <f>AJ19/AC19-1</f>
      </c>
      <c r="H19" s="7" t="str">
        <f>AK19/AJ19</f>
      </c>
      <c r="I19" s="7" t="str">
        <f>AJ19/Sum(AJ$16:AJ$27)</f>
      </c>
      <c r="J19" s="7" t="str">
        <f>AK19/Sum(AK16:AK$27)</f>
      </c>
      <c r="M19" t="s">
        <v>87</v>
      </c>
      <c r="N19" s="9" t="n">
        <v>2164638355.97884</v>
      </c>
      <c r="O19" s="9" t="n">
        <v>1730726546.78606</v>
      </c>
      <c r="P19" s="9" t="n">
        <v>1942854550.65169</v>
      </c>
      <c r="Q19" s="9" t="n">
        <v>2278474374.93889</v>
      </c>
      <c r="R19" s="9" t="n">
        <v>2024546207.80309</v>
      </c>
      <c r="S19" s="9" t="n">
        <v>1431752962.02699</v>
      </c>
      <c r="T19" s="9" t="n">
        <v>1460709301.3208</v>
      </c>
      <c r="U19" s="9" t="n">
        <v>1993696329.81166</v>
      </c>
      <c r="V19" s="9" t="n">
        <v>2533842508.872</v>
      </c>
      <c r="W19" s="9" t="n">
        <v>1971658589.5096</v>
      </c>
      <c r="X19" s="9" t="n">
        <v>1555322647.58453</v>
      </c>
      <c r="Y19" s="9" t="n">
        <v>1262225752.91787</v>
      </c>
      <c r="Z19" s="9" t="n">
        <v>1241330150.65147</v>
      </c>
      <c r="AA19" s="9" t="n">
        <v>895413713.987599</v>
      </c>
      <c r="AB19" s="9" t="n">
        <v>798677223.258179</v>
      </c>
      <c r="AC19" s="9" t="n">
        <v>872972663.435238</v>
      </c>
      <c r="AD19" s="9" t="n">
        <v>1100637485.71076</v>
      </c>
      <c r="AE19" s="9" t="n">
        <v>1169866347.81082</v>
      </c>
      <c r="AF19" s="9" t="n">
        <v>1117167153.22339</v>
      </c>
      <c r="AG19" s="9" t="n">
        <v>1158969761.02772</v>
      </c>
      <c r="AH19" s="9" t="n">
        <v>1102117809.6937</v>
      </c>
      <c r="AI19" s="9" t="n">
        <v>145702956.510269</v>
      </c>
      <c r="AJ19" s="9" t="n">
        <v>99691626.4961</v>
      </c>
      <c r="AK19" s="9" t="n">
        <v>13490772.3687498</v>
      </c>
      <c r="AL19" s="9"/>
      <c r="AM19" s="9"/>
    </row>
    <row r="20">
      <c r="A20" t="str">
        <f>M20</f>
      </c>
      <c r="B20" s="9" t="str">
        <f>AC20</f>
      </c>
      <c r="C20" s="9" t="str">
        <f>AI20</f>
      </c>
      <c r="D20" s="9" t="str">
        <f>AJ20</f>
      </c>
      <c r="E20" s="9" t="str">
        <f>AK20</f>
      </c>
      <c r="F20" s="7" t="str">
        <f>AJ20/AI20-1</f>
      </c>
      <c r="G20" s="7" t="str">
        <f>AJ20/AC20-1</f>
      </c>
      <c r="H20" s="7" t="str">
        <f>AK20/AJ20</f>
      </c>
      <c r="I20" s="7" t="str">
        <f>AJ20/Sum(AJ$16:AJ$27)</f>
      </c>
      <c r="J20" s="7" t="str">
        <f>AK20/Sum(AK16:AK$27)</f>
      </c>
      <c r="M20" t="s">
        <v>88</v>
      </c>
      <c r="N20" s="9" t="n">
        <v>794343212.763195</v>
      </c>
      <c r="O20" s="9" t="n">
        <v>474398164.392073</v>
      </c>
      <c r="P20" s="9" t="n">
        <v>474706571.258637</v>
      </c>
      <c r="Q20" s="9" t="n">
        <v>710033173.472939</v>
      </c>
      <c r="R20" s="9" t="n">
        <v>1144895495.28041</v>
      </c>
      <c r="S20" s="9" t="n">
        <v>1405639069.46447</v>
      </c>
      <c r="T20" s="9" t="n">
        <v>1787699633.80012</v>
      </c>
      <c r="U20" s="9" t="n">
        <v>3669419741.25016</v>
      </c>
      <c r="V20" s="9" t="n">
        <v>3255917317.96518</v>
      </c>
      <c r="W20" s="9" t="n">
        <v>3089849617.2015</v>
      </c>
      <c r="X20" s="9" t="n">
        <v>2218827411.02335</v>
      </c>
      <c r="Y20" s="9" t="n">
        <v>1750872200.11473</v>
      </c>
      <c r="Z20" s="9" t="n">
        <v>2303262451.02689</v>
      </c>
      <c r="AA20" s="9" t="n">
        <v>2062311415.21132</v>
      </c>
      <c r="AB20" s="9" t="n">
        <v>1370047735.07058</v>
      </c>
      <c r="AC20" s="9" t="n">
        <v>1382597772.35779</v>
      </c>
      <c r="AD20" s="9" t="n">
        <v>1351793128.53117</v>
      </c>
      <c r="AE20" s="9" t="n">
        <v>1166660250.58689</v>
      </c>
      <c r="AF20" s="9" t="n">
        <v>1277568095.96018</v>
      </c>
      <c r="AG20" s="9" t="n">
        <v>2013717181.56105</v>
      </c>
      <c r="AH20" s="9" t="n">
        <v>1252175748.9511</v>
      </c>
      <c r="AI20" s="9" t="n">
        <v>1288306355.17876</v>
      </c>
      <c r="AJ20" s="9" t="n">
        <v>1010906263.4309</v>
      </c>
      <c r="AK20" s="9" t="n">
        <v>1249094174.7775</v>
      </c>
      <c r="AL20" s="9"/>
      <c r="AM20" s="9"/>
    </row>
    <row r="21">
      <c r="A21" t="str">
        <f>M21</f>
      </c>
      <c r="B21" s="9" t="str">
        <f>AC21</f>
      </c>
      <c r="C21" s="9" t="str">
        <f>AI21</f>
      </c>
      <c r="D21" s="9" t="str">
        <f>AJ21</f>
      </c>
      <c r="E21" s="9" t="str">
        <f>AK21</f>
      </c>
      <c r="F21" s="7" t="str">
        <f>AJ21/AI21-1</f>
      </c>
      <c r="G21" s="7" t="str">
        <f>AJ21/AC21-1</f>
      </c>
      <c r="H21" s="7" t="str">
        <f>AK21/AJ21</f>
      </c>
      <c r="I21" s="7" t="str">
        <f>AJ21/Sum(AJ$16:AJ$27)</f>
      </c>
      <c r="J21" s="7" t="str">
        <f>AK21/Sum(AK16:AK$27)</f>
      </c>
      <c r="M21" t="s">
        <v>89</v>
      </c>
      <c r="N21" s="9" t="n">
        <v>1315318442.53899</v>
      </c>
      <c r="O21" s="9" t="n">
        <v>1121766619.86692</v>
      </c>
      <c r="P21" s="9" t="n">
        <v>1423251981.68885</v>
      </c>
      <c r="Q21" s="9" t="n">
        <v>1291750323.86746</v>
      </c>
      <c r="R21" s="9" t="n">
        <v>1437705226.0355</v>
      </c>
      <c r="S21" s="9" t="n">
        <v>1462295693.96794</v>
      </c>
      <c r="T21" s="9" t="n">
        <v>1439673557.46483</v>
      </c>
      <c r="U21" s="9" t="n">
        <v>2615532367.09198</v>
      </c>
      <c r="V21" s="9" t="n">
        <v>3138105836.64381</v>
      </c>
      <c r="W21" s="9" t="n">
        <v>3492513257.68476</v>
      </c>
      <c r="X21" s="9" t="n">
        <v>4043852276.307</v>
      </c>
      <c r="Y21" s="9" t="n">
        <v>3382494097.1518</v>
      </c>
      <c r="Z21" s="9" t="n">
        <v>2661382230.63829</v>
      </c>
      <c r="AA21" s="9" t="n">
        <v>2109635595.75802</v>
      </c>
      <c r="AB21" s="9" t="n">
        <v>1268647606.26275</v>
      </c>
      <c r="AC21" s="9" t="n">
        <v>1184260782.8422</v>
      </c>
      <c r="AD21" s="9" t="n">
        <v>1365201895.97524</v>
      </c>
      <c r="AE21" s="9" t="n">
        <v>1488296893.16525</v>
      </c>
      <c r="AF21" s="9" t="n">
        <v>1034028701.4595</v>
      </c>
      <c r="AG21" s="9" t="n">
        <v>1425039889.13546</v>
      </c>
      <c r="AH21" s="9" t="n">
        <v>1303293793.16351</v>
      </c>
      <c r="AI21" s="9" t="n">
        <v>1239223189.83981</v>
      </c>
      <c r="AJ21" s="9" t="n">
        <v>1245347519.4283</v>
      </c>
      <c r="AK21" s="9" t="n">
        <v>381936795.989267</v>
      </c>
      <c r="AL21" s="9"/>
      <c r="AM21" s="9"/>
    </row>
    <row r="22">
      <c r="A22" t="str">
        <f>M22</f>
      </c>
      <c r="B22" s="9" t="str">
        <f>AC22</f>
      </c>
      <c r="C22" s="9" t="str">
        <f>AI22</f>
      </c>
      <c r="D22" s="9" t="str">
        <f>AJ22</f>
      </c>
      <c r="E22" s="9" t="str">
        <f>AK22</f>
      </c>
      <c r="F22" s="7" t="str">
        <f>AJ22/AI22-1</f>
      </c>
      <c r="G22" s="7" t="str">
        <f>AJ22/AC22-1</f>
      </c>
      <c r="H22" s="7" t="str">
        <f>AK22/AJ22</f>
      </c>
      <c r="I22" s="7" t="str">
        <f>AJ22/Sum(AJ$16:AJ$27)</f>
      </c>
      <c r="J22" s="7" t="str">
        <f>AK22/Sum(AK16:AK$27)</f>
      </c>
      <c r="M22" t="s">
        <v>90</v>
      </c>
      <c r="N22" s="9" t="n">
        <v>3935239127.53356</v>
      </c>
      <c r="O22" s="9" t="n">
        <v>3654666694.58649</v>
      </c>
      <c r="P22" s="9" t="n">
        <v>4379199743.36463</v>
      </c>
      <c r="Q22" s="9" t="n">
        <v>5556173127.87531</v>
      </c>
      <c r="R22" s="9" t="n">
        <v>8437801966.7471</v>
      </c>
      <c r="S22" s="9" t="n">
        <v>8167982305.07995</v>
      </c>
      <c r="T22" s="9" t="n">
        <v>9074818106.33255</v>
      </c>
      <c r="U22" s="9" t="n">
        <v>9101898048.28232</v>
      </c>
      <c r="V22" s="9" t="n">
        <v>8821692409.61371</v>
      </c>
      <c r="W22" s="9" t="n">
        <v>9257105107.92283</v>
      </c>
      <c r="X22" s="9" t="n">
        <v>9083440116.01405</v>
      </c>
      <c r="Y22" s="9" t="n">
        <v>10050633764.9211</v>
      </c>
      <c r="Z22" s="9" t="n">
        <v>8452802950.09965</v>
      </c>
      <c r="AA22" s="9" t="n">
        <v>6941675108.15186</v>
      </c>
      <c r="AB22" s="9" t="n">
        <v>6543218087.85801</v>
      </c>
      <c r="AC22" s="9" t="n">
        <v>5057958536.01278</v>
      </c>
      <c r="AD22" s="9" t="n">
        <v>5108209068.76402</v>
      </c>
      <c r="AE22" s="9" t="n">
        <v>4963547836.15936</v>
      </c>
      <c r="AF22" s="9" t="n">
        <v>5208402081.09694</v>
      </c>
      <c r="AG22" s="9" t="n">
        <v>4532289553.2206</v>
      </c>
      <c r="AH22" s="9" t="n">
        <v>4652085624.6043</v>
      </c>
      <c r="AI22" s="9" t="n">
        <v>3041805451.56424</v>
      </c>
      <c r="AJ22" s="9" t="n">
        <v>2025246489.9319</v>
      </c>
      <c r="AK22" s="9" t="n">
        <v>775398387.766557</v>
      </c>
      <c r="AL22" s="9"/>
      <c r="AM22" s="9"/>
    </row>
    <row r="23">
      <c r="A23" t="str">
        <f>M23</f>
      </c>
      <c r="B23" s="9" t="str">
        <f>AC23</f>
      </c>
      <c r="C23" s="9" t="str">
        <f>AI23</f>
      </c>
      <c r="D23" s="9" t="str">
        <f>AJ23</f>
      </c>
      <c r="E23" s="9" t="str">
        <f>AK23</f>
      </c>
      <c r="F23" s="7" t="str">
        <f>AJ23/AI23-1</f>
      </c>
      <c r="G23" s="7" t="str">
        <f>AJ23/AC23-1</f>
      </c>
      <c r="H23" s="7" t="str">
        <f>AK23/AJ23</f>
      </c>
      <c r="I23" s="7" t="str">
        <f>AJ23/Sum(AJ$16:AJ$27)</f>
      </c>
      <c r="J23" s="7" t="str">
        <f>AK23/Sum(AK16:AK$27)</f>
      </c>
      <c r="M23" t="s">
        <v>91</v>
      </c>
      <c r="N23" s="9" t="n">
        <v>841830499.674051</v>
      </c>
      <c r="O23" s="9" t="n">
        <v>417665850.757841</v>
      </c>
      <c r="P23" s="9" t="n">
        <v>455042347.890882</v>
      </c>
      <c r="Q23" s="9" t="n">
        <v>1257907386.73974</v>
      </c>
      <c r="R23" s="9" t="n">
        <v>1658030381.67589</v>
      </c>
      <c r="S23" s="9" t="n">
        <v>1754020313.37534</v>
      </c>
      <c r="T23" s="9" t="n">
        <v>1930865845.6692</v>
      </c>
      <c r="U23" s="9" t="n">
        <v>2758057375.02989</v>
      </c>
      <c r="V23" s="9" t="n">
        <v>2956516286.55942</v>
      </c>
      <c r="W23" s="9" t="n">
        <v>3324844603.63815</v>
      </c>
      <c r="X23" s="9" t="n">
        <v>2978366555.03625</v>
      </c>
      <c r="Y23" s="9" t="n">
        <v>3144269092.02384</v>
      </c>
      <c r="Z23" s="9" t="n">
        <v>2852896466.698</v>
      </c>
      <c r="AA23" s="9" t="n">
        <v>2337988988.58855</v>
      </c>
      <c r="AB23" s="9" t="n">
        <v>1621798833.40025</v>
      </c>
      <c r="AC23" s="9" t="n">
        <v>1592415561.27962</v>
      </c>
      <c r="AD23" s="9" t="n">
        <v>1848579851.67559</v>
      </c>
      <c r="AE23" s="9" t="n">
        <v>1546506017.03381</v>
      </c>
      <c r="AF23" s="9" t="n">
        <v>1777987890.73324</v>
      </c>
      <c r="AG23" s="9" t="n">
        <v>1407433932.24685</v>
      </c>
      <c r="AH23" s="9" t="n">
        <v>1603270701.52009</v>
      </c>
      <c r="AI23" s="9" t="n">
        <v>830056440.469419</v>
      </c>
      <c r="AJ23" s="9" t="n">
        <v>671933615.0434</v>
      </c>
      <c r="AK23" s="9" t="n">
        <v>349035610.505631</v>
      </c>
      <c r="AL23" s="9"/>
      <c r="AM23" s="9"/>
    </row>
    <row r="24">
      <c r="A24" t="str">
        <f>M24</f>
      </c>
      <c r="B24" s="9" t="str">
        <f>AC24</f>
      </c>
      <c r="C24" s="9" t="str">
        <f>AI24</f>
      </c>
      <c r="D24" s="9" t="str">
        <f>AJ24</f>
      </c>
      <c r="E24" s="9" t="str">
        <f>AK24</f>
      </c>
      <c r="F24" s="7" t="str">
        <f>AJ24/AI24-1</f>
      </c>
      <c r="G24" s="7" t="str">
        <f>AJ24/AC24-1</f>
      </c>
      <c r="H24" s="7" t="str">
        <f>AK24/AJ24</f>
      </c>
      <c r="I24" s="7" t="str">
        <f>AJ24/Sum(AJ$16:AJ$27)</f>
      </c>
      <c r="J24" s="7" t="str">
        <f>AK24/Sum(AK16:AK$27)</f>
      </c>
      <c r="M24" t="s">
        <v>92</v>
      </c>
      <c r="N24" s="9" t="n">
        <v>1443211093.6783</v>
      </c>
      <c r="O24" s="9" t="n">
        <v>1858870368.31274</v>
      </c>
      <c r="P24" s="9" t="n">
        <v>1620242407.81129</v>
      </c>
      <c r="Q24" s="9" t="n">
        <v>2068409758.16058</v>
      </c>
      <c r="R24" s="9" t="n">
        <v>2511170387.93</v>
      </c>
      <c r="S24" s="9" t="n">
        <v>3156175962.93649</v>
      </c>
      <c r="T24" s="9" t="n">
        <v>3022897948.15863</v>
      </c>
      <c r="U24" s="9" t="n">
        <v>3765312643.56034</v>
      </c>
      <c r="V24" s="9" t="n">
        <v>3338357744.26663</v>
      </c>
      <c r="W24" s="9" t="n">
        <v>4154090637.07282</v>
      </c>
      <c r="X24" s="9" t="n">
        <v>4432861960.18559</v>
      </c>
      <c r="Y24" s="9" t="n">
        <v>3867501978.39621</v>
      </c>
      <c r="Z24" s="9" t="n">
        <v>3697552071.90324</v>
      </c>
      <c r="AA24" s="9" t="n">
        <v>2650415613.1395</v>
      </c>
      <c r="AB24" s="9" t="n">
        <v>1971319405.20907</v>
      </c>
      <c r="AC24" s="9" t="n">
        <v>2352555358.67402</v>
      </c>
      <c r="AD24" s="9" t="n">
        <v>2399052441.02493</v>
      </c>
      <c r="AE24" s="9" t="n">
        <v>2371050132.90471</v>
      </c>
      <c r="AF24" s="9" t="n">
        <v>3079909642.26255</v>
      </c>
      <c r="AG24" s="9" t="n">
        <v>2985755266.33184</v>
      </c>
      <c r="AH24" s="9" t="n">
        <v>2588195034.46305</v>
      </c>
      <c r="AI24" s="9" t="n">
        <v>452102821.185722</v>
      </c>
      <c r="AJ24" s="9" t="n">
        <v>213150006.5664</v>
      </c>
      <c r="AK24" s="9" t="n">
        <v>103418745.800265</v>
      </c>
      <c r="AL24" s="9"/>
      <c r="AM24" s="9"/>
    </row>
    <row r="25">
      <c r="A25" t="str">
        <f>M25</f>
      </c>
      <c r="B25" s="9" t="str">
        <f>AC25</f>
      </c>
      <c r="C25" s="9" t="str">
        <f>AI25</f>
      </c>
      <c r="D25" s="9" t="str">
        <f>AJ25</f>
      </c>
      <c r="E25" s="9" t="str">
        <f>AK25</f>
      </c>
      <c r="F25" s="7" t="str">
        <f>AJ25/AI25-1</f>
      </c>
      <c r="G25" s="7" t="str">
        <f>AJ25/AC25-1</f>
      </c>
      <c r="H25" s="7" t="str">
        <f>AK25/AJ25</f>
      </c>
      <c r="I25" s="7" t="str">
        <f>AJ25/Sum(AJ$16:AJ$27)</f>
      </c>
      <c r="J25" s="7" t="str">
        <f>AK25/Sum(AK16:AK$27)</f>
      </c>
      <c r="M25" t="s">
        <v>93</v>
      </c>
      <c r="N25" s="9" t="n">
        <v>422660601.587839</v>
      </c>
      <c r="O25" s="9" t="n">
        <v>425375627.247345</v>
      </c>
      <c r="P25" s="9" t="n">
        <v>550040148.136821</v>
      </c>
      <c r="Q25" s="9" t="n">
        <v>450961350.900483</v>
      </c>
      <c r="R25" s="9" t="n">
        <v>509073587.43199</v>
      </c>
      <c r="S25" s="9" t="n">
        <v>906403289.986143</v>
      </c>
      <c r="T25" s="9" t="n">
        <v>842577106.36223</v>
      </c>
      <c r="U25" s="9" t="n">
        <v>837067086.491032</v>
      </c>
      <c r="V25" s="9" t="n">
        <v>844480269.667518</v>
      </c>
      <c r="W25" s="9" t="n">
        <v>844610334.102293</v>
      </c>
      <c r="X25" s="9" t="n">
        <v>777517725.582353</v>
      </c>
      <c r="Y25" s="9" t="n">
        <v>698176700.861907</v>
      </c>
      <c r="Z25" s="9" t="n">
        <v>706934515.909263</v>
      </c>
      <c r="AA25" s="9" t="n">
        <v>587578809.622999</v>
      </c>
      <c r="AB25" s="9" t="n">
        <v>483715202.473178</v>
      </c>
      <c r="AC25" s="9" t="n">
        <v>451550099.382267</v>
      </c>
      <c r="AD25" s="9" t="n">
        <v>506197437.233257</v>
      </c>
      <c r="AE25" s="9" t="n">
        <v>516890063.070676</v>
      </c>
      <c r="AF25" s="9" t="n">
        <v>661162924.102776</v>
      </c>
      <c r="AG25" s="9" t="n">
        <v>760409170.158539</v>
      </c>
      <c r="AH25" s="9" t="n">
        <v>497482440.30797</v>
      </c>
      <c r="AI25" s="9" t="n">
        <v>634274483.28591</v>
      </c>
      <c r="AJ25" s="9" t="n">
        <v>499734217.9209</v>
      </c>
      <c r="AK25" s="9" t="n">
        <v>271953595.390347</v>
      </c>
      <c r="AL25" s="9"/>
      <c r="AM25" s="9"/>
    </row>
    <row r="26">
      <c r="A26" t="str">
        <f>M26</f>
      </c>
      <c r="B26" s="9" t="str">
        <f>AC26</f>
      </c>
      <c r="C26" s="9" t="str">
        <f>AI26</f>
      </c>
      <c r="D26" s="9" t="str">
        <f>AJ26</f>
      </c>
      <c r="E26" s="9" t="str">
        <f>AK26</f>
      </c>
      <c r="F26" s="7" t="str">
        <f>AJ26/AI26-1</f>
      </c>
      <c r="G26" s="7" t="str">
        <f>AJ26/AC26-1</f>
      </c>
      <c r="H26" s="7" t="str">
        <f>AK26/AJ26</f>
      </c>
      <c r="I26" s="7" t="str">
        <f>AJ26/Sum(AJ$16:AJ$27)</f>
      </c>
      <c r="J26" s="7" t="str">
        <f>AK26/Sum(AK16:AK$27)</f>
      </c>
      <c r="M26" t="s">
        <v>94</v>
      </c>
      <c r="N26" s="9" t="n">
        <v>21005724853.6277</v>
      </c>
      <c r="O26" s="9" t="n">
        <v>23019394100.3167</v>
      </c>
      <c r="P26" s="9" t="n">
        <v>26684627460.1102</v>
      </c>
      <c r="Q26" s="9" t="n">
        <v>31140617495.9038</v>
      </c>
      <c r="R26" s="9" t="n">
        <v>35671402908.5372</v>
      </c>
      <c r="S26" s="9" t="n">
        <v>39650701638.5983</v>
      </c>
      <c r="T26" s="9" t="n">
        <v>40248007763.4543</v>
      </c>
      <c r="U26" s="9" t="n">
        <v>43446505161.7907</v>
      </c>
      <c r="V26" s="9" t="n">
        <v>47489806644.2273</v>
      </c>
      <c r="W26" s="9" t="n">
        <v>43029772806.4262</v>
      </c>
      <c r="X26" s="9" t="n">
        <v>43538336339.0748</v>
      </c>
      <c r="Y26" s="9" t="n">
        <v>38240813540.7262</v>
      </c>
      <c r="Z26" s="9" t="n">
        <v>36485638396.7553</v>
      </c>
      <c r="AA26" s="9" t="n">
        <v>29444557126.915</v>
      </c>
      <c r="AB26" s="9" t="n">
        <v>31482726365.8934</v>
      </c>
      <c r="AC26" s="9" t="n">
        <v>30444662785.5122</v>
      </c>
      <c r="AD26" s="9" t="n">
        <v>32745218110.7016</v>
      </c>
      <c r="AE26" s="9" t="n">
        <v>34541830191.5921</v>
      </c>
      <c r="AF26" s="9" t="n">
        <v>38885833886.2862</v>
      </c>
      <c r="AG26" s="9" t="n">
        <v>41018638425.8636</v>
      </c>
      <c r="AH26" s="9" t="n">
        <v>41497327838.6973</v>
      </c>
      <c r="AI26" s="9" t="n">
        <v>43542930832.3781</v>
      </c>
      <c r="AJ26" s="9" t="n">
        <v>46512206855.8651</v>
      </c>
      <c r="AK26" s="9" t="n">
        <v>24690975144.9287</v>
      </c>
      <c r="AL26" s="9"/>
      <c r="AM26" s="9"/>
    </row>
    <row r="27">
      <c r="A27" t="str">
        <f>M27</f>
      </c>
      <c r="B27" s="9" t="str">
        <f>AC27</f>
      </c>
      <c r="C27" s="9" t="str">
        <f>AI27</f>
      </c>
      <c r="D27" s="9" t="str">
        <f>AJ27</f>
      </c>
      <c r="E27" s="9" t="str">
        <f>AK27</f>
      </c>
      <c r="F27" s="7" t="str">
        <f>AJ27/AI27-1</f>
      </c>
      <c r="G27" s="7" t="str">
        <f>AJ27/AC27-1</f>
      </c>
      <c r="H27" s="7" t="str">
        <f>AK27/AJ27</f>
      </c>
      <c r="I27" s="7" t="str">
        <f>AJ27/Sum(AJ$16:AJ$27)</f>
      </c>
      <c r="J27" s="7" t="str">
        <f>AK27/Sum(AK16:AK$27)</f>
      </c>
      <c r="M27"/>
      <c r="N27" s="9"/>
      <c r="O27" s="9" t="n">
        <v>21046.6999992214</v>
      </c>
      <c r="P27" s="9"/>
      <c r="Q27" s="9" t="n">
        <v>0</v>
      </c>
      <c r="R27" s="9"/>
      <c r="S27" s="9"/>
      <c r="T27" s="9"/>
      <c r="U27" s="9"/>
      <c r="V27" s="9" t="n">
        <v>0</v>
      </c>
      <c r="W27" s="9"/>
      <c r="X27" s="9"/>
      <c r="Y27" s="9"/>
      <c r="Z27" s="9"/>
      <c r="AA27" s="9" t="n">
        <v>0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>
      <c r="A28" t="str">
        <f>M28</f>
      </c>
      <c r="B28" s="9" t="str">
        <f>AC28</f>
      </c>
      <c r="C28" s="9" t="str">
        <f>AI28</f>
      </c>
      <c r="D28" s="9" t="str">
        <f>AJ28</f>
      </c>
      <c r="E28" s="9" t="str">
        <f>AK28</f>
      </c>
      <c r="F28" s="7" t="str">
        <f>AJ28/AI28-1</f>
      </c>
      <c r="G28" s="7" t="str">
        <f>AJ28/AC28-1</f>
      </c>
      <c r="H28" s="7" t="str">
        <f>AK28/AJ28</f>
      </c>
      <c r="I28" s="7" t="str">
        <f>Sum(I$16:I$27)</f>
      </c>
      <c r="J28" s="7" t="str">
        <f>Sum(J$16:J$27)</f>
      </c>
      <c r="M28" t="s">
        <v>542</v>
      </c>
      <c r="N28" s="9" t="str">
        <f>Sum(N17:N27)</f>
      </c>
      <c r="O28" s="9" t="str">
        <f>Sum(O17:O27)</f>
      </c>
      <c r="P28" s="9" t="str">
        <f>Sum(P17:P27)</f>
      </c>
      <c r="Q28" s="9" t="str">
        <f>Sum(Q17:Q27)</f>
      </c>
      <c r="R28" s="9" t="str">
        <f>Sum(R17:R27)</f>
      </c>
      <c r="S28" s="9" t="str">
        <f>Sum(S17:S27)</f>
      </c>
      <c r="T28" s="9" t="str">
        <f>Sum(T17:T27)</f>
      </c>
      <c r="U28" s="9" t="str">
        <f>Sum(U17:U27)</f>
      </c>
      <c r="V28" s="9" t="str">
        <f>Sum(V17:V27)</f>
      </c>
      <c r="W28" s="9" t="str">
        <f>Sum(W17:W27)</f>
      </c>
      <c r="X28" s="9" t="str">
        <f>Sum(X17:X27)</f>
      </c>
      <c r="Y28" s="9" t="str">
        <f>Sum(Y17:Y27)</f>
      </c>
      <c r="Z28" s="9" t="str">
        <f>Sum(Z17:Z27)</f>
      </c>
      <c r="AA28" s="9" t="str">
        <f>Sum(AA17:AA27)</f>
      </c>
      <c r="AB28" s="9" t="str">
        <f>Sum(AB17:AB27)</f>
      </c>
      <c r="AC28" s="9" t="str">
        <f>Sum(AC17:AC27)</f>
      </c>
      <c r="AD28" s="9" t="str">
        <f>Sum(AD17:AD27)</f>
      </c>
      <c r="AE28" s="9" t="str">
        <f>Sum(AE17:AE27)</f>
      </c>
      <c r="AF28" s="9" t="str">
        <f>Sum(AF17:AF27)</f>
      </c>
      <c r="AG28" s="9" t="str">
        <f>Sum(AG17:AG27)</f>
      </c>
      <c r="AH28" s="9" t="str">
        <f>Sum(AH17:AH27)</f>
      </c>
      <c r="AI28" s="9" t="str">
        <f>Sum(AI17:AI27)</f>
      </c>
      <c r="AJ28" s="9" t="str">
        <f>Sum(AJ17:AJ27)</f>
      </c>
      <c r="AK28" s="9" t="str">
        <f>Sum(AK17:AK27)</f>
      </c>
      <c r="AL28" s="9"/>
      <c r="AM28" s="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M1" t="s">
        <v>95</v>
      </c>
      <c r="N1" t="s">
        <v>96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</row>
    <row r="2">
      <c r="M2" t="s">
        <v>97</v>
      </c>
      <c r="N2" t="n">
        <v>1896</v>
      </c>
      <c r="O2" s="10" t="n">
        <v>6276036.78287013</v>
      </c>
      <c r="P2" s="10" t="n">
        <v>10282499.2124288</v>
      </c>
      <c r="Q2" s="10" t="n">
        <v>202487842.890335</v>
      </c>
      <c r="R2" s="10" t="n">
        <v>45465161.3435763</v>
      </c>
      <c r="S2" s="10" t="n">
        <v>-5429299.54970282</v>
      </c>
      <c r="T2" s="10"/>
      <c r="U2" s="10"/>
      <c r="V2" s="10"/>
      <c r="W2" s="10"/>
      <c r="X2" s="10"/>
      <c r="Y2" s="10" t="n">
        <v>320102.390483035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>
      <c r="M3" t="s">
        <v>98</v>
      </c>
      <c r="N3" t="n">
        <v>564</v>
      </c>
      <c r="O3" s="10"/>
      <c r="P3" s="10" t="n">
        <v>131301.309731314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>
      <c r="M4" t="s">
        <v>99</v>
      </c>
      <c r="N4" t="n">
        <v>688</v>
      </c>
      <c r="O4" s="10"/>
      <c r="P4" s="10"/>
      <c r="Q4" s="10"/>
      <c r="R4" s="10"/>
      <c r="S4" s="10"/>
      <c r="T4" s="10"/>
      <c r="U4" s="10"/>
      <c r="V4" s="10"/>
      <c r="W4" s="10"/>
      <c r="X4" s="10" t="n">
        <v>28420.9084111453</v>
      </c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>
      <c r="M5" t="s">
        <v>100</v>
      </c>
      <c r="N5" t="n">
        <v>107</v>
      </c>
      <c r="O5" s="10" t="n">
        <v>373000.976369512</v>
      </c>
      <c r="P5" s="10" t="n">
        <v>6312860.01893149</v>
      </c>
      <c r="Q5" s="10" t="n">
        <v>456994.363791569</v>
      </c>
      <c r="R5" s="10" t="n">
        <v>4427004.84613506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>
      <c r="M6" t="s">
        <v>101</v>
      </c>
      <c r="N6" t="n">
        <v>1010</v>
      </c>
      <c r="O6" s="10"/>
      <c r="P6" s="10" t="n">
        <v>391900.533226395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>
      <c r="M7" t="s">
        <v>102</v>
      </c>
      <c r="N7" t="n">
        <v>1322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 t="n">
        <v>12592.9999975973</v>
      </c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>
      <c r="M8" t="s">
        <v>103</v>
      </c>
      <c r="N8" t="n">
        <v>2034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 t="n">
        <v>57870.9462162625</v>
      </c>
      <c r="AE8" s="10"/>
      <c r="AF8" s="10"/>
      <c r="AG8" s="10"/>
      <c r="AH8" s="10"/>
      <c r="AI8" s="10"/>
      <c r="AJ8" s="10"/>
      <c r="AK8" s="10"/>
      <c r="AL8" s="10"/>
      <c r="AM8" s="10"/>
    </row>
    <row r="9">
      <c r="M9" t="s">
        <v>104</v>
      </c>
      <c r="N9" t="n">
        <v>1708</v>
      </c>
      <c r="O9" s="10" t="n">
        <v>1959466.92347726</v>
      </c>
      <c r="P9" s="10" t="n">
        <v>2381036.10742952</v>
      </c>
      <c r="Q9" s="10" t="n">
        <v>468798.457144588</v>
      </c>
      <c r="R9" s="10" t="n">
        <v>8163560.06621455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>
      <c r="M10" t="s">
        <v>105</v>
      </c>
      <c r="N10" t="n">
        <v>1707</v>
      </c>
      <c r="O10" s="10"/>
      <c r="P10" s="10" t="n">
        <v>77304.2672359348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>
      <c r="M11" t="s">
        <v>106</v>
      </c>
      <c r="N11" t="n">
        <v>1713</v>
      </c>
      <c r="O11" s="10" t="n">
        <v>7943694.78070884</v>
      </c>
      <c r="P11" s="10"/>
      <c r="Q11" s="10"/>
      <c r="R11" s="10" t="n">
        <v>11236313.0212144</v>
      </c>
      <c r="S11" s="10"/>
      <c r="T11" s="10"/>
      <c r="U11" s="10"/>
      <c r="V11" s="10"/>
      <c r="W11" s="10"/>
      <c r="X11" s="10" t="n">
        <v>0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>
      <c r="M12" t="s">
        <v>107</v>
      </c>
      <c r="N12" t="n">
        <v>2037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 t="n">
        <v>254577.731525185</v>
      </c>
      <c r="AH12" s="10"/>
      <c r="AI12" s="10"/>
      <c r="AJ12" s="10"/>
      <c r="AK12" s="10"/>
      <c r="AL12" s="10"/>
      <c r="AM12" s="10"/>
    </row>
    <row r="13">
      <c r="M13" t="s">
        <v>108</v>
      </c>
      <c r="N13" t="n">
        <v>1724</v>
      </c>
      <c r="O13" s="10" t="n">
        <v>42853041.903458</v>
      </c>
      <c r="P13" s="10" t="n">
        <v>4564516.8652561</v>
      </c>
      <c r="Q13" s="10" t="n">
        <v>81530.7066219599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>
      <c r="M14" t="s">
        <v>109</v>
      </c>
      <c r="N14" t="n">
        <v>1710</v>
      </c>
      <c r="O14" s="10"/>
      <c r="P14" s="10"/>
      <c r="Q14" s="10" t="n">
        <v>14249345.2234009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>
      <c r="M15" t="s">
        <v>110</v>
      </c>
      <c r="N15" t="n">
        <v>2041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 t="n">
        <v>164924.040472892</v>
      </c>
      <c r="AE15" s="10"/>
      <c r="AF15" s="10"/>
      <c r="AG15" s="10"/>
      <c r="AH15" s="10"/>
      <c r="AI15" s="10"/>
      <c r="AJ15" s="10"/>
      <c r="AK15" s="10"/>
      <c r="AL15" s="10"/>
      <c r="AM15" s="10"/>
    </row>
    <row r="16">
      <c r="M16" t="s">
        <v>111</v>
      </c>
      <c r="N16" t="n">
        <v>2044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 t="n">
        <v>121029.969128235</v>
      </c>
      <c r="AE16" s="10" t="n">
        <v>135297.832253874</v>
      </c>
      <c r="AF16" s="10" t="n">
        <v>229633.455624784</v>
      </c>
      <c r="AG16" s="10" t="n">
        <v>67767.8797536224</v>
      </c>
      <c r="AH16" s="10" t="n">
        <v>81598.8095874281</v>
      </c>
      <c r="AI16" s="10" t="n">
        <v>0</v>
      </c>
      <c r="AJ16" s="10" t="n">
        <v>173400.956000424</v>
      </c>
      <c r="AK16" s="10"/>
      <c r="AL16" s="10"/>
      <c r="AM16" s="10"/>
    </row>
    <row r="17">
      <c r="M17" t="s">
        <v>112</v>
      </c>
      <c r="N17" t="n">
        <v>2045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 t="n">
        <v>285400.897309604</v>
      </c>
      <c r="AE17" s="10"/>
      <c r="AF17" s="10"/>
      <c r="AG17" s="10"/>
      <c r="AH17" s="10"/>
      <c r="AI17" s="10"/>
      <c r="AJ17" s="10"/>
      <c r="AK17" s="10"/>
      <c r="AL17" s="10"/>
      <c r="AM17" s="10"/>
    </row>
    <row r="18">
      <c r="M18" t="s">
        <v>113</v>
      </c>
      <c r="N18" t="n">
        <v>2046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 t="n">
        <v>262.85227658429</v>
      </c>
      <c r="AK18" s="10" t="n">
        <v>3337.9199</v>
      </c>
      <c r="AL18" s="10"/>
      <c r="AM18" s="10"/>
    </row>
    <row r="19">
      <c r="M19" t="s">
        <v>114</v>
      </c>
      <c r="N19" t="n">
        <v>1714</v>
      </c>
      <c r="O19" s="10" t="n">
        <v>13056922.9613611</v>
      </c>
      <c r="P19" s="10"/>
      <c r="Q19" s="10" t="n">
        <v>421794.840052648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</row>
    <row r="20">
      <c r="M20" t="s">
        <v>115</v>
      </c>
      <c r="N20" t="n">
        <v>2049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 t="n">
        <v>47776.3954917545</v>
      </c>
      <c r="AE20" s="10"/>
      <c r="AF20" s="10" t="n">
        <v>3729515.67490272</v>
      </c>
      <c r="AG20" s="10"/>
      <c r="AH20" s="10"/>
      <c r="AI20" s="10"/>
      <c r="AJ20" s="10"/>
      <c r="AK20" s="10"/>
      <c r="AL20" s="10"/>
      <c r="AM20" s="10"/>
    </row>
    <row r="21">
      <c r="M21" t="s">
        <v>116</v>
      </c>
      <c r="N21" t="n">
        <v>917</v>
      </c>
      <c r="O21" s="10"/>
      <c r="P21" s="10" t="n">
        <v>195551.953635398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>
      <c r="M22" t="s">
        <v>117</v>
      </c>
      <c r="N22" t="n">
        <v>1810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 t="n">
        <v>111300.206176583</v>
      </c>
      <c r="AC22" s="10" t="n">
        <v>109187.861294292</v>
      </c>
      <c r="AD22" s="10"/>
      <c r="AE22" s="10"/>
      <c r="AF22" s="10"/>
      <c r="AG22" s="10"/>
      <c r="AH22" s="10" t="n">
        <v>0</v>
      </c>
      <c r="AI22" s="10"/>
      <c r="AJ22" s="10"/>
      <c r="AK22" s="10"/>
      <c r="AL22" s="10"/>
      <c r="AM22" s="10"/>
    </row>
    <row r="23">
      <c r="M23" t="s">
        <v>118</v>
      </c>
      <c r="N23" t="n">
        <v>2242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 t="n">
        <v>434682.495095531</v>
      </c>
      <c r="AI23" s="10" t="n">
        <v>6313435.45534992</v>
      </c>
      <c r="AJ23" s="10" t="n">
        <v>6571984.84294244</v>
      </c>
      <c r="AK23" s="10" t="n">
        <v>6063916.5234</v>
      </c>
      <c r="AL23" s="10" t="n">
        <v>9866116.23416833</v>
      </c>
      <c r="AM23" s="10"/>
    </row>
    <row r="24">
      <c r="M24" t="s">
        <v>119</v>
      </c>
      <c r="N24" t="n">
        <v>2249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 t="n">
        <v>11001641.1417771</v>
      </c>
      <c r="AJ24" s="10" t="n">
        <v>962358.835431866</v>
      </c>
      <c r="AK24" s="10" t="n">
        <v>2522735</v>
      </c>
      <c r="AL24" s="10" t="n">
        <v>918552.667920046</v>
      </c>
      <c r="AM24" s="10"/>
    </row>
    <row r="25">
      <c r="M25" t="s">
        <v>120</v>
      </c>
      <c r="N25" t="n">
        <v>2250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 t="n">
        <v>24154564.5713613</v>
      </c>
      <c r="AJ25" s="10" t="n">
        <v>36105583.2417638</v>
      </c>
      <c r="AK25" s="10" t="n">
        <v>35691816.2656</v>
      </c>
      <c r="AL25" s="10" t="n">
        <v>18391121.5892455</v>
      </c>
      <c r="AM25" s="10"/>
    </row>
    <row r="26">
      <c r="M26" t="s">
        <v>121</v>
      </c>
      <c r="N26" t="n">
        <v>1753</v>
      </c>
      <c r="O26" s="10" t="n">
        <v>301514.616047525</v>
      </c>
      <c r="P26" s="10" t="n">
        <v>31504376.4705479</v>
      </c>
      <c r="Q26" s="10" t="n">
        <v>47231909.282345</v>
      </c>
      <c r="R26" s="10" t="n">
        <v>140331680.358842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>
      <c r="M27" t="s">
        <v>122</v>
      </c>
      <c r="N27" t="n">
        <v>565</v>
      </c>
      <c r="O27" s="10"/>
      <c r="P27" s="10"/>
      <c r="Q27" s="10" t="n">
        <v>67724.8403006413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>
      <c r="M28" t="s">
        <v>123</v>
      </c>
      <c r="N28" t="n">
        <v>568</v>
      </c>
      <c r="O28" s="10"/>
      <c r="P28" s="10"/>
      <c r="Q28" s="10" t="n">
        <v>280518.431618116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>
      <c r="M29" t="s">
        <v>124</v>
      </c>
      <c r="N29" t="n">
        <v>709</v>
      </c>
      <c r="O29" s="10"/>
      <c r="P29" s="10"/>
      <c r="Q29" s="10" t="n">
        <v>54353.8044146399</v>
      </c>
      <c r="R29" s="10" t="n">
        <v>66835.5494026621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>
      <c r="M30" t="s">
        <v>125</v>
      </c>
      <c r="N30" t="n">
        <v>2192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 t="n">
        <v>57088.241652919</v>
      </c>
      <c r="AH30" s="10"/>
      <c r="AI30" s="10"/>
      <c r="AJ30" s="10"/>
      <c r="AK30" s="10"/>
      <c r="AL30" s="10"/>
      <c r="AM30" s="10"/>
    </row>
    <row r="31">
      <c r="M31" t="s">
        <v>126</v>
      </c>
      <c r="N31" t="n">
        <v>1882</v>
      </c>
      <c r="O31" s="10"/>
      <c r="P31" s="10"/>
      <c r="Q31" s="10" t="n">
        <v>4193118.02970403</v>
      </c>
      <c r="R31" s="10"/>
      <c r="S31" s="10" t="n">
        <v>-79172.5747486253</v>
      </c>
      <c r="T31" s="10"/>
      <c r="U31" s="10"/>
      <c r="V31" s="10"/>
      <c r="W31" s="10"/>
      <c r="X31" s="10"/>
      <c r="Y31" s="10"/>
      <c r="Z31" s="10"/>
      <c r="AA31" s="10"/>
      <c r="AB31" s="10"/>
      <c r="AC31" s="10" t="n">
        <v>-184640.313044025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>
      <c r="M32" t="s">
        <v>127</v>
      </c>
      <c r="N32" t="n">
        <v>2255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 t="n">
        <v>21112439.7139966</v>
      </c>
      <c r="AJ32" s="10" t="n">
        <v>9389765.09736137</v>
      </c>
      <c r="AK32" s="10" t="n">
        <v>32355638.25</v>
      </c>
      <c r="AL32" s="10" t="n">
        <v>14977937.5609225</v>
      </c>
      <c r="AM32" s="10"/>
    </row>
    <row r="33">
      <c r="M33" t="s">
        <v>128</v>
      </c>
      <c r="N33" t="n">
        <v>1886</v>
      </c>
      <c r="O33" s="10"/>
      <c r="P33" s="10"/>
      <c r="Q33" s="10" t="n">
        <v>2336999.28054354</v>
      </c>
      <c r="R33" s="10" t="n">
        <v>3983412.45894368</v>
      </c>
      <c r="S33" s="10" t="n">
        <v>4095304.28806822</v>
      </c>
      <c r="T33" s="10" t="n">
        <v>4091399.72549166</v>
      </c>
      <c r="U33" s="10" t="n">
        <v>1888081.75732959</v>
      </c>
      <c r="V33" s="10"/>
      <c r="W33" s="10"/>
      <c r="X33" s="10" t="n">
        <v>-28387.3898910366</v>
      </c>
      <c r="Y33" s="10" t="n">
        <v>-5825.91740577314</v>
      </c>
      <c r="Z33" s="10" t="n">
        <v>-10515.5397100564</v>
      </c>
      <c r="AA33" s="10"/>
      <c r="AB33" s="10" t="n">
        <v>-15791.6813530896</v>
      </c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>
      <c r="M34" t="s">
        <v>129</v>
      </c>
      <c r="N34" t="n">
        <v>1365</v>
      </c>
      <c r="O34" s="10"/>
      <c r="P34" s="10"/>
      <c r="Q34" s="10" t="n">
        <v>3416105.54814331</v>
      </c>
      <c r="R34" s="10" t="n">
        <v>3695539.5874365</v>
      </c>
      <c r="S34" s="10" t="n">
        <v>202506685.289908</v>
      </c>
      <c r="T34" s="10" t="n">
        <v>446077074.995262</v>
      </c>
      <c r="U34" s="10" t="n">
        <v>99645661.6139823</v>
      </c>
      <c r="V34" s="10" t="n">
        <v>132924792.317833</v>
      </c>
      <c r="W34" s="10" t="n">
        <v>207897346.364304</v>
      </c>
      <c r="X34" s="10" t="n">
        <v>111762007.962653</v>
      </c>
      <c r="Y34" s="10" t="n">
        <v>169357253.973482</v>
      </c>
      <c r="Z34" s="10" t="n">
        <v>116337034.940654</v>
      </c>
      <c r="AA34" s="10" t="n">
        <v>68350483.3538447</v>
      </c>
      <c r="AB34" s="10" t="n">
        <v>62548503.1860407</v>
      </c>
      <c r="AC34" s="10" t="n">
        <v>14770778.8776568</v>
      </c>
      <c r="AD34" s="10" t="n">
        <v>-369269.12468529</v>
      </c>
      <c r="AE34" s="10"/>
      <c r="AF34" s="10" t="n">
        <v>-745.528974849789</v>
      </c>
      <c r="AG34" s="10" t="n">
        <v>0</v>
      </c>
      <c r="AH34" s="10"/>
      <c r="AI34" s="10" t="n">
        <v>0</v>
      </c>
      <c r="AJ34" s="10"/>
      <c r="AK34" s="10"/>
      <c r="AL34" s="10" t="n">
        <v>-6074563.51832659</v>
      </c>
      <c r="AM34" s="10"/>
    </row>
    <row r="35">
      <c r="M35" t="s">
        <v>130</v>
      </c>
      <c r="N35" t="n">
        <v>2190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 t="n">
        <v>691649.926637983</v>
      </c>
      <c r="AJ35" s="10" t="n">
        <v>83768.2658487113</v>
      </c>
      <c r="AK35" s="10" t="n">
        <v>36387.1797</v>
      </c>
      <c r="AL35" s="10" t="n">
        <v>0</v>
      </c>
      <c r="AM35" s="10"/>
    </row>
    <row r="36">
      <c r="M36" t="s">
        <v>131</v>
      </c>
      <c r="N36" t="n">
        <v>1379</v>
      </c>
      <c r="O36" s="10"/>
      <c r="P36" s="10"/>
      <c r="Q36" s="10"/>
      <c r="R36" s="10"/>
      <c r="S36" s="10"/>
      <c r="T36" s="10" t="n">
        <v>1299289.23551731</v>
      </c>
      <c r="U36" s="10" t="n">
        <v>2144891.15433328</v>
      </c>
      <c r="V36" s="10" t="n">
        <v>1052183.66103674</v>
      </c>
      <c r="W36" s="10" t="n">
        <v>1390735.35456462</v>
      </c>
      <c r="X36" s="10" t="n">
        <v>0</v>
      </c>
      <c r="Y36" s="10" t="n">
        <v>433950.907475507</v>
      </c>
      <c r="Z36" s="10" t="n">
        <v>911824.248768144</v>
      </c>
      <c r="AA36" s="10" t="n">
        <v>2276962.01496342</v>
      </c>
      <c r="AB36" s="10" t="n">
        <v>1105981.9743949</v>
      </c>
      <c r="AC36" s="10" t="n">
        <v>690067.283379927</v>
      </c>
      <c r="AD36" s="10" t="n">
        <v>24192887.4141036</v>
      </c>
      <c r="AE36" s="10" t="n">
        <v>161260136.755341</v>
      </c>
      <c r="AF36" s="10" t="n">
        <v>179477775.646506</v>
      </c>
      <c r="AG36" s="10" t="n">
        <v>166671265.672859</v>
      </c>
      <c r="AH36" s="10" t="n">
        <v>253073749.635469</v>
      </c>
      <c r="AI36" s="10" t="n">
        <v>323696181.315544</v>
      </c>
      <c r="AJ36" s="10" t="n">
        <v>269760639.172584</v>
      </c>
      <c r="AK36" s="10" t="n">
        <v>277976938.8652</v>
      </c>
      <c r="AL36" s="10" t="n">
        <v>54143821.0899375</v>
      </c>
      <c r="AM36" s="10"/>
    </row>
    <row r="37">
      <c r="M37" t="s">
        <v>132</v>
      </c>
      <c r="N37" t="n">
        <v>699</v>
      </c>
      <c r="O37" s="10"/>
      <c r="P37" s="10"/>
      <c r="Q37" s="10"/>
      <c r="R37" s="10"/>
      <c r="S37" s="10" t="n">
        <v>1854062.65932298</v>
      </c>
      <c r="T37" s="10" t="n">
        <v>5128225.31716094</v>
      </c>
      <c r="U37" s="10" t="n">
        <v>3078491.46150349</v>
      </c>
      <c r="V37" s="10"/>
      <c r="W37" s="10"/>
      <c r="X37" s="10"/>
      <c r="Y37" s="10"/>
      <c r="Z37" s="10"/>
      <c r="AA37" s="10"/>
      <c r="AB37" s="10" t="n">
        <v>-41103.1414076329</v>
      </c>
      <c r="AC37" s="10" t="n">
        <v>-1870.29100809452</v>
      </c>
      <c r="AD37" s="10"/>
      <c r="AE37" s="10" t="n">
        <v>0</v>
      </c>
      <c r="AF37" s="10"/>
      <c r="AG37" s="10" t="n">
        <v>0</v>
      </c>
      <c r="AH37" s="10"/>
      <c r="AI37" s="10"/>
      <c r="AJ37" s="10"/>
      <c r="AK37" s="10"/>
      <c r="AL37" s="10"/>
      <c r="AM37" s="10"/>
    </row>
    <row r="38">
      <c r="M38" t="s">
        <v>133</v>
      </c>
      <c r="N38" t="n">
        <v>1890</v>
      </c>
      <c r="O38" s="10"/>
      <c r="P38" s="10" t="n">
        <v>484585.202575387</v>
      </c>
      <c r="Q38" s="10" t="n">
        <v>35612131.2330615</v>
      </c>
      <c r="R38" s="10" t="n">
        <v>44921842.8803451</v>
      </c>
      <c r="S38" s="10" t="n">
        <v>43893276.3331255</v>
      </c>
      <c r="T38" s="10" t="n">
        <v>9184555.78253128</v>
      </c>
      <c r="U38" s="10" t="n">
        <v>7126550.2474786</v>
      </c>
      <c r="V38" s="10" t="n">
        <v>8813397.49238669</v>
      </c>
      <c r="W38" s="10" t="n">
        <v>7580745.65825666</v>
      </c>
      <c r="X38" s="10" t="n">
        <v>-58567.3278147383</v>
      </c>
      <c r="Y38" s="10" t="n">
        <v>0</v>
      </c>
      <c r="Z38" s="10" t="n">
        <v>-88876.152347503</v>
      </c>
      <c r="AA38" s="10" t="n">
        <v>-16941.8167484875</v>
      </c>
      <c r="AB38" s="10" t="n">
        <v>-372988.632604486</v>
      </c>
      <c r="AC38" s="10" t="n">
        <v>-14062.9476512751</v>
      </c>
      <c r="AD38" s="10" t="n">
        <v>-129886.968235356</v>
      </c>
      <c r="AE38" s="10"/>
      <c r="AF38" s="10"/>
      <c r="AG38" s="10"/>
      <c r="AH38" s="10" t="n">
        <v>0</v>
      </c>
      <c r="AI38" s="10"/>
      <c r="AJ38" s="10"/>
      <c r="AK38" s="10"/>
      <c r="AL38" s="10"/>
      <c r="AM38" s="10"/>
    </row>
    <row r="39">
      <c r="M39" t="s">
        <v>134</v>
      </c>
      <c r="N39" t="n">
        <v>1728</v>
      </c>
      <c r="O39" s="10" t="n">
        <v>4512275.16167116</v>
      </c>
      <c r="P39" s="10" t="n">
        <v>195886.378789035</v>
      </c>
      <c r="Q39" s="10" t="n">
        <v>125942.423726242</v>
      </c>
      <c r="R39" s="10" t="n">
        <v>240830726.442139</v>
      </c>
      <c r="S39" s="10"/>
      <c r="T39" s="10"/>
      <c r="U39" s="10"/>
      <c r="V39" s="10"/>
      <c r="W39" s="10"/>
      <c r="X39" s="10"/>
      <c r="Y39" s="10" t="n">
        <v>-355217.798021538</v>
      </c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>
      <c r="M40" t="s">
        <v>135</v>
      </c>
      <c r="N40" t="n">
        <v>1817</v>
      </c>
      <c r="O40" s="10"/>
      <c r="P40" s="10"/>
      <c r="Q40" s="10"/>
      <c r="R40" s="10"/>
      <c r="S40" s="10"/>
      <c r="T40" s="10" t="n">
        <v>0</v>
      </c>
      <c r="U40" s="10"/>
      <c r="V40" s="10" t="n">
        <v>336647.0180304</v>
      </c>
      <c r="W40" s="10"/>
      <c r="X40" s="10" t="n">
        <v>989704.496050566</v>
      </c>
      <c r="Y40" s="10" t="n">
        <v>-25911348.4978825</v>
      </c>
      <c r="Z40" s="10" t="n">
        <v>-19541261.3370134</v>
      </c>
      <c r="AA40" s="10" t="n">
        <v>-23575.9209730617</v>
      </c>
      <c r="AB40" s="10" t="n">
        <v>-15297473.5141342</v>
      </c>
      <c r="AC40" s="10" t="n">
        <v>0</v>
      </c>
      <c r="AD40" s="10" t="n">
        <v>-7490647.21163992</v>
      </c>
      <c r="AE40" s="10" t="n">
        <v>-1354.78839201479</v>
      </c>
      <c r="AF40" s="10" t="n">
        <v>0</v>
      </c>
      <c r="AG40" s="10" t="n">
        <v>-25551466.4884791</v>
      </c>
      <c r="AH40" s="10" t="n">
        <v>0</v>
      </c>
      <c r="AI40" s="10"/>
      <c r="AJ40" s="10"/>
      <c r="AK40" s="10"/>
      <c r="AL40" s="10"/>
      <c r="AM40" s="10"/>
    </row>
    <row r="41">
      <c r="M41" t="s">
        <v>136</v>
      </c>
      <c r="N41" t="n">
        <v>461</v>
      </c>
      <c r="O41" s="10" t="n">
        <v>56222535.9215972</v>
      </c>
      <c r="P41" s="10" t="n">
        <v>68802540.9522215</v>
      </c>
      <c r="Q41" s="10" t="n">
        <v>16815175.573496</v>
      </c>
      <c r="R41" s="10" t="n">
        <v>376916.840813959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>
      <c r="M42" t="s">
        <v>137</v>
      </c>
      <c r="N42" t="n">
        <v>2052</v>
      </c>
      <c r="O42" s="10" t="n">
        <v>19316135.147223</v>
      </c>
      <c r="P42" s="10" t="n">
        <v>24304941.1720284</v>
      </c>
      <c r="Q42" s="10" t="n">
        <v>9275656.86739579</v>
      </c>
      <c r="R42" s="10" t="n">
        <v>8051731.66611278</v>
      </c>
      <c r="S42" s="10" t="n">
        <v>483311.783476559</v>
      </c>
      <c r="T42" s="10" t="n">
        <v>-17208.3640970738</v>
      </c>
      <c r="U42" s="10"/>
      <c r="V42" s="10" t="n">
        <v>0</v>
      </c>
      <c r="W42" s="10"/>
      <c r="X42" s="10"/>
      <c r="Y42" s="10"/>
      <c r="Z42" s="10"/>
      <c r="AA42" s="10" t="n">
        <v>0</v>
      </c>
      <c r="AB42" s="10"/>
      <c r="AC42" s="10"/>
      <c r="AD42" s="10" t="n">
        <v>-2955.43880527423</v>
      </c>
      <c r="AE42" s="10"/>
      <c r="AF42" s="10" t="n">
        <v>-694.689485265268</v>
      </c>
      <c r="AG42" s="10" t="n">
        <v>0</v>
      </c>
      <c r="AH42" s="10"/>
      <c r="AI42" s="10"/>
      <c r="AJ42" s="10"/>
      <c r="AK42" s="10"/>
      <c r="AL42" s="10"/>
      <c r="AM42" s="10"/>
    </row>
    <row r="43">
      <c r="M43" t="s">
        <v>138</v>
      </c>
      <c r="N43" t="n">
        <v>1734</v>
      </c>
      <c r="O43" s="10" t="n">
        <v>17995529.5011545</v>
      </c>
      <c r="P43" s="10" t="n">
        <v>9389312.72614791</v>
      </c>
      <c r="Q43" s="10" t="n">
        <v>-15641231.2349877</v>
      </c>
      <c r="R43" s="10" t="n">
        <v>4674985.15385263</v>
      </c>
      <c r="S43" s="10"/>
      <c r="T43" s="10"/>
      <c r="U43" s="10"/>
      <c r="V43" s="10"/>
      <c r="W43" s="10"/>
      <c r="X43" s="10" t="n">
        <v>-30882.6874981675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>
      <c r="M44" t="s">
        <v>139</v>
      </c>
      <c r="N44" t="n">
        <v>1745</v>
      </c>
      <c r="O44" s="10" t="n">
        <v>98544900.9845887</v>
      </c>
      <c r="P44" s="10" t="n">
        <v>89956970.0202741</v>
      </c>
      <c r="Q44" s="10" t="n">
        <v>29185149.4902078</v>
      </c>
      <c r="R44" s="10" t="n">
        <v>12219601.7079131</v>
      </c>
      <c r="S44" s="10"/>
      <c r="T44" s="10"/>
      <c r="U44" s="10"/>
      <c r="V44" s="10"/>
      <c r="W44" s="10"/>
      <c r="X44" s="10"/>
      <c r="Y44" s="10" t="n">
        <v>63324.4737405122</v>
      </c>
      <c r="Z44" s="10"/>
      <c r="AA44" s="10"/>
      <c r="AB44" s="10"/>
      <c r="AC44" s="10"/>
      <c r="AD44" s="10"/>
      <c r="AE44" s="10"/>
      <c r="AF44" s="10"/>
      <c r="AG44" s="10"/>
      <c r="AH44" s="10" t="n">
        <v>0</v>
      </c>
      <c r="AI44" s="10"/>
      <c r="AJ44" s="10"/>
      <c r="AK44" s="10"/>
      <c r="AL44" s="10"/>
      <c r="AM44" s="10"/>
    </row>
    <row r="45">
      <c r="M45" t="s">
        <v>140</v>
      </c>
      <c r="N45" t="n">
        <v>1895</v>
      </c>
      <c r="O45" s="10"/>
      <c r="P45" s="10"/>
      <c r="Q45" s="10"/>
      <c r="R45" s="10" t="n">
        <v>436396.822570323</v>
      </c>
      <c r="S45" s="10"/>
      <c r="T45" s="10"/>
      <c r="U45" s="10"/>
      <c r="V45" s="10"/>
      <c r="W45" s="10"/>
      <c r="X45" s="10"/>
      <c r="Y45" s="10"/>
      <c r="Z45" s="10" t="n">
        <v>-58362.5277737044</v>
      </c>
      <c r="AA45" s="10"/>
      <c r="AB45" s="10"/>
      <c r="AC45" s="10" t="n">
        <v>0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>
      <c r="M46" t="s">
        <v>141</v>
      </c>
      <c r="N46" t="n">
        <v>2040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 t="n">
        <v>2304462.72656988</v>
      </c>
      <c r="AM46" s="10"/>
    </row>
    <row r="47">
      <c r="M47" t="s">
        <v>142</v>
      </c>
      <c r="N47" t="n">
        <v>2055</v>
      </c>
      <c r="O47" s="10"/>
      <c r="P47" s="10"/>
      <c r="Q47" s="10" t="n">
        <v>35627623.6202855</v>
      </c>
      <c r="R47" s="10"/>
      <c r="S47" s="10"/>
      <c r="T47" s="10"/>
      <c r="U47" s="10"/>
      <c r="V47" s="10"/>
      <c r="W47" s="10" t="n">
        <v>0</v>
      </c>
      <c r="X47" s="10"/>
      <c r="Y47" s="10"/>
      <c r="Z47" s="10"/>
      <c r="AA47" s="10"/>
      <c r="AB47" s="10" t="n">
        <v>-81828.5051821234</v>
      </c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>
      <c r="M48" t="s">
        <v>143</v>
      </c>
      <c r="N48" t="n">
        <v>2056</v>
      </c>
      <c r="O48" s="10"/>
      <c r="P48" s="10"/>
      <c r="Q48" s="10"/>
      <c r="R48" s="10" t="n">
        <v>12044857.070608</v>
      </c>
      <c r="S48" s="10"/>
      <c r="T48" s="10" t="n">
        <v>-33739.6541369724</v>
      </c>
      <c r="U48" s="10" t="n">
        <v>88641.7452636873</v>
      </c>
      <c r="V48" s="10" t="n">
        <v>0</v>
      </c>
      <c r="W48" s="10" t="n">
        <v>0</v>
      </c>
      <c r="X48" s="10"/>
      <c r="Y48" s="10" t="n">
        <v>0</v>
      </c>
      <c r="Z48" s="10"/>
      <c r="AA48" s="10"/>
      <c r="AB48" s="10" t="n">
        <v>0</v>
      </c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>
      <c r="M49" t="s">
        <v>144</v>
      </c>
      <c r="N49" t="n">
        <v>487</v>
      </c>
      <c r="O49" s="10" t="n">
        <v>28392673.2006467</v>
      </c>
      <c r="P49" s="10"/>
      <c r="Q49" s="10"/>
      <c r="R49" s="10" t="n">
        <v>240263.590385721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>
      <c r="M50" t="s">
        <v>145</v>
      </c>
      <c r="N50" t="n">
        <v>439</v>
      </c>
      <c r="O50" s="10"/>
      <c r="P50" s="10"/>
      <c r="Q50" s="10" t="n">
        <v>1817508.91243602</v>
      </c>
      <c r="R50" s="10" t="n">
        <v>17300.136624907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</row>
    <row r="51">
      <c r="M51" t="s">
        <v>146</v>
      </c>
      <c r="N51" t="n">
        <v>1605</v>
      </c>
      <c r="O51" s="10" t="n">
        <v>-2248648.6720549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</row>
    <row r="52">
      <c r="M52" t="s">
        <v>147</v>
      </c>
      <c r="N52" t="n">
        <v>1621</v>
      </c>
      <c r="O52" s="10" t="n">
        <v>29842081.6148227</v>
      </c>
      <c r="P52" s="10" t="n">
        <v>9931844.97397674</v>
      </c>
      <c r="Q52" s="10" t="n">
        <v>20452713.861927</v>
      </c>
      <c r="R52" s="10" t="n">
        <v>20358330.8284479</v>
      </c>
      <c r="S52" s="10"/>
      <c r="T52" s="10"/>
      <c r="U52" s="10"/>
      <c r="V52" s="10"/>
      <c r="W52" s="10"/>
      <c r="X52" s="10"/>
      <c r="Y52" s="10" t="n">
        <v>-240839.612332515</v>
      </c>
      <c r="Z52" s="10" t="n">
        <v>-16720.0800300282</v>
      </c>
      <c r="AA52" s="10"/>
      <c r="AB52" s="10"/>
      <c r="AC52" s="10"/>
      <c r="AD52" s="10"/>
      <c r="AE52" s="10"/>
      <c r="AF52" s="10"/>
      <c r="AG52" s="10"/>
      <c r="AH52" s="10"/>
      <c r="AI52" s="10" t="n">
        <v>0</v>
      </c>
      <c r="AJ52" s="10"/>
      <c r="AK52" s="10"/>
      <c r="AL52" s="10"/>
      <c r="AM52" s="10"/>
    </row>
    <row r="53">
      <c r="M53" t="s">
        <v>148</v>
      </c>
      <c r="N53" t="n">
        <v>965</v>
      </c>
      <c r="O53" s="10"/>
      <c r="P53" s="10" t="n">
        <v>4345911.66069966</v>
      </c>
      <c r="Q53" s="10" t="n">
        <v>1715101.68602131</v>
      </c>
      <c r="R53" s="10" t="n">
        <v>160228.553319451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>
      <c r="M54" t="s">
        <v>149</v>
      </c>
      <c r="N54" t="n">
        <v>968</v>
      </c>
      <c r="O54" s="10" t="n">
        <v>264085061.271796</v>
      </c>
      <c r="P54" s="10" t="n">
        <v>96134644.9807561</v>
      </c>
      <c r="Q54" s="10" t="n">
        <v>107228272.205287</v>
      </c>
      <c r="R54" s="10" t="n">
        <v>47083276.5094018</v>
      </c>
      <c r="S54" s="10"/>
      <c r="T54" s="10"/>
      <c r="U54" s="10"/>
      <c r="V54" s="10"/>
      <c r="W54" s="10" t="n">
        <v>-71719.7802068676</v>
      </c>
      <c r="X54" s="10" t="n">
        <v>-142224.288118191</v>
      </c>
      <c r="Y54" s="10" t="n">
        <v>-18724.676120985</v>
      </c>
      <c r="Z54" s="10"/>
      <c r="AA54" s="10"/>
      <c r="AB54" s="10"/>
      <c r="AC54" s="10"/>
      <c r="AD54" s="10"/>
      <c r="AE54" s="10"/>
      <c r="AF54" s="10"/>
      <c r="AG54" s="10"/>
      <c r="AH54" s="10"/>
      <c r="AI54" s="10" t="n">
        <v>-360085.445792874</v>
      </c>
      <c r="AJ54" s="10"/>
      <c r="AK54" s="10"/>
      <c r="AL54" s="10"/>
      <c r="AM54" s="10"/>
    </row>
    <row r="55">
      <c r="M55" t="s">
        <v>150</v>
      </c>
      <c r="N55" t="n">
        <v>1624</v>
      </c>
      <c r="O55" s="10" t="n">
        <v>43624.7113437676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>
      <c r="M56" t="s">
        <v>151</v>
      </c>
      <c r="N56" t="n">
        <v>1619</v>
      </c>
      <c r="O56" s="10" t="n">
        <v>13197040.6870071</v>
      </c>
      <c r="P56" s="10" t="n">
        <v>4698679.71851902</v>
      </c>
      <c r="Q56" s="10" t="n">
        <v>-1020924.4023885</v>
      </c>
      <c r="R56" s="10" t="n">
        <v>544584.772888171</v>
      </c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>
      <c r="M57" t="s">
        <v>152</v>
      </c>
      <c r="N57" t="n">
        <v>1609</v>
      </c>
      <c r="O57" s="10" t="n">
        <v>7261153.8571346</v>
      </c>
      <c r="P57" s="10" t="n">
        <v>14958721.9663856</v>
      </c>
      <c r="Q57" s="10" t="n">
        <v>1556414.97754985</v>
      </c>
      <c r="R57" s="10" t="n">
        <v>150859.995231727</v>
      </c>
      <c r="S57" s="10"/>
      <c r="T57" s="10"/>
      <c r="U57" s="10"/>
      <c r="V57" s="10"/>
      <c r="W57" s="10"/>
      <c r="X57" s="10"/>
      <c r="Y57" s="10"/>
      <c r="Z57" s="10" t="n">
        <v>0</v>
      </c>
      <c r="AA57" s="10"/>
      <c r="AB57" s="10"/>
      <c r="AC57" s="10"/>
      <c r="AD57" s="10"/>
      <c r="AE57" s="10"/>
      <c r="AF57" s="10"/>
      <c r="AG57" s="10"/>
      <c r="AH57" s="10"/>
      <c r="AI57" s="10" t="n">
        <v>0</v>
      </c>
      <c r="AJ57" s="10"/>
      <c r="AK57" s="10"/>
      <c r="AL57" s="10"/>
      <c r="AM57" s="10"/>
    </row>
    <row r="58">
      <c r="M58" t="s">
        <v>153</v>
      </c>
      <c r="N58" t="n">
        <v>966</v>
      </c>
      <c r="O58" s="10"/>
      <c r="P58" s="10" t="n">
        <v>806002.479718345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>
      <c r="M59" t="s">
        <v>154</v>
      </c>
      <c r="N59" t="n">
        <v>1612</v>
      </c>
      <c r="O59" s="10" t="n">
        <v>110537359.984671</v>
      </c>
      <c r="P59" s="10" t="n">
        <v>42617953.7393092</v>
      </c>
      <c r="Q59" s="10" t="n">
        <v>19427691.1826856</v>
      </c>
      <c r="R59" s="10" t="n">
        <v>26974603.7346791</v>
      </c>
      <c r="S59" s="10"/>
      <c r="T59" s="10"/>
      <c r="U59" s="10"/>
      <c r="V59" s="10"/>
      <c r="W59" s="10"/>
      <c r="X59" s="10"/>
      <c r="Y59" s="10" t="n">
        <v>-86332.5634400142</v>
      </c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>
      <c r="M60" t="s">
        <v>155</v>
      </c>
      <c r="N60" t="n">
        <v>415</v>
      </c>
      <c r="O60" s="10" t="n">
        <v>3433426.35575949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>
      <c r="M61" t="s">
        <v>156</v>
      </c>
      <c r="N61" t="n">
        <v>1608</v>
      </c>
      <c r="O61" s="10" t="n">
        <v>43651513.0738332</v>
      </c>
      <c r="P61" s="10" t="n">
        <v>24552761.253214</v>
      </c>
      <c r="Q61" s="10" t="n">
        <v>11453119.9671532</v>
      </c>
      <c r="R61" s="10" t="n">
        <v>10700721.9421834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>
      <c r="M62" t="s">
        <v>157</v>
      </c>
      <c r="N62" t="n">
        <v>431</v>
      </c>
      <c r="O62" s="10"/>
      <c r="P62" s="10"/>
      <c r="Q62" s="10" t="n">
        <v>1396330.59982201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>
      <c r="M63" t="s">
        <v>158</v>
      </c>
      <c r="N63" t="n">
        <v>2150</v>
      </c>
      <c r="O63" s="10"/>
      <c r="P63" s="10"/>
      <c r="Q63" s="10"/>
      <c r="R63" s="10" t="n">
        <v>4266445.61989676</v>
      </c>
      <c r="S63" s="10"/>
      <c r="T63" s="10"/>
      <c r="U63" s="10"/>
      <c r="V63" s="10"/>
      <c r="W63" s="10"/>
      <c r="X63" s="10"/>
      <c r="Y63" s="10"/>
      <c r="Z63" s="10"/>
      <c r="AA63" s="10" t="n">
        <v>-188201.165080181</v>
      </c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>
      <c r="M64" t="s">
        <v>159</v>
      </c>
      <c r="N64" t="n">
        <v>1610</v>
      </c>
      <c r="O64" s="10" t="n">
        <v>1907370.93948256</v>
      </c>
      <c r="P64" s="10" t="n">
        <v>850241.248626917</v>
      </c>
      <c r="Q64" s="10" t="n">
        <v>1674393.79244643</v>
      </c>
      <c r="R64" s="10" t="n">
        <v>740271.52044042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>
      <c r="M65" t="s">
        <v>160</v>
      </c>
      <c r="N65" t="n">
        <v>1022</v>
      </c>
      <c r="O65" s="10" t="n">
        <v>1106742.76949089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>
      <c r="M66" t="s">
        <v>161</v>
      </c>
      <c r="N66" t="n">
        <v>931</v>
      </c>
      <c r="O66" s="10"/>
      <c r="P66" s="10"/>
      <c r="Q66" s="10"/>
      <c r="R66" s="10" t="n">
        <v>110402.087419582</v>
      </c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>
      <c r="M67" t="s">
        <v>162</v>
      </c>
      <c r="N67" t="n">
        <v>1617</v>
      </c>
      <c r="O67" s="10"/>
      <c r="P67" s="10"/>
      <c r="Q67" s="10" t="n">
        <v>3941.4273029816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>
      <c r="M68" t="s">
        <v>163</v>
      </c>
      <c r="N68" t="n">
        <v>933</v>
      </c>
      <c r="O68" s="10"/>
      <c r="P68" s="10" t="n">
        <v>260914.718923041</v>
      </c>
      <c r="Q68" s="10" t="n">
        <v>1732552.36317009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>
      <c r="M69" t="s">
        <v>164</v>
      </c>
      <c r="N69" t="n">
        <v>1611</v>
      </c>
      <c r="O69" s="10"/>
      <c r="P69" s="10"/>
      <c r="Q69" s="10"/>
      <c r="R69" s="10" t="n">
        <v>51200.9680786467</v>
      </c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>
      <c r="M70" t="s">
        <v>165</v>
      </c>
      <c r="N70" t="n">
        <v>1654</v>
      </c>
      <c r="O70" s="10" t="n">
        <v>61580775.0227265</v>
      </c>
      <c r="P70" s="10" t="n">
        <v>32595201.9127201</v>
      </c>
      <c r="Q70" s="10" t="n">
        <v>16651028.6371296</v>
      </c>
      <c r="R70" s="10" t="n">
        <v>46806270.1290663</v>
      </c>
      <c r="S70" s="10"/>
      <c r="T70" s="10"/>
      <c r="U70" s="10"/>
      <c r="V70" s="10"/>
      <c r="W70" s="10"/>
      <c r="X70" s="10"/>
      <c r="Y70" s="10" t="n">
        <v>-16923.2337353016</v>
      </c>
      <c r="Z70" s="10" t="n">
        <v>-68266.7164467187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>
      <c r="M71" t="s">
        <v>166</v>
      </c>
      <c r="N71" t="n">
        <v>1616</v>
      </c>
      <c r="O71" s="10" t="n">
        <v>1685502.12050835</v>
      </c>
      <c r="P71" s="10" t="n">
        <v>4758445.59491465</v>
      </c>
      <c r="Q71" s="10" t="n">
        <v>-1151822.34011152</v>
      </c>
      <c r="R71" s="10" t="n">
        <v>163050.701917119</v>
      </c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>
      <c r="M72" t="s">
        <v>167</v>
      </c>
      <c r="N72" t="n">
        <v>1023</v>
      </c>
      <c r="O72" s="10" t="n">
        <v>513079.924494349</v>
      </c>
      <c r="P72" s="10" t="n">
        <v>37145478.8918352</v>
      </c>
      <c r="Q72" s="10" t="n">
        <v>44212662.6017548</v>
      </c>
      <c r="R72" s="10" t="n">
        <v>31617646.1893393</v>
      </c>
      <c r="S72" s="10"/>
      <c r="T72" s="10"/>
      <c r="U72" s="10"/>
      <c r="V72" s="10"/>
      <c r="W72" s="10"/>
      <c r="X72" s="10" t="n">
        <v>-796555.5501808</v>
      </c>
      <c r="Y72" s="10" t="n">
        <v>0</v>
      </c>
      <c r="Z72" s="10" t="n">
        <v>-217379.008241774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>
      <c r="M73" t="s">
        <v>168</v>
      </c>
      <c r="N73" t="n">
        <v>1677</v>
      </c>
      <c r="O73" s="10" t="n">
        <v>1234414.52656355</v>
      </c>
      <c r="P73" s="10" t="n">
        <v>-10329713.103223</v>
      </c>
      <c r="Q73" s="10" t="n">
        <v>2014072.45775528</v>
      </c>
      <c r="R73" s="10" t="n">
        <v>9607707.75228616</v>
      </c>
      <c r="S73" s="10"/>
      <c r="T73" s="10"/>
      <c r="U73" s="10"/>
      <c r="V73" s="10"/>
      <c r="W73" s="10" t="n">
        <v>-5852.96565969682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>
      <c r="M74" t="s">
        <v>169</v>
      </c>
      <c r="N74" t="n">
        <v>1666</v>
      </c>
      <c r="O74" s="10" t="n">
        <v>54475.9543580174</v>
      </c>
      <c r="P74" s="10" t="n">
        <v>0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>
      <c r="M75" t="s">
        <v>170</v>
      </c>
      <c r="N75" t="n">
        <v>1667</v>
      </c>
      <c r="O75" s="10" t="n">
        <v>53356.2534335273</v>
      </c>
      <c r="P75" s="10" t="n">
        <v>53949.718181185</v>
      </c>
      <c r="Q75" s="10" t="n">
        <v>45657.1957082975</v>
      </c>
      <c r="R75" s="10" t="n">
        <v>46583.7379215545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>
      <c r="M76" t="s">
        <v>171</v>
      </c>
      <c r="N76" t="n">
        <v>1035</v>
      </c>
      <c r="O76" s="10" t="n">
        <v>2497157.6480897</v>
      </c>
      <c r="P76" s="10" t="n">
        <v>6600629.7086825</v>
      </c>
      <c r="Q76" s="10" t="n">
        <v>8747049.03683917</v>
      </c>
      <c r="R76" s="10" t="n">
        <v>4079079.0296573</v>
      </c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>
      <c r="M77" t="s">
        <v>172</v>
      </c>
      <c r="N77" t="n">
        <v>1680</v>
      </c>
      <c r="O77" s="10"/>
      <c r="P77" s="10"/>
      <c r="Q77" s="10" t="n">
        <v>130832.713157719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>
      <c r="M78" t="s">
        <v>173</v>
      </c>
      <c r="N78" t="n">
        <v>1656</v>
      </c>
      <c r="O78" s="10"/>
      <c r="P78" s="10"/>
      <c r="Q78" s="10"/>
      <c r="R78" s="10" t="n">
        <v>848390.898033162</v>
      </c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>
      <c r="M79" t="s">
        <v>174</v>
      </c>
      <c r="N79" t="n">
        <v>498</v>
      </c>
      <c r="O79" s="10" t="n">
        <v>-495691.437698734</v>
      </c>
      <c r="P79" s="10" t="n">
        <v>42898490.6963743</v>
      </c>
      <c r="Q79" s="10" t="n">
        <v>21254437.1359405</v>
      </c>
      <c r="R79" s="10" t="n">
        <v>27381157.7072836</v>
      </c>
      <c r="S79" s="10"/>
      <c r="T79" s="10"/>
      <c r="U79" s="10"/>
      <c r="V79" s="10"/>
      <c r="W79" s="10"/>
      <c r="X79" s="10"/>
      <c r="Y79" s="10"/>
      <c r="Z79" s="10"/>
      <c r="AA79" s="10"/>
      <c r="AB79" s="10" t="n">
        <v>-164837.90555178</v>
      </c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>
      <c r="M80" t="s">
        <v>175</v>
      </c>
      <c r="N80" t="n">
        <v>497</v>
      </c>
      <c r="O80" s="10"/>
      <c r="P80" s="10" t="n">
        <v>876001.450319862</v>
      </c>
      <c r="Q80" s="10"/>
      <c r="R80" s="10" t="n">
        <v>-390.102613932547</v>
      </c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>
      <c r="M81" t="s">
        <v>176</v>
      </c>
      <c r="N81" t="n">
        <v>1094</v>
      </c>
      <c r="O81" s="10" t="n">
        <v>66774.8914968603</v>
      </c>
      <c r="P81" s="10" t="n">
        <v>7488402.29341956</v>
      </c>
      <c r="Q81" s="10" t="n">
        <v>1312343.10124051</v>
      </c>
      <c r="R81" s="10" t="n">
        <v>7630753.03982281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>
      <c r="M82" t="s">
        <v>177</v>
      </c>
      <c r="N82" t="n">
        <v>1093</v>
      </c>
      <c r="O82" s="10" t="n">
        <v>626903.259310438</v>
      </c>
      <c r="P82" s="10" t="n">
        <v>3482675.15539506</v>
      </c>
      <c r="Q82" s="10" t="n">
        <v>1731603.5010416</v>
      </c>
      <c r="R82" s="10" t="n">
        <v>1416345.25563723</v>
      </c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  <row r="83">
      <c r="M83" t="s">
        <v>178</v>
      </c>
      <c r="N83" t="n">
        <v>1700</v>
      </c>
      <c r="O83" s="10"/>
      <c r="P83" s="10"/>
      <c r="Q83" s="10" t="n">
        <v>4692624.83337705</v>
      </c>
      <c r="R83" s="10" t="n">
        <v>-848137.94086944</v>
      </c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</row>
    <row r="84">
      <c r="M84" t="s">
        <v>179</v>
      </c>
      <c r="N84" t="n">
        <v>1695</v>
      </c>
      <c r="O84" s="10"/>
      <c r="P84" s="10"/>
      <c r="Q84" s="10"/>
      <c r="R84" s="10" t="n">
        <v>45520.098763254</v>
      </c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</row>
    <row r="85">
      <c r="M85" t="s">
        <v>180</v>
      </c>
      <c r="N85" t="n">
        <v>1072</v>
      </c>
      <c r="O85" s="10"/>
      <c r="P85" s="10"/>
      <c r="Q85" s="10" t="n">
        <v>249765.049080313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</row>
    <row r="86">
      <c r="M86" t="s">
        <v>181</v>
      </c>
      <c r="N86" t="n">
        <v>1064</v>
      </c>
      <c r="O86" s="10" t="n">
        <v>5649728.11221801</v>
      </c>
      <c r="P86" s="10"/>
      <c r="Q86" s="10" t="n">
        <v>707071.559005806</v>
      </c>
      <c r="R86" s="10" t="n">
        <v>124589.022324707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</row>
    <row r="87">
      <c r="M87" t="s">
        <v>182</v>
      </c>
      <c r="N87" t="n">
        <v>418</v>
      </c>
      <c r="O87" s="10"/>
      <c r="P87" s="10" t="n">
        <v>62349.7839506239</v>
      </c>
      <c r="Q87" s="10" t="n">
        <v>73486.3435685932</v>
      </c>
      <c r="R87" s="10" t="n">
        <v>106287.723913262</v>
      </c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</row>
    <row r="88">
      <c r="M88" t="s">
        <v>183</v>
      </c>
      <c r="N88" t="n">
        <v>943</v>
      </c>
      <c r="O88" s="10" t="n">
        <v>2670743.60598665</v>
      </c>
      <c r="P88" s="10"/>
      <c r="Q88" s="10"/>
      <c r="R88" s="10" t="n">
        <v>215028.82754696</v>
      </c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</row>
    <row r="89">
      <c r="M89" t="s">
        <v>184</v>
      </c>
      <c r="N89" t="n">
        <v>997</v>
      </c>
      <c r="O89" s="10" t="n">
        <v>377314.975602395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>
      <c r="M90" t="s">
        <v>185</v>
      </c>
      <c r="N90" t="n">
        <v>1129</v>
      </c>
      <c r="O90" s="10"/>
      <c r="P90" s="10"/>
      <c r="Q90" s="10" t="n">
        <v>205727.596743572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</row>
    <row r="91">
      <c r="M91" t="s">
        <v>186</v>
      </c>
      <c r="N91" t="n">
        <v>1104</v>
      </c>
      <c r="O91" s="10" t="n">
        <v>45798496.7796965</v>
      </c>
      <c r="P91" s="10" t="n">
        <v>110738.895214011</v>
      </c>
      <c r="Q91" s="10"/>
      <c r="R91" s="10" t="n">
        <v>125259.511192404</v>
      </c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>
      <c r="M92" t="s">
        <v>187</v>
      </c>
      <c r="N92" t="n">
        <v>1125</v>
      </c>
      <c r="O92" s="10"/>
      <c r="P92" s="10"/>
      <c r="Q92" s="10"/>
      <c r="R92" s="10" t="n">
        <v>61648.4037080277</v>
      </c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</row>
    <row r="93">
      <c r="M93" t="s">
        <v>188</v>
      </c>
      <c r="N93" t="n">
        <v>1113</v>
      </c>
      <c r="O93" s="10" t="n">
        <v>51364.0582821619</v>
      </c>
      <c r="P93" s="10"/>
      <c r="Q93" s="10" t="n">
        <v>86866.6972496371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</row>
    <row r="94">
      <c r="M94" t="s">
        <v>189</v>
      </c>
      <c r="N94" t="n">
        <v>949</v>
      </c>
      <c r="O94" s="10"/>
      <c r="P94" s="10"/>
      <c r="Q94" s="10" t="n">
        <v>94022.7638422845</v>
      </c>
      <c r="R94" s="10" t="n">
        <v>143156.992444895</v>
      </c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</row>
    <row r="95">
      <c r="M95" t="s">
        <v>190</v>
      </c>
      <c r="N95" t="n">
        <v>646</v>
      </c>
      <c r="O95" s="10"/>
      <c r="P95" s="10"/>
      <c r="Q95" s="10"/>
      <c r="R95" s="10"/>
      <c r="S95" s="10"/>
      <c r="T95" s="10"/>
      <c r="U95" s="10"/>
      <c r="V95" s="10"/>
      <c r="W95" s="10" t="n">
        <v>120118.051183569</v>
      </c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</row>
    <row r="96">
      <c r="M96" t="s">
        <v>191</v>
      </c>
      <c r="N96" t="n">
        <v>1110</v>
      </c>
      <c r="O96" s="10" t="n">
        <v>96987358.2211019</v>
      </c>
      <c r="P96" s="10" t="n">
        <v>29203293.214472</v>
      </c>
      <c r="Q96" s="10" t="n">
        <v>174381169.163595</v>
      </c>
      <c r="R96" s="10" t="n">
        <v>185007679.352816</v>
      </c>
      <c r="S96" s="10" t="n">
        <v>1847691.78535822</v>
      </c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 t="n">
        <v>0</v>
      </c>
      <c r="AH96" s="10"/>
      <c r="AI96" s="10"/>
      <c r="AJ96" s="10"/>
      <c r="AK96" s="10"/>
      <c r="AL96" s="10"/>
      <c r="AM96" s="10"/>
    </row>
    <row r="97">
      <c r="M97" t="s">
        <v>192</v>
      </c>
      <c r="N97" t="n">
        <v>1938</v>
      </c>
      <c r="O97" s="10" t="n">
        <v>48318830.4596201</v>
      </c>
      <c r="P97" s="10" t="n">
        <v>39000806.5451319</v>
      </c>
      <c r="Q97" s="10" t="n">
        <v>59171758.2502362</v>
      </c>
      <c r="R97" s="10" t="n">
        <v>23323820.8029997</v>
      </c>
      <c r="S97" s="10" t="n">
        <v>44624.3798605711</v>
      </c>
      <c r="T97" s="10"/>
      <c r="U97" s="10"/>
      <c r="V97" s="10"/>
      <c r="W97" s="10"/>
      <c r="X97" s="10" t="n">
        <v>-86892.0824752744</v>
      </c>
      <c r="Y97" s="10" t="n">
        <v>-6541.13858043507</v>
      </c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</row>
    <row r="98">
      <c r="M98" t="s">
        <v>193</v>
      </c>
      <c r="N98" t="n">
        <v>1704</v>
      </c>
      <c r="O98" s="10" t="n">
        <v>1828689.73324895</v>
      </c>
      <c r="P98" s="10" t="n">
        <v>6451103.80555507</v>
      </c>
      <c r="Q98" s="10" t="n">
        <v>0</v>
      </c>
      <c r="R98" s="10" t="n">
        <v>136135.145394109</v>
      </c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</row>
    <row r="99">
      <c r="M99" t="s">
        <v>194</v>
      </c>
      <c r="N99" t="n">
        <v>1116</v>
      </c>
      <c r="O99" s="10"/>
      <c r="P99" s="10"/>
      <c r="Q99" s="10"/>
      <c r="R99" s="10" t="n">
        <v>314837.190856936</v>
      </c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</row>
    <row r="100">
      <c r="M100" t="s">
        <v>195</v>
      </c>
      <c r="N100" t="n">
        <v>1004</v>
      </c>
      <c r="O100" s="10" t="n">
        <v>1012739.59519532</v>
      </c>
      <c r="P100" s="10" t="n">
        <v>105217.725224709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</row>
    <row r="101">
      <c r="M101" t="s">
        <v>72</v>
      </c>
      <c r="N101" t="n">
        <v>1676</v>
      </c>
      <c r="O101" s="10" t="n">
        <v>711888220.175922</v>
      </c>
      <c r="P101" s="10" t="n">
        <v>317436067.15464</v>
      </c>
      <c r="Q101" s="10" t="n">
        <v>350429767.067843</v>
      </c>
      <c r="R101" s="10" t="n">
        <v>349626004.052508</v>
      </c>
      <c r="S101" s="10"/>
      <c r="T101" s="10"/>
      <c r="U101" s="10"/>
      <c r="V101" s="10"/>
      <c r="W101" s="10" t="n">
        <v>0</v>
      </c>
      <c r="X101" s="10" t="n">
        <v>-1038177.44911513</v>
      </c>
      <c r="Y101" s="10" t="n">
        <v>-2007569.02369361</v>
      </c>
      <c r="Z101" s="10" t="n">
        <v>-1138933.95325569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</row>
    <row r="102">
      <c r="M102" t="s">
        <v>196</v>
      </c>
      <c r="N102" t="n">
        <v>512</v>
      </c>
      <c r="O102" s="10"/>
      <c r="P102" s="10"/>
      <c r="Q102" s="10" t="n">
        <v>123229.392403031</v>
      </c>
      <c r="R102" s="10" t="n">
        <v>1920909.46231559</v>
      </c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</row>
    <row r="103">
      <c r="M103" t="s">
        <v>197</v>
      </c>
      <c r="N103" t="n">
        <v>521</v>
      </c>
      <c r="O103" s="10"/>
      <c r="P103" s="10"/>
      <c r="Q103" s="10"/>
      <c r="R103" s="10" t="n">
        <v>49524.7459094053</v>
      </c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</row>
    <row r="104">
      <c r="M104" t="s">
        <v>198</v>
      </c>
      <c r="N104" t="n">
        <v>522</v>
      </c>
      <c r="O104" s="10" t="n">
        <v>-141791.621977593</v>
      </c>
      <c r="P104" s="10"/>
      <c r="Q104" s="10"/>
      <c r="R104" s="10" t="n">
        <v>106594.015418733</v>
      </c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</row>
    <row r="105">
      <c r="M105" t="s">
        <v>199</v>
      </c>
      <c r="N105" t="n">
        <v>1689</v>
      </c>
      <c r="O105" s="10"/>
      <c r="P105" s="10"/>
      <c r="Q105" s="10" t="n">
        <v>146755.271919528</v>
      </c>
      <c r="R105" s="10" t="n">
        <v>22541690.9673166</v>
      </c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</row>
    <row r="106">
      <c r="M106" t="s">
        <v>200</v>
      </c>
      <c r="N106" t="n">
        <v>1092</v>
      </c>
      <c r="O106" s="10"/>
      <c r="P106" s="10" t="n">
        <v>43669.2996611036</v>
      </c>
      <c r="Q106" s="10"/>
      <c r="R106" s="10" t="n">
        <v>127182.595172024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</row>
    <row r="107">
      <c r="M107" t="s">
        <v>201</v>
      </c>
      <c r="N107" t="n">
        <v>1698</v>
      </c>
      <c r="O107" s="10"/>
      <c r="P107" s="10"/>
      <c r="Q107" s="10" t="n">
        <v>117311.039585197</v>
      </c>
      <c r="R107" s="10" t="n">
        <v>161776.773068496</v>
      </c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</row>
    <row r="108">
      <c r="M108" t="s">
        <v>202</v>
      </c>
      <c r="N108" t="n">
        <v>1696</v>
      </c>
      <c r="O108" s="10" t="n">
        <v>-159159.104282562</v>
      </c>
      <c r="P108" s="10" t="n">
        <v>34262.8034764719</v>
      </c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</row>
    <row r="109">
      <c r="M109" t="s">
        <v>203</v>
      </c>
      <c r="N109" t="n">
        <v>1065</v>
      </c>
      <c r="O109" s="10" t="n">
        <v>500527.317737693</v>
      </c>
      <c r="P109" s="10" t="n">
        <v>162155.185108676</v>
      </c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</row>
    <row r="110">
      <c r="M110" t="s">
        <v>204</v>
      </c>
      <c r="N110" t="n">
        <v>467</v>
      </c>
      <c r="O110" s="10" t="n">
        <v>252139.521456628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</row>
    <row r="111">
      <c r="M111" t="s">
        <v>205</v>
      </c>
      <c r="N111" t="n">
        <v>1015</v>
      </c>
      <c r="O111" s="10"/>
      <c r="P111" s="10"/>
      <c r="Q111" s="10" t="n">
        <v>154875.730299075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</row>
    <row r="112">
      <c r="M112" t="s">
        <v>206</v>
      </c>
      <c r="N112" t="n">
        <v>2038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 t="n">
        <v>1469650.47896388</v>
      </c>
      <c r="AE112" s="10"/>
      <c r="AF112" s="10"/>
      <c r="AG112" s="10"/>
      <c r="AH112" s="10"/>
      <c r="AI112" s="10"/>
      <c r="AJ112" s="10"/>
      <c r="AK112" s="10"/>
      <c r="AL112" s="10"/>
      <c r="AM112" s="10"/>
    </row>
    <row r="113">
      <c r="M113" t="s">
        <v>207</v>
      </c>
      <c r="N113" t="n">
        <v>459</v>
      </c>
      <c r="O113" s="10"/>
      <c r="P113" s="10"/>
      <c r="Q113" s="10"/>
      <c r="R113" s="10" t="n">
        <v>103742.913892687</v>
      </c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</row>
    <row r="114">
      <c r="M114" t="s">
        <v>208</v>
      </c>
      <c r="N114" t="n">
        <v>1090</v>
      </c>
      <c r="O114" s="10" t="n">
        <v>81869.0416218039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</row>
    <row r="115">
      <c r="M115" t="s">
        <v>209</v>
      </c>
      <c r="N115" t="n">
        <v>1694</v>
      </c>
      <c r="O115" s="10" t="n">
        <v>25385408.5713542</v>
      </c>
      <c r="P115" s="10" t="n">
        <v>90053.4374798043</v>
      </c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</row>
    <row r="116">
      <c r="M116" t="s">
        <v>210</v>
      </c>
      <c r="N116" t="n">
        <v>935</v>
      </c>
      <c r="O116" s="10"/>
      <c r="P116" s="10"/>
      <c r="Q116" s="10"/>
      <c r="R116" s="10" t="n">
        <v>83811.1084620706</v>
      </c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</row>
    <row r="117">
      <c r="M117" t="s">
        <v>211</v>
      </c>
      <c r="N117" t="n">
        <v>962</v>
      </c>
      <c r="O117" s="10"/>
      <c r="P117" s="10" t="n">
        <v>11289477.0121891</v>
      </c>
      <c r="Q117" s="10" t="n">
        <v>1165452.72129287</v>
      </c>
      <c r="R117" s="10" t="n">
        <v>6583632.28908106</v>
      </c>
      <c r="S117" s="10"/>
      <c r="T117" s="10"/>
      <c r="U117" s="10"/>
      <c r="V117" s="10"/>
      <c r="W117" s="10"/>
      <c r="X117" s="10" t="n">
        <v>-145156.65942075</v>
      </c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</row>
    <row r="118">
      <c r="M118" t="s">
        <v>212</v>
      </c>
      <c r="N118" t="n">
        <v>1007</v>
      </c>
      <c r="O118" s="10" t="n">
        <v>4918453.53888263</v>
      </c>
      <c r="P118" s="10" t="n">
        <v>279260.778058923</v>
      </c>
      <c r="Q118" s="10" t="n">
        <v>40489319.8447089</v>
      </c>
      <c r="R118" s="10" t="n">
        <v>13179436.9987875</v>
      </c>
      <c r="S118" s="10"/>
      <c r="T118" s="10"/>
      <c r="U118" s="10"/>
      <c r="V118" s="10"/>
      <c r="W118" s="10" t="n">
        <v>-16423.4338781941</v>
      </c>
      <c r="X118" s="10"/>
      <c r="Y118" s="10"/>
      <c r="Z118" s="10"/>
      <c r="AA118" s="10"/>
      <c r="AB118" s="10"/>
      <c r="AC118" s="10"/>
      <c r="AD118" s="10"/>
      <c r="AE118" s="10" t="n">
        <v>0</v>
      </c>
      <c r="AF118" s="10"/>
      <c r="AG118" s="10"/>
      <c r="AH118" s="10"/>
      <c r="AI118" s="10"/>
      <c r="AJ118" s="10"/>
      <c r="AK118" s="10"/>
      <c r="AL118" s="10"/>
      <c r="AM118" s="10"/>
    </row>
    <row r="119">
      <c r="M119" t="s">
        <v>213</v>
      </c>
      <c r="N119" t="n">
        <v>1058</v>
      </c>
      <c r="O119" s="10"/>
      <c r="P119" s="10" t="n">
        <v>865574.32642578</v>
      </c>
      <c r="Q119" s="10" t="n">
        <v>615598.765073488</v>
      </c>
      <c r="R119" s="10" t="n">
        <v>404786.320135101</v>
      </c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</row>
    <row r="120">
      <c r="M120" t="s">
        <v>214</v>
      </c>
      <c r="N120" t="n">
        <v>1083</v>
      </c>
      <c r="O120" s="10" t="n">
        <v>14050907.1621387</v>
      </c>
      <c r="P120" s="10" t="n">
        <v>4383714.32287784</v>
      </c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</row>
    <row r="121">
      <c r="M121" t="s">
        <v>215</v>
      </c>
      <c r="N121" t="n">
        <v>1056</v>
      </c>
      <c r="O121" s="10"/>
      <c r="P121" s="10" t="n">
        <v>151989.9224198</v>
      </c>
      <c r="Q121" s="10" t="n">
        <v>236592.792821885</v>
      </c>
      <c r="R121" s="10" t="n">
        <v>67627.9453372126</v>
      </c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</row>
    <row r="122">
      <c r="M122" t="s">
        <v>216</v>
      </c>
      <c r="N122" t="n">
        <v>1059</v>
      </c>
      <c r="O122" s="10" t="n">
        <v>4061850.01704676</v>
      </c>
      <c r="P122" s="10" t="n">
        <v>13380970.3455625</v>
      </c>
      <c r="Q122" s="10" t="n">
        <v>7361854.7550588</v>
      </c>
      <c r="R122" s="10" t="n">
        <v>2502368.0752504</v>
      </c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</row>
    <row r="123">
      <c r="M123" t="s">
        <v>217</v>
      </c>
      <c r="N123" t="n">
        <v>1033</v>
      </c>
      <c r="O123" s="10" t="n">
        <v>12492415.9651126</v>
      </c>
      <c r="P123" s="10" t="n">
        <v>2820253.06746424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</row>
    <row r="124">
      <c r="M124" t="s">
        <v>218</v>
      </c>
      <c r="N124" t="n">
        <v>1114</v>
      </c>
      <c r="O124" s="10"/>
      <c r="P124" s="10"/>
      <c r="Q124" s="10" t="n">
        <v>353537.332468743</v>
      </c>
      <c r="R124" s="10" t="n">
        <v>556200.992521014</v>
      </c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</row>
    <row r="125">
      <c r="M125" t="s">
        <v>219</v>
      </c>
      <c r="N125" t="n">
        <v>49</v>
      </c>
      <c r="O125" s="10"/>
      <c r="P125" s="10"/>
      <c r="Q125" s="10"/>
      <c r="R125" s="10"/>
      <c r="S125" s="10"/>
      <c r="T125" s="10"/>
      <c r="U125" s="10"/>
      <c r="V125" s="10" t="n">
        <v>8573.14674667806</v>
      </c>
      <c r="W125" s="10" t="n">
        <v>5339750.66667818</v>
      </c>
      <c r="X125" s="10" t="n">
        <v>26860926.3420571</v>
      </c>
      <c r="Y125" s="10" t="n">
        <v>29523327.8201608</v>
      </c>
      <c r="Z125" s="10" t="n">
        <v>9513904.58043586</v>
      </c>
      <c r="AA125" s="10" t="n">
        <v>6049677.19884572</v>
      </c>
      <c r="AB125" s="10" t="n">
        <v>5580801.33474769</v>
      </c>
      <c r="AC125" s="10" t="n">
        <v>6576049.30353613</v>
      </c>
      <c r="AD125" s="10" t="n">
        <v>1827958.09222318</v>
      </c>
      <c r="AE125" s="10" t="n">
        <v>0</v>
      </c>
      <c r="AF125" s="10"/>
      <c r="AG125" s="10" t="n">
        <v>-4190.81519724656</v>
      </c>
      <c r="AH125" s="10" t="n">
        <v>-11592.4367611241</v>
      </c>
      <c r="AI125" s="10"/>
      <c r="AJ125" s="10"/>
      <c r="AK125" s="10" t="n">
        <v>91503.6172</v>
      </c>
      <c r="AL125" s="10"/>
      <c r="AM125" s="10"/>
    </row>
    <row r="126">
      <c r="M126" t="s">
        <v>220</v>
      </c>
      <c r="N126" t="n">
        <v>1109</v>
      </c>
      <c r="O126" s="10" t="n">
        <v>157888025.609709</v>
      </c>
      <c r="P126" s="10" t="n">
        <v>128041091.979651</v>
      </c>
      <c r="Q126" s="10" t="n">
        <v>125458191.894575</v>
      </c>
      <c r="R126" s="10" t="n">
        <v>45186077.9715893</v>
      </c>
      <c r="S126" s="10"/>
      <c r="T126" s="10"/>
      <c r="U126" s="10"/>
      <c r="V126" s="10"/>
      <c r="W126" s="10"/>
      <c r="X126" s="10" t="n">
        <v>0</v>
      </c>
      <c r="Y126" s="10" t="n">
        <v>-3081034.56693856</v>
      </c>
      <c r="Z126" s="10" t="n">
        <v>-3895600.22585892</v>
      </c>
      <c r="AA126" s="10"/>
      <c r="AB126" s="10"/>
      <c r="AC126" s="10"/>
      <c r="AD126" s="10"/>
      <c r="AE126" s="10"/>
      <c r="AF126" s="10"/>
      <c r="AG126" s="10" t="n">
        <v>-137681.072178251</v>
      </c>
      <c r="AH126" s="10"/>
      <c r="AI126" s="10"/>
      <c r="AJ126" s="10"/>
      <c r="AK126" s="10"/>
      <c r="AL126" s="10"/>
      <c r="AM126" s="10"/>
    </row>
    <row r="127">
      <c r="M127" t="s">
        <v>221</v>
      </c>
      <c r="N127" t="n">
        <v>1128</v>
      </c>
      <c r="O127" s="10" t="n">
        <v>4031000.88320652</v>
      </c>
      <c r="P127" s="10" t="n">
        <v>7472903.58052101</v>
      </c>
      <c r="Q127" s="10" t="n">
        <v>126914.580342344</v>
      </c>
      <c r="R127" s="10" t="n">
        <v>40040.3761081703</v>
      </c>
      <c r="S127" s="10"/>
      <c r="T127" s="10"/>
      <c r="U127" s="10"/>
      <c r="V127" s="10"/>
      <c r="W127" s="10"/>
      <c r="X127" s="10"/>
      <c r="Y127" s="10" t="n">
        <v>-13336.073337791</v>
      </c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</row>
    <row r="128">
      <c r="M128" t="s">
        <v>222</v>
      </c>
      <c r="N128" t="n">
        <v>1103</v>
      </c>
      <c r="O128" s="10"/>
      <c r="P128" s="10" t="n">
        <v>100684.055924921</v>
      </c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</row>
    <row r="129">
      <c r="M129" t="s">
        <v>223</v>
      </c>
      <c r="N129" t="n">
        <v>1136</v>
      </c>
      <c r="O129" s="10"/>
      <c r="P129" s="10"/>
      <c r="Q129" s="10"/>
      <c r="R129" s="10" t="n">
        <v>1845866.51963699</v>
      </c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</row>
    <row r="130">
      <c r="M130" t="s">
        <v>224</v>
      </c>
      <c r="N130" t="n">
        <v>1133</v>
      </c>
      <c r="O130" s="10" t="n">
        <v>1893942.60703892</v>
      </c>
      <c r="P130" s="10" t="n">
        <v>36817614.4656219</v>
      </c>
      <c r="Q130" s="10" t="n">
        <v>1664305.72634707</v>
      </c>
      <c r="R130" s="10" t="n">
        <v>30398407.8985832</v>
      </c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</row>
    <row r="131">
      <c r="M131" t="s">
        <v>225</v>
      </c>
      <c r="N131" t="n">
        <v>1135</v>
      </c>
      <c r="O131" s="10"/>
      <c r="P131" s="10"/>
      <c r="Q131" s="10"/>
      <c r="R131" s="10" t="n">
        <v>152.383833567401</v>
      </c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</row>
    <row r="132">
      <c r="M132" t="s">
        <v>226</v>
      </c>
      <c r="N132" t="n">
        <v>1137</v>
      </c>
      <c r="O132" s="10"/>
      <c r="P132" s="10"/>
      <c r="Q132" s="10" t="n">
        <v>21371258.9912859</v>
      </c>
      <c r="R132" s="10" t="n">
        <v>18679432.799089</v>
      </c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</row>
    <row r="133">
      <c r="M133" t="s">
        <v>227</v>
      </c>
      <c r="N133" t="n">
        <v>1138</v>
      </c>
      <c r="O133" s="10" t="n">
        <v>12043942.6223884</v>
      </c>
      <c r="P133" s="10" t="n">
        <v>378974.685542868</v>
      </c>
      <c r="Q133" s="10" t="n">
        <v>6034452.54406375</v>
      </c>
      <c r="R133" s="10" t="n">
        <v>5080690.34850414</v>
      </c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</row>
    <row r="134">
      <c r="M134" t="s">
        <v>228</v>
      </c>
      <c r="N134" t="n">
        <v>1006</v>
      </c>
      <c r="O134" s="10" t="n">
        <v>7210253.51337672</v>
      </c>
      <c r="P134" s="10" t="n">
        <v>10338234.6347322</v>
      </c>
      <c r="Q134" s="10" t="n">
        <v>7935399.20517376</v>
      </c>
      <c r="R134" s="10" t="n">
        <v>160297.126044556</v>
      </c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</row>
    <row r="135">
      <c r="M135" t="s">
        <v>229</v>
      </c>
      <c r="N135" t="n">
        <v>505</v>
      </c>
      <c r="O135" s="10" t="n">
        <v>285604.522247448</v>
      </c>
      <c r="P135" s="10" t="n">
        <v>12082365.9244443</v>
      </c>
      <c r="Q135" s="10" t="n">
        <v>9040781.65479341</v>
      </c>
      <c r="R135" s="10" t="n">
        <v>6053874.46319899</v>
      </c>
      <c r="S135" s="10" t="n">
        <v>-6677.29470647013</v>
      </c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</row>
    <row r="136">
      <c r="M136" t="s">
        <v>230</v>
      </c>
      <c r="N136" t="n">
        <v>507</v>
      </c>
      <c r="O136" s="10"/>
      <c r="P136" s="10" t="n">
        <v>53755729.5073952</v>
      </c>
      <c r="Q136" s="10" t="n">
        <v>37816542.9490477</v>
      </c>
      <c r="R136" s="10" t="n">
        <v>40781970.3202861</v>
      </c>
      <c r="S136" s="10"/>
      <c r="T136" s="10"/>
      <c r="U136" s="10"/>
      <c r="V136" s="10"/>
      <c r="W136" s="10"/>
      <c r="X136" s="10"/>
      <c r="Y136" s="10" t="n">
        <v>-31093.6037885866</v>
      </c>
      <c r="Z136" s="10"/>
      <c r="AA136" s="10"/>
      <c r="AB136" s="10"/>
      <c r="AC136" s="10"/>
      <c r="AD136" s="10"/>
      <c r="AE136" s="10" t="n">
        <v>0</v>
      </c>
      <c r="AF136" s="10"/>
      <c r="AG136" s="10"/>
      <c r="AH136" s="10"/>
      <c r="AI136" s="10"/>
      <c r="AJ136" s="10"/>
      <c r="AK136" s="10"/>
      <c r="AL136" s="10"/>
      <c r="AM136" s="10"/>
    </row>
    <row r="137">
      <c r="M137" t="s">
        <v>231</v>
      </c>
      <c r="N137" t="n">
        <v>1702</v>
      </c>
      <c r="O137" s="10"/>
      <c r="P137" s="10"/>
      <c r="Q137" s="10"/>
      <c r="R137" s="10" t="n">
        <v>1866093.94970473</v>
      </c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</row>
    <row r="138">
      <c r="M138" t="s">
        <v>232</v>
      </c>
      <c r="N138" t="n">
        <v>501</v>
      </c>
      <c r="O138" s="10"/>
      <c r="P138" s="10" t="n">
        <v>125961.549613088</v>
      </c>
      <c r="Q138" s="10" t="n">
        <v>19963.375878577</v>
      </c>
      <c r="R138" s="10" t="n">
        <v>152376.214375723</v>
      </c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</row>
    <row r="139">
      <c r="M139" t="s">
        <v>233</v>
      </c>
      <c r="N139" t="n">
        <v>518</v>
      </c>
      <c r="O139" s="10"/>
      <c r="P139" s="10" t="n">
        <v>66900.805498949</v>
      </c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>
      <c r="M140" t="s">
        <v>234</v>
      </c>
      <c r="N140" t="n">
        <v>519</v>
      </c>
      <c r="O140" s="10"/>
      <c r="P140" s="10"/>
      <c r="Q140" s="10" t="n">
        <v>647214.043652724</v>
      </c>
      <c r="R140" s="10" t="n">
        <v>230293.116155406</v>
      </c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</row>
    <row r="141">
      <c r="M141" t="s">
        <v>235</v>
      </c>
      <c r="N141" t="n">
        <v>1691</v>
      </c>
      <c r="O141" s="10"/>
      <c r="P141" s="10"/>
      <c r="Q141" s="10"/>
      <c r="R141" s="10" t="n">
        <v>4836784.78449616</v>
      </c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</row>
    <row r="142">
      <c r="M142" t="s">
        <v>236</v>
      </c>
      <c r="N142" t="n">
        <v>424</v>
      </c>
      <c r="O142" s="10"/>
      <c r="P142" s="10" t="n">
        <v>46863.6908692001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</row>
    <row r="143">
      <c r="M143" t="s">
        <v>237</v>
      </c>
      <c r="N143" t="n">
        <v>448</v>
      </c>
      <c r="O143" s="10"/>
      <c r="P143" s="10" t="n">
        <v>120670.691286197</v>
      </c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</row>
    <row r="144">
      <c r="M144" t="s">
        <v>238</v>
      </c>
      <c r="N144" t="n">
        <v>410</v>
      </c>
      <c r="O144" s="10" t="n">
        <v>75470.750624718</v>
      </c>
      <c r="P144" s="10"/>
      <c r="Q144" s="10" t="n">
        <v>248303.708224479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>
      <c r="M145" t="s">
        <v>239</v>
      </c>
      <c r="N145" t="n">
        <v>453</v>
      </c>
      <c r="O145" s="10"/>
      <c r="P145" s="10"/>
      <c r="Q145" s="10"/>
      <c r="R145" s="10" t="n">
        <v>133316.044473112</v>
      </c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</row>
    <row r="146">
      <c r="M146" t="s">
        <v>240</v>
      </c>
      <c r="N146" t="n">
        <v>950</v>
      </c>
      <c r="O146" s="10" t="n">
        <v>532609.25360591</v>
      </c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</row>
    <row r="147">
      <c r="M147" t="s">
        <v>241</v>
      </c>
      <c r="N147" t="n">
        <v>993</v>
      </c>
      <c r="O147" s="10" t="n">
        <v>134428.740140795</v>
      </c>
      <c r="P147" s="10" t="n">
        <v>675791.206690633</v>
      </c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</row>
    <row r="148">
      <c r="M148" t="s">
        <v>242</v>
      </c>
      <c r="N148" t="n">
        <v>1002</v>
      </c>
      <c r="O148" s="10"/>
      <c r="P148" s="10"/>
      <c r="Q148" s="10" t="n">
        <v>84326.0451347128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</row>
    <row r="149">
      <c r="M149" t="s">
        <v>243</v>
      </c>
      <c r="N149" t="n">
        <v>13</v>
      </c>
      <c r="O149" s="10"/>
      <c r="P149" s="10"/>
      <c r="Q149" s="10"/>
      <c r="R149" s="10"/>
      <c r="S149" s="10"/>
      <c r="T149" s="10"/>
      <c r="U149" s="10" t="n">
        <v>1255.17550174251</v>
      </c>
      <c r="V149" s="10"/>
      <c r="W149" s="10" t="n">
        <v>108680.775862794</v>
      </c>
      <c r="X149" s="10"/>
      <c r="Y149" s="10"/>
      <c r="Z149" s="10"/>
      <c r="AA149" s="10" t="n">
        <v>157332.534419981</v>
      </c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</row>
    <row r="150">
      <c r="M150" t="s">
        <v>244</v>
      </c>
      <c r="N150" t="n">
        <v>434</v>
      </c>
      <c r="O150" s="10" t="n">
        <v>11926629.3106648</v>
      </c>
      <c r="P150" s="10" t="n">
        <v>120783917.86286</v>
      </c>
      <c r="Q150" s="10" t="n">
        <v>30976219.1592107</v>
      </c>
      <c r="R150" s="10" t="n">
        <v>26118072.4922567</v>
      </c>
      <c r="S150" s="10"/>
      <c r="T150" s="10"/>
      <c r="U150" s="10"/>
      <c r="V150" s="10"/>
      <c r="W150" s="10" t="n">
        <v>70461.8806737575</v>
      </c>
      <c r="X150" s="10" t="n">
        <v>-695337.347593244</v>
      </c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</row>
    <row r="151">
      <c r="M151" t="s">
        <v>245</v>
      </c>
      <c r="N151" t="n">
        <v>455</v>
      </c>
      <c r="O151" s="10"/>
      <c r="P151" s="10" t="n">
        <v>-249624.715033487</v>
      </c>
      <c r="Q151" s="10" t="n">
        <v>65224.5652975679</v>
      </c>
      <c r="R151" s="10" t="n">
        <v>-124947.12433359</v>
      </c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</row>
    <row r="152">
      <c r="M152" t="s">
        <v>246</v>
      </c>
      <c r="N152" t="n">
        <v>433</v>
      </c>
      <c r="O152" s="10" t="n">
        <v>12912130.9286811</v>
      </c>
      <c r="P152" s="10" t="n">
        <v>-360054.424728098</v>
      </c>
      <c r="Q152" s="10" t="n">
        <v>-3182604.7103097</v>
      </c>
      <c r="R152" s="10" t="n">
        <v>-344491.084869152</v>
      </c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</row>
    <row r="153">
      <c r="M153" t="s">
        <v>247</v>
      </c>
      <c r="N153" t="n">
        <v>995</v>
      </c>
      <c r="O153" s="10"/>
      <c r="P153" s="10" t="n">
        <v>181225.306251727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</row>
    <row r="154">
      <c r="M154" t="s">
        <v>248</v>
      </c>
      <c r="N154" t="n">
        <v>990</v>
      </c>
      <c r="O154" s="10"/>
      <c r="P154" s="10"/>
      <c r="Q154" s="10" t="n">
        <v>211190.930570163</v>
      </c>
      <c r="R154" s="10" t="n">
        <v>1209641.15691806</v>
      </c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 t="n">
        <v>-12996.2097512614</v>
      </c>
      <c r="AG154" s="10"/>
      <c r="AH154" s="10"/>
      <c r="AI154" s="10"/>
      <c r="AJ154" s="10"/>
      <c r="AK154" s="10"/>
      <c r="AL154" s="10"/>
      <c r="AM154" s="10"/>
    </row>
    <row r="155">
      <c r="M155" t="s">
        <v>249</v>
      </c>
      <c r="N155" t="n">
        <v>1003</v>
      </c>
      <c r="O155" s="10"/>
      <c r="P155" s="10"/>
      <c r="Q155" s="10" t="n">
        <v>354712.92760994</v>
      </c>
      <c r="R155" s="10" t="n">
        <v>538580.849845615</v>
      </c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</row>
    <row r="156">
      <c r="M156" t="s">
        <v>250</v>
      </c>
      <c r="N156" t="n">
        <v>998</v>
      </c>
      <c r="O156" s="10"/>
      <c r="P156" s="10" t="n">
        <v>1665500.36420161</v>
      </c>
      <c r="Q156" s="10" t="n">
        <v>3031001.07903638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</row>
    <row r="157">
      <c r="M157" t="s">
        <v>251</v>
      </c>
      <c r="N157" t="n">
        <v>926</v>
      </c>
      <c r="O157" s="10"/>
      <c r="P157" s="10" t="n">
        <v>3531606.91879454</v>
      </c>
      <c r="Q157" s="10"/>
      <c r="R157" s="10" t="n">
        <v>1579360.90927263</v>
      </c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</row>
    <row r="158">
      <c r="M158" t="s">
        <v>252</v>
      </c>
      <c r="N158" t="n">
        <v>1084</v>
      </c>
      <c r="O158" s="10" t="n">
        <v>31536164.8776253</v>
      </c>
      <c r="P158" s="10" t="n">
        <v>18224617.0582749</v>
      </c>
      <c r="Q158" s="10" t="n">
        <v>13786635.9453166</v>
      </c>
      <c r="R158" s="10" t="n">
        <v>4571515.00702203</v>
      </c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</row>
    <row r="159">
      <c r="M159" t="s">
        <v>253</v>
      </c>
      <c r="N159" t="n">
        <v>957</v>
      </c>
      <c r="O159" s="10" t="n">
        <v>2641857.58415688</v>
      </c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</row>
    <row r="160">
      <c r="M160" t="s">
        <v>254</v>
      </c>
      <c r="N160" t="n">
        <v>1019</v>
      </c>
      <c r="O160" s="10" t="n">
        <v>53306338.6850998</v>
      </c>
      <c r="P160" s="10" t="n">
        <v>35998411.6571977</v>
      </c>
      <c r="Q160" s="10" t="n">
        <v>26516118.3481537</v>
      </c>
      <c r="R160" s="10" t="n">
        <v>7271637.67844619</v>
      </c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</row>
    <row r="161">
      <c r="M161" t="s">
        <v>255</v>
      </c>
      <c r="N161" t="n">
        <v>928</v>
      </c>
      <c r="O161" s="10"/>
      <c r="P161" s="10"/>
      <c r="Q161" s="10" t="n">
        <v>982709.018987487</v>
      </c>
      <c r="R161" s="10" t="n">
        <v>4908420.4246562</v>
      </c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</row>
    <row r="162">
      <c r="M162" t="s">
        <v>256</v>
      </c>
      <c r="N162" t="n">
        <v>436</v>
      </c>
      <c r="O162" s="10" t="n">
        <v>293321.248965145</v>
      </c>
      <c r="P162" s="10" t="n">
        <v>1104233.99786051</v>
      </c>
      <c r="Q162" s="10" t="n">
        <v>240709.705264834</v>
      </c>
      <c r="R162" s="10" t="n">
        <v>228575.750351102</v>
      </c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</row>
    <row r="163">
      <c r="M163" t="s">
        <v>257</v>
      </c>
      <c r="N163" t="n">
        <v>951</v>
      </c>
      <c r="O163" s="10"/>
      <c r="P163" s="10"/>
      <c r="Q163" s="10"/>
      <c r="R163" s="10" t="n">
        <v>150533.893827893</v>
      </c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</row>
    <row r="164">
      <c r="M164" t="s">
        <v>258</v>
      </c>
      <c r="N164" t="n">
        <v>927</v>
      </c>
      <c r="O164" s="10" t="n">
        <v>191405.844615855</v>
      </c>
      <c r="P164" s="10" t="n">
        <v>263926.122782921</v>
      </c>
      <c r="Q164" s="10" t="n">
        <v>636787.431000155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</row>
    <row r="165">
      <c r="M165" t="s">
        <v>259</v>
      </c>
      <c r="N165" t="n">
        <v>963</v>
      </c>
      <c r="O165" s="10" t="n">
        <v>23455102.3438152</v>
      </c>
      <c r="P165" s="10" t="n">
        <v>961320.878903125</v>
      </c>
      <c r="Q165" s="10"/>
      <c r="R165" s="10" t="n">
        <v>124625.594444763</v>
      </c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</row>
    <row r="166">
      <c r="M166" t="s">
        <v>260</v>
      </c>
      <c r="N166" t="n">
        <v>1008</v>
      </c>
      <c r="O166" s="10" t="n">
        <v>9598746.85269924</v>
      </c>
      <c r="P166" s="10" t="n">
        <v>4211687.2858283</v>
      </c>
      <c r="Q166" s="10" t="n">
        <v>1695062.21481656</v>
      </c>
      <c r="R166" s="10" t="n">
        <v>450254.608394942</v>
      </c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 t="n">
        <v>0</v>
      </c>
      <c r="AI166" s="10"/>
      <c r="AJ166" s="10"/>
      <c r="AK166" s="10"/>
      <c r="AL166" s="10"/>
      <c r="AM166" s="10"/>
    </row>
    <row r="167">
      <c r="M167" t="s">
        <v>261</v>
      </c>
      <c r="N167" t="n">
        <v>945</v>
      </c>
      <c r="O167" s="10"/>
      <c r="P167" s="10" t="n">
        <v>75240.9271370755</v>
      </c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</row>
    <row r="168">
      <c r="M168" t="s">
        <v>262</v>
      </c>
      <c r="N168" t="n">
        <v>1018</v>
      </c>
      <c r="O168" s="10" t="n">
        <v>9195103.55593586</v>
      </c>
      <c r="P168" s="10" t="n">
        <v>1969773.61978922</v>
      </c>
      <c r="Q168" s="10" t="n">
        <v>2127437.41113997</v>
      </c>
      <c r="R168" s="10" t="n">
        <v>1304053.60868141</v>
      </c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</row>
    <row r="169">
      <c r="M169" t="s">
        <v>263</v>
      </c>
      <c r="N169" t="n">
        <v>523</v>
      </c>
      <c r="O169" s="10"/>
      <c r="P169" s="10" t="n">
        <v>100023.093003345</v>
      </c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</row>
    <row r="170">
      <c r="M170" t="s">
        <v>264</v>
      </c>
      <c r="N170" t="n">
        <v>445</v>
      </c>
      <c r="O170" s="10"/>
      <c r="P170" s="10"/>
      <c r="Q170" s="10"/>
      <c r="R170" s="10" t="n">
        <v>1882732.74049195</v>
      </c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</row>
    <row r="171">
      <c r="M171" t="s">
        <v>265</v>
      </c>
      <c r="N171" t="n">
        <v>558</v>
      </c>
      <c r="O171" s="10"/>
      <c r="P171" s="10"/>
      <c r="Q171" s="10"/>
      <c r="R171" s="10" t="n">
        <v>4315.5101666288</v>
      </c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</row>
    <row r="172">
      <c r="M172" t="s">
        <v>266</v>
      </c>
      <c r="N172" t="n">
        <v>940</v>
      </c>
      <c r="O172" s="10"/>
      <c r="P172" s="10"/>
      <c r="Q172" s="10" t="n">
        <v>4415760.53038144</v>
      </c>
      <c r="R172" s="10" t="n">
        <v>-2290327.4946797</v>
      </c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</row>
    <row r="173">
      <c r="M173" t="s">
        <v>267</v>
      </c>
      <c r="N173" t="n">
        <v>973</v>
      </c>
      <c r="O173" s="10"/>
      <c r="P173" s="10" t="n">
        <v>189989.76924046</v>
      </c>
      <c r="Q173" s="10" t="n">
        <v>91454.1583422327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</row>
    <row r="174">
      <c r="M174" t="s">
        <v>268</v>
      </c>
      <c r="N174" t="n">
        <v>1017</v>
      </c>
      <c r="O174" s="10" t="n">
        <v>2517307.41754037</v>
      </c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</row>
    <row r="175">
      <c r="M175" t="s">
        <v>269</v>
      </c>
      <c r="N175" t="n">
        <v>1088</v>
      </c>
      <c r="O175" s="10"/>
      <c r="P175" s="10" t="n">
        <v>48333.8995634944</v>
      </c>
      <c r="Q175" s="10"/>
      <c r="R175" s="10" t="n">
        <v>147605.076546727</v>
      </c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</row>
    <row r="176">
      <c r="M176" t="s">
        <v>270</v>
      </c>
      <c r="N176" t="n">
        <v>1087</v>
      </c>
      <c r="O176" s="10" t="n">
        <v>11939097.8994588</v>
      </c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</row>
    <row r="177">
      <c r="M177" t="s">
        <v>271</v>
      </c>
      <c r="N177" t="n">
        <v>458</v>
      </c>
      <c r="O177" s="10"/>
      <c r="P177" s="10" t="n">
        <v>475580.963061404</v>
      </c>
      <c r="Q177" s="10" t="n">
        <v>216256.705141608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</row>
    <row r="178">
      <c r="M178" t="s">
        <v>272</v>
      </c>
      <c r="N178" t="n">
        <v>1014</v>
      </c>
      <c r="O178" s="10" t="n">
        <v>84316.8726472042</v>
      </c>
      <c r="P178" s="10"/>
      <c r="Q178" s="10" t="n">
        <v>945419.203227364</v>
      </c>
      <c r="R178" s="10" t="n">
        <v>56912.3141607529</v>
      </c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</row>
    <row r="179">
      <c r="M179" t="s">
        <v>273</v>
      </c>
      <c r="N179" t="n">
        <v>942</v>
      </c>
      <c r="O179" s="10"/>
      <c r="P179" s="10"/>
      <c r="Q179" s="10"/>
      <c r="R179" s="10" t="n">
        <v>569915.53754208</v>
      </c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</row>
    <row r="180">
      <c r="M180" t="s">
        <v>274</v>
      </c>
      <c r="N180" t="n">
        <v>1764</v>
      </c>
      <c r="O180" s="10"/>
      <c r="P180" s="10"/>
      <c r="Q180" s="10" t="n">
        <v>3219677.11085216</v>
      </c>
      <c r="R180" s="10" t="n">
        <v>81852.9762007294</v>
      </c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</row>
    <row r="181">
      <c r="M181" t="s">
        <v>275</v>
      </c>
      <c r="N181" t="n">
        <v>1363</v>
      </c>
      <c r="O181" s="10"/>
      <c r="P181" s="10"/>
      <c r="Q181" s="10"/>
      <c r="R181" s="10"/>
      <c r="S181" s="10" t="n">
        <v>8512264.0811301</v>
      </c>
      <c r="T181" s="10" t="n">
        <v>6425899.1030621</v>
      </c>
      <c r="U181" s="10" t="n">
        <v>38022987.913719</v>
      </c>
      <c r="V181" s="10" t="n">
        <v>61179941.5450467</v>
      </c>
      <c r="W181" s="10" t="n">
        <v>103830771.873145</v>
      </c>
      <c r="X181" s="10" t="n">
        <v>82604052.3476983</v>
      </c>
      <c r="Y181" s="10" t="n">
        <v>53130456.1339885</v>
      </c>
      <c r="Z181" s="10" t="n">
        <v>60586479.2938296</v>
      </c>
      <c r="AA181" s="10" t="n">
        <v>130716289.654368</v>
      </c>
      <c r="AB181" s="10" t="n">
        <v>128152191.097967</v>
      </c>
      <c r="AC181" s="10" t="n">
        <v>115679184.213207</v>
      </c>
      <c r="AD181" s="10" t="n">
        <v>97515490.4323282</v>
      </c>
      <c r="AE181" s="10" t="n">
        <v>65908168.1951201</v>
      </c>
      <c r="AF181" s="10" t="n">
        <v>30860472.5719656</v>
      </c>
      <c r="AG181" s="10" t="n">
        <v>1709332.07096844</v>
      </c>
      <c r="AH181" s="10" t="n">
        <v>-74889.4750054569</v>
      </c>
      <c r="AI181" s="10" t="n">
        <v>-3448477.24524365</v>
      </c>
      <c r="AJ181" s="10" t="n">
        <v>-366412.176005217</v>
      </c>
      <c r="AK181" s="10" t="n">
        <v>-118228.4104</v>
      </c>
      <c r="AL181" s="10" t="n">
        <v>0</v>
      </c>
      <c r="AM181" s="10"/>
    </row>
    <row r="182">
      <c r="M182" t="s">
        <v>276</v>
      </c>
      <c r="N182" t="n">
        <v>2057</v>
      </c>
      <c r="O182" s="10" t="n">
        <v>124106889.461622</v>
      </c>
      <c r="P182" s="10" t="n">
        <v>15647095.1307433</v>
      </c>
      <c r="Q182" s="10" t="n">
        <v>16855630.3336389</v>
      </c>
      <c r="R182" s="10" t="n">
        <v>226762.382731649</v>
      </c>
      <c r="S182" s="10" t="n">
        <v>18626940.5562355</v>
      </c>
      <c r="T182" s="10" t="n">
        <v>2606414.6287795</v>
      </c>
      <c r="U182" s="10" t="n">
        <v>3469820.99855136</v>
      </c>
      <c r="V182" s="10" t="n">
        <v>149689.863830887</v>
      </c>
      <c r="W182" s="10"/>
      <c r="X182" s="10"/>
      <c r="Y182" s="10"/>
      <c r="Z182" s="10"/>
      <c r="AA182" s="10" t="n">
        <v>-65000.028787598</v>
      </c>
      <c r="AB182" s="10"/>
      <c r="AC182" s="10"/>
      <c r="AD182" s="10" t="n">
        <v>0</v>
      </c>
      <c r="AE182" s="10"/>
      <c r="AF182" s="10"/>
      <c r="AG182" s="10"/>
      <c r="AH182" s="10"/>
      <c r="AI182" s="10"/>
      <c r="AJ182" s="10"/>
      <c r="AK182" s="10"/>
      <c r="AL182" s="10"/>
      <c r="AM182" s="10"/>
    </row>
    <row r="183">
      <c r="M183" t="s">
        <v>277</v>
      </c>
      <c r="N183" t="n">
        <v>1166</v>
      </c>
      <c r="O183" s="10" t="n">
        <v>129746766.467727</v>
      </c>
      <c r="P183" s="10" t="n">
        <v>108304209.109057</v>
      </c>
      <c r="Q183" s="10" t="n">
        <v>2082420.03735793</v>
      </c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</row>
    <row r="184">
      <c r="M184" t="s">
        <v>278</v>
      </c>
      <c r="N184" t="n">
        <v>1942</v>
      </c>
      <c r="O184" s="10"/>
      <c r="P184" s="10"/>
      <c r="Q184" s="10"/>
      <c r="R184" s="10" t="n">
        <v>2608105.69352449</v>
      </c>
      <c r="S184" s="10" t="n">
        <v>2870800.89233885</v>
      </c>
      <c r="T184" s="10" t="n">
        <v>4023708.19997591</v>
      </c>
      <c r="U184" s="10" t="n">
        <v>3987274.87626944</v>
      </c>
      <c r="V184" s="10"/>
      <c r="W184" s="10" t="n">
        <v>0</v>
      </c>
      <c r="X184" s="10" t="n">
        <v>-87840.232842472</v>
      </c>
      <c r="Y184" s="10" t="n">
        <v>-29143.1129260451</v>
      </c>
      <c r="Z184" s="10" t="n">
        <v>-4635.42943779766</v>
      </c>
      <c r="AA184" s="10"/>
      <c r="AB184" s="10"/>
      <c r="AC184" s="10"/>
      <c r="AD184" s="10"/>
      <c r="AE184" s="10" t="n">
        <v>0</v>
      </c>
      <c r="AF184" s="10"/>
      <c r="AG184" s="10"/>
      <c r="AH184" s="10" t="n">
        <v>0</v>
      </c>
      <c r="AI184" s="10"/>
      <c r="AJ184" s="10"/>
      <c r="AK184" s="10"/>
      <c r="AL184" s="10"/>
      <c r="AM184" s="10"/>
    </row>
    <row r="185">
      <c r="M185" t="s">
        <v>279</v>
      </c>
      <c r="N185" t="n">
        <v>334</v>
      </c>
      <c r="O185" s="10"/>
      <c r="P185" s="10"/>
      <c r="Q185" s="10"/>
      <c r="R185" s="10" t="n">
        <v>14087.8854133062</v>
      </c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</row>
    <row r="186">
      <c r="M186" t="s">
        <v>280</v>
      </c>
      <c r="N186" t="n">
        <v>460</v>
      </c>
      <c r="O186" s="10" t="n">
        <v>46048.3064184214</v>
      </c>
      <c r="P186" s="10" t="n">
        <v>1402017.51249498</v>
      </c>
      <c r="Q186" s="10" t="n">
        <v>2151992.90700867</v>
      </c>
      <c r="R186" s="10" t="n">
        <v>96282.2014012266</v>
      </c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</row>
    <row r="187">
      <c r="M187" t="s">
        <v>281</v>
      </c>
      <c r="N187" t="n">
        <v>468</v>
      </c>
      <c r="O187" s="10"/>
      <c r="P187" s="10"/>
      <c r="Q187" s="10"/>
      <c r="R187" s="10" t="n">
        <v>3416152.97162068</v>
      </c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</row>
    <row r="188">
      <c r="M188" t="s">
        <v>282</v>
      </c>
      <c r="N188" t="n">
        <v>655</v>
      </c>
      <c r="O188" s="10"/>
      <c r="P188" s="10"/>
      <c r="Q188" s="10"/>
      <c r="R188" s="10"/>
      <c r="S188" s="10"/>
      <c r="T188" s="10"/>
      <c r="U188" s="10"/>
      <c r="V188" s="10" t="n">
        <v>5429092.14556382</v>
      </c>
      <c r="W188" s="10"/>
      <c r="X188" s="10"/>
      <c r="Y188" s="10" t="n">
        <v>-259677.948324055</v>
      </c>
      <c r="Z188" s="10" t="n">
        <v>4337413.9128831</v>
      </c>
      <c r="AA188" s="10" t="n">
        <v>4262578.5961242</v>
      </c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</row>
    <row r="189">
      <c r="M189" t="s">
        <v>283</v>
      </c>
      <c r="N189" t="n">
        <v>1908</v>
      </c>
      <c r="O189" s="10"/>
      <c r="P189" s="10"/>
      <c r="Q189" s="10"/>
      <c r="R189" s="10" t="n">
        <v>6065565.35091028</v>
      </c>
      <c r="S189" s="10"/>
      <c r="T189" s="10"/>
      <c r="U189" s="10"/>
      <c r="V189" s="10"/>
      <c r="W189" s="10"/>
      <c r="X189" s="10"/>
      <c r="Y189" s="10" t="n">
        <v>-482212.736149673</v>
      </c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</row>
    <row r="190">
      <c r="M190" t="s">
        <v>284</v>
      </c>
      <c r="N190" t="n">
        <v>486</v>
      </c>
      <c r="O190" s="10" t="n">
        <v>46920.8006452967</v>
      </c>
      <c r="P190" s="10"/>
      <c r="Q190" s="10" t="n">
        <v>-70802.8185963504</v>
      </c>
      <c r="R190" s="10" t="n">
        <v>7300866.42156276</v>
      </c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</row>
    <row r="191">
      <c r="M191" t="s">
        <v>285</v>
      </c>
      <c r="N191" t="n">
        <v>1867</v>
      </c>
      <c r="O191" s="10"/>
      <c r="P191" s="10"/>
      <c r="Q191" s="10"/>
      <c r="R191" s="10"/>
      <c r="S191" s="10"/>
      <c r="T191" s="10"/>
      <c r="U191" s="10"/>
      <c r="V191" s="10"/>
      <c r="W191" s="10" t="n">
        <v>5516817.73954354</v>
      </c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</row>
    <row r="192">
      <c r="M192" t="s">
        <v>286</v>
      </c>
      <c r="N192" t="n">
        <v>1853</v>
      </c>
      <c r="O192" s="10"/>
      <c r="P192" s="10"/>
      <c r="Q192" s="10"/>
      <c r="R192" s="10"/>
      <c r="S192" s="10"/>
      <c r="T192" s="10" t="n">
        <v>4939867.356688</v>
      </c>
      <c r="U192" s="10" t="n">
        <v>0</v>
      </c>
      <c r="V192" s="10" t="n">
        <v>12319.8971022078</v>
      </c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</row>
    <row r="193">
      <c r="M193" t="s">
        <v>287</v>
      </c>
      <c r="N193" t="n">
        <v>630</v>
      </c>
      <c r="O193" s="10"/>
      <c r="P193" s="10"/>
      <c r="Q193" s="10"/>
      <c r="R193" s="10"/>
      <c r="S193" s="10" t="n">
        <v>7076383.92287717</v>
      </c>
      <c r="T193" s="10" t="n">
        <v>2879157.09413518</v>
      </c>
      <c r="U193" s="10" t="n">
        <v>253186358.608639</v>
      </c>
      <c r="V193" s="10" t="n">
        <v>530770834.158442</v>
      </c>
      <c r="W193" s="10" t="n">
        <v>675258326.778128</v>
      </c>
      <c r="X193" s="10" t="n">
        <v>642279821.06243</v>
      </c>
      <c r="Y193" s="10" t="n">
        <v>240857207.929885</v>
      </c>
      <c r="Z193" s="10" t="n">
        <v>240389882.923456</v>
      </c>
      <c r="AA193" s="10" t="n">
        <v>107854864.665195</v>
      </c>
      <c r="AB193" s="10" t="n">
        <v>236629553.423295</v>
      </c>
      <c r="AC193" s="10" t="n">
        <v>12789747.8906877</v>
      </c>
      <c r="AD193" s="10" t="n">
        <v>188224.127486576</v>
      </c>
      <c r="AE193" s="10" t="n">
        <v>1827280.74861338</v>
      </c>
      <c r="AF193" s="10" t="n">
        <v>-266938.46832997</v>
      </c>
      <c r="AG193" s="10" t="n">
        <v>-366758.020385836</v>
      </c>
      <c r="AH193" s="10" t="n">
        <v>-581153.04841066</v>
      </c>
      <c r="AI193" s="10" t="n">
        <v>-714398.676833573</v>
      </c>
      <c r="AJ193" s="10" t="n">
        <v>-948.158696171271</v>
      </c>
      <c r="AK193" s="10"/>
      <c r="AL193" s="10"/>
      <c r="AM193" s="10"/>
    </row>
    <row r="194">
      <c r="M194" t="s">
        <v>288</v>
      </c>
      <c r="N194" t="n">
        <v>2058</v>
      </c>
      <c r="O194" s="10"/>
      <c r="P194" s="10"/>
      <c r="Q194" s="10"/>
      <c r="R194" s="10"/>
      <c r="S194" s="10"/>
      <c r="T194" s="10"/>
      <c r="U194" s="10" t="n">
        <v>2298.53358380918</v>
      </c>
      <c r="V194" s="10" t="n">
        <v>26505113.1116759</v>
      </c>
      <c r="W194" s="10" t="n">
        <v>31933986.7218112</v>
      </c>
      <c r="X194" s="10" t="n">
        <v>19481091.5809292</v>
      </c>
      <c r="Y194" s="10" t="n">
        <v>1530035.21878526</v>
      </c>
      <c r="Z194" s="10" t="n">
        <v>2291193.94798476</v>
      </c>
      <c r="AA194" s="10" t="n">
        <v>474805.134280947</v>
      </c>
      <c r="AB194" s="10" t="n">
        <v>393538.274104729</v>
      </c>
      <c r="AC194" s="10" t="n">
        <v>-26629.6819072499</v>
      </c>
      <c r="AD194" s="10" t="n">
        <v>-557185.824284789</v>
      </c>
      <c r="AE194" s="10" t="n">
        <v>-20669.126688083</v>
      </c>
      <c r="AF194" s="10"/>
      <c r="AG194" s="10" t="n">
        <v>-22638.3954456166</v>
      </c>
      <c r="AH194" s="10"/>
      <c r="AI194" s="10"/>
      <c r="AJ194" s="10"/>
      <c r="AK194" s="10"/>
      <c r="AL194" s="10"/>
      <c r="AM194" s="10"/>
    </row>
    <row r="195">
      <c r="M195" t="s">
        <v>289</v>
      </c>
      <c r="N195" t="n">
        <v>2059</v>
      </c>
      <c r="O195" s="10"/>
      <c r="P195" s="10"/>
      <c r="Q195" s="10"/>
      <c r="R195" s="10" t="n">
        <v>5201157.38813085</v>
      </c>
      <c r="S195" s="10"/>
      <c r="T195" s="10"/>
      <c r="U195" s="10" t="n">
        <v>1854504.15237292</v>
      </c>
      <c r="V195" s="10"/>
      <c r="W195" s="10" t="n">
        <v>0</v>
      </c>
      <c r="X195" s="10"/>
      <c r="Y195" s="10" t="n">
        <v>-69573.7735361564</v>
      </c>
      <c r="Z195" s="10"/>
      <c r="AA195" s="10"/>
      <c r="AB195" s="10" t="n">
        <v>-25868.0105521846</v>
      </c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</row>
    <row r="196">
      <c r="M196" t="s">
        <v>290</v>
      </c>
      <c r="N196" t="n">
        <v>425</v>
      </c>
      <c r="O196" s="10" t="n">
        <v>105856.169940677</v>
      </c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</row>
    <row r="197">
      <c r="M197" t="s">
        <v>291</v>
      </c>
      <c r="N197" t="n">
        <v>538</v>
      </c>
      <c r="O197" s="10" t="n">
        <v>63175.0449459746</v>
      </c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</row>
    <row r="198">
      <c r="M198" t="s">
        <v>292</v>
      </c>
      <c r="N198" t="n">
        <v>160</v>
      </c>
      <c r="O198" s="10" t="n">
        <v>1763643.67290534</v>
      </c>
      <c r="P198" s="10" t="n">
        <v>12348205.5269978</v>
      </c>
      <c r="Q198" s="10" t="n">
        <v>20419458.6514203</v>
      </c>
      <c r="R198" s="10" t="n">
        <v>48653584.2951222</v>
      </c>
      <c r="S198" s="10" t="n">
        <v>672926.72342144</v>
      </c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</row>
    <row r="199">
      <c r="M199" t="s">
        <v>293</v>
      </c>
      <c r="N199" t="n">
        <v>1910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 t="n">
        <v>-14863.5542512006</v>
      </c>
      <c r="AE199" s="10"/>
      <c r="AF199" s="10"/>
      <c r="AG199" s="10"/>
      <c r="AH199" s="10"/>
      <c r="AI199" s="10"/>
      <c r="AJ199" s="10"/>
      <c r="AK199" s="10"/>
      <c r="AL199" s="10"/>
      <c r="AM199" s="10"/>
    </row>
    <row r="200">
      <c r="M200" t="s">
        <v>294</v>
      </c>
      <c r="N200" t="n">
        <v>488</v>
      </c>
      <c r="O200" s="10" t="n">
        <v>1395729.0147325</v>
      </c>
      <c r="P200" s="10" t="n">
        <v>1369665.0338348</v>
      </c>
      <c r="Q200" s="10" t="n">
        <v>2316245.44505219</v>
      </c>
      <c r="R200" s="10" t="n">
        <v>889990.160758727</v>
      </c>
      <c r="S200" s="10"/>
      <c r="T200" s="10"/>
      <c r="U200" s="10"/>
      <c r="V200" s="10"/>
      <c r="W200" s="10"/>
      <c r="X200" s="10"/>
      <c r="Y200" s="10" t="n">
        <v>-33403.1353929984</v>
      </c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</row>
    <row r="201">
      <c r="M201" t="s">
        <v>295</v>
      </c>
      <c r="N201" t="n">
        <v>2232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 t="n">
        <v>942432.995252825</v>
      </c>
      <c r="AK201" s="10" t="n">
        <v>0</v>
      </c>
      <c r="AL201" s="10" t="n">
        <v>86583.7118521149</v>
      </c>
      <c r="AM201" s="10"/>
    </row>
    <row r="202">
      <c r="M202" t="s">
        <v>296</v>
      </c>
      <c r="N202" t="n">
        <v>2253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 t="n">
        <v>298766.797099527</v>
      </c>
      <c r="AI202" s="10" t="n">
        <v>383927.502366426</v>
      </c>
      <c r="AJ202" s="10" t="n">
        <v>0</v>
      </c>
      <c r="AK202" s="10"/>
      <c r="AL202" s="10"/>
      <c r="AM202" s="10"/>
    </row>
    <row r="203">
      <c r="M203" t="s">
        <v>297</v>
      </c>
      <c r="N203" t="n">
        <v>669</v>
      </c>
      <c r="O203" s="10"/>
      <c r="P203" s="10"/>
      <c r="Q203" s="10"/>
      <c r="R203" s="10"/>
      <c r="S203" s="10"/>
      <c r="T203" s="10"/>
      <c r="U203" s="10"/>
      <c r="V203" s="10" t="n">
        <v>176669.420560988</v>
      </c>
      <c r="W203" s="10" t="n">
        <v>729525.578980371</v>
      </c>
      <c r="X203" s="10" t="n">
        <v>3012238.25639837</v>
      </c>
      <c r="Y203" s="10" t="n">
        <v>2781378.55351164</v>
      </c>
      <c r="Z203" s="10" t="n">
        <v>-648.885743083967</v>
      </c>
      <c r="AA203" s="10" t="n">
        <v>-418.175750920212</v>
      </c>
      <c r="AB203" s="10" t="n">
        <v>-3785.44367896134</v>
      </c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</row>
    <row r="204">
      <c r="M204" t="s">
        <v>298</v>
      </c>
      <c r="N204" t="n">
        <v>489</v>
      </c>
      <c r="O204" s="10"/>
      <c r="P204" s="10" t="n">
        <v>3755682.81407182</v>
      </c>
      <c r="Q204" s="10" t="n">
        <v>43231303.1100826</v>
      </c>
      <c r="R204" s="10" t="n">
        <v>46940939.3419815</v>
      </c>
      <c r="S204" s="10" t="n">
        <v>2680375.27615983</v>
      </c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</row>
    <row r="205">
      <c r="M205" t="s">
        <v>299</v>
      </c>
      <c r="N205" t="n">
        <v>2152</v>
      </c>
      <c r="O205" s="10"/>
      <c r="P205" s="10"/>
      <c r="Q205" s="10"/>
      <c r="R205" s="10" t="n">
        <v>410753.671057601</v>
      </c>
      <c r="S205" s="10" t="n">
        <v>417648.495991057</v>
      </c>
      <c r="T205" s="10" t="n">
        <v>413061.371827427</v>
      </c>
      <c r="U205" s="10" t="n">
        <v>407863.878995629</v>
      </c>
      <c r="V205" s="10" t="n">
        <v>163298.049327698</v>
      </c>
      <c r="W205" s="10" t="n">
        <v>232222.175642208</v>
      </c>
      <c r="X205" s="10" t="n">
        <v>0</v>
      </c>
      <c r="Y205" s="10"/>
      <c r="Z205" s="10" t="n">
        <v>-0.0641191445735145</v>
      </c>
      <c r="AA205" s="10" t="n">
        <v>-1239.23935076355</v>
      </c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</row>
    <row r="206">
      <c r="M206" t="s">
        <v>300</v>
      </c>
      <c r="N206" t="n">
        <v>1991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 t="n">
        <v>1251968.929671</v>
      </c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</row>
    <row r="207">
      <c r="M207" t="s">
        <v>301</v>
      </c>
      <c r="N207" t="n">
        <v>1992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 t="n">
        <v>27561.3037381549</v>
      </c>
      <c r="Y207" s="10"/>
      <c r="Z207" s="10"/>
      <c r="AA207" s="10"/>
      <c r="AB207" s="10"/>
      <c r="AC207" s="10"/>
      <c r="AD207" s="10"/>
      <c r="AE207" s="10"/>
      <c r="AF207" s="10" t="n">
        <v>28263131.7040033</v>
      </c>
      <c r="AG207" s="10" t="n">
        <v>24958719.419406</v>
      </c>
      <c r="AH207" s="10" t="n">
        <v>29174462.2883917</v>
      </c>
      <c r="AI207" s="10" t="n">
        <v>15722061.466055</v>
      </c>
      <c r="AJ207" s="10" t="n">
        <v>20831868.8019707</v>
      </c>
      <c r="AK207" s="10" t="n">
        <v>7975361.625</v>
      </c>
      <c r="AL207" s="10"/>
      <c r="AM207" s="10"/>
    </row>
    <row r="208">
      <c r="M208" t="s">
        <v>302</v>
      </c>
      <c r="N208" t="n">
        <v>1972</v>
      </c>
      <c r="O208" s="10"/>
      <c r="P208" s="10"/>
      <c r="Q208" s="10"/>
      <c r="R208" s="10"/>
      <c r="S208" s="10" t="n">
        <v>1602747.07682422</v>
      </c>
      <c r="T208" s="10" t="n">
        <v>12447400.2061883</v>
      </c>
      <c r="U208" s="10" t="n">
        <v>238858.744520404</v>
      </c>
      <c r="V208" s="10" t="n">
        <v>2255424.80693301</v>
      </c>
      <c r="W208" s="10" t="n">
        <v>803663.903422282</v>
      </c>
      <c r="X208" s="10" t="n">
        <v>40156899.303742</v>
      </c>
      <c r="Y208" s="10" t="n">
        <v>95120807.9131115</v>
      </c>
      <c r="Z208" s="10" t="n">
        <v>134576267.818773</v>
      </c>
      <c r="AA208" s="10" t="n">
        <v>93323081.6092034</v>
      </c>
      <c r="AB208" s="10" t="n">
        <v>1938924.90473559</v>
      </c>
      <c r="AC208" s="10" t="n">
        <v>-216978.773091185</v>
      </c>
      <c r="AD208" s="10" t="n">
        <v>-1144165.04921962</v>
      </c>
      <c r="AE208" s="10" t="n">
        <v>-798014.014902689</v>
      </c>
      <c r="AF208" s="10"/>
      <c r="AG208" s="10" t="n">
        <v>-94751.6142029532</v>
      </c>
      <c r="AH208" s="10" t="n">
        <v>0</v>
      </c>
      <c r="AI208" s="10"/>
      <c r="AJ208" s="10"/>
      <c r="AK208" s="10"/>
      <c r="AL208" s="10"/>
      <c r="AM208" s="10"/>
    </row>
    <row r="209">
      <c r="M209" t="s">
        <v>303</v>
      </c>
      <c r="N209" t="n">
        <v>1962</v>
      </c>
      <c r="O209" s="10"/>
      <c r="P209" s="10"/>
      <c r="Q209" s="10"/>
      <c r="R209" s="10"/>
      <c r="S209" s="10"/>
      <c r="T209" s="10"/>
      <c r="U209" s="10" t="n">
        <v>49215.7425083132</v>
      </c>
      <c r="V209" s="10"/>
      <c r="W209" s="10" t="n">
        <v>134309.73286096</v>
      </c>
      <c r="X209" s="10" t="n">
        <v>2487533.56828575</v>
      </c>
      <c r="Y209" s="10" t="n">
        <v>436837.371296574</v>
      </c>
      <c r="Z209" s="10" t="n">
        <v>1673996.06555439</v>
      </c>
      <c r="AA209" s="10" t="n">
        <v>10076154.7540471</v>
      </c>
      <c r="AB209" s="10" t="n">
        <v>56886.7720458091</v>
      </c>
      <c r="AC209" s="10" t="n">
        <v>-708.60495583078</v>
      </c>
      <c r="AD209" s="10" t="n">
        <v>-21280.5987350549</v>
      </c>
      <c r="AE209" s="10" t="n">
        <v>-18996.7420269727</v>
      </c>
      <c r="AF209" s="10"/>
      <c r="AG209" s="10"/>
      <c r="AH209" s="10"/>
      <c r="AI209" s="10"/>
      <c r="AJ209" s="10"/>
      <c r="AK209" s="10"/>
      <c r="AL209" s="10"/>
      <c r="AM209" s="10"/>
    </row>
    <row r="210">
      <c r="M210" t="s">
        <v>304</v>
      </c>
      <c r="N210" t="n">
        <v>633</v>
      </c>
      <c r="O210" s="10"/>
      <c r="P210" s="10"/>
      <c r="Q210" s="10"/>
      <c r="R210" s="10"/>
      <c r="S210" s="10"/>
      <c r="T210" s="10"/>
      <c r="U210" s="10"/>
      <c r="V210" s="10" t="n">
        <v>0</v>
      </c>
      <c r="W210" s="10"/>
      <c r="X210" s="10"/>
      <c r="Y210" s="10"/>
      <c r="Z210" s="10"/>
      <c r="AA210" s="10"/>
      <c r="AB210" s="10"/>
      <c r="AC210" s="10" t="n">
        <v>181724.997147467</v>
      </c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</row>
    <row r="211">
      <c r="M211" t="s">
        <v>305</v>
      </c>
      <c r="N211" t="n">
        <v>725</v>
      </c>
      <c r="O211" s="10"/>
      <c r="P211" s="10" t="n">
        <v>77681.2842723472</v>
      </c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</row>
    <row r="212">
      <c r="M212" t="s">
        <v>306</v>
      </c>
      <c r="N212" t="n">
        <v>718</v>
      </c>
      <c r="O212" s="10" t="n">
        <v>1476531.67452146</v>
      </c>
      <c r="P212" s="10" t="n">
        <v>189278.32705041</v>
      </c>
      <c r="Q212" s="10" t="n">
        <v>13666.0993956809</v>
      </c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</row>
    <row r="213">
      <c r="M213" t="s">
        <v>307</v>
      </c>
      <c r="N213" t="n">
        <v>1031</v>
      </c>
      <c r="O213" s="10" t="n">
        <v>1136666.09001261</v>
      </c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</row>
    <row r="214">
      <c r="M214" t="s">
        <v>308</v>
      </c>
      <c r="N214" t="n">
        <v>775</v>
      </c>
      <c r="O214" s="10"/>
      <c r="P214" s="10"/>
      <c r="Q214" s="10" t="n">
        <v>1102888.38647994</v>
      </c>
      <c r="R214" s="10" t="n">
        <v>883807.948630898</v>
      </c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</row>
    <row r="215">
      <c r="M215" t="s">
        <v>309</v>
      </c>
      <c r="N215" t="n">
        <v>2153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 t="n">
        <v>89219.2518910056</v>
      </c>
      <c r="AF215" s="10" t="n">
        <v>-17836.0826444966</v>
      </c>
      <c r="AG215" s="10" t="n">
        <v>-13339.5817360204</v>
      </c>
      <c r="AH215" s="10"/>
      <c r="AI215" s="10"/>
      <c r="AJ215" s="10"/>
      <c r="AK215" s="10"/>
      <c r="AL215" s="10"/>
      <c r="AM215" s="10"/>
    </row>
    <row r="216">
      <c r="M216" t="s">
        <v>310</v>
      </c>
      <c r="N216" t="n">
        <v>970</v>
      </c>
      <c r="O216" s="10" t="n">
        <v>7938668.244524</v>
      </c>
      <c r="P216" s="10" t="n">
        <v>577856.693420384</v>
      </c>
      <c r="Q216" s="10" t="n">
        <v>97709.5047474375</v>
      </c>
      <c r="R216" s="10" t="n">
        <v>186014.945635726</v>
      </c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</row>
    <row r="217">
      <c r="M217" t="s">
        <v>73</v>
      </c>
      <c r="N217" t="n">
        <v>2035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 t="n">
        <v>11983533.1106014</v>
      </c>
      <c r="AE217" s="10" t="n">
        <v>44232541.9669755</v>
      </c>
      <c r="AF217" s="10" t="n">
        <v>56378328.4734794</v>
      </c>
      <c r="AG217" s="10" t="n">
        <v>154982016.450676</v>
      </c>
      <c r="AH217" s="10" t="n">
        <v>224980063.874196</v>
      </c>
      <c r="AI217" s="10" t="n">
        <v>170978922.464249</v>
      </c>
      <c r="AJ217" s="10" t="n">
        <v>156854274.431823</v>
      </c>
      <c r="AK217" s="10" t="n">
        <v>129773135.4073</v>
      </c>
      <c r="AL217" s="10" t="n">
        <v>77480372.085599</v>
      </c>
      <c r="AM217" s="10"/>
    </row>
    <row r="218">
      <c r="M218" t="s">
        <v>311</v>
      </c>
      <c r="N218" t="n">
        <v>1012</v>
      </c>
      <c r="O218" s="10" t="n">
        <v>10678868.8538901</v>
      </c>
      <c r="P218" s="10" t="n">
        <v>1946807.13011086</v>
      </c>
      <c r="Q218" s="10" t="n">
        <v>20852271.7841107</v>
      </c>
      <c r="R218" s="10" t="n">
        <v>11494216.5641739</v>
      </c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</row>
    <row r="219">
      <c r="M219" t="s">
        <v>312</v>
      </c>
      <c r="N219" t="n">
        <v>1344</v>
      </c>
      <c r="O219" s="10"/>
      <c r="P219" s="10"/>
      <c r="Q219" s="10"/>
      <c r="R219" s="10"/>
      <c r="S219" s="10"/>
      <c r="T219" s="10" t="n">
        <v>533430.413915164</v>
      </c>
      <c r="U219" s="10" t="n">
        <v>761151.566723623</v>
      </c>
      <c r="V219" s="10" t="n">
        <v>942229.651968236</v>
      </c>
      <c r="W219" s="10" t="n">
        <v>329018.951806482</v>
      </c>
      <c r="X219" s="10" t="n">
        <v>85774.3896577158</v>
      </c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 t="n">
        <v>1098716</v>
      </c>
      <c r="AL219" s="10" t="n">
        <v>416352.411386243</v>
      </c>
      <c r="AM219" s="10"/>
    </row>
    <row r="220">
      <c r="M220" t="s">
        <v>313</v>
      </c>
      <c r="N220" t="n">
        <v>1989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 t="n">
        <v>25471350.9823356</v>
      </c>
      <c r="AA220" s="10" t="n">
        <v>18933505.4674701</v>
      </c>
      <c r="AB220" s="10" t="n">
        <v>23026954.3290079</v>
      </c>
      <c r="AC220" s="10" t="n">
        <v>20486703.3630892</v>
      </c>
      <c r="AD220" s="10" t="n">
        <v>32847436.2643069</v>
      </c>
      <c r="AE220" s="10" t="n">
        <v>17632375.7698289</v>
      </c>
      <c r="AF220" s="10" t="n">
        <v>3009690.77106024</v>
      </c>
      <c r="AG220" s="10" t="n">
        <v>3148607.41797425</v>
      </c>
      <c r="AH220" s="10" t="n">
        <v>-189685.702452217</v>
      </c>
      <c r="AI220" s="10"/>
      <c r="AJ220" s="10" t="n">
        <v>0</v>
      </c>
      <c r="AK220" s="10" t="n">
        <v>0</v>
      </c>
      <c r="AL220" s="10"/>
      <c r="AM220" s="10"/>
    </row>
    <row r="221">
      <c r="M221" t="s">
        <v>314</v>
      </c>
      <c r="N221" t="n">
        <v>1341</v>
      </c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 t="n">
        <v>1665912.85808214</v>
      </c>
      <c r="AB221" s="10" t="n">
        <v>957372.220138071</v>
      </c>
      <c r="AC221" s="10" t="n">
        <v>0</v>
      </c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</row>
    <row r="222">
      <c r="M222" t="s">
        <v>74</v>
      </c>
      <c r="N222" t="n">
        <v>1843</v>
      </c>
      <c r="O222" s="10"/>
      <c r="P222" s="10"/>
      <c r="Q222" s="10"/>
      <c r="R222" s="10"/>
      <c r="S222" s="10" t="n">
        <v>206243365.749227</v>
      </c>
      <c r="T222" s="10" t="n">
        <v>197898902.63085</v>
      </c>
      <c r="U222" s="10" t="n">
        <v>123255821.090479</v>
      </c>
      <c r="V222" s="10" t="n">
        <v>44020381.4670362</v>
      </c>
      <c r="W222" s="10" t="n">
        <v>56990160.2688995</v>
      </c>
      <c r="X222" s="10" t="n">
        <v>95601735.4254562</v>
      </c>
      <c r="Y222" s="10" t="n">
        <v>128651820.027657</v>
      </c>
      <c r="Z222" s="10" t="n">
        <v>89311428.7350826</v>
      </c>
      <c r="AA222" s="10" t="n">
        <v>73774112.8676035</v>
      </c>
      <c r="AB222" s="10" t="n">
        <v>50746646.6246489</v>
      </c>
      <c r="AC222" s="10" t="n">
        <v>142087902.806911</v>
      </c>
      <c r="AD222" s="10" t="n">
        <v>144644819.598432</v>
      </c>
      <c r="AE222" s="10" t="n">
        <v>181739503.304695</v>
      </c>
      <c r="AF222" s="10" t="n">
        <v>122037299.727268</v>
      </c>
      <c r="AG222" s="10" t="n">
        <v>136717832.280993</v>
      </c>
      <c r="AH222" s="10" t="n">
        <v>117337398.63944</v>
      </c>
      <c r="AI222" s="10" t="n">
        <v>167097619.213551</v>
      </c>
      <c r="AJ222" s="10" t="n">
        <v>146677990.19625</v>
      </c>
      <c r="AK222" s="10" t="n">
        <v>180727480.8613</v>
      </c>
      <c r="AL222" s="10" t="n">
        <v>89446842.6399369</v>
      </c>
      <c r="AM222" s="10"/>
    </row>
    <row r="223">
      <c r="M223" t="s">
        <v>315</v>
      </c>
      <c r="N223" t="n">
        <v>1816</v>
      </c>
      <c r="O223" s="10"/>
      <c r="P223" s="10"/>
      <c r="Q223" s="10"/>
      <c r="R223" s="10"/>
      <c r="S223" s="10" t="n">
        <v>163436.791239342</v>
      </c>
      <c r="T223" s="10" t="n">
        <v>50355337.343682</v>
      </c>
      <c r="U223" s="10" t="n">
        <v>65458314.3492845</v>
      </c>
      <c r="V223" s="10" t="n">
        <v>82788473.1226461</v>
      </c>
      <c r="W223" s="10" t="n">
        <v>106433595.4073</v>
      </c>
      <c r="X223" s="10" t="n">
        <v>113586598.629418</v>
      </c>
      <c r="Y223" s="10" t="n">
        <v>69786494.8280257</v>
      </c>
      <c r="Z223" s="10" t="n">
        <v>32505815.6025657</v>
      </c>
      <c r="AA223" s="10" t="n">
        <v>39258374.4827658</v>
      </c>
      <c r="AB223" s="10" t="n">
        <v>27782208.4589816</v>
      </c>
      <c r="AC223" s="10" t="n">
        <v>11763655.8738308</v>
      </c>
      <c r="AD223" s="10" t="n">
        <v>98603.5741157791</v>
      </c>
      <c r="AE223" s="10" t="n">
        <v>148967.44596963</v>
      </c>
      <c r="AF223" s="10" t="n">
        <v>-694102.388735843</v>
      </c>
      <c r="AG223" s="10" t="n">
        <v>-12574.6723191606</v>
      </c>
      <c r="AH223" s="10" t="n">
        <v>-203959.866274749</v>
      </c>
      <c r="AI223" s="10" t="n">
        <v>-496943.81362597</v>
      </c>
      <c r="AJ223" s="10"/>
      <c r="AK223" s="10" t="n">
        <v>-50155.9587</v>
      </c>
      <c r="AL223" s="10"/>
      <c r="AM223" s="10"/>
    </row>
    <row r="224">
      <c r="M224" t="s">
        <v>316</v>
      </c>
      <c r="N224" t="n">
        <v>449</v>
      </c>
      <c r="O224" s="10"/>
      <c r="P224" s="10"/>
      <c r="Q224" s="10" t="n">
        <v>5671897.13895969</v>
      </c>
      <c r="R224" s="10" t="n">
        <v>8498638.40168425</v>
      </c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</row>
    <row r="225">
      <c r="M225" t="s">
        <v>317</v>
      </c>
      <c r="N225" t="n">
        <v>1958</v>
      </c>
      <c r="O225" s="10"/>
      <c r="P225" s="10"/>
      <c r="Q225" s="10"/>
      <c r="R225" s="10"/>
      <c r="S225" s="10" t="n">
        <v>140905.941847739</v>
      </c>
      <c r="T225" s="10" t="n">
        <v>205595.197664141</v>
      </c>
      <c r="U225" s="10" t="n">
        <v>14148378.8015503</v>
      </c>
      <c r="V225" s="10" t="n">
        <v>3966897.06095873</v>
      </c>
      <c r="W225" s="10" t="n">
        <v>152642.834069592</v>
      </c>
      <c r="X225" s="10" t="n">
        <v>83299.2057490778</v>
      </c>
      <c r="Y225" s="10" t="n">
        <v>85802.7312149989</v>
      </c>
      <c r="Z225" s="10" t="n">
        <v>-68983.3781774295</v>
      </c>
      <c r="AA225" s="10" t="n">
        <v>-75508.6855457329</v>
      </c>
      <c r="AB225" s="10" t="n">
        <v>28426.9630591487</v>
      </c>
      <c r="AC225" s="10" t="n">
        <v>-18698.821602139</v>
      </c>
      <c r="AD225" s="10"/>
      <c r="AE225" s="10" t="n">
        <v>0</v>
      </c>
      <c r="AF225" s="10"/>
      <c r="AG225" s="10"/>
      <c r="AH225" s="10" t="n">
        <v>0</v>
      </c>
      <c r="AI225" s="10"/>
      <c r="AJ225" s="10"/>
      <c r="AK225" s="10" t="n">
        <v>0</v>
      </c>
      <c r="AL225" s="10"/>
      <c r="AM225" s="10"/>
    </row>
    <row r="226">
      <c r="M226" t="s">
        <v>318</v>
      </c>
      <c r="N226" t="n">
        <v>1649</v>
      </c>
      <c r="O226" s="10" t="n">
        <v>47260.1039557483</v>
      </c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</row>
    <row r="227">
      <c r="M227" t="s">
        <v>319</v>
      </c>
      <c r="N227" t="n">
        <v>2180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 t="n">
        <v>175305.900332287</v>
      </c>
      <c r="AG227" s="10"/>
      <c r="AH227" s="10"/>
      <c r="AI227" s="10"/>
      <c r="AJ227" s="10" t="n">
        <v>332548.442021456</v>
      </c>
      <c r="AK227" s="10" t="n">
        <v>-94472.4688</v>
      </c>
      <c r="AL227" s="10" t="n">
        <v>135302003.92658</v>
      </c>
      <c r="AM227" s="10"/>
    </row>
    <row r="228">
      <c r="M228" t="s">
        <v>320</v>
      </c>
      <c r="N228" t="n">
        <v>672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 t="n">
        <v>11245.7609356412</v>
      </c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</row>
    <row r="229">
      <c r="M229" t="s">
        <v>321</v>
      </c>
      <c r="N229" t="n">
        <v>1993</v>
      </c>
      <c r="O229" s="10"/>
      <c r="P229" s="10"/>
      <c r="Q229" s="10"/>
      <c r="R229" s="10"/>
      <c r="S229" s="10"/>
      <c r="T229" s="10"/>
      <c r="U229" s="10"/>
      <c r="V229" s="10"/>
      <c r="W229" s="10" t="n">
        <v>22213337.8589485</v>
      </c>
      <c r="X229" s="10" t="n">
        <v>28590402.757777</v>
      </c>
      <c r="Y229" s="10" t="n">
        <v>65442826.8909509</v>
      </c>
      <c r="Z229" s="10" t="n">
        <v>9962205.067564</v>
      </c>
      <c r="AA229" s="10" t="n">
        <v>6409233.10536595</v>
      </c>
      <c r="AB229" s="10" t="n">
        <v>0</v>
      </c>
      <c r="AC229" s="10"/>
      <c r="AD229" s="10" t="n">
        <v>-166050.573622365</v>
      </c>
      <c r="AE229" s="10" t="n">
        <v>-869625.847433005</v>
      </c>
      <c r="AF229" s="10" t="n">
        <v>-20026.3168105078</v>
      </c>
      <c r="AG229" s="10" t="n">
        <v>0</v>
      </c>
      <c r="AH229" s="10" t="n">
        <v>-1596790.70642872</v>
      </c>
      <c r="AI229" s="10"/>
      <c r="AJ229" s="10"/>
      <c r="AK229" s="10"/>
      <c r="AL229" s="10"/>
      <c r="AM229" s="10"/>
    </row>
    <row r="230">
      <c r="M230" t="s">
        <v>322</v>
      </c>
      <c r="N230" t="n">
        <v>2067</v>
      </c>
      <c r="O230" s="10"/>
      <c r="P230" s="10"/>
      <c r="Q230" s="10"/>
      <c r="R230" s="10" t="n">
        <v>23168227.7658973</v>
      </c>
      <c r="S230" s="10"/>
      <c r="T230" s="10"/>
      <c r="U230" s="10"/>
      <c r="V230" s="10"/>
      <c r="W230" s="10"/>
      <c r="X230" s="10"/>
      <c r="Y230" s="10" t="n">
        <v>-30984.7844914031</v>
      </c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</row>
    <row r="231">
      <c r="M231" t="s">
        <v>323</v>
      </c>
      <c r="N231" t="n">
        <v>2072</v>
      </c>
      <c r="O231" s="10" t="n">
        <v>98083768.3969245</v>
      </c>
      <c r="P231" s="10" t="n">
        <v>-6268818.4346654</v>
      </c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</row>
    <row r="232">
      <c r="M232" t="s">
        <v>324</v>
      </c>
      <c r="N232" t="n">
        <v>1739</v>
      </c>
      <c r="O232" s="10" t="n">
        <v>7028411.17492545</v>
      </c>
      <c r="P232" s="10" t="n">
        <v>19749253.4463238</v>
      </c>
      <c r="Q232" s="10" t="n">
        <v>24165294.5656987</v>
      </c>
      <c r="R232" s="10" t="n">
        <v>19927457.9198444</v>
      </c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</row>
    <row r="233">
      <c r="M233" t="s">
        <v>325</v>
      </c>
      <c r="N233" t="n">
        <v>490</v>
      </c>
      <c r="O233" s="10"/>
      <c r="P233" s="10"/>
      <c r="Q233" s="10"/>
      <c r="R233" s="10" t="n">
        <v>7820210.33625882</v>
      </c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</row>
    <row r="234">
      <c r="M234" t="s">
        <v>326</v>
      </c>
      <c r="N234" t="n">
        <v>591</v>
      </c>
      <c r="O234" s="10" t="n">
        <v>1053562.63063278</v>
      </c>
      <c r="P234" s="10" t="n">
        <v>57420.1678887466</v>
      </c>
      <c r="Q234" s="10"/>
      <c r="R234" s="10" t="n">
        <v>8140975.25824153</v>
      </c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</row>
    <row r="235">
      <c r="M235" t="s">
        <v>327</v>
      </c>
      <c r="N235" t="n">
        <v>1315</v>
      </c>
      <c r="O235" s="10"/>
      <c r="P235" s="10"/>
      <c r="Q235" s="10"/>
      <c r="R235" s="10"/>
      <c r="S235" s="10"/>
      <c r="T235" s="10"/>
      <c r="U235" s="10" t="n">
        <v>44740313.0668453</v>
      </c>
      <c r="V235" s="10" t="n">
        <v>0</v>
      </c>
      <c r="W235" s="10" t="n">
        <v>0</v>
      </c>
      <c r="X235" s="10" t="n">
        <v>0</v>
      </c>
      <c r="Y235" s="10" t="n">
        <v>0</v>
      </c>
      <c r="Z235" s="10"/>
      <c r="AA235" s="10" t="n">
        <v>0</v>
      </c>
      <c r="AB235" s="10" t="n">
        <v>0</v>
      </c>
      <c r="AC235" s="10"/>
      <c r="AD235" s="10"/>
      <c r="AE235" s="10" t="n">
        <v>0</v>
      </c>
      <c r="AF235" s="10" t="n">
        <v>0</v>
      </c>
      <c r="AG235" s="10"/>
      <c r="AH235" s="10"/>
      <c r="AI235" s="10"/>
      <c r="AJ235" s="10"/>
      <c r="AK235" s="10"/>
      <c r="AL235" s="10"/>
      <c r="AM235" s="10"/>
    </row>
    <row r="236">
      <c r="M236" t="s">
        <v>328</v>
      </c>
      <c r="N236" t="n">
        <v>542</v>
      </c>
      <c r="O236" s="10"/>
      <c r="P236" s="10"/>
      <c r="Q236" s="10"/>
      <c r="R236" s="10" t="n">
        <v>92966.3291828</v>
      </c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</row>
    <row r="237">
      <c r="M237" t="s">
        <v>329</v>
      </c>
      <c r="N237" t="n">
        <v>462</v>
      </c>
      <c r="O237" s="10"/>
      <c r="P237" s="10"/>
      <c r="Q237" s="10" t="n">
        <v>40648.8808729486</v>
      </c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</row>
    <row r="238">
      <c r="M238" t="s">
        <v>330</v>
      </c>
      <c r="N238" t="n">
        <v>406</v>
      </c>
      <c r="O238" s="10"/>
      <c r="P238" s="10"/>
      <c r="Q238" s="10" t="n">
        <v>79319.2832652042</v>
      </c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</row>
    <row r="239">
      <c r="M239" t="s">
        <v>331</v>
      </c>
      <c r="N239" t="n">
        <v>1995</v>
      </c>
      <c r="O239" s="10"/>
      <c r="P239" s="10"/>
      <c r="Q239" s="10"/>
      <c r="R239" s="10"/>
      <c r="S239" s="10"/>
      <c r="T239" s="10"/>
      <c r="U239" s="10"/>
      <c r="V239" s="10" t="n">
        <v>2667447.20958335</v>
      </c>
      <c r="W239" s="10" t="n">
        <v>16677637.5864197</v>
      </c>
      <c r="X239" s="10" t="n">
        <v>12515225.038751</v>
      </c>
      <c r="Y239" s="10" t="n">
        <v>-837029.265670184</v>
      </c>
      <c r="Z239" s="10" t="n">
        <v>0</v>
      </c>
      <c r="AA239" s="10" t="n">
        <v>1402824.45248696</v>
      </c>
      <c r="AB239" s="10" t="n">
        <v>1703532.47525269</v>
      </c>
      <c r="AC239" s="10" t="n">
        <v>2981047.02545272</v>
      </c>
      <c r="AD239" s="10" t="n">
        <v>749221.309043874</v>
      </c>
      <c r="AE239" s="10"/>
      <c r="AF239" s="10"/>
      <c r="AG239" s="10"/>
      <c r="AH239" s="10"/>
      <c r="AI239" s="10"/>
      <c r="AJ239" s="10"/>
      <c r="AK239" s="10"/>
      <c r="AL239" s="10"/>
      <c r="AM239" s="10"/>
    </row>
    <row r="240">
      <c r="M240" t="s">
        <v>332</v>
      </c>
      <c r="N240" t="n">
        <v>1381</v>
      </c>
      <c r="O240" s="10"/>
      <c r="P240" s="10"/>
      <c r="Q240" s="10"/>
      <c r="R240" s="10"/>
      <c r="S240" s="10"/>
      <c r="T240" s="10"/>
      <c r="U240" s="10"/>
      <c r="V240" s="10" t="n">
        <v>1341569.54906239</v>
      </c>
      <c r="W240" s="10"/>
      <c r="X240" s="10"/>
      <c r="Y240" s="10"/>
      <c r="Z240" s="10"/>
      <c r="AA240" s="10" t="n">
        <v>60840.5608883916</v>
      </c>
      <c r="AB240" s="10" t="n">
        <v>23707362.4940459</v>
      </c>
      <c r="AC240" s="10" t="n">
        <v>58255643.1608454</v>
      </c>
      <c r="AD240" s="10" t="n">
        <v>46303202.4803846</v>
      </c>
      <c r="AE240" s="10" t="n">
        <v>37047349.4183162</v>
      </c>
      <c r="AF240" s="10" t="n">
        <v>84342662.5637851</v>
      </c>
      <c r="AG240" s="10" t="n">
        <v>33329552.0950697</v>
      </c>
      <c r="AH240" s="10" t="n">
        <v>49065844.4503882</v>
      </c>
      <c r="AI240" s="10" t="n">
        <v>34938912.3627267</v>
      </c>
      <c r="AJ240" s="10" t="n">
        <v>28275349.1125623</v>
      </c>
      <c r="AK240" s="10" t="n">
        <v>5349167.7793</v>
      </c>
      <c r="AL240" s="10" t="n">
        <v>5230928.22201836</v>
      </c>
      <c r="AM240" s="10"/>
    </row>
    <row r="241">
      <c r="M241" t="s">
        <v>333</v>
      </c>
      <c r="N241" t="n">
        <v>2182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 t="n">
        <v>233856.694128273</v>
      </c>
      <c r="AG241" s="10" t="n">
        <v>572531.836660993</v>
      </c>
      <c r="AH241" s="10" t="n">
        <v>596173.703859399</v>
      </c>
      <c r="AI241" s="10"/>
      <c r="AJ241" s="10"/>
      <c r="AK241" s="10"/>
      <c r="AL241" s="10"/>
      <c r="AM241" s="10"/>
    </row>
    <row r="242">
      <c r="M242" t="s">
        <v>334</v>
      </c>
      <c r="N242" t="n">
        <v>537</v>
      </c>
      <c r="O242" s="10"/>
      <c r="P242" s="10" t="n">
        <v>4397012.45516637</v>
      </c>
      <c r="Q242" s="10" t="n">
        <v>537388.299418343</v>
      </c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</row>
    <row r="243">
      <c r="M243" t="s">
        <v>335</v>
      </c>
      <c r="N243" t="n">
        <v>1996</v>
      </c>
      <c r="O243" s="10"/>
      <c r="P243" s="10"/>
      <c r="Q243" s="10"/>
      <c r="R243" s="10"/>
      <c r="S243" s="10"/>
      <c r="T243" s="10"/>
      <c r="U243" s="10"/>
      <c r="V243" s="10"/>
      <c r="W243" s="10" t="n">
        <v>615018.735316723</v>
      </c>
      <c r="X243" s="10" t="n">
        <v>42229.5954415414</v>
      </c>
      <c r="Y243" s="10" t="n">
        <v>91881.7997106062</v>
      </c>
      <c r="Z243" s="10" t="n">
        <v>23410.8740383111</v>
      </c>
      <c r="AA243" s="10" t="n">
        <v>0</v>
      </c>
      <c r="AB243" s="10" t="n">
        <v>247762.136530333</v>
      </c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</row>
    <row r="244">
      <c r="M244" t="s">
        <v>336</v>
      </c>
      <c r="N244" t="n">
        <v>2101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 t="n">
        <v>220704.166903877</v>
      </c>
      <c r="AE244" s="10" t="n">
        <v>171581.167873441</v>
      </c>
      <c r="AF244" s="10"/>
      <c r="AG244" s="10" t="n">
        <v>6051405.36115732</v>
      </c>
      <c r="AH244" s="10" t="n">
        <v>8926472.53018318</v>
      </c>
      <c r="AI244" s="10" t="n">
        <v>10059091.3614016</v>
      </c>
      <c r="AJ244" s="10" t="n">
        <v>27245709.2482821</v>
      </c>
      <c r="AK244" s="10" t="n">
        <v>27127956.6501</v>
      </c>
      <c r="AL244" s="10" t="n">
        <v>33757319.5850139</v>
      </c>
      <c r="AM244" s="10"/>
    </row>
    <row r="245">
      <c r="M245" t="s">
        <v>337</v>
      </c>
      <c r="N245" t="n">
        <v>1517</v>
      </c>
      <c r="O245" s="10"/>
      <c r="P245" s="10" t="n">
        <v>105859.758420608</v>
      </c>
      <c r="Q245" s="10" t="n">
        <v>5054923.99911744</v>
      </c>
      <c r="R245" s="10" t="n">
        <v>1976625.56338284</v>
      </c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</row>
    <row r="246">
      <c r="M246" t="s">
        <v>338</v>
      </c>
      <c r="N246" t="n">
        <v>469</v>
      </c>
      <c r="O246" s="10" t="n">
        <v>6991769.64885678</v>
      </c>
      <c r="P246" s="10" t="n">
        <v>15950767.3675406</v>
      </c>
      <c r="Q246" s="10" t="n">
        <v>26923838.6587946</v>
      </c>
      <c r="R246" s="10" t="n">
        <v>31030524.9931491</v>
      </c>
      <c r="S246" s="10"/>
      <c r="T246" s="10"/>
      <c r="U246" s="10"/>
      <c r="V246" s="10"/>
      <c r="W246" s="10"/>
      <c r="X246" s="10"/>
      <c r="Y246" s="10" t="n">
        <v>-20881.9308041809</v>
      </c>
      <c r="Z246" s="10" t="n">
        <v>-152431.724777508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</row>
    <row r="247">
      <c r="M247" t="s">
        <v>339</v>
      </c>
      <c r="N247" t="n">
        <v>1967</v>
      </c>
      <c r="O247" s="10"/>
      <c r="P247" s="10"/>
      <c r="Q247" s="10"/>
      <c r="R247" s="10"/>
      <c r="S247" s="10" t="n">
        <v>6434686.82796149</v>
      </c>
      <c r="T247" s="10" t="n">
        <v>1912842.48562271</v>
      </c>
      <c r="U247" s="10" t="n">
        <v>4058772.69281983</v>
      </c>
      <c r="V247" s="10" t="n">
        <v>3115726.47479271</v>
      </c>
      <c r="W247" s="10" t="n">
        <v>3336015.43438176</v>
      </c>
      <c r="X247" s="10" t="n">
        <v>9616348.14670371</v>
      </c>
      <c r="Y247" s="10" t="n">
        <v>12296586.3430417</v>
      </c>
      <c r="Z247" s="10" t="n">
        <v>11925744.6071301</v>
      </c>
      <c r="AA247" s="10" t="n">
        <v>1596915.77910909</v>
      </c>
      <c r="AB247" s="10" t="n">
        <v>5193757.37820661</v>
      </c>
      <c r="AC247" s="10" t="n">
        <v>5738842.53223878</v>
      </c>
      <c r="AD247" s="10" t="n">
        <v>1587699.14895741</v>
      </c>
      <c r="AE247" s="10"/>
      <c r="AF247" s="10"/>
      <c r="AG247" s="10"/>
      <c r="AH247" s="10"/>
      <c r="AI247" s="10"/>
      <c r="AJ247" s="10"/>
      <c r="AK247" s="10"/>
      <c r="AL247" s="10"/>
      <c r="AM247" s="10"/>
    </row>
    <row r="248">
      <c r="M248" t="s">
        <v>340</v>
      </c>
      <c r="N248" t="n">
        <v>1982</v>
      </c>
      <c r="O248" s="10"/>
      <c r="P248" s="10"/>
      <c r="Q248" s="10"/>
      <c r="R248" s="10"/>
      <c r="S248" s="10" t="n">
        <v>12891795.9047463</v>
      </c>
      <c r="T248" s="10" t="n">
        <v>10791693.1958069</v>
      </c>
      <c r="U248" s="10" t="n">
        <v>18425373.2941226</v>
      </c>
      <c r="V248" s="10" t="n">
        <v>19100657.9637016</v>
      </c>
      <c r="W248" s="10" t="n">
        <v>19024844.9628342</v>
      </c>
      <c r="X248" s="10" t="n">
        <v>25968759.4802227</v>
      </c>
      <c r="Y248" s="10" t="n">
        <v>9859375.91347409</v>
      </c>
      <c r="Z248" s="10" t="n">
        <v>2081503.96803699</v>
      </c>
      <c r="AA248" s="10" t="n">
        <v>1598189.16777946</v>
      </c>
      <c r="AB248" s="10" t="n">
        <v>374710.694127829</v>
      </c>
      <c r="AC248" s="10" t="n">
        <v>-29116.7630118113</v>
      </c>
      <c r="AD248" s="10" t="n">
        <v>-1419.70212381767</v>
      </c>
      <c r="AE248" s="10"/>
      <c r="AF248" s="10"/>
      <c r="AG248" s="10"/>
      <c r="AH248" s="10"/>
      <c r="AI248" s="10"/>
      <c r="AJ248" s="10"/>
      <c r="AK248" s="10"/>
      <c r="AL248" s="10"/>
      <c r="AM248" s="10"/>
    </row>
    <row r="249">
      <c r="M249" t="s">
        <v>341</v>
      </c>
      <c r="N249" t="n">
        <v>1931</v>
      </c>
      <c r="O249" s="10"/>
      <c r="P249" s="10" t="n">
        <v>2701312.86860041</v>
      </c>
      <c r="Q249" s="10" t="n">
        <v>762290.365393559</v>
      </c>
      <c r="R249" s="10" t="n">
        <v>5858411.71988209</v>
      </c>
      <c r="S249" s="10" t="n">
        <v>6140513.99104463</v>
      </c>
      <c r="T249" s="10" t="n">
        <v>9744239.05727742</v>
      </c>
      <c r="U249" s="10" t="n">
        <v>1547687.66857355</v>
      </c>
      <c r="V249" s="10" t="n">
        <v>168797.094540427</v>
      </c>
      <c r="W249" s="10" t="n">
        <v>-307124.352912988</v>
      </c>
      <c r="X249" s="10" t="n">
        <v>-550586.32278294</v>
      </c>
      <c r="Y249" s="10" t="n">
        <v>-251703.012575141</v>
      </c>
      <c r="Z249" s="10" t="n">
        <v>-2432.94964552635</v>
      </c>
      <c r="AA249" s="10" t="n">
        <v>-350772.977733072</v>
      </c>
      <c r="AB249" s="10" t="n">
        <v>-15185.0581293585</v>
      </c>
      <c r="AC249" s="10" t="n">
        <v>-23210.5489547112</v>
      </c>
      <c r="AD249" s="10" t="n">
        <v>-811280.949141667</v>
      </c>
      <c r="AE249" s="10" t="n">
        <v>-44218.2508272076</v>
      </c>
      <c r="AF249" s="10"/>
      <c r="AG249" s="10"/>
      <c r="AH249" s="10"/>
      <c r="AI249" s="10"/>
      <c r="AJ249" s="10"/>
      <c r="AK249" s="10"/>
      <c r="AL249" s="10"/>
      <c r="AM249" s="10"/>
    </row>
    <row r="250">
      <c r="M250" t="s">
        <v>342</v>
      </c>
      <c r="N250" t="n">
        <v>1968</v>
      </c>
      <c r="O250" s="10"/>
      <c r="P250" s="10"/>
      <c r="Q250" s="10"/>
      <c r="R250" s="10"/>
      <c r="S250" s="10" t="n">
        <v>27357304.8064548</v>
      </c>
      <c r="T250" s="10" t="n">
        <v>40536093.2061475</v>
      </c>
      <c r="U250" s="10" t="n">
        <v>7038657.90245878</v>
      </c>
      <c r="V250" s="10"/>
      <c r="W250" s="10" t="n">
        <v>20314854.3495447</v>
      </c>
      <c r="X250" s="10" t="n">
        <v>593737.005716057</v>
      </c>
      <c r="Y250" s="10" t="n">
        <v>0</v>
      </c>
      <c r="Z250" s="10" t="n">
        <v>-23069.914075127</v>
      </c>
      <c r="AA250" s="10"/>
      <c r="AB250" s="10"/>
      <c r="AC250" s="10" t="n">
        <v>59268.9666442609</v>
      </c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</row>
    <row r="251">
      <c r="M251" t="s">
        <v>343</v>
      </c>
      <c r="N251" t="n">
        <v>1959</v>
      </c>
      <c r="O251" s="10"/>
      <c r="P251" s="10"/>
      <c r="Q251" s="10"/>
      <c r="R251" s="10"/>
      <c r="S251" s="10" t="n">
        <v>3493932.75775321</v>
      </c>
      <c r="T251" s="10" t="n">
        <v>743342.139150635</v>
      </c>
      <c r="U251" s="10" t="n">
        <v>59417.9320223373</v>
      </c>
      <c r="V251" s="10"/>
      <c r="W251" s="10"/>
      <c r="X251" s="10" t="n">
        <v>-122914.421942642</v>
      </c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</row>
    <row r="252">
      <c r="M252" t="s">
        <v>344</v>
      </c>
      <c r="N252" t="n">
        <v>1960</v>
      </c>
      <c r="O252" s="10"/>
      <c r="P252" s="10"/>
      <c r="Q252" s="10"/>
      <c r="R252" s="10"/>
      <c r="S252" s="10" t="n">
        <v>138433.751203464</v>
      </c>
      <c r="T252" s="10" t="n">
        <v>62512696.3482103</v>
      </c>
      <c r="U252" s="10" t="n">
        <v>29535435.1143998</v>
      </c>
      <c r="V252" s="10" t="n">
        <v>52210765.3738539</v>
      </c>
      <c r="W252" s="10" t="n">
        <v>25003344.528573</v>
      </c>
      <c r="X252" s="10" t="n">
        <v>29381571.0064553</v>
      </c>
      <c r="Y252" s="10" t="n">
        <v>29646794.1714326</v>
      </c>
      <c r="Z252" s="10" t="n">
        <v>23399194.656491</v>
      </c>
      <c r="AA252" s="10" t="n">
        <v>22199249.7623285</v>
      </c>
      <c r="AB252" s="10" t="n">
        <v>12874311.4511369</v>
      </c>
      <c r="AC252" s="10" t="n">
        <v>12601650.0965797</v>
      </c>
      <c r="AD252" s="10" t="n">
        <v>-75915.0884151664</v>
      </c>
      <c r="AE252" s="10" t="n">
        <v>-118712.982337595</v>
      </c>
      <c r="AF252" s="10" t="n">
        <v>-18097.2103913925</v>
      </c>
      <c r="AG252" s="10"/>
      <c r="AH252" s="10"/>
      <c r="AI252" s="10"/>
      <c r="AJ252" s="10" t="n">
        <v>0</v>
      </c>
      <c r="AK252" s="10"/>
      <c r="AL252" s="10"/>
      <c r="AM252" s="10"/>
    </row>
    <row r="253">
      <c r="M253" t="s">
        <v>345</v>
      </c>
      <c r="N253" t="n">
        <v>1950</v>
      </c>
      <c r="O253" s="10"/>
      <c r="P253" s="10"/>
      <c r="Q253" s="10"/>
      <c r="R253" s="10"/>
      <c r="S253" s="10" t="n">
        <v>1427839.03093697</v>
      </c>
      <c r="T253" s="10" t="n">
        <v>480346.697517799</v>
      </c>
      <c r="U253" s="10"/>
      <c r="V253" s="10" t="n">
        <v>15269.7269276944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</row>
    <row r="254">
      <c r="M254" t="s">
        <v>346</v>
      </c>
      <c r="N254" t="n">
        <v>1970</v>
      </c>
      <c r="O254" s="10"/>
      <c r="P254" s="10"/>
      <c r="Q254" s="10"/>
      <c r="R254" s="10"/>
      <c r="S254" s="10" t="n">
        <v>15073178.4049239</v>
      </c>
      <c r="T254" s="10" t="n">
        <v>4439824.34516151</v>
      </c>
      <c r="U254" s="10" t="n">
        <v>13924277.3696681</v>
      </c>
      <c r="V254" s="10" t="n">
        <v>32314753.4420966</v>
      </c>
      <c r="W254" s="10" t="n">
        <v>41582518.3122275</v>
      </c>
      <c r="X254" s="10" t="n">
        <v>48312048.049446</v>
      </c>
      <c r="Y254" s="10" t="n">
        <v>74333666.8849588</v>
      </c>
      <c r="Z254" s="10" t="n">
        <v>54603213.6102333</v>
      </c>
      <c r="AA254" s="10" t="n">
        <v>21257164.7110351</v>
      </c>
      <c r="AB254" s="10" t="n">
        <v>0</v>
      </c>
      <c r="AC254" s="10" t="n">
        <v>-14666.477488587</v>
      </c>
      <c r="AD254" s="10" t="n">
        <v>-1505937.63908494</v>
      </c>
      <c r="AE254" s="10" t="n">
        <v>-164851.997442515</v>
      </c>
      <c r="AF254" s="10" t="n">
        <v>-16048.2158072801</v>
      </c>
      <c r="AG254" s="10"/>
      <c r="AH254" s="10"/>
      <c r="AI254" s="10"/>
      <c r="AJ254" s="10"/>
      <c r="AK254" s="10"/>
      <c r="AL254" s="10"/>
      <c r="AM254" s="10"/>
    </row>
    <row r="255">
      <c r="M255" t="s">
        <v>347</v>
      </c>
      <c r="N255" t="n">
        <v>2251</v>
      </c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 t="n">
        <v>578495.500603641</v>
      </c>
      <c r="AI255" s="10"/>
      <c r="AJ255" s="10"/>
      <c r="AK255" s="10"/>
      <c r="AL255" s="10"/>
      <c r="AM255" s="10"/>
    </row>
    <row r="256">
      <c r="M256" t="s">
        <v>83</v>
      </c>
      <c r="N256" t="n">
        <v>2237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 t="n">
        <v>297445252.803271</v>
      </c>
      <c r="AI256" s="10" t="n">
        <v>538691933.667574</v>
      </c>
      <c r="AJ256" s="10" t="n">
        <v>523083958.134435</v>
      </c>
      <c r="AK256" s="10" t="n">
        <v>678232070.75</v>
      </c>
      <c r="AL256" s="10" t="n">
        <v>135729964.295349</v>
      </c>
      <c r="AM256" s="10"/>
    </row>
    <row r="257">
      <c r="M257" t="s">
        <v>348</v>
      </c>
      <c r="N257" t="n">
        <v>2239</v>
      </c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 t="n">
        <v>412714.260154054</v>
      </c>
      <c r="AI257" s="10" t="n">
        <v>335301.203593936</v>
      </c>
      <c r="AJ257" s="10" t="n">
        <v>180893.737218485</v>
      </c>
      <c r="AK257" s="10" t="n">
        <v>221021.3103</v>
      </c>
      <c r="AL257" s="10" t="n">
        <v>61156.3203541655</v>
      </c>
      <c r="AM257" s="10"/>
    </row>
    <row r="258">
      <c r="M258" t="s">
        <v>349</v>
      </c>
      <c r="N258" t="n">
        <v>543</v>
      </c>
      <c r="O258" s="10"/>
      <c r="P258" s="10"/>
      <c r="Q258" s="10" t="n">
        <v>39299.3535576251</v>
      </c>
      <c r="R258" s="10" t="n">
        <v>73953.3982685954</v>
      </c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</row>
    <row r="259">
      <c r="M259" t="s">
        <v>350</v>
      </c>
      <c r="N259" t="n">
        <v>1940</v>
      </c>
      <c r="O259" s="10" t="n">
        <v>40480797.961246</v>
      </c>
      <c r="P259" s="10" t="n">
        <v>45588228.0377228</v>
      </c>
      <c r="Q259" s="10" t="n">
        <v>57498254.3072164</v>
      </c>
      <c r="R259" s="10" t="n">
        <v>29524215.3698504</v>
      </c>
      <c r="S259" s="10" t="n">
        <v>15861371.3890045</v>
      </c>
      <c r="T259" s="10" t="n">
        <v>1941006.74528461</v>
      </c>
      <c r="U259" s="10"/>
      <c r="V259" s="10"/>
      <c r="W259" s="10"/>
      <c r="X259" s="10" t="n">
        <v>-624070.417643804</v>
      </c>
      <c r="Y259" s="10" t="n">
        <v>-212720.647567173</v>
      </c>
      <c r="Z259" s="10" t="n">
        <v>-7733.79448540245</v>
      </c>
      <c r="AA259" s="10" t="n">
        <v>-424604.674247575</v>
      </c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>
      <c r="M260" t="s">
        <v>351</v>
      </c>
      <c r="N260" t="n">
        <v>1873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 t="n">
        <v>4592.20634039444</v>
      </c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>
      <c r="M261" t="s">
        <v>352</v>
      </c>
      <c r="N261" t="n">
        <v>739</v>
      </c>
      <c r="O261" s="10" t="n">
        <v>1933221.00454881</v>
      </c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>
      <c r="M262" t="s">
        <v>353</v>
      </c>
      <c r="N262" t="n">
        <v>1841</v>
      </c>
      <c r="O262" s="10"/>
      <c r="P262" s="10"/>
      <c r="Q262" s="10"/>
      <c r="R262" s="10"/>
      <c r="S262" s="10" t="n">
        <v>4288089.04646253</v>
      </c>
      <c r="T262" s="10" t="n">
        <v>25004450.3182712</v>
      </c>
      <c r="U262" s="10" t="n">
        <v>14058723.4085687</v>
      </c>
      <c r="V262" s="10" t="n">
        <v>875864.650838812</v>
      </c>
      <c r="W262" s="10" t="n">
        <v>-111281.489633288</v>
      </c>
      <c r="X262" s="10" t="n">
        <v>-124723.787429986</v>
      </c>
      <c r="Y262" s="10" t="n">
        <v>-29524.0830966517</v>
      </c>
      <c r="Z262" s="10" t="n">
        <v>74145482.5572902</v>
      </c>
      <c r="AA262" s="10" t="n">
        <v>24958486.4959896</v>
      </c>
      <c r="AB262" s="10" t="n">
        <v>-6178640.94407437</v>
      </c>
      <c r="AC262" s="10" t="n">
        <v>642182.340210086</v>
      </c>
      <c r="AD262" s="10" t="n">
        <v>453827.779268984</v>
      </c>
      <c r="AE262" s="10" t="n">
        <v>-5809465.19287185</v>
      </c>
      <c r="AF262" s="10" t="n">
        <v>-18120.9704313765</v>
      </c>
      <c r="AG262" s="10" t="n">
        <v>-916560.222529957</v>
      </c>
      <c r="AH262" s="10"/>
      <c r="AI262" s="10"/>
      <c r="AJ262" s="10"/>
      <c r="AK262" s="10"/>
      <c r="AL262" s="10"/>
      <c r="AM262" s="10"/>
    </row>
    <row r="263">
      <c r="M263" t="s">
        <v>354</v>
      </c>
      <c r="N263" t="n">
        <v>88</v>
      </c>
      <c r="O263" s="10"/>
      <c r="P263" s="10"/>
      <c r="Q263" s="10"/>
      <c r="R263" s="10"/>
      <c r="S263" s="10"/>
      <c r="T263" s="10"/>
      <c r="U263" s="10"/>
      <c r="V263" s="10"/>
      <c r="W263" s="10" t="n">
        <v>71813.5586662127</v>
      </c>
      <c r="X263" s="10"/>
      <c r="Y263" s="10" t="n">
        <v>25796.9423335198</v>
      </c>
      <c r="Z263" s="10"/>
      <c r="AA263" s="10"/>
      <c r="AB263" s="10"/>
      <c r="AC263" s="10"/>
      <c r="AD263" s="10"/>
      <c r="AE263" s="10" t="n">
        <v>535053.095280889</v>
      </c>
      <c r="AF263" s="10" t="n">
        <v>25127.5638176367</v>
      </c>
      <c r="AG263" s="10" t="n">
        <v>147849.562144713</v>
      </c>
      <c r="AH263" s="10" t="n">
        <v>11874155.1852839</v>
      </c>
      <c r="AI263" s="10" t="n">
        <v>99500357.5398505</v>
      </c>
      <c r="AJ263" s="10" t="n">
        <v>129896652.322837</v>
      </c>
      <c r="AK263" s="10" t="n">
        <v>81260620.8818</v>
      </c>
      <c r="AL263" s="10" t="n">
        <v>83467809.6847827</v>
      </c>
      <c r="AM263" s="10"/>
    </row>
    <row r="264">
      <c r="M264" t="s">
        <v>75</v>
      </c>
      <c r="N264" t="n">
        <v>698</v>
      </c>
      <c r="O264" s="10"/>
      <c r="P264" s="10"/>
      <c r="Q264" s="10"/>
      <c r="R264" s="10"/>
      <c r="S264" s="10" t="n">
        <v>93249427.5993608</v>
      </c>
      <c r="T264" s="10" t="n">
        <v>190543356.305157</v>
      </c>
      <c r="U264" s="10" t="n">
        <v>269368647.989753</v>
      </c>
      <c r="V264" s="10" t="n">
        <v>795732824.65565</v>
      </c>
      <c r="W264" s="10" t="n">
        <v>687942546.816424</v>
      </c>
      <c r="X264" s="10" t="n">
        <v>576157920.187493</v>
      </c>
      <c r="Y264" s="10" t="n">
        <v>231155977.575077</v>
      </c>
      <c r="Z264" s="10" t="n">
        <v>136266984.549124</v>
      </c>
      <c r="AA264" s="10" t="n">
        <v>131441795.521979</v>
      </c>
      <c r="AB264" s="10" t="n">
        <v>394870.525205973</v>
      </c>
      <c r="AC264" s="10" t="n">
        <v>2688353.73761271</v>
      </c>
      <c r="AD264" s="10" t="n">
        <v>-438148.410559733</v>
      </c>
      <c r="AE264" s="10" t="n">
        <v>-6711.99988850211</v>
      </c>
      <c r="AF264" s="10" t="n">
        <v>-413321.209194189</v>
      </c>
      <c r="AG264" s="10" t="n">
        <v>-380168.855800648</v>
      </c>
      <c r="AH264" s="10" t="n">
        <v>-30314.422201011</v>
      </c>
      <c r="AI264" s="10" t="n">
        <v>-81.3781455595936</v>
      </c>
      <c r="AJ264" s="10" t="n">
        <v>-36.7193360097003</v>
      </c>
      <c r="AK264" s="10"/>
      <c r="AL264" s="10" t="n">
        <v>0</v>
      </c>
      <c r="AM264" s="10"/>
    </row>
    <row r="265">
      <c r="M265" t="s">
        <v>355</v>
      </c>
      <c r="N265" t="n">
        <v>477</v>
      </c>
      <c r="O265" s="10" t="n">
        <v>740573.099771799</v>
      </c>
      <c r="P265" s="10" t="n">
        <v>613469.817328526</v>
      </c>
      <c r="Q265" s="10" t="n">
        <v>157333764.631289</v>
      </c>
      <c r="R265" s="10" t="n">
        <v>74387190.85145</v>
      </c>
      <c r="S265" s="10"/>
      <c r="T265" s="10"/>
      <c r="U265" s="10"/>
      <c r="V265" s="10"/>
      <c r="W265" s="10" t="n">
        <v>-666507.885826042</v>
      </c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>
      <c r="M266" t="s">
        <v>356</v>
      </c>
      <c r="N266" t="n">
        <v>593</v>
      </c>
      <c r="O266" s="10"/>
      <c r="P266" s="10" t="n">
        <v>3424281.68411106</v>
      </c>
      <c r="Q266" s="10"/>
      <c r="R266" s="10" t="n">
        <v>439389.641061587</v>
      </c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>
      <c r="M267" t="s">
        <v>357</v>
      </c>
      <c r="N267" t="n">
        <v>1197</v>
      </c>
      <c r="O267" s="10"/>
      <c r="P267" s="10"/>
      <c r="Q267" s="10" t="n">
        <v>212481.445183551</v>
      </c>
      <c r="R267" s="10" t="n">
        <v>165424.842044099</v>
      </c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>
      <c r="M268" t="s">
        <v>358</v>
      </c>
      <c r="N268" t="n">
        <v>2081</v>
      </c>
      <c r="O268" s="10" t="n">
        <v>3484489.88825239</v>
      </c>
      <c r="P268" s="10"/>
      <c r="Q268" s="10"/>
      <c r="R268" s="10" t="n">
        <v>-105149.416676514</v>
      </c>
      <c r="S268" s="10"/>
      <c r="T268" s="10" t="n">
        <v>350467.391079028</v>
      </c>
      <c r="U268" s="10"/>
      <c r="V268" s="10"/>
      <c r="W268" s="10"/>
      <c r="X268" s="10"/>
      <c r="Y268" s="10"/>
      <c r="Z268" s="10"/>
      <c r="AA268" s="10"/>
      <c r="AB268" s="10" t="n">
        <v>-33028.9545173797</v>
      </c>
      <c r="AC268" s="10"/>
      <c r="AD268" s="10"/>
      <c r="AE268" s="10"/>
      <c r="AF268" s="10"/>
      <c r="AG268" s="10"/>
      <c r="AH268" s="10" t="n">
        <v>-258479.052873347</v>
      </c>
      <c r="AI268" s="10"/>
      <c r="AJ268" s="10"/>
      <c r="AK268" s="10"/>
      <c r="AL268" s="10"/>
      <c r="AM268" s="10"/>
    </row>
    <row r="269">
      <c r="M269" t="s">
        <v>359</v>
      </c>
      <c r="N269" t="n">
        <v>1937</v>
      </c>
      <c r="O269" s="10" t="n">
        <v>1665365.27689808</v>
      </c>
      <c r="P269" s="10"/>
      <c r="Q269" s="10" t="n">
        <v>1570284.51547063</v>
      </c>
      <c r="R269" s="10" t="n">
        <v>-55722.1964205915</v>
      </c>
      <c r="S269" s="10"/>
      <c r="T269" s="10"/>
      <c r="U269" s="10"/>
      <c r="V269" s="10"/>
      <c r="W269" s="10"/>
      <c r="X269" s="10"/>
      <c r="Y269" s="10"/>
      <c r="Z269" s="10"/>
      <c r="AA269" s="10" t="n">
        <v>-17.9324319965785</v>
      </c>
      <c r="AB269" s="10"/>
      <c r="AC269" s="10" t="n">
        <v>-2183.75722588585</v>
      </c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>
      <c r="M270" t="s">
        <v>360</v>
      </c>
      <c r="N270" t="n">
        <v>2082</v>
      </c>
      <c r="O270" s="10"/>
      <c r="P270" s="10"/>
      <c r="Q270" s="10"/>
      <c r="R270" s="10" t="n">
        <v>3804657.07913911</v>
      </c>
      <c r="S270" s="10"/>
      <c r="T270" s="10"/>
      <c r="U270" s="10"/>
      <c r="V270" s="10" t="n">
        <v>544326.777566861</v>
      </c>
      <c r="W270" s="10" t="n">
        <v>389647.175132762</v>
      </c>
      <c r="X270" s="10"/>
      <c r="Y270" s="10"/>
      <c r="Z270" s="10"/>
      <c r="AA270" s="10"/>
      <c r="AB270" s="10" t="n">
        <v>-24733.3791503518</v>
      </c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>
      <c r="M271" t="s">
        <v>361</v>
      </c>
      <c r="N271" t="n">
        <v>2187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 t="n">
        <v>4744642.27372192</v>
      </c>
      <c r="AH271" s="10"/>
      <c r="AI271" s="10" t="n">
        <v>7839718.32953724</v>
      </c>
      <c r="AJ271" s="10"/>
      <c r="AK271" s="10" t="n">
        <v>38103.6016</v>
      </c>
      <c r="AL271" s="10"/>
      <c r="AM271" s="10"/>
    </row>
    <row r="272">
      <c r="M272" t="s">
        <v>362</v>
      </c>
      <c r="N272" t="n">
        <v>2151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 t="n">
        <v>0</v>
      </c>
      <c r="AF272" s="10"/>
      <c r="AG272" s="10"/>
      <c r="AH272" s="10"/>
      <c r="AI272" s="10"/>
      <c r="AJ272" s="10"/>
      <c r="AK272" s="10"/>
      <c r="AL272" s="10"/>
      <c r="AM272" s="10"/>
    </row>
    <row r="273">
      <c r="M273" t="s">
        <v>363</v>
      </c>
      <c r="N273" t="n">
        <v>1939</v>
      </c>
      <c r="O273" s="10" t="n">
        <v>1140810.43759027</v>
      </c>
      <c r="P273" s="10" t="n">
        <v>17037917.2879771</v>
      </c>
      <c r="Q273" s="10" t="n">
        <v>12438000.0323855</v>
      </c>
      <c r="R273" s="10" t="n">
        <v>12886255.0745188</v>
      </c>
      <c r="S273" s="10" t="n">
        <v>21040191.3195913</v>
      </c>
      <c r="T273" s="10" t="n">
        <v>40191863.8470537</v>
      </c>
      <c r="U273" s="10"/>
      <c r="V273" s="10"/>
      <c r="W273" s="10"/>
      <c r="X273" s="10"/>
      <c r="Y273" s="10"/>
      <c r="Z273" s="10"/>
      <c r="AA273" s="10"/>
      <c r="AB273" s="10"/>
      <c r="AC273" s="10" t="n">
        <v>-928083.475818437</v>
      </c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</row>
    <row r="274">
      <c r="M274" t="s">
        <v>364</v>
      </c>
      <c r="N274" t="n">
        <v>1983</v>
      </c>
      <c r="O274" s="10"/>
      <c r="P274" s="10"/>
      <c r="Q274" s="10"/>
      <c r="R274" s="10"/>
      <c r="S274" s="10"/>
      <c r="T274" s="10"/>
      <c r="U274" s="10"/>
      <c r="V274" s="10"/>
      <c r="W274" s="10" t="n">
        <v>499880.914369532</v>
      </c>
      <c r="X274" s="10" t="n">
        <v>58872.0693096446</v>
      </c>
      <c r="Y274" s="10" t="n">
        <v>5790.21587140112</v>
      </c>
      <c r="Z274" s="10"/>
      <c r="AA274" s="10" t="n">
        <v>33797.8239134814</v>
      </c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</row>
    <row r="275">
      <c r="M275" t="s">
        <v>365</v>
      </c>
      <c r="N275" t="n">
        <v>1997</v>
      </c>
      <c r="O275" s="10"/>
      <c r="P275" s="10"/>
      <c r="Q275" s="10"/>
      <c r="R275" s="10"/>
      <c r="S275" s="10"/>
      <c r="T275" s="10"/>
      <c r="U275" s="10"/>
      <c r="V275" s="10" t="n">
        <v>69439794.3602292</v>
      </c>
      <c r="W275" s="10" t="n">
        <v>82337539.9523989</v>
      </c>
      <c r="X275" s="10" t="n">
        <v>81247756.4508203</v>
      </c>
      <c r="Y275" s="10" t="n">
        <v>78982047.0005742</v>
      </c>
      <c r="Z275" s="10" t="n">
        <v>86427484.7109471</v>
      </c>
      <c r="AA275" s="10" t="n">
        <v>82485125.9937709</v>
      </c>
      <c r="AB275" s="10" t="n">
        <v>102049094.807852</v>
      </c>
      <c r="AC275" s="10" t="n">
        <v>67159211.0955006</v>
      </c>
      <c r="AD275" s="10" t="n">
        <v>2716015.20203356</v>
      </c>
      <c r="AE275" s="10" t="n">
        <v>2464202.81663418</v>
      </c>
      <c r="AF275" s="10" t="n">
        <v>858319.767584948</v>
      </c>
      <c r="AG275" s="10" t="n">
        <v>-431329.339632615</v>
      </c>
      <c r="AH275" s="10" t="n">
        <v>1283885.74777873</v>
      </c>
      <c r="AI275" s="10" t="n">
        <v>-157925.933296751</v>
      </c>
      <c r="AJ275" s="10" t="n">
        <v>-89959.368525624</v>
      </c>
      <c r="AK275" s="10" t="n">
        <v>-64975.697</v>
      </c>
      <c r="AL275" s="10" t="n">
        <v>15391.215346577</v>
      </c>
      <c r="AM275" s="10"/>
    </row>
    <row r="276">
      <c r="M276" t="s">
        <v>366</v>
      </c>
      <c r="N276" t="n">
        <v>1949</v>
      </c>
      <c r="O276" s="10"/>
      <c r="P276" s="10"/>
      <c r="Q276" s="10"/>
      <c r="R276" s="10"/>
      <c r="S276" s="10" t="n">
        <v>3856876.22647319</v>
      </c>
      <c r="T276" s="10" t="n">
        <v>33517.3313122283</v>
      </c>
      <c r="U276" s="10" t="n">
        <v>223870.739643011</v>
      </c>
      <c r="V276" s="10" t="n">
        <v>6032340.64898906</v>
      </c>
      <c r="W276" s="10" t="n">
        <v>884837.540255793</v>
      </c>
      <c r="X276" s="10" t="n">
        <v>1606871.88978517</v>
      </c>
      <c r="Y276" s="10" t="n">
        <v>2647732.30885393</v>
      </c>
      <c r="Z276" s="10" t="n">
        <v>2629824.39237194</v>
      </c>
      <c r="AA276" s="10" t="n">
        <v>7053179.99241891</v>
      </c>
      <c r="AB276" s="10" t="n">
        <v>362865.854119347</v>
      </c>
      <c r="AC276" s="10" t="n">
        <v>1882029.91638212</v>
      </c>
      <c r="AD276" s="10" t="n">
        <v>0</v>
      </c>
      <c r="AE276" s="10"/>
      <c r="AF276" s="10"/>
      <c r="AG276" s="10" t="n">
        <v>0</v>
      </c>
      <c r="AH276" s="10"/>
      <c r="AI276" s="10"/>
      <c r="AJ276" s="10"/>
      <c r="AK276" s="10"/>
      <c r="AL276" s="10"/>
      <c r="AM276" s="10"/>
    </row>
    <row r="277">
      <c r="M277" t="s">
        <v>367</v>
      </c>
      <c r="N277" t="n">
        <v>1975</v>
      </c>
      <c r="O277" s="10"/>
      <c r="P277" s="10"/>
      <c r="Q277" s="10"/>
      <c r="R277" s="10"/>
      <c r="S277" s="10" t="n">
        <v>2305020.2799213</v>
      </c>
      <c r="T277" s="10" t="n">
        <v>8651154.24171024</v>
      </c>
      <c r="U277" s="10" t="n">
        <v>4601063.03682914</v>
      </c>
      <c r="V277" s="10" t="n">
        <v>27823053.2816879</v>
      </c>
      <c r="W277" s="10" t="n">
        <v>16034112.2052509</v>
      </c>
      <c r="X277" s="10" t="n">
        <v>9721921.80283283</v>
      </c>
      <c r="Y277" s="10" t="n">
        <v>8635341.14798712</v>
      </c>
      <c r="Z277" s="10" t="n">
        <v>13067430.3377329</v>
      </c>
      <c r="AA277" s="10" t="n">
        <v>10462125.0290061</v>
      </c>
      <c r="AB277" s="10" t="n">
        <v>41213780.4149007</v>
      </c>
      <c r="AC277" s="10" t="n">
        <v>59764434.2897442</v>
      </c>
      <c r="AD277" s="10" t="n">
        <v>41167658.1376621</v>
      </c>
      <c r="AE277" s="10" t="n">
        <v>62147228.8020958</v>
      </c>
      <c r="AF277" s="10" t="n">
        <v>67464669.8739146</v>
      </c>
      <c r="AG277" s="10" t="n">
        <v>26806388.972906</v>
      </c>
      <c r="AH277" s="10" t="n">
        <v>28109958.8306674</v>
      </c>
      <c r="AI277" s="10" t="n">
        <v>21721275.4548502</v>
      </c>
      <c r="AJ277" s="10" t="n">
        <v>8860186.3230854</v>
      </c>
      <c r="AK277" s="10" t="n">
        <v>1</v>
      </c>
      <c r="AL277" s="10"/>
      <c r="AM277" s="10"/>
    </row>
    <row r="278">
      <c r="M278" t="s">
        <v>368</v>
      </c>
      <c r="N278" t="n">
        <v>2083</v>
      </c>
      <c r="O278" s="10"/>
      <c r="P278" s="10"/>
      <c r="Q278" s="10" t="n">
        <v>6000456.56885115</v>
      </c>
      <c r="R278" s="10" t="n">
        <v>24293878.0014297</v>
      </c>
      <c r="S278" s="10" t="n">
        <v>19875506.905065</v>
      </c>
      <c r="T278" s="10" t="n">
        <v>10722384.4161066</v>
      </c>
      <c r="U278" s="10" t="n">
        <v>-363122.167794</v>
      </c>
      <c r="V278" s="10"/>
      <c r="W278" s="10"/>
      <c r="X278" s="10" t="n">
        <v>-261.268790897402</v>
      </c>
      <c r="Y278" s="10" t="n">
        <v>0</v>
      </c>
      <c r="Z278" s="10"/>
      <c r="AA278" s="10"/>
      <c r="AB278" s="10"/>
      <c r="AC278" s="10"/>
      <c r="AD278" s="10" t="n">
        <v>0</v>
      </c>
      <c r="AE278" s="10"/>
      <c r="AF278" s="10"/>
      <c r="AG278" s="10"/>
      <c r="AH278" s="10"/>
      <c r="AI278" s="10"/>
      <c r="AJ278" s="10"/>
      <c r="AK278" s="10"/>
      <c r="AL278" s="10"/>
      <c r="AM278" s="10"/>
    </row>
    <row r="279">
      <c r="M279" t="s">
        <v>369</v>
      </c>
      <c r="N279" t="n">
        <v>1941</v>
      </c>
      <c r="O279" s="10"/>
      <c r="P279" s="10"/>
      <c r="Q279" s="10"/>
      <c r="R279" s="10" t="n">
        <v>17361256.2567126</v>
      </c>
      <c r="S279" s="10" t="n">
        <v>5492023.57803484</v>
      </c>
      <c r="T279" s="10" t="n">
        <v>1914520.01239123</v>
      </c>
      <c r="U279" s="10" t="n">
        <v>31142.054164091</v>
      </c>
      <c r="V279" s="10"/>
      <c r="W279" s="10"/>
      <c r="X279" s="10"/>
      <c r="Y279" s="10" t="n">
        <v>-461424.710061776</v>
      </c>
      <c r="Z279" s="10"/>
      <c r="AA279" s="10" t="n">
        <v>-75557.9999855835</v>
      </c>
      <c r="AB279" s="10"/>
      <c r="AC279" s="10" t="n">
        <v>0</v>
      </c>
      <c r="AD279" s="10" t="n">
        <v>0</v>
      </c>
      <c r="AE279" s="10"/>
      <c r="AF279" s="10"/>
      <c r="AG279" s="10"/>
      <c r="AH279" s="10"/>
      <c r="AI279" s="10"/>
      <c r="AJ279" s="10"/>
      <c r="AK279" s="10"/>
      <c r="AL279" s="10"/>
      <c r="AM279" s="10"/>
    </row>
    <row r="280">
      <c r="M280" t="s">
        <v>370</v>
      </c>
      <c r="N280" t="n">
        <v>1345</v>
      </c>
      <c r="O280" s="10"/>
      <c r="P280" s="10"/>
      <c r="Q280" s="10"/>
      <c r="R280" s="10"/>
      <c r="S280" s="10" t="n">
        <v>5244276.45844559</v>
      </c>
      <c r="T280" s="10" t="n">
        <v>33259833.8405694</v>
      </c>
      <c r="U280" s="10" t="n">
        <v>47896050.0769935</v>
      </c>
      <c r="V280" s="10" t="n">
        <v>39072283.8698002</v>
      </c>
      <c r="W280" s="10" t="n">
        <v>57374686.0558236</v>
      </c>
      <c r="X280" s="10" t="n">
        <v>36343927.1843629</v>
      </c>
      <c r="Y280" s="10" t="n">
        <v>7490640.86919058</v>
      </c>
      <c r="Z280" s="10" t="n">
        <v>4485448.81261546</v>
      </c>
      <c r="AA280" s="10" t="n">
        <v>21282.1699959394</v>
      </c>
      <c r="AB280" s="10" t="n">
        <v>357245.539974737</v>
      </c>
      <c r="AC280" s="10"/>
      <c r="AD280" s="10"/>
      <c r="AE280" s="10" t="n">
        <v>-4586.14315290349</v>
      </c>
      <c r="AF280" s="10"/>
      <c r="AG280" s="10" t="n">
        <v>-6922.57581629752</v>
      </c>
      <c r="AH280" s="10"/>
      <c r="AI280" s="10"/>
      <c r="AJ280" s="10"/>
      <c r="AK280" s="10"/>
      <c r="AL280" s="10"/>
      <c r="AM280" s="10"/>
    </row>
    <row r="281">
      <c r="M281" t="s">
        <v>371</v>
      </c>
      <c r="N281" t="n">
        <v>1352</v>
      </c>
      <c r="O281" s="10"/>
      <c r="P281" s="10"/>
      <c r="Q281" s="10"/>
      <c r="R281" s="10"/>
      <c r="S281" s="10"/>
      <c r="T281" s="10" t="n">
        <v>-1160743.13702469</v>
      </c>
      <c r="U281" s="10" t="n">
        <v>9923173.54225661</v>
      </c>
      <c r="V281" s="10" t="n">
        <v>7077641.58491976</v>
      </c>
      <c r="W281" s="10" t="n">
        <v>7146376.88146162</v>
      </c>
      <c r="X281" s="10" t="n">
        <v>7525889.86663644</v>
      </c>
      <c r="Y281" s="10" t="n">
        <v>3003592.61937012</v>
      </c>
      <c r="Z281" s="10" t="n">
        <v>4778802.05922634</v>
      </c>
      <c r="AA281" s="10" t="n">
        <v>0</v>
      </c>
      <c r="AB281" s="10" t="n">
        <v>-1995545.55798843</v>
      </c>
      <c r="AC281" s="10"/>
      <c r="AD281" s="10"/>
      <c r="AE281" s="10"/>
      <c r="AF281" s="10"/>
      <c r="AG281" s="10"/>
      <c r="AH281" s="10"/>
      <c r="AI281" s="10" t="n">
        <v>31692.4938737111</v>
      </c>
      <c r="AJ281" s="10"/>
      <c r="AK281" s="10"/>
      <c r="AL281" s="10"/>
      <c r="AM281" s="10"/>
    </row>
    <row r="282">
      <c r="M282" t="s">
        <v>372</v>
      </c>
      <c r="N282" t="n">
        <v>2178</v>
      </c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 t="n">
        <v>24652857.5059771</v>
      </c>
      <c r="AI282" s="10"/>
      <c r="AJ282" s="10"/>
      <c r="AK282" s="10"/>
      <c r="AL282" s="10" t="n">
        <v>-285424.165046019</v>
      </c>
      <c r="AM282" s="10"/>
    </row>
    <row r="283">
      <c r="M283" t="s">
        <v>76</v>
      </c>
      <c r="N283" t="n">
        <v>1346</v>
      </c>
      <c r="O283" s="10"/>
      <c r="P283" s="10"/>
      <c r="Q283" s="10"/>
      <c r="R283" s="10"/>
      <c r="S283" s="10" t="n">
        <v>124948.263609599</v>
      </c>
      <c r="T283" s="10" t="n">
        <v>119874098.064632</v>
      </c>
      <c r="U283" s="10" t="n">
        <v>197641646.170885</v>
      </c>
      <c r="V283" s="10" t="n">
        <v>193786762.385778</v>
      </c>
      <c r="W283" s="10" t="n">
        <v>193913160.840053</v>
      </c>
      <c r="X283" s="10" t="n">
        <v>180019560.408417</v>
      </c>
      <c r="Y283" s="10" t="n">
        <v>185478811.851549</v>
      </c>
      <c r="Z283" s="10" t="n">
        <v>163992761.661454</v>
      </c>
      <c r="AA283" s="10" t="n">
        <v>137321065.224718</v>
      </c>
      <c r="AB283" s="10" t="n">
        <v>122841224.344488</v>
      </c>
      <c r="AC283" s="10" t="n">
        <v>127178774.472776</v>
      </c>
      <c r="AD283" s="10" t="n">
        <v>398283482.377688</v>
      </c>
      <c r="AE283" s="10" t="n">
        <v>288614030.200936</v>
      </c>
      <c r="AF283" s="10" t="n">
        <v>158041532.969931</v>
      </c>
      <c r="AG283" s="10" t="n">
        <v>420350787.506304</v>
      </c>
      <c r="AH283" s="10" t="n">
        <v>229360911.627923</v>
      </c>
      <c r="AI283" s="10" t="n">
        <v>141448617.757107</v>
      </c>
      <c r="AJ283" s="10" t="n">
        <v>106450050.228288</v>
      </c>
      <c r="AK283" s="10" t="n">
        <v>86439797.669</v>
      </c>
      <c r="AL283" s="10" t="n">
        <v>2813014.37076859</v>
      </c>
      <c r="AM283" s="10"/>
    </row>
    <row r="284">
      <c r="M284" t="s">
        <v>373</v>
      </c>
      <c r="N284" t="n">
        <v>1969</v>
      </c>
      <c r="O284" s="10"/>
      <c r="P284" s="10"/>
      <c r="Q284" s="10"/>
      <c r="R284" s="10"/>
      <c r="S284" s="10" t="n">
        <v>-2741162.6064059</v>
      </c>
      <c r="T284" s="10" t="n">
        <v>32856384.3217753</v>
      </c>
      <c r="U284" s="10" t="n">
        <v>144175.658857909</v>
      </c>
      <c r="V284" s="10"/>
      <c r="W284" s="10" t="n">
        <v>7771175.68835811</v>
      </c>
      <c r="X284" s="10" t="n">
        <v>-1761376.4318182</v>
      </c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</row>
    <row r="285">
      <c r="M285" t="s">
        <v>374</v>
      </c>
      <c r="N285" t="n">
        <v>1998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 t="n">
        <v>189244.521610343</v>
      </c>
      <c r="Z285" s="10" t="n">
        <v>0</v>
      </c>
      <c r="AA285" s="10"/>
      <c r="AB285" s="10"/>
      <c r="AC285" s="10"/>
      <c r="AD285" s="10" t="n">
        <v>18647.811325324</v>
      </c>
      <c r="AE285" s="10" t="n">
        <v>929.593229302766</v>
      </c>
      <c r="AF285" s="10"/>
      <c r="AG285" s="10"/>
      <c r="AH285" s="10"/>
      <c r="AI285" s="10"/>
      <c r="AJ285" s="10"/>
      <c r="AK285" s="10"/>
      <c r="AL285" s="10"/>
      <c r="AM285" s="10"/>
    </row>
    <row r="286">
      <c r="M286" t="s">
        <v>375</v>
      </c>
      <c r="N286" t="n">
        <v>1990</v>
      </c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 t="n">
        <v>4948616.83470121</v>
      </c>
      <c r="AA286" s="10" t="n">
        <v>4787374.68611255</v>
      </c>
      <c r="AB286" s="10" t="n">
        <v>4070724.65742628</v>
      </c>
      <c r="AC286" s="10" t="n">
        <v>4516822.78609934</v>
      </c>
      <c r="AD286" s="10" t="n">
        <v>5637338.7950866</v>
      </c>
      <c r="AE286" s="10" t="n">
        <v>2476922.83333164</v>
      </c>
      <c r="AF286" s="10" t="n">
        <v>22707078.3877447</v>
      </c>
      <c r="AG286" s="10" t="n">
        <v>51713641.5557782</v>
      </c>
      <c r="AH286" s="10" t="n">
        <v>229236.216798261</v>
      </c>
      <c r="AI286" s="10" t="n">
        <v>-2930645.40371736</v>
      </c>
      <c r="AJ286" s="10" t="n">
        <v>-1462876.60501565</v>
      </c>
      <c r="AK286" s="10" t="n">
        <v>81391.1172</v>
      </c>
      <c r="AL286" s="10" t="n">
        <v>3483243.0677464</v>
      </c>
      <c r="AM286" s="10"/>
    </row>
    <row r="287">
      <c r="M287" t="s">
        <v>376</v>
      </c>
      <c r="N287" t="n">
        <v>2084</v>
      </c>
      <c r="O287" s="10"/>
      <c r="P287" s="10"/>
      <c r="Q287" s="10"/>
      <c r="R287" s="10" t="n">
        <v>970002.340249962</v>
      </c>
      <c r="S287" s="10" t="n">
        <v>982243.587383647</v>
      </c>
      <c r="T287" s="10"/>
      <c r="U287" s="10" t="n">
        <v>235504.619175174</v>
      </c>
      <c r="V287" s="10" t="n">
        <v>0</v>
      </c>
      <c r="W287" s="10"/>
      <c r="X287" s="10"/>
      <c r="Y287" s="10"/>
      <c r="Z287" s="10"/>
      <c r="AA287" s="10"/>
      <c r="AB287" s="10" t="n">
        <v>-25751.3184693532</v>
      </c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</row>
    <row r="288">
      <c r="M288" t="s">
        <v>377</v>
      </c>
      <c r="N288" t="n">
        <v>1986</v>
      </c>
      <c r="O288" s="10"/>
      <c r="P288" s="10"/>
      <c r="Q288" s="10"/>
      <c r="R288" s="10"/>
      <c r="S288" s="10"/>
      <c r="T288" s="10"/>
      <c r="U288" s="10"/>
      <c r="V288" s="10"/>
      <c r="W288" s="10" t="n">
        <v>14844.6641186897</v>
      </c>
      <c r="X288" s="10"/>
      <c r="Y288" s="10" t="n">
        <v>402946.278608701</v>
      </c>
      <c r="Z288" s="10" t="n">
        <v>1023194.63440329</v>
      </c>
      <c r="AA288" s="10"/>
      <c r="AB288" s="10" t="n">
        <v>-457493.709878123</v>
      </c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</row>
    <row r="289">
      <c r="M289" t="s">
        <v>378</v>
      </c>
      <c r="N289" t="n">
        <v>2085</v>
      </c>
      <c r="O289" s="10"/>
      <c r="P289" s="10"/>
      <c r="Q289" s="10" t="n">
        <v>2811088.69230643</v>
      </c>
      <c r="R289" s="10" t="n">
        <v>1764604.7927105</v>
      </c>
      <c r="S289" s="10" t="n">
        <v>221634.41997417</v>
      </c>
      <c r="T289" s="10"/>
      <c r="U289" s="10"/>
      <c r="V289" s="10"/>
      <c r="W289" s="10"/>
      <c r="X289" s="10"/>
      <c r="Y289" s="10"/>
      <c r="Z289" s="10"/>
      <c r="AA289" s="10"/>
      <c r="AB289" s="10" t="n">
        <v>-67097.4900605175</v>
      </c>
      <c r="AC289" s="10"/>
      <c r="AD289" s="10"/>
      <c r="AE289" s="10"/>
      <c r="AF289" s="10" t="n">
        <v>-14534.9046533188</v>
      </c>
      <c r="AG289" s="10"/>
      <c r="AH289" s="10"/>
      <c r="AI289" s="10"/>
      <c r="AJ289" s="10"/>
      <c r="AK289" s="10"/>
      <c r="AL289" s="10"/>
      <c r="AM289" s="10"/>
    </row>
    <row r="290">
      <c r="M290" t="s">
        <v>379</v>
      </c>
      <c r="N290" t="n">
        <v>1943</v>
      </c>
      <c r="O290" s="10"/>
      <c r="P290" s="10"/>
      <c r="Q290" s="10"/>
      <c r="R290" s="10" t="n">
        <v>18014804.6136315</v>
      </c>
      <c r="S290" s="10" t="n">
        <v>19829094.5750513</v>
      </c>
      <c r="T290" s="10" t="n">
        <v>0</v>
      </c>
      <c r="U290" s="10" t="n">
        <v>0</v>
      </c>
      <c r="V290" s="10" t="n">
        <v>264805.45156767</v>
      </c>
      <c r="W290" s="10" t="n">
        <v>0</v>
      </c>
      <c r="X290" s="10"/>
      <c r="Y290" s="10"/>
      <c r="Z290" s="10"/>
      <c r="AA290" s="10"/>
      <c r="AB290" s="10"/>
      <c r="AC290" s="10" t="n">
        <v>-607.39994039556</v>
      </c>
      <c r="AD290" s="10" t="n">
        <v>0</v>
      </c>
      <c r="AE290" s="10"/>
      <c r="AF290" s="10"/>
      <c r="AG290" s="10"/>
      <c r="AH290" s="10"/>
      <c r="AI290" s="10"/>
      <c r="AJ290" s="10"/>
      <c r="AK290" s="10"/>
      <c r="AL290" s="10"/>
      <c r="AM290" s="10"/>
    </row>
    <row r="291">
      <c r="M291" t="s">
        <v>380</v>
      </c>
      <c r="N291" t="n">
        <v>2086</v>
      </c>
      <c r="O291" s="10" t="n">
        <v>42309786.6045541</v>
      </c>
      <c r="P291" s="10" t="n">
        <v>14722956.9655024</v>
      </c>
      <c r="Q291" s="10" t="n">
        <v>6205423.21233292</v>
      </c>
      <c r="R291" s="10" t="n">
        <v>4087862.43382412</v>
      </c>
      <c r="S291" s="10" t="n">
        <v>558780.534696757</v>
      </c>
      <c r="T291" s="10" t="n">
        <v>1376253.35521053</v>
      </c>
      <c r="U291" s="10"/>
      <c r="V291" s="10"/>
      <c r="W291" s="10" t="n">
        <v>0</v>
      </c>
      <c r="X291" s="10"/>
      <c r="Y291" s="10"/>
      <c r="Z291" s="10" t="n">
        <v>-84366.2772996988</v>
      </c>
      <c r="AA291" s="10"/>
      <c r="AB291" s="10"/>
      <c r="AC291" s="10"/>
      <c r="AD291" s="10" t="n">
        <v>0</v>
      </c>
      <c r="AE291" s="10"/>
      <c r="AF291" s="10"/>
      <c r="AG291" s="10"/>
      <c r="AH291" s="10" t="n">
        <v>0</v>
      </c>
      <c r="AI291" s="10"/>
      <c r="AJ291" s="10"/>
      <c r="AK291" s="10"/>
      <c r="AL291" s="10"/>
      <c r="AM291" s="10"/>
    </row>
    <row r="292">
      <c r="M292" t="s">
        <v>381</v>
      </c>
      <c r="N292" t="n">
        <v>2087</v>
      </c>
      <c r="O292" s="10" t="n">
        <v>52076595.2341102</v>
      </c>
      <c r="P292" s="10" t="n">
        <v>32189900.7111911</v>
      </c>
      <c r="Q292" s="10" t="n">
        <v>52332344.4983818</v>
      </c>
      <c r="R292" s="10" t="n">
        <v>22824999.9430084</v>
      </c>
      <c r="S292" s="10" t="n">
        <v>7611745.5830231</v>
      </c>
      <c r="T292" s="10" t="n">
        <v>7227833.41211574</v>
      </c>
      <c r="U292" s="10"/>
      <c r="V292" s="10"/>
      <c r="W292" s="10"/>
      <c r="X292" s="10"/>
      <c r="Y292" s="10" t="n">
        <v>-213565.353850604</v>
      </c>
      <c r="Z292" s="10" t="n">
        <v>-666336.28918358</v>
      </c>
      <c r="AA292" s="10"/>
      <c r="AB292" s="10"/>
      <c r="AC292" s="10"/>
      <c r="AD292" s="10" t="n">
        <v>0</v>
      </c>
      <c r="AE292" s="10"/>
      <c r="AF292" s="10"/>
      <c r="AG292" s="10"/>
      <c r="AH292" s="10"/>
      <c r="AI292" s="10"/>
      <c r="AJ292" s="10" t="n">
        <v>0</v>
      </c>
      <c r="AK292" s="10"/>
      <c r="AL292" s="10"/>
      <c r="AM292" s="10"/>
    </row>
    <row r="293">
      <c r="M293" t="s">
        <v>382</v>
      </c>
      <c r="N293" t="n">
        <v>1944</v>
      </c>
      <c r="O293" s="10" t="n">
        <v>19866588.5234985</v>
      </c>
      <c r="P293" s="10" t="n">
        <v>9912653.38709392</v>
      </c>
      <c r="Q293" s="10" t="n">
        <v>-366923.898013149</v>
      </c>
      <c r="R293" s="10"/>
      <c r="S293" s="10" t="n">
        <v>-666212.241731753</v>
      </c>
      <c r="T293" s="10"/>
      <c r="U293" s="10"/>
      <c r="V293" s="10"/>
      <c r="W293" s="10"/>
      <c r="X293" s="10"/>
      <c r="Y293" s="10"/>
      <c r="Z293" s="10"/>
      <c r="AA293" s="10"/>
      <c r="AB293" s="10" t="n">
        <v>-72722.9363813005</v>
      </c>
      <c r="AC293" s="10" t="n">
        <v>-362931.946421031</v>
      </c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</row>
    <row r="294">
      <c r="M294" t="s">
        <v>383</v>
      </c>
      <c r="N294" t="n">
        <v>1981</v>
      </c>
      <c r="O294" s="10"/>
      <c r="P294" s="10"/>
      <c r="Q294" s="10"/>
      <c r="R294" s="10"/>
      <c r="S294" s="10"/>
      <c r="T294" s="10"/>
      <c r="U294" s="10"/>
      <c r="V294" s="10" t="n">
        <v>5679758.70908419</v>
      </c>
      <c r="W294" s="10" t="n">
        <v>2195066.61540368</v>
      </c>
      <c r="X294" s="10" t="n">
        <v>0</v>
      </c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</row>
    <row r="295">
      <c r="M295" t="s">
        <v>384</v>
      </c>
      <c r="N295" t="n">
        <v>2088</v>
      </c>
      <c r="O295" s="10"/>
      <c r="P295" s="10"/>
      <c r="Q295" s="10"/>
      <c r="R295" s="10" t="n">
        <v>383131.053546838</v>
      </c>
      <c r="S295" s="10" t="n">
        <v>-3718.69832171426</v>
      </c>
      <c r="T295" s="10"/>
      <c r="U295" s="10"/>
      <c r="V295" s="10"/>
      <c r="W295" s="10"/>
      <c r="X295" s="10"/>
      <c r="Y295" s="10"/>
      <c r="Z295" s="10"/>
      <c r="AA295" s="10"/>
      <c r="AB295" s="10" t="n">
        <v>-159214.944935602</v>
      </c>
      <c r="AC295" s="10"/>
      <c r="AD295" s="10"/>
      <c r="AE295" s="10" t="n">
        <v>0</v>
      </c>
      <c r="AF295" s="10" t="n">
        <v>0</v>
      </c>
      <c r="AG295" s="10"/>
      <c r="AH295" s="10"/>
      <c r="AI295" s="10"/>
      <c r="AJ295" s="10"/>
      <c r="AK295" s="10"/>
      <c r="AL295" s="10"/>
      <c r="AM295" s="10"/>
    </row>
    <row r="296">
      <c r="M296" t="s">
        <v>385</v>
      </c>
      <c r="N296" t="n">
        <v>2089</v>
      </c>
      <c r="O296" s="10"/>
      <c r="P296" s="10"/>
      <c r="Q296" s="10"/>
      <c r="R296" s="10" t="n">
        <v>5866037.0069138</v>
      </c>
      <c r="S296" s="10"/>
      <c r="T296" s="10"/>
      <c r="U296" s="10"/>
      <c r="V296" s="10" t="n">
        <v>838893.200032568</v>
      </c>
      <c r="W296" s="10" t="n">
        <v>-7689.38164065718</v>
      </c>
      <c r="X296" s="10" t="n">
        <v>-9653.90716009411</v>
      </c>
      <c r="Y296" s="10" t="n">
        <v>-6699.26419530128</v>
      </c>
      <c r="Z296" s="10" t="n">
        <v>-20378.269200666</v>
      </c>
      <c r="AA296" s="10"/>
      <c r="AB296" s="10" t="n">
        <v>-10528.9129374777</v>
      </c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</row>
    <row r="297">
      <c r="M297" t="s">
        <v>386</v>
      </c>
      <c r="N297" t="n">
        <v>2090</v>
      </c>
      <c r="O297" s="10"/>
      <c r="P297" s="10"/>
      <c r="Q297" s="10"/>
      <c r="R297" s="10" t="n">
        <v>14324080.3553357</v>
      </c>
      <c r="S297" s="10" t="n">
        <v>5467974.01224865</v>
      </c>
      <c r="T297" s="10" t="n">
        <v>5611521.93409632</v>
      </c>
      <c r="U297" s="10" t="n">
        <v>699067.391669459</v>
      </c>
      <c r="V297" s="10" t="n">
        <v>1645043.97490841</v>
      </c>
      <c r="W297" s="10" t="n">
        <v>0</v>
      </c>
      <c r="X297" s="10"/>
      <c r="Y297" s="10" t="n">
        <v>-421955.440489776</v>
      </c>
      <c r="Z297" s="10"/>
      <c r="AA297" s="10" t="n">
        <v>-295935.499943535</v>
      </c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</row>
    <row r="298">
      <c r="M298" t="s">
        <v>387</v>
      </c>
      <c r="N298" t="n">
        <v>2091</v>
      </c>
      <c r="O298" s="10" t="n">
        <v>22873313.4989544</v>
      </c>
      <c r="P298" s="10" t="n">
        <v>630583.866818224</v>
      </c>
      <c r="Q298" s="10" t="n">
        <v>56765100.6869207</v>
      </c>
      <c r="R298" s="10" t="n">
        <v>39187576.745832</v>
      </c>
      <c r="S298" s="10" t="n">
        <v>50177986.5702929</v>
      </c>
      <c r="T298" s="10" t="n">
        <v>43017088.8886773</v>
      </c>
      <c r="U298" s="10" t="n">
        <v>25698613.5221654</v>
      </c>
      <c r="V298" s="10" t="n">
        <v>882356.768818332</v>
      </c>
      <c r="W298" s="10" t="n">
        <v>0</v>
      </c>
      <c r="X298" s="10" t="n">
        <v>-1401021.7257912</v>
      </c>
      <c r="Y298" s="10" t="n">
        <v>-11127.7594425957</v>
      </c>
      <c r="Z298" s="10"/>
      <c r="AA298" s="10" t="n">
        <v>-244476.527350694</v>
      </c>
      <c r="AB298" s="10" t="n">
        <v>-109823.623441307</v>
      </c>
      <c r="AC298" s="10"/>
      <c r="AD298" s="10"/>
      <c r="AE298" s="10"/>
      <c r="AF298" s="10"/>
      <c r="AG298" s="10"/>
      <c r="AH298" s="10"/>
      <c r="AI298" s="10"/>
      <c r="AJ298" s="10"/>
      <c r="AK298" s="10" t="n">
        <v>0</v>
      </c>
      <c r="AL298" s="10"/>
      <c r="AM298" s="10"/>
    </row>
    <row r="299">
      <c r="M299" t="s">
        <v>388</v>
      </c>
      <c r="N299" t="n">
        <v>2092</v>
      </c>
      <c r="O299" s="10" t="n">
        <v>790495.926849567</v>
      </c>
      <c r="P299" s="10" t="n">
        <v>58871.4468573633</v>
      </c>
      <c r="Q299" s="10" t="n">
        <v>179491.791835545</v>
      </c>
      <c r="R299" s="10" t="n">
        <v>251213.892665875</v>
      </c>
      <c r="S299" s="10" t="n">
        <v>-198382.143108155</v>
      </c>
      <c r="T299" s="10"/>
      <c r="U299" s="10"/>
      <c r="V299" s="10"/>
      <c r="W299" s="10"/>
      <c r="X299" s="10"/>
      <c r="Y299" s="10"/>
      <c r="Z299" s="10"/>
      <c r="AA299" s="10"/>
      <c r="AB299" s="10" t="n">
        <v>-148.499208418712</v>
      </c>
      <c r="AC299" s="10"/>
      <c r="AD299" s="10" t="n">
        <v>-55569.1103792391</v>
      </c>
      <c r="AE299" s="10" t="n">
        <v>0</v>
      </c>
      <c r="AF299" s="10"/>
      <c r="AG299" s="10"/>
      <c r="AH299" s="10"/>
      <c r="AI299" s="10"/>
      <c r="AJ299" s="10"/>
      <c r="AK299" s="10"/>
      <c r="AL299" s="10"/>
      <c r="AM299" s="10"/>
    </row>
    <row r="300">
      <c r="M300" t="s">
        <v>389</v>
      </c>
      <c r="N300" t="n">
        <v>2093</v>
      </c>
      <c r="O300" s="10"/>
      <c r="P300" s="10"/>
      <c r="Q300" s="10"/>
      <c r="R300" s="10" t="n">
        <v>1493417.95097895</v>
      </c>
      <c r="S300" s="10"/>
      <c r="T300" s="10"/>
      <c r="U300" s="10"/>
      <c r="V300" s="10" t="n">
        <v>1333650.95526573</v>
      </c>
      <c r="W300" s="10"/>
      <c r="X300" s="10"/>
      <c r="Y300" s="10"/>
      <c r="Z300" s="10"/>
      <c r="AA300" s="10"/>
      <c r="AB300" s="10"/>
      <c r="AC300" s="10"/>
      <c r="AD300" s="10" t="n">
        <v>0</v>
      </c>
      <c r="AE300" s="10"/>
      <c r="AF300" s="10"/>
      <c r="AG300" s="10"/>
      <c r="AH300" s="10"/>
      <c r="AI300" s="10"/>
      <c r="AJ300" s="10"/>
      <c r="AK300" s="10"/>
      <c r="AL300" s="10"/>
      <c r="AM300" s="10"/>
    </row>
    <row r="301">
      <c r="M301" t="s">
        <v>390</v>
      </c>
      <c r="N301" t="n">
        <v>555</v>
      </c>
      <c r="O301" s="10"/>
      <c r="P301" s="10" t="n">
        <v>925807.136054791</v>
      </c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</row>
    <row r="302">
      <c r="M302" t="s">
        <v>391</v>
      </c>
      <c r="N302" t="n">
        <v>478</v>
      </c>
      <c r="O302" s="10"/>
      <c r="P302" s="10" t="n">
        <v>235193.95415859</v>
      </c>
      <c r="Q302" s="10" t="n">
        <v>1832126.97989187</v>
      </c>
      <c r="R302" s="10" t="n">
        <v>8804494.08939072</v>
      </c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</row>
    <row r="303">
      <c r="M303" t="s">
        <v>392</v>
      </c>
      <c r="N303" t="n">
        <v>475</v>
      </c>
      <c r="O303" s="10"/>
      <c r="P303" s="10"/>
      <c r="Q303" s="10"/>
      <c r="R303" s="10" t="n">
        <v>1072346.3705505</v>
      </c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</row>
    <row r="304">
      <c r="M304" t="s">
        <v>393</v>
      </c>
      <c r="N304" t="n">
        <v>1945</v>
      </c>
      <c r="O304" s="10" t="n">
        <v>613977.418912285</v>
      </c>
      <c r="P304" s="10" t="n">
        <v>2091245.66946243</v>
      </c>
      <c r="Q304" s="10" t="n">
        <v>27483870.7531321</v>
      </c>
      <c r="R304" s="10" t="n">
        <v>34359899.9430682</v>
      </c>
      <c r="S304" s="10" t="n">
        <v>12480815.793163</v>
      </c>
      <c r="T304" s="10" t="n">
        <v>18539517.6792648</v>
      </c>
      <c r="U304" s="10" t="n">
        <v>4067332.07396343</v>
      </c>
      <c r="V304" s="10" t="n">
        <v>247729.920555398</v>
      </c>
      <c r="W304" s="10"/>
      <c r="X304" s="10"/>
      <c r="Y304" s="10" t="n">
        <v>-2.51179721488707</v>
      </c>
      <c r="Z304" s="10" t="n">
        <v>-5351513.32677756</v>
      </c>
      <c r="AA304" s="10" t="n">
        <v>-7773786.08781676</v>
      </c>
      <c r="AB304" s="10"/>
      <c r="AC304" s="10" t="n">
        <v>-157324.518880371</v>
      </c>
      <c r="AD304" s="10"/>
      <c r="AE304" s="10" t="n">
        <v>0</v>
      </c>
      <c r="AF304" s="10" t="n">
        <v>0</v>
      </c>
      <c r="AG304" s="10" t="n">
        <v>0</v>
      </c>
      <c r="AH304" s="10"/>
      <c r="AI304" s="10" t="n">
        <v>0</v>
      </c>
      <c r="AJ304" s="10" t="n">
        <v>322583.316579735</v>
      </c>
      <c r="AK304" s="10"/>
      <c r="AL304" s="10"/>
      <c r="AM304" s="10"/>
    </row>
    <row r="305">
      <c r="M305" t="s">
        <v>394</v>
      </c>
      <c r="N305" t="n">
        <v>2094</v>
      </c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 t="n">
        <v>-149915.887071396</v>
      </c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</row>
    <row r="306">
      <c r="M306" t="s">
        <v>395</v>
      </c>
      <c r="N306" t="n">
        <v>1618</v>
      </c>
      <c r="O306" s="10"/>
      <c r="P306" s="10"/>
      <c r="Q306" s="10"/>
      <c r="R306" s="10" t="n">
        <v>58698.2526901629</v>
      </c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</row>
    <row r="307">
      <c r="M307" t="s">
        <v>396</v>
      </c>
      <c r="N307" t="n">
        <v>1964</v>
      </c>
      <c r="O307" s="10"/>
      <c r="P307" s="10"/>
      <c r="Q307" s="10"/>
      <c r="R307" s="10"/>
      <c r="S307" s="10" t="n">
        <v>26538315.050353</v>
      </c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</row>
    <row r="308">
      <c r="M308" t="s">
        <v>397</v>
      </c>
      <c r="N308" t="n">
        <v>2095</v>
      </c>
      <c r="O308" s="10"/>
      <c r="P308" s="10"/>
      <c r="Q308" s="10" t="n">
        <v>6799660.93227145</v>
      </c>
      <c r="R308" s="10" t="n">
        <v>10171751.9407209</v>
      </c>
      <c r="S308" s="10" t="n">
        <v>13726636.2551518</v>
      </c>
      <c r="T308" s="10" t="n">
        <v>2433632.258931</v>
      </c>
      <c r="U308" s="10" t="n">
        <v>-581705.161686423</v>
      </c>
      <c r="V308" s="10"/>
      <c r="W308" s="10"/>
      <c r="X308" s="10"/>
      <c r="Y308" s="10"/>
      <c r="Z308" s="10"/>
      <c r="AA308" s="10" t="n">
        <v>-146433.096219401</v>
      </c>
      <c r="AB308" s="10"/>
      <c r="AC308" s="10"/>
      <c r="AD308" s="10"/>
      <c r="AE308" s="10"/>
      <c r="AF308" s="10" t="n">
        <v>0</v>
      </c>
      <c r="AG308" s="10" t="n">
        <v>-337875.696833364</v>
      </c>
      <c r="AH308" s="10" t="n">
        <v>-331382.781902674</v>
      </c>
      <c r="AI308" s="10"/>
      <c r="AJ308" s="10"/>
      <c r="AK308" s="10"/>
      <c r="AL308" s="10"/>
      <c r="AM308" s="10"/>
    </row>
    <row r="309">
      <c r="M309" t="s">
        <v>398</v>
      </c>
      <c r="N309" t="n">
        <v>440</v>
      </c>
      <c r="O309" s="10" t="n">
        <v>1767608.67444747</v>
      </c>
      <c r="P309" s="10" t="n">
        <v>9885743.20456606</v>
      </c>
      <c r="Q309" s="10" t="n">
        <v>51939478.3060044</v>
      </c>
      <c r="R309" s="10" t="n">
        <v>-7096409.9843887</v>
      </c>
      <c r="S309" s="10"/>
      <c r="T309" s="10"/>
      <c r="U309" s="10"/>
      <c r="V309" s="10"/>
      <c r="W309" s="10"/>
      <c r="X309" s="10"/>
      <c r="Y309" s="10" t="n">
        <v>-288042.117611616</v>
      </c>
      <c r="Z309" s="10"/>
      <c r="AA309" s="10"/>
      <c r="AB309" s="10"/>
      <c r="AC309" s="10"/>
      <c r="AD309" s="10"/>
      <c r="AE309" s="10" t="n">
        <v>0</v>
      </c>
      <c r="AF309" s="10"/>
      <c r="AG309" s="10"/>
      <c r="AH309" s="10"/>
      <c r="AI309" s="10"/>
      <c r="AJ309" s="10"/>
      <c r="AK309" s="10"/>
      <c r="AL309" s="10"/>
      <c r="AM309" s="10"/>
    </row>
    <row r="310">
      <c r="M310" t="s">
        <v>399</v>
      </c>
      <c r="N310" t="n">
        <v>1947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 t="n">
        <v>-15835.2719368091</v>
      </c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</row>
    <row r="311">
      <c r="M311" t="s">
        <v>400</v>
      </c>
      <c r="N311" t="n">
        <v>1948</v>
      </c>
      <c r="O311" s="10"/>
      <c r="P311" s="10"/>
      <c r="Q311" s="10" t="n">
        <v>126265412.667664</v>
      </c>
      <c r="R311" s="10" t="n">
        <v>97749740.0057508</v>
      </c>
      <c r="S311" s="10" t="n">
        <v>38237289.3961689</v>
      </c>
      <c r="T311" s="10" t="n">
        <v>28985488.416098</v>
      </c>
      <c r="U311" s="10" t="n">
        <v>26039752.816761</v>
      </c>
      <c r="V311" s="10" t="n">
        <v>10620535.3024928</v>
      </c>
      <c r="W311" s="10" t="n">
        <v>3797102.09062982</v>
      </c>
      <c r="X311" s="10" t="n">
        <v>762679.068339641</v>
      </c>
      <c r="Y311" s="10" t="n">
        <v>-829866.381925148</v>
      </c>
      <c r="Z311" s="10" t="n">
        <v>-474977.362255115</v>
      </c>
      <c r="AA311" s="10" t="n">
        <v>-25108.0733778394</v>
      </c>
      <c r="AB311" s="10"/>
      <c r="AC311" s="10" t="n">
        <v>0</v>
      </c>
      <c r="AD311" s="10" t="n">
        <v>-18740.1687879888</v>
      </c>
      <c r="AE311" s="10"/>
      <c r="AF311" s="10"/>
      <c r="AG311" s="10"/>
      <c r="AH311" s="10"/>
      <c r="AI311" s="10"/>
      <c r="AJ311" s="10"/>
      <c r="AK311" s="10"/>
      <c r="AL311" s="10" t="n">
        <v>0</v>
      </c>
      <c r="AM311" s="10"/>
    </row>
    <row r="312">
      <c r="M312" t="s">
        <v>401</v>
      </c>
      <c r="N312" t="n">
        <v>1773</v>
      </c>
      <c r="O312" s="10" t="n">
        <v>5360992.30513411</v>
      </c>
      <c r="P312" s="10" t="n">
        <v>10467349.5611478</v>
      </c>
      <c r="Q312" s="10" t="n">
        <v>5703263.94300446</v>
      </c>
      <c r="R312" s="10" t="n">
        <v>7722009.62239298</v>
      </c>
      <c r="S312" s="10"/>
      <c r="T312" s="10"/>
      <c r="U312" s="10"/>
      <c r="V312" s="10"/>
      <c r="W312" s="10"/>
      <c r="X312" s="10" t="n">
        <v>-535963.995463601</v>
      </c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</row>
    <row r="313">
      <c r="M313" t="s">
        <v>402</v>
      </c>
      <c r="N313" t="n">
        <v>1861</v>
      </c>
      <c r="O313" s="10"/>
      <c r="P313" s="10"/>
      <c r="Q313" s="10"/>
      <c r="R313" s="10"/>
      <c r="S313" s="10"/>
      <c r="T313" s="10"/>
      <c r="U313" s="10"/>
      <c r="V313" s="10"/>
      <c r="W313" s="10" t="n">
        <v>0</v>
      </c>
      <c r="X313" s="10"/>
      <c r="Y313" s="10"/>
      <c r="Z313" s="10"/>
      <c r="AA313" s="10"/>
      <c r="AB313" s="10" t="n">
        <v>1574637.9448504</v>
      </c>
      <c r="AC313" s="10" t="n">
        <v>1367320.44920614</v>
      </c>
      <c r="AD313" s="10" t="n">
        <v>425003.603140491</v>
      </c>
      <c r="AE313" s="10"/>
      <c r="AF313" s="10" t="n">
        <v>-507755.019510782</v>
      </c>
      <c r="AG313" s="10"/>
      <c r="AH313" s="10"/>
      <c r="AI313" s="10"/>
      <c r="AJ313" s="10"/>
      <c r="AK313" s="10"/>
      <c r="AL313" s="10"/>
      <c r="AM313" s="10"/>
    </row>
    <row r="314">
      <c r="M314" t="s">
        <v>403</v>
      </c>
      <c r="N314" t="n">
        <v>1349</v>
      </c>
      <c r="O314" s="10"/>
      <c r="P314" s="10"/>
      <c r="Q314" s="10"/>
      <c r="R314" s="10"/>
      <c r="S314" s="10" t="n">
        <v>17275956.1424157</v>
      </c>
      <c r="T314" s="10" t="n">
        <v>92454078.4048842</v>
      </c>
      <c r="U314" s="10" t="n">
        <v>42266437.5527818</v>
      </c>
      <c r="V314" s="10" t="n">
        <v>36362206.6636604</v>
      </c>
      <c r="W314" s="10" t="n">
        <v>43343557.2154517</v>
      </c>
      <c r="X314" s="10" t="n">
        <v>27676568.5366345</v>
      </c>
      <c r="Y314" s="10" t="n">
        <v>22506216.6800533</v>
      </c>
      <c r="Z314" s="10" t="n">
        <v>21413058.0008791</v>
      </c>
      <c r="AA314" s="10" t="n">
        <v>22524209.9790267</v>
      </c>
      <c r="AB314" s="10" t="n">
        <v>24909360.2501373</v>
      </c>
      <c r="AC314" s="10" t="n">
        <v>6740367.3043258</v>
      </c>
      <c r="AD314" s="10" t="n">
        <v>12403524.4506139</v>
      </c>
      <c r="AE314" s="10" t="n">
        <v>1143962.11020632</v>
      </c>
      <c r="AF314" s="10" t="n">
        <v>-2368.48922060587</v>
      </c>
      <c r="AG314" s="10"/>
      <c r="AH314" s="10" t="n">
        <v>-46424.7046705465</v>
      </c>
      <c r="AI314" s="10"/>
      <c r="AJ314" s="10"/>
      <c r="AK314" s="10"/>
      <c r="AL314" s="10"/>
      <c r="AM314" s="10"/>
    </row>
    <row r="315">
      <c r="M315" t="s">
        <v>404</v>
      </c>
      <c r="N315" t="n">
        <v>2097</v>
      </c>
      <c r="O315" s="10"/>
      <c r="P315" s="10"/>
      <c r="Q315" s="10"/>
      <c r="R315" s="10" t="n">
        <v>5910310.60591847</v>
      </c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</row>
    <row r="316">
      <c r="M316" t="s">
        <v>405</v>
      </c>
      <c r="N316" t="n">
        <v>1803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 t="n">
        <v>11658546.9817589</v>
      </c>
      <c r="AF316" s="10" t="n">
        <v>5391674.10701623</v>
      </c>
      <c r="AG316" s="10" t="n">
        <v>8599355.55528051</v>
      </c>
      <c r="AH316" s="10" t="n">
        <v>79574063.1035073</v>
      </c>
      <c r="AI316" s="10" t="n">
        <v>137799788.937938</v>
      </c>
      <c r="AJ316" s="10" t="n">
        <v>101628577.402162</v>
      </c>
      <c r="AK316" s="10" t="n">
        <v>37182257.9687</v>
      </c>
      <c r="AL316" s="10" t="n">
        <v>9846520.40172969</v>
      </c>
      <c r="AM316" s="10"/>
    </row>
    <row r="317">
      <c r="M317" t="s">
        <v>406</v>
      </c>
      <c r="N317" t="n">
        <v>1729</v>
      </c>
      <c r="O317" s="10"/>
      <c r="P317" s="10"/>
      <c r="Q317" s="10"/>
      <c r="R317" s="10" t="n">
        <v>24651.1327561985</v>
      </c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 t="n">
        <v>0</v>
      </c>
      <c r="AF317" s="10"/>
      <c r="AG317" s="10" t="n">
        <v>0</v>
      </c>
      <c r="AH317" s="10"/>
      <c r="AI317" s="10"/>
      <c r="AJ317" s="10"/>
      <c r="AK317" s="10"/>
      <c r="AL317" s="10"/>
      <c r="AM317" s="10"/>
    </row>
    <row r="318">
      <c r="M318" t="s">
        <v>407</v>
      </c>
      <c r="N318" t="n">
        <v>1973</v>
      </c>
      <c r="O318" s="10"/>
      <c r="P318" s="10"/>
      <c r="Q318" s="10"/>
      <c r="R318" s="10"/>
      <c r="S318" s="10"/>
      <c r="T318" s="10"/>
      <c r="U318" s="10"/>
      <c r="V318" s="10"/>
      <c r="W318" s="10" t="n">
        <v>9872.31480485534</v>
      </c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</row>
    <row r="319">
      <c r="M319" t="s">
        <v>408</v>
      </c>
      <c r="N319" t="n">
        <v>544</v>
      </c>
      <c r="O319" s="10"/>
      <c r="P319" s="10"/>
      <c r="Q319" s="10"/>
      <c r="R319" s="10" t="n">
        <v>8326.25266612279</v>
      </c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</row>
    <row r="320">
      <c r="M320" t="s">
        <v>409</v>
      </c>
      <c r="N320" t="n">
        <v>1974</v>
      </c>
      <c r="O320" s="10"/>
      <c r="P320" s="10"/>
      <c r="Q320" s="10"/>
      <c r="R320" s="10"/>
      <c r="S320" s="10"/>
      <c r="T320" s="10"/>
      <c r="U320" s="10"/>
      <c r="V320" s="10"/>
      <c r="W320" s="10"/>
      <c r="X320" s="10" t="n">
        <v>4136138.39023717</v>
      </c>
      <c r="Y320" s="10"/>
      <c r="Z320" s="10" t="n">
        <v>31246.9911370069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</row>
    <row r="321">
      <c r="M321" t="s">
        <v>410</v>
      </c>
      <c r="N321" t="n">
        <v>545</v>
      </c>
      <c r="O321" s="10"/>
      <c r="P321" s="10"/>
      <c r="Q321" s="10"/>
      <c r="R321" s="10" t="n">
        <v>116177.434711787</v>
      </c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</row>
    <row r="322">
      <c r="M322" t="s">
        <v>411</v>
      </c>
      <c r="N322" t="n">
        <v>492</v>
      </c>
      <c r="O322" s="10"/>
      <c r="P322" s="10"/>
      <c r="Q322" s="10" t="n">
        <v>1353995.19804637</v>
      </c>
      <c r="R322" s="10" t="n">
        <v>6224215.20771398</v>
      </c>
      <c r="S322" s="10"/>
      <c r="T322" s="10"/>
      <c r="U322" s="10"/>
      <c r="V322" s="10"/>
      <c r="W322" s="10"/>
      <c r="X322" s="10"/>
      <c r="Y322" s="10" t="n">
        <v>0</v>
      </c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</row>
    <row r="323">
      <c r="M323" t="s">
        <v>412</v>
      </c>
      <c r="N323" t="n">
        <v>2183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 t="n">
        <v>5174001.76445987</v>
      </c>
      <c r="AG323" s="10"/>
      <c r="AH323" s="10"/>
      <c r="AI323" s="10"/>
      <c r="AJ323" s="10"/>
      <c r="AK323" s="10"/>
      <c r="AL323" s="10"/>
      <c r="AM323" s="10"/>
    </row>
    <row r="324">
      <c r="M324" t="s">
        <v>413</v>
      </c>
      <c r="N324" t="n">
        <v>1963</v>
      </c>
      <c r="O324" s="10"/>
      <c r="P324" s="10"/>
      <c r="Q324" s="10"/>
      <c r="R324" s="10"/>
      <c r="S324" s="10"/>
      <c r="T324" s="10"/>
      <c r="U324" s="10"/>
      <c r="V324" s="10"/>
      <c r="W324" s="10" t="n">
        <v>-11.9971419448688</v>
      </c>
      <c r="X324" s="10" t="n">
        <v>92267.7789667824</v>
      </c>
      <c r="Y324" s="10" t="n">
        <v>693281.017934916</v>
      </c>
      <c r="Z324" s="10"/>
      <c r="AA324" s="10"/>
      <c r="AB324" s="10" t="n">
        <v>421752.344602841</v>
      </c>
      <c r="AC324" s="10" t="n">
        <v>565969.21302667</v>
      </c>
      <c r="AD324" s="10" t="n">
        <v>-61345.7458180805</v>
      </c>
      <c r="AE324" s="10"/>
      <c r="AF324" s="10"/>
      <c r="AG324" s="10" t="n">
        <v>-16718.6917548414</v>
      </c>
      <c r="AH324" s="10"/>
      <c r="AI324" s="10"/>
      <c r="AJ324" s="10"/>
      <c r="AK324" s="10"/>
      <c r="AL324" s="10"/>
      <c r="AM324" s="10"/>
    </row>
    <row r="325">
      <c r="M325" t="s">
        <v>414</v>
      </c>
      <c r="N325" t="n">
        <v>2235</v>
      </c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 t="n">
        <v>447990.039210272</v>
      </c>
      <c r="AI325" s="10" t="n">
        <v>0</v>
      </c>
      <c r="AJ325" s="10"/>
      <c r="AK325" s="10"/>
      <c r="AL325" s="10" t="n">
        <v>429104.919289634</v>
      </c>
      <c r="AM325" s="10"/>
    </row>
    <row r="326">
      <c r="M326" t="s">
        <v>415</v>
      </c>
      <c r="N326" t="n">
        <v>2254</v>
      </c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 t="n">
        <v>212916.545901326</v>
      </c>
      <c r="AK326" s="10"/>
      <c r="AL326" s="10"/>
      <c r="AM326" s="10"/>
    </row>
    <row r="327">
      <c r="M327" t="s">
        <v>416</v>
      </c>
      <c r="N327" t="n">
        <v>1954</v>
      </c>
      <c r="O327" s="10"/>
      <c r="P327" s="10"/>
      <c r="Q327" s="10"/>
      <c r="R327" s="10"/>
      <c r="S327" s="10" t="n">
        <v>9043389.40014793</v>
      </c>
      <c r="T327" s="10" t="n">
        <v>35849392.3570001</v>
      </c>
      <c r="U327" s="10" t="n">
        <v>18522070.169239</v>
      </c>
      <c r="V327" s="10" t="n">
        <v>214319.142948344</v>
      </c>
      <c r="W327" s="10" t="n">
        <v>236497.499540346</v>
      </c>
      <c r="X327" s="10" t="n">
        <v>-83249.8386290118</v>
      </c>
      <c r="Y327" s="10" t="n">
        <v>1170281.71795579</v>
      </c>
      <c r="Z327" s="10" t="n">
        <v>9489539.58262086</v>
      </c>
      <c r="AA327" s="10" t="n">
        <v>11018931.7121102</v>
      </c>
      <c r="AB327" s="10" t="n">
        <v>5718776.49033793</v>
      </c>
      <c r="AC327" s="10" t="n">
        <v>2683677.69466088</v>
      </c>
      <c r="AD327" s="10" t="n">
        <v>2402104.25611687</v>
      </c>
      <c r="AE327" s="10" t="n">
        <v>1992316.45230223</v>
      </c>
      <c r="AF327" s="10" t="n">
        <v>2043988.92504612</v>
      </c>
      <c r="AG327" s="10" t="n">
        <v>566102.018494264</v>
      </c>
      <c r="AH327" s="10"/>
      <c r="AI327" s="10"/>
      <c r="AJ327" s="10"/>
      <c r="AK327" s="10"/>
      <c r="AL327" s="10"/>
      <c r="AM327" s="10"/>
    </row>
    <row r="328">
      <c r="M328" t="s">
        <v>417</v>
      </c>
      <c r="N328" t="n">
        <v>1988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 t="n">
        <v>15156708.6217594</v>
      </c>
      <c r="AA328" s="10" t="n">
        <v>12542747.6311068</v>
      </c>
      <c r="AB328" s="10" t="n">
        <v>9255248.91679579</v>
      </c>
      <c r="AC328" s="10" t="n">
        <v>9935981.9437247</v>
      </c>
      <c r="AD328" s="10" t="n">
        <v>9790697.89957444</v>
      </c>
      <c r="AE328" s="10" t="n">
        <v>9734879.10239399</v>
      </c>
      <c r="AF328" s="10" t="n">
        <v>8757963.97366976</v>
      </c>
      <c r="AG328" s="10" t="n">
        <v>7990611.78249931</v>
      </c>
      <c r="AH328" s="10" t="n">
        <v>6840028.95606018</v>
      </c>
      <c r="AI328" s="10" t="n">
        <v>8669713.97512674</v>
      </c>
      <c r="AJ328" s="10" t="n">
        <v>1324627.23650696</v>
      </c>
      <c r="AK328" s="10" t="n">
        <v>99621.803</v>
      </c>
      <c r="AL328" s="10" t="n">
        <v>-445474.79691794</v>
      </c>
      <c r="AM328" s="10"/>
    </row>
    <row r="329">
      <c r="M329" t="s">
        <v>418</v>
      </c>
      <c r="N329" t="n">
        <v>1646</v>
      </c>
      <c r="O329" s="10" t="n">
        <v>39371500.7225464</v>
      </c>
      <c r="P329" s="10" t="n">
        <v>58967456.848523</v>
      </c>
      <c r="Q329" s="10" t="n">
        <v>29568351.5761602</v>
      </c>
      <c r="R329" s="10" t="n">
        <v>5201858.35376526</v>
      </c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</row>
    <row r="330">
      <c r="M330" t="s">
        <v>419</v>
      </c>
      <c r="N330" t="n">
        <v>1643</v>
      </c>
      <c r="O330" s="10" t="n">
        <v>2899047.87774908</v>
      </c>
      <c r="P330" s="10" t="n">
        <v>1848254.24580181</v>
      </c>
      <c r="Q330" s="10" t="n">
        <v>2419663.652229</v>
      </c>
      <c r="R330" s="10" t="n">
        <v>3646411.03949437</v>
      </c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</row>
    <row r="331">
      <c r="M331" t="s">
        <v>420</v>
      </c>
      <c r="N331" t="n">
        <v>649</v>
      </c>
      <c r="O331" s="10"/>
      <c r="P331" s="10"/>
      <c r="Q331" s="10"/>
      <c r="R331" s="10"/>
      <c r="S331" s="10" t="n">
        <v>8125556.64265503</v>
      </c>
      <c r="T331" s="10" t="n">
        <v>742038.518950999</v>
      </c>
      <c r="U331" s="10" t="n">
        <v>12402.8536629995</v>
      </c>
      <c r="V331" s="10" t="n">
        <v>9733360.42356984</v>
      </c>
      <c r="W331" s="10" t="n">
        <v>4865325.67826099</v>
      </c>
      <c r="X331" s="10" t="n">
        <v>12536274.8613819</v>
      </c>
      <c r="Y331" s="10" t="n">
        <v>15611645.4305136</v>
      </c>
      <c r="Z331" s="10" t="n">
        <v>4411897.83189846</v>
      </c>
      <c r="AA331" s="10" t="n">
        <v>36794435.7874845</v>
      </c>
      <c r="AB331" s="10" t="n">
        <v>17968558.1223632</v>
      </c>
      <c r="AC331" s="10" t="n">
        <v>1156356.32512239</v>
      </c>
      <c r="AD331" s="10" t="n">
        <v>-146565.488042789</v>
      </c>
      <c r="AE331" s="10"/>
      <c r="AF331" s="10" t="n">
        <v>-15697.1192271885</v>
      </c>
      <c r="AG331" s="10"/>
      <c r="AH331" s="10" t="n">
        <v>159787.451013899</v>
      </c>
      <c r="AI331" s="10" t="n">
        <v>4526467.31289675</v>
      </c>
      <c r="AJ331" s="10" t="n">
        <v>4057933.27381507</v>
      </c>
      <c r="AK331" s="10" t="n">
        <v>62611.3984</v>
      </c>
      <c r="AL331" s="10"/>
      <c r="AM331" s="10"/>
    </row>
    <row r="332">
      <c r="M332" t="s">
        <v>421</v>
      </c>
      <c r="N332" t="n">
        <v>1337</v>
      </c>
      <c r="O332" s="10"/>
      <c r="P332" s="10"/>
      <c r="Q332" s="10"/>
      <c r="R332" s="10"/>
      <c r="S332" s="10"/>
      <c r="T332" s="10" t="n">
        <v>1243299.97504946</v>
      </c>
      <c r="U332" s="10"/>
      <c r="V332" s="10"/>
      <c r="W332" s="10"/>
      <c r="X332" s="10"/>
      <c r="Y332" s="10" t="n">
        <v>588702.472239156</v>
      </c>
      <c r="Z332" s="10" t="n">
        <v>403100.711551819</v>
      </c>
      <c r="AA332" s="10" t="n">
        <v>8912.06609829958</v>
      </c>
      <c r="AB332" s="10"/>
      <c r="AC332" s="10"/>
      <c r="AD332" s="10" t="n">
        <v>0</v>
      </c>
      <c r="AE332" s="10" t="n">
        <v>-224712.366172788</v>
      </c>
      <c r="AF332" s="10"/>
      <c r="AG332" s="10"/>
      <c r="AH332" s="10"/>
      <c r="AI332" s="10"/>
      <c r="AJ332" s="10"/>
      <c r="AK332" s="10"/>
      <c r="AL332" s="10"/>
      <c r="AM332" s="10"/>
    </row>
    <row r="333">
      <c r="M333" t="s">
        <v>422</v>
      </c>
      <c r="N333" t="n">
        <v>483</v>
      </c>
      <c r="O333" s="10" t="n">
        <v>28023790.720174</v>
      </c>
      <c r="P333" s="10" t="n">
        <v>29023290.4530036</v>
      </c>
      <c r="Q333" s="10" t="n">
        <v>15770725.291591</v>
      </c>
      <c r="R333" s="10" t="n">
        <v>3015560.25458535</v>
      </c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</row>
    <row r="334">
      <c r="M334" t="s">
        <v>423</v>
      </c>
      <c r="N334" t="n">
        <v>2191</v>
      </c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 t="n">
        <v>125772.416200308</v>
      </c>
      <c r="AH334" s="10" t="n">
        <v>147406.642501748</v>
      </c>
      <c r="AI334" s="10" t="n">
        <v>0</v>
      </c>
      <c r="AJ334" s="10"/>
      <c r="AK334" s="10"/>
      <c r="AL334" s="10"/>
      <c r="AM334" s="10"/>
    </row>
    <row r="335">
      <c r="M335" t="s">
        <v>424</v>
      </c>
      <c r="N335" t="n">
        <v>66</v>
      </c>
      <c r="O335" s="10"/>
      <c r="P335" s="10"/>
      <c r="Q335" s="10"/>
      <c r="R335" s="10"/>
      <c r="S335" s="10" t="n">
        <v>0</v>
      </c>
      <c r="T335" s="10"/>
      <c r="U335" s="10"/>
      <c r="V335" s="10" t="n">
        <v>0</v>
      </c>
      <c r="W335" s="10"/>
      <c r="X335" s="10" t="n">
        <v>32722.6513495143</v>
      </c>
      <c r="Y335" s="10"/>
      <c r="Z335" s="10"/>
      <c r="AA335" s="10" t="n">
        <v>92241.2063824004</v>
      </c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</row>
    <row r="336">
      <c r="M336" t="s">
        <v>425</v>
      </c>
      <c r="N336" t="n">
        <v>67</v>
      </c>
      <c r="O336" s="10"/>
      <c r="P336" s="10"/>
      <c r="Q336" s="10"/>
      <c r="R336" s="10"/>
      <c r="S336" s="10"/>
      <c r="T336" s="10"/>
      <c r="U336" s="10" t="n">
        <v>2253503.30849372</v>
      </c>
      <c r="V336" s="10"/>
      <c r="W336" s="10" t="n">
        <v>67269.1100811103</v>
      </c>
      <c r="X336" s="10" t="n">
        <v>230669.550544164</v>
      </c>
      <c r="Y336" s="10" t="n">
        <v>5325643.36974357</v>
      </c>
      <c r="Z336" s="10" t="n">
        <v>16679219.4639573</v>
      </c>
      <c r="AA336" s="10" t="n">
        <v>19472577.3043846</v>
      </c>
      <c r="AB336" s="10" t="n">
        <v>10991601.9307464</v>
      </c>
      <c r="AC336" s="10" t="n">
        <v>6044237.34068354</v>
      </c>
      <c r="AD336" s="10" t="n">
        <v>6616963.60654424</v>
      </c>
      <c r="AE336" s="10" t="n">
        <v>5682516.75504242</v>
      </c>
      <c r="AF336" s="10" t="n">
        <v>3478740.37595898</v>
      </c>
      <c r="AG336" s="10" t="n">
        <v>5057637.86010038</v>
      </c>
      <c r="AH336" s="10" t="n">
        <v>550681.675923345</v>
      </c>
      <c r="AI336" s="10" t="n">
        <v>1209122.52128474</v>
      </c>
      <c r="AJ336" s="10" t="n">
        <v>872071.398779243</v>
      </c>
      <c r="AK336" s="10" t="n">
        <v>214638.8437</v>
      </c>
      <c r="AL336" s="10" t="n">
        <v>228958.332305814</v>
      </c>
      <c r="AM336" s="10"/>
    </row>
    <row r="337">
      <c r="M337" t="s">
        <v>426</v>
      </c>
      <c r="N337" t="n">
        <v>68</v>
      </c>
      <c r="O337" s="10"/>
      <c r="P337" s="10"/>
      <c r="Q337" s="10"/>
      <c r="R337" s="10"/>
      <c r="S337" s="10"/>
      <c r="T337" s="10"/>
      <c r="U337" s="10"/>
      <c r="V337" s="10" t="n">
        <v>11457392.8160427</v>
      </c>
      <c r="W337" s="10" t="n">
        <v>1212312.52654476</v>
      </c>
      <c r="X337" s="10" t="n">
        <v>0</v>
      </c>
      <c r="Y337" s="10"/>
      <c r="Z337" s="10" t="n">
        <v>672357.197146548</v>
      </c>
      <c r="AA337" s="10" t="n">
        <v>4871488.65300935</v>
      </c>
      <c r="AB337" s="10" t="n">
        <v>-5004953.85469337</v>
      </c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</row>
    <row r="338">
      <c r="M338" t="s">
        <v>427</v>
      </c>
      <c r="N338" t="n">
        <v>1374</v>
      </c>
      <c r="O338" s="10"/>
      <c r="P338" s="10"/>
      <c r="Q338" s="10"/>
      <c r="R338" s="10" t="n">
        <v>35461702.1086473</v>
      </c>
      <c r="S338" s="10" t="n">
        <v>108487600.186381</v>
      </c>
      <c r="T338" s="10" t="n">
        <v>98387367.9647301</v>
      </c>
      <c r="U338" s="10" t="n">
        <v>73941301.7578574</v>
      </c>
      <c r="V338" s="10" t="n">
        <v>24254938.8470911</v>
      </c>
      <c r="W338" s="10" t="n">
        <v>1007431.38483605</v>
      </c>
      <c r="X338" s="10" t="n">
        <v>11116926.2193759</v>
      </c>
      <c r="Y338" s="10" t="n">
        <v>-2441146.57383724</v>
      </c>
      <c r="Z338" s="10" t="n">
        <v>2.41087983596415</v>
      </c>
      <c r="AA338" s="10" t="n">
        <v>-182772.283365127</v>
      </c>
      <c r="AB338" s="10"/>
      <c r="AC338" s="10"/>
      <c r="AD338" s="10"/>
      <c r="AE338" s="10"/>
      <c r="AF338" s="10"/>
      <c r="AG338" s="10" t="n">
        <v>-885145.935415868</v>
      </c>
      <c r="AH338" s="10"/>
      <c r="AI338" s="10"/>
      <c r="AJ338" s="10"/>
      <c r="AK338" s="10"/>
      <c r="AL338" s="10"/>
      <c r="AM338" s="10"/>
    </row>
    <row r="339">
      <c r="M339" t="s">
        <v>428</v>
      </c>
      <c r="N339" t="n">
        <v>1356</v>
      </c>
      <c r="O339" s="10"/>
      <c r="P339" s="10"/>
      <c r="Q339" s="10"/>
      <c r="R339" s="10"/>
      <c r="S339" s="10" t="n">
        <v>15958662.9494558</v>
      </c>
      <c r="T339" s="10" t="n">
        <v>126896157.2659</v>
      </c>
      <c r="U339" s="10" t="n">
        <v>189070523.14184</v>
      </c>
      <c r="V339" s="10" t="n">
        <v>373936133.369374</v>
      </c>
      <c r="W339" s="10" t="n">
        <v>496735788.75425</v>
      </c>
      <c r="X339" s="10" t="n">
        <v>263370889.333667</v>
      </c>
      <c r="Y339" s="10" t="n">
        <v>399222225.027891</v>
      </c>
      <c r="Z339" s="10" t="n">
        <v>232901613.846553</v>
      </c>
      <c r="AA339" s="10" t="n">
        <v>247615088.998458</v>
      </c>
      <c r="AB339" s="10" t="n">
        <v>447566287.530635</v>
      </c>
      <c r="AC339" s="10" t="n">
        <v>154934106.569415</v>
      </c>
      <c r="AD339" s="10" t="n">
        <v>3755277.06024959</v>
      </c>
      <c r="AE339" s="10" t="n">
        <v>-2026931.30939849</v>
      </c>
      <c r="AF339" s="10" t="n">
        <v>-214492.890782254</v>
      </c>
      <c r="AG339" s="10" t="n">
        <v>-2133477.50057347</v>
      </c>
      <c r="AH339" s="10" t="n">
        <v>-2120347.12015399</v>
      </c>
      <c r="AI339" s="10" t="n">
        <v>-424639.042499456</v>
      </c>
      <c r="AJ339" s="10" t="n">
        <v>0</v>
      </c>
      <c r="AK339" s="10"/>
      <c r="AL339" s="10"/>
      <c r="AM339" s="10"/>
    </row>
    <row r="340">
      <c r="M340" t="s">
        <v>429</v>
      </c>
      <c r="N340" t="n">
        <v>1378</v>
      </c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 t="n">
        <v>6884814.26681565</v>
      </c>
      <c r="AE340" s="10" t="n">
        <v>17972658.0453144</v>
      </c>
      <c r="AF340" s="10" t="n">
        <v>57884900.4112017</v>
      </c>
      <c r="AG340" s="10" t="n">
        <v>366307163.705616</v>
      </c>
      <c r="AH340" s="10" t="n">
        <v>164475123.911777</v>
      </c>
      <c r="AI340" s="10" t="n">
        <v>237040183.185974</v>
      </c>
      <c r="AJ340" s="10" t="n">
        <v>314664460.729459</v>
      </c>
      <c r="AK340" s="10" t="n">
        <v>248790564</v>
      </c>
      <c r="AL340" s="10" t="n">
        <v>8164926.16886625</v>
      </c>
      <c r="AM340" s="10"/>
    </row>
    <row r="341">
      <c r="M341" t="s">
        <v>430</v>
      </c>
      <c r="N341" t="n">
        <v>689</v>
      </c>
      <c r="O341" s="10"/>
      <c r="P341" s="10"/>
      <c r="Q341" s="10"/>
      <c r="R341" s="10"/>
      <c r="S341" s="10" t="n">
        <v>99074656.9593766</v>
      </c>
      <c r="T341" s="10" t="n">
        <v>81758703.414903</v>
      </c>
      <c r="U341" s="10" t="n">
        <v>110945718.290871</v>
      </c>
      <c r="V341" s="10" t="n">
        <v>29401268.2006953</v>
      </c>
      <c r="W341" s="10" t="n">
        <v>68826247.4524552</v>
      </c>
      <c r="X341" s="10" t="n">
        <v>77771617.0804062</v>
      </c>
      <c r="Y341" s="10" t="n">
        <v>115605237.931711</v>
      </c>
      <c r="Z341" s="10" t="n">
        <v>92533804.1246899</v>
      </c>
      <c r="AA341" s="10" t="n">
        <v>44652167.3817333</v>
      </c>
      <c r="AB341" s="10" t="n">
        <v>39937948.8241875</v>
      </c>
      <c r="AC341" s="10" t="n">
        <v>26731802.3415822</v>
      </c>
      <c r="AD341" s="10" t="n">
        <v>7666638.20709437</v>
      </c>
      <c r="AE341" s="10" t="n">
        <v>3890452.11539465</v>
      </c>
      <c r="AF341" s="10" t="n">
        <v>3818000.96352403</v>
      </c>
      <c r="AG341" s="10" t="n">
        <v>272290.909778464</v>
      </c>
      <c r="AH341" s="10" t="n">
        <v>692761.85685577</v>
      </c>
      <c r="AI341" s="10" t="n">
        <v>-94722.2368929333</v>
      </c>
      <c r="AJ341" s="10" t="n">
        <v>93382.7036675076</v>
      </c>
      <c r="AK341" s="10" t="n">
        <v>-64499.0186</v>
      </c>
      <c r="AL341" s="10" t="n">
        <v>-288535.514972136</v>
      </c>
      <c r="AM341" s="10"/>
    </row>
    <row r="342">
      <c r="M342" t="s">
        <v>431</v>
      </c>
      <c r="N342" t="n">
        <v>2241</v>
      </c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 t="n">
        <v>1916270.67287135</v>
      </c>
      <c r="AI342" s="10" t="n">
        <v>22180187.7050865</v>
      </c>
      <c r="AJ342" s="10" t="n">
        <v>36056955.7844532</v>
      </c>
      <c r="AK342" s="10" t="n">
        <v>66104298.0156</v>
      </c>
      <c r="AL342" s="10" t="n">
        <v>43091269.3846918</v>
      </c>
      <c r="AM342" s="10"/>
    </row>
    <row r="343">
      <c r="M343" t="s">
        <v>432</v>
      </c>
      <c r="N343" t="n">
        <v>2001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 t="n">
        <v>9870.65284061098</v>
      </c>
      <c r="Y343" s="10"/>
      <c r="Z343" s="10"/>
      <c r="AA343" s="10"/>
      <c r="AB343" s="10"/>
      <c r="AC343" s="10"/>
      <c r="AD343" s="10"/>
      <c r="AE343" s="10"/>
      <c r="AF343" s="10" t="n">
        <v>4102138.92695312</v>
      </c>
      <c r="AG343" s="10" t="n">
        <v>4980913.63834221</v>
      </c>
      <c r="AH343" s="10" t="n">
        <v>8892473.48118763</v>
      </c>
      <c r="AI343" s="10" t="n">
        <v>7565349.51895834</v>
      </c>
      <c r="AJ343" s="10" t="n">
        <v>7573924.74545951</v>
      </c>
      <c r="AK343" s="10" t="n">
        <v>6353747</v>
      </c>
      <c r="AL343" s="10" t="n">
        <v>305179.266934773</v>
      </c>
      <c r="AM343" s="10"/>
    </row>
    <row r="344">
      <c r="M344" t="s">
        <v>433</v>
      </c>
      <c r="N344" t="n">
        <v>2245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 t="n">
        <v>1087766.01417533</v>
      </c>
      <c r="AI344" s="10" t="n">
        <v>4359347.84679274</v>
      </c>
      <c r="AJ344" s="10" t="n">
        <v>3585672.04045274</v>
      </c>
      <c r="AK344" s="10" t="n">
        <v>3342892.9844</v>
      </c>
      <c r="AL344" s="10" t="n">
        <v>-906356.328817409</v>
      </c>
      <c r="AM344" s="10"/>
    </row>
    <row r="345">
      <c r="M345" t="s">
        <v>434</v>
      </c>
      <c r="N345" t="n">
        <v>776</v>
      </c>
      <c r="O345" s="10" t="n">
        <v>71092.1221898435</v>
      </c>
      <c r="P345" s="10" t="n">
        <v>330355.262617069</v>
      </c>
      <c r="Q345" s="10" t="n">
        <v>44773.5581450995</v>
      </c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</row>
    <row r="346">
      <c r="M346" t="s">
        <v>435</v>
      </c>
      <c r="N346" t="n">
        <v>1016</v>
      </c>
      <c r="O346" s="10" t="n">
        <v>62179.7552353168</v>
      </c>
      <c r="P346" s="10"/>
      <c r="Q346" s="10" t="n">
        <v>180248.086199829</v>
      </c>
      <c r="R346" s="10" t="n">
        <v>2052530.99855944</v>
      </c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</row>
    <row r="347">
      <c r="M347" t="s">
        <v>436</v>
      </c>
      <c r="N347" t="n">
        <v>692</v>
      </c>
      <c r="O347" s="10"/>
      <c r="P347" s="10"/>
      <c r="Q347" s="10"/>
      <c r="R347" s="10"/>
      <c r="S347" s="10" t="n">
        <v>686623.433079978</v>
      </c>
      <c r="T347" s="10" t="n">
        <v>17305641.8821369</v>
      </c>
      <c r="U347" s="10" t="n">
        <v>33303409.7536329</v>
      </c>
      <c r="V347" s="10" t="n">
        <v>23706295.2607035</v>
      </c>
      <c r="W347" s="10" t="n">
        <v>4119298.54281341</v>
      </c>
      <c r="X347" s="10" t="n">
        <v>362491.931714512</v>
      </c>
      <c r="Y347" s="10" t="n">
        <v>36354226.7103451</v>
      </c>
      <c r="Z347" s="10" t="n">
        <v>-2305561.57623637</v>
      </c>
      <c r="AA347" s="10" t="n">
        <v>-823494.442374127</v>
      </c>
      <c r="AB347" s="10" t="n">
        <v>-1014318.69856115</v>
      </c>
      <c r="AC347" s="10" t="n">
        <v>-658532.433859908</v>
      </c>
      <c r="AD347" s="10" t="n">
        <v>-126822.389057169</v>
      </c>
      <c r="AE347" s="10" t="n">
        <v>0</v>
      </c>
      <c r="AF347" s="10"/>
      <c r="AG347" s="10"/>
      <c r="AH347" s="10"/>
      <c r="AI347" s="10"/>
      <c r="AJ347" s="10" t="n">
        <v>0</v>
      </c>
      <c r="AK347" s="10"/>
      <c r="AL347" s="10"/>
      <c r="AM347" s="10"/>
    </row>
    <row r="348">
      <c r="M348" t="s">
        <v>437</v>
      </c>
      <c r="N348" t="n">
        <v>1627</v>
      </c>
      <c r="O348" s="10" t="n">
        <v>61476528.1199153</v>
      </c>
      <c r="P348" s="10" t="n">
        <v>48864928.8480198</v>
      </c>
      <c r="Q348" s="10" t="n">
        <v>63722583.3256905</v>
      </c>
      <c r="R348" s="10" t="n">
        <v>43078460.2171952</v>
      </c>
      <c r="S348" s="10"/>
      <c r="T348" s="10"/>
      <c r="U348" s="10"/>
      <c r="V348" s="10"/>
      <c r="W348" s="10"/>
      <c r="X348" s="10"/>
      <c r="Y348" s="10"/>
      <c r="Z348" s="10" t="n">
        <v>-81128.6712459765</v>
      </c>
      <c r="AA348" s="10"/>
      <c r="AB348" s="10"/>
      <c r="AC348" s="10"/>
      <c r="AD348" s="10"/>
      <c r="AE348" s="10"/>
      <c r="AF348" s="10" t="n">
        <v>-139594.60114166</v>
      </c>
      <c r="AG348" s="10"/>
      <c r="AH348" s="10"/>
      <c r="AI348" s="10"/>
      <c r="AJ348" s="10"/>
      <c r="AK348" s="10"/>
      <c r="AL348" s="10"/>
      <c r="AM348" s="10"/>
    </row>
    <row r="349">
      <c r="M349" t="s">
        <v>438</v>
      </c>
      <c r="N349" t="n">
        <v>82</v>
      </c>
      <c r="O349" s="10"/>
      <c r="P349" s="10"/>
      <c r="Q349" s="10"/>
      <c r="R349" s="10"/>
      <c r="S349" s="10"/>
      <c r="T349" s="10"/>
      <c r="U349" s="10"/>
      <c r="V349" s="10" t="n">
        <v>4943079.91693073</v>
      </c>
      <c r="W349" s="10" t="n">
        <v>1444143.96447163</v>
      </c>
      <c r="X349" s="10" t="n">
        <v>-224486.093400184</v>
      </c>
      <c r="Y349" s="10" t="n">
        <v>163920.932825703</v>
      </c>
      <c r="Z349" s="10" t="n">
        <v>-10553.0494096319</v>
      </c>
      <c r="AA349" s="10"/>
      <c r="AB349" s="10" t="n">
        <v>2826947.32674088</v>
      </c>
      <c r="AC349" s="10" t="n">
        <v>858808.800468828</v>
      </c>
      <c r="AD349" s="10" t="n">
        <v>-1082082.27861511</v>
      </c>
      <c r="AE349" s="10"/>
      <c r="AF349" s="10" t="n">
        <v>-908337.32707716</v>
      </c>
      <c r="AG349" s="10"/>
      <c r="AH349" s="10"/>
      <c r="AI349" s="10"/>
      <c r="AJ349" s="10"/>
      <c r="AK349" s="10"/>
      <c r="AL349" s="10"/>
      <c r="AM349" s="10"/>
    </row>
    <row r="350">
      <c r="M350" t="s">
        <v>439</v>
      </c>
      <c r="N350" t="n">
        <v>2002</v>
      </c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 t="n">
        <v>2000653.34985306</v>
      </c>
      <c r="Z350" s="10" t="n">
        <v>-519694.44301213</v>
      </c>
      <c r="AA350" s="10" t="n">
        <v>-286841.307582771</v>
      </c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</row>
    <row r="351">
      <c r="M351" t="s">
        <v>440</v>
      </c>
      <c r="N351" t="n">
        <v>479</v>
      </c>
      <c r="O351" s="10"/>
      <c r="P351" s="10"/>
      <c r="Q351" s="10"/>
      <c r="R351" s="10" t="n">
        <v>4749573.9927072</v>
      </c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</row>
    <row r="352">
      <c r="M352" t="s">
        <v>441</v>
      </c>
      <c r="N352" t="n">
        <v>944</v>
      </c>
      <c r="O352" s="10" t="n">
        <v>9351351.11466873</v>
      </c>
      <c r="P352" s="10" t="n">
        <v>8142264.99038982</v>
      </c>
      <c r="Q352" s="10" t="n">
        <v>76322.0591931969</v>
      </c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</row>
    <row r="353">
      <c r="M353" t="s">
        <v>442</v>
      </c>
      <c r="N353" t="n">
        <v>2098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 t="n">
        <v>15492066.381329</v>
      </c>
      <c r="AE353" s="10" t="n">
        <v>28134934.8620472</v>
      </c>
      <c r="AF353" s="10" t="n">
        <v>28156639.9708935</v>
      </c>
      <c r="AG353" s="10" t="n">
        <v>12661163.2474976</v>
      </c>
      <c r="AH353" s="10" t="n">
        <v>-1181590.06426188</v>
      </c>
      <c r="AI353" s="10" t="n">
        <v>-324981.660297063</v>
      </c>
      <c r="AJ353" s="10" t="n">
        <v>-548215.603870931</v>
      </c>
      <c r="AK353" s="10" t="n">
        <v>-1261225.79</v>
      </c>
      <c r="AL353" s="10" t="n">
        <v>-191910.716814591</v>
      </c>
      <c r="AM353" s="10"/>
    </row>
    <row r="354">
      <c r="M354" t="s">
        <v>443</v>
      </c>
      <c r="N354" t="n">
        <v>1776</v>
      </c>
      <c r="O354" s="10" t="n">
        <v>6153410.9507429</v>
      </c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</row>
    <row r="355">
      <c r="M355" t="s">
        <v>444</v>
      </c>
      <c r="N355" t="n">
        <v>981</v>
      </c>
      <c r="O355" s="10" t="n">
        <v>10796721.8194503</v>
      </c>
      <c r="P355" s="10" t="n">
        <v>8286771.36125841</v>
      </c>
      <c r="Q355" s="10" t="n">
        <v>16665542.6558741</v>
      </c>
      <c r="R355" s="10" t="n">
        <v>37931773.9542114</v>
      </c>
      <c r="S355" s="10"/>
      <c r="T355" s="10"/>
      <c r="U355" s="10"/>
      <c r="V355" s="10"/>
      <c r="W355" s="10"/>
      <c r="X355" s="10" t="n">
        <v>33258.0298852832</v>
      </c>
      <c r="Y355" s="10" t="n">
        <v>-8504.26522201801</v>
      </c>
      <c r="Z355" s="10" t="n">
        <v>0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</row>
    <row r="356">
      <c r="M356" t="s">
        <v>445</v>
      </c>
      <c r="N356" t="n">
        <v>979</v>
      </c>
      <c r="O356" s="10" t="n">
        <v>334800.270802819</v>
      </c>
      <c r="P356" s="10" t="n">
        <v>815025.648958005</v>
      </c>
      <c r="Q356" s="10" t="n">
        <v>76095.3261804959</v>
      </c>
      <c r="R356" s="10" t="n">
        <v>109048.918977504</v>
      </c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</row>
    <row r="357">
      <c r="M357" t="s">
        <v>446</v>
      </c>
      <c r="N357" t="n">
        <v>1854</v>
      </c>
      <c r="O357" s="10"/>
      <c r="P357" s="10"/>
      <c r="Q357" s="10"/>
      <c r="R357" s="10"/>
      <c r="S357" s="10" t="n">
        <v>628388.617361933</v>
      </c>
      <c r="T357" s="10" t="n">
        <v>1313545.32574035</v>
      </c>
      <c r="U357" s="10" t="n">
        <v>-3387.6805800302</v>
      </c>
      <c r="V357" s="10"/>
      <c r="W357" s="10" t="n">
        <v>70383.23274323</v>
      </c>
      <c r="X357" s="10" t="n">
        <v>813932.977551986</v>
      </c>
      <c r="Y357" s="10" t="n">
        <v>0</v>
      </c>
      <c r="Z357" s="10"/>
      <c r="AA357" s="10"/>
      <c r="AB357" s="10"/>
      <c r="AC357" s="10"/>
      <c r="AD357" s="10" t="n">
        <v>1150320.86949624</v>
      </c>
      <c r="AE357" s="10" t="n">
        <v>132896.239256741</v>
      </c>
      <c r="AF357" s="10" t="n">
        <v>18535.7978762702</v>
      </c>
      <c r="AG357" s="10" t="n">
        <v>-22131.5004749398</v>
      </c>
      <c r="AH357" s="10" t="n">
        <v>702023.85850472</v>
      </c>
      <c r="AI357" s="10" t="n">
        <v>2794423.65082821</v>
      </c>
      <c r="AJ357" s="10" t="n">
        <v>6899699.77088246</v>
      </c>
      <c r="AK357" s="10" t="n">
        <v>190002.0781</v>
      </c>
      <c r="AL357" s="10" t="n">
        <v>-4686.55491248233</v>
      </c>
      <c r="AM357" s="10"/>
    </row>
    <row r="358">
      <c r="M358" t="s">
        <v>447</v>
      </c>
      <c r="N358" t="n">
        <v>480</v>
      </c>
      <c r="O358" s="10"/>
      <c r="P358" s="10"/>
      <c r="Q358" s="10" t="n">
        <v>541747.474532397</v>
      </c>
      <c r="R358" s="10" t="n">
        <v>54934.3720010481</v>
      </c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</row>
    <row r="359">
      <c r="M359" t="s">
        <v>77</v>
      </c>
      <c r="N359" t="n">
        <v>1831</v>
      </c>
      <c r="O359" s="10"/>
      <c r="P359" s="10" t="n">
        <v>414698.232850795</v>
      </c>
      <c r="Q359" s="10" t="n">
        <v>2652156.61523218</v>
      </c>
      <c r="R359" s="10" t="n">
        <v>2733543.49380217</v>
      </c>
      <c r="S359" s="10" t="n">
        <v>311890357.898683</v>
      </c>
      <c r="T359" s="10" t="n">
        <v>281931801.078939</v>
      </c>
      <c r="U359" s="10" t="n">
        <v>376776255.616788</v>
      </c>
      <c r="V359" s="10" t="n">
        <v>497991781.939519</v>
      </c>
      <c r="W359" s="10" t="n">
        <v>325102962.905486</v>
      </c>
      <c r="X359" s="10" t="n">
        <v>150540838.448987</v>
      </c>
      <c r="Y359" s="10" t="n">
        <v>137516494.148258</v>
      </c>
      <c r="Z359" s="10" t="n">
        <v>185895186.055811</v>
      </c>
      <c r="AA359" s="10" t="n">
        <v>260899366.533314</v>
      </c>
      <c r="AB359" s="10" t="n">
        <v>298800915.106338</v>
      </c>
      <c r="AC359" s="10" t="n">
        <v>286452595.804917</v>
      </c>
      <c r="AD359" s="10" t="n">
        <v>261862914.342205</v>
      </c>
      <c r="AE359" s="10" t="n">
        <v>572806232.312819</v>
      </c>
      <c r="AF359" s="10" t="n">
        <v>502727141.090319</v>
      </c>
      <c r="AG359" s="10" t="n">
        <v>548301384.236423</v>
      </c>
      <c r="AH359" s="10" t="n">
        <v>703973272.925908</v>
      </c>
      <c r="AI359" s="10" t="n">
        <v>763526255.066027</v>
      </c>
      <c r="AJ359" s="10" t="n">
        <v>549146911.753927</v>
      </c>
      <c r="AK359" s="10" t="n">
        <v>459632618.0985</v>
      </c>
      <c r="AL359" s="10" t="n">
        <v>183850871.225145</v>
      </c>
      <c r="AM359" s="10"/>
    </row>
    <row r="360">
      <c r="M360" t="s">
        <v>448</v>
      </c>
      <c r="N360" t="n">
        <v>1226</v>
      </c>
      <c r="O360" s="10" t="n">
        <v>463157.097416582</v>
      </c>
      <c r="P360" s="10"/>
      <c r="Q360" s="10" t="n">
        <v>72092656.1166315</v>
      </c>
      <c r="R360" s="10" t="n">
        <v>247744.112775545</v>
      </c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</row>
    <row r="361">
      <c r="M361" t="s">
        <v>449</v>
      </c>
      <c r="N361" t="n">
        <v>1021</v>
      </c>
      <c r="O361" s="10"/>
      <c r="P361" s="10"/>
      <c r="Q361" s="10" t="n">
        <v>111352.309655512</v>
      </c>
      <c r="R361" s="10" t="n">
        <v>23041.9594737267</v>
      </c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</row>
    <row r="362">
      <c r="M362" t="s">
        <v>450</v>
      </c>
      <c r="N362" t="n">
        <v>918</v>
      </c>
      <c r="O362" s="10" t="n">
        <v>32418054.5747401</v>
      </c>
      <c r="P362" s="10" t="n">
        <v>5520141.47420741</v>
      </c>
      <c r="Q362" s="10" t="n">
        <v>5659394.21097849</v>
      </c>
      <c r="R362" s="10" t="n">
        <v>9442366.72135052</v>
      </c>
      <c r="S362" s="10"/>
      <c r="T362" s="10"/>
      <c r="U362" s="10"/>
      <c r="V362" s="10"/>
      <c r="W362" s="10"/>
      <c r="X362" s="10"/>
      <c r="Y362" s="10" t="n">
        <v>-364972.965860174</v>
      </c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</row>
    <row r="363">
      <c r="M363" t="s">
        <v>451</v>
      </c>
      <c r="N363" t="n">
        <v>977</v>
      </c>
      <c r="O363" s="10" t="n">
        <v>860718.786272635</v>
      </c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</row>
    <row r="364">
      <c r="M364" t="s">
        <v>452</v>
      </c>
      <c r="N364" t="n">
        <v>975</v>
      </c>
      <c r="O364" s="10" t="n">
        <v>-228305.887492483</v>
      </c>
      <c r="P364" s="10" t="n">
        <v>1380462.86485674</v>
      </c>
      <c r="Q364" s="10" t="n">
        <v>1842143.60956257</v>
      </c>
      <c r="R364" s="10" t="n">
        <v>42350.5150250521</v>
      </c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</row>
    <row r="365">
      <c r="M365" t="s">
        <v>453</v>
      </c>
      <c r="N365" t="n">
        <v>1835</v>
      </c>
      <c r="O365" s="10"/>
      <c r="P365" s="10"/>
      <c r="Q365" s="10"/>
      <c r="R365" s="10"/>
      <c r="S365" s="10"/>
      <c r="T365" s="10"/>
      <c r="U365" s="10"/>
      <c r="V365" s="10"/>
      <c r="W365" s="10" t="n">
        <v>515679.817295152</v>
      </c>
      <c r="X365" s="10"/>
      <c r="Y365" s="10"/>
      <c r="Z365" s="10" t="n">
        <v>138984.377320412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</row>
    <row r="366">
      <c r="M366" t="s">
        <v>454</v>
      </c>
      <c r="N366" t="n">
        <v>670</v>
      </c>
      <c r="O366" s="10"/>
      <c r="P366" s="10"/>
      <c r="Q366" s="10"/>
      <c r="R366" s="10"/>
      <c r="S366" s="10"/>
      <c r="T366" s="10"/>
      <c r="U366" s="10"/>
      <c r="V366" s="10" t="n">
        <v>51030.6353968932</v>
      </c>
      <c r="W366" s="10" t="n">
        <v>3377052.09163431</v>
      </c>
      <c r="X366" s="10" t="n">
        <v>781737.230492464</v>
      </c>
      <c r="Y366" s="10"/>
      <c r="Z366" s="10" t="n">
        <v>-29.828226055599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</row>
    <row r="367">
      <c r="M367" t="s">
        <v>455</v>
      </c>
      <c r="N367" t="n">
        <v>535</v>
      </c>
      <c r="O367" s="10" t="n">
        <v>43660564.393572</v>
      </c>
      <c r="P367" s="10" t="n">
        <v>715157120.319772</v>
      </c>
      <c r="Q367" s="10" t="n">
        <v>95166793.3998088</v>
      </c>
      <c r="R367" s="10" t="n">
        <v>149017953.546313</v>
      </c>
      <c r="S367" s="10"/>
      <c r="T367" s="10"/>
      <c r="U367" s="10"/>
      <c r="V367" s="10"/>
      <c r="W367" s="10"/>
      <c r="X367" s="10"/>
      <c r="Y367" s="10" t="n">
        <v>-9964.39112739712</v>
      </c>
      <c r="Z367" s="10"/>
      <c r="AA367" s="10"/>
      <c r="AB367" s="10"/>
      <c r="AC367" s="10"/>
      <c r="AD367" s="10"/>
      <c r="AE367" s="10" t="n">
        <v>0</v>
      </c>
      <c r="AF367" s="10"/>
      <c r="AG367" s="10"/>
      <c r="AH367" s="10"/>
      <c r="AI367" s="10"/>
      <c r="AJ367" s="10"/>
      <c r="AK367" s="10"/>
      <c r="AL367" s="10"/>
      <c r="AM367" s="10"/>
    </row>
    <row r="368">
      <c r="M368" t="s">
        <v>456</v>
      </c>
      <c r="N368" t="n">
        <v>1778</v>
      </c>
      <c r="O368" s="10" t="n">
        <v>498034.246270899</v>
      </c>
      <c r="P368" s="10"/>
      <c r="Q368" s="10" t="n">
        <v>49424.6908371523</v>
      </c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</row>
    <row r="369">
      <c r="M369" t="s">
        <v>457</v>
      </c>
      <c r="N369" t="n">
        <v>1705</v>
      </c>
      <c r="O369" s="10" t="n">
        <v>12769922.4483506</v>
      </c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</row>
    <row r="370">
      <c r="M370" t="s">
        <v>458</v>
      </c>
      <c r="N370" t="n">
        <v>697</v>
      </c>
      <c r="O370" s="10"/>
      <c r="P370" s="10"/>
      <c r="Q370" s="10"/>
      <c r="R370" s="10"/>
      <c r="S370" s="10" t="n">
        <v>58572955.4689595</v>
      </c>
      <c r="T370" s="10" t="n">
        <v>1309003.58803486</v>
      </c>
      <c r="U370" s="10" t="n">
        <v>-6519885.58364001</v>
      </c>
      <c r="V370" s="10" t="n">
        <v>0</v>
      </c>
      <c r="W370" s="10" t="n">
        <v>1824097.44891294</v>
      </c>
      <c r="X370" s="10" t="n">
        <v>1813960.75129936</v>
      </c>
      <c r="Y370" s="10" t="n">
        <v>939323.198883069</v>
      </c>
      <c r="Z370" s="10"/>
      <c r="AA370" s="10" t="n">
        <v>1459801.96782147</v>
      </c>
      <c r="AB370" s="10" t="n">
        <v>7057957.88441998</v>
      </c>
      <c r="AC370" s="10" t="n">
        <v>16165411.1053397</v>
      </c>
      <c r="AD370" s="10" t="n">
        <v>12560019.9964222</v>
      </c>
      <c r="AE370" s="10" t="n">
        <v>10358147.1894584</v>
      </c>
      <c r="AF370" s="10" t="n">
        <v>-243569.428899865</v>
      </c>
      <c r="AG370" s="10" t="n">
        <v>0</v>
      </c>
      <c r="AH370" s="10" t="n">
        <v>0</v>
      </c>
      <c r="AI370" s="10"/>
      <c r="AJ370" s="10" t="n">
        <v>-91425.1669940654</v>
      </c>
      <c r="AK370" s="10" t="n">
        <v>-28770.8301</v>
      </c>
      <c r="AL370" s="10"/>
      <c r="AM370" s="10"/>
    </row>
    <row r="371">
      <c r="M371" t="s">
        <v>459</v>
      </c>
      <c r="N371" t="n">
        <v>1385</v>
      </c>
      <c r="O371" s="10"/>
      <c r="P371" s="10"/>
      <c r="Q371" s="10"/>
      <c r="R371" s="10"/>
      <c r="S371" s="10"/>
      <c r="T371" s="10"/>
      <c r="U371" s="10"/>
      <c r="V371" s="10"/>
      <c r="W371" s="10" t="n">
        <v>-79980.946299125</v>
      </c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</row>
    <row r="372">
      <c r="M372" t="s">
        <v>460</v>
      </c>
      <c r="N372" t="n">
        <v>2036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 t="n">
        <v>19995626.0492522</v>
      </c>
      <c r="AI372" s="10" t="n">
        <v>12172802.2999553</v>
      </c>
      <c r="AJ372" s="10" t="n">
        <v>5140752.37744121</v>
      </c>
      <c r="AK372" s="10" t="n">
        <v>4945000</v>
      </c>
      <c r="AL372" s="10" t="n">
        <v>0</v>
      </c>
      <c r="AM372" s="10"/>
    </row>
    <row r="373">
      <c r="M373" t="s">
        <v>78</v>
      </c>
      <c r="N373" t="n">
        <v>1805</v>
      </c>
      <c r="O373" s="10"/>
      <c r="P373" s="10"/>
      <c r="Q373" s="10"/>
      <c r="R373" s="10"/>
      <c r="S373" s="10"/>
      <c r="T373" s="10" t="n">
        <v>29619778.3224023</v>
      </c>
      <c r="U373" s="10" t="n">
        <v>127628349.210028</v>
      </c>
      <c r="V373" s="10" t="n">
        <v>271537606.225235</v>
      </c>
      <c r="W373" s="10" t="n">
        <v>224169384.575851</v>
      </c>
      <c r="X373" s="10" t="n">
        <v>184007831.397077</v>
      </c>
      <c r="Y373" s="10" t="n">
        <v>129796851.58438</v>
      </c>
      <c r="Z373" s="10" t="n">
        <v>82748172.3369387</v>
      </c>
      <c r="AA373" s="10" t="n">
        <v>-26802.941194886</v>
      </c>
      <c r="AB373" s="10" t="n">
        <v>-23.3359432283569</v>
      </c>
      <c r="AC373" s="10" t="n">
        <v>-150405.162790306</v>
      </c>
      <c r="AD373" s="10" t="n">
        <v>-26159.027743347</v>
      </c>
      <c r="AE373" s="10" t="n">
        <v>-140281.785731273</v>
      </c>
      <c r="AF373" s="10" t="n">
        <v>3897682.03950529</v>
      </c>
      <c r="AG373" s="10" t="n">
        <v>15870354.9227312</v>
      </c>
      <c r="AH373" s="10" t="n">
        <v>45797563.8515583</v>
      </c>
      <c r="AI373" s="10" t="n">
        <v>72245441.5505122</v>
      </c>
      <c r="AJ373" s="10" t="n">
        <v>71527643.1044269</v>
      </c>
      <c r="AK373" s="10" t="n">
        <v>56006244.5396</v>
      </c>
      <c r="AL373" s="10" t="n">
        <v>100146809.60637</v>
      </c>
      <c r="AM373" s="10"/>
    </row>
    <row r="374">
      <c r="M374" t="s">
        <v>461</v>
      </c>
      <c r="N374" t="n">
        <v>835</v>
      </c>
      <c r="O374" s="10" t="n">
        <v>4589481.20636933</v>
      </c>
      <c r="P374" s="10" t="n">
        <v>3471222.67136011</v>
      </c>
      <c r="Q374" s="10" t="n">
        <v>-184535.824885224</v>
      </c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</row>
    <row r="375">
      <c r="M375" t="s">
        <v>462</v>
      </c>
      <c r="N375" t="n">
        <v>662</v>
      </c>
      <c r="O375" s="10"/>
      <c r="P375" s="10"/>
      <c r="Q375" s="10"/>
      <c r="R375" s="10"/>
      <c r="S375" s="10"/>
      <c r="T375" s="10"/>
      <c r="U375" s="10"/>
      <c r="V375" s="10" t="n">
        <v>0</v>
      </c>
      <c r="W375" s="10" t="n">
        <v>2093616.41648167</v>
      </c>
      <c r="X375" s="10" t="n">
        <v>2418146.31480634</v>
      </c>
      <c r="Y375" s="10" t="n">
        <v>3407749.55022248</v>
      </c>
      <c r="Z375" s="10"/>
      <c r="AA375" s="10" t="n">
        <v>-261362.776101462</v>
      </c>
      <c r="AB375" s="10"/>
      <c r="AC375" s="10"/>
      <c r="AD375" s="10" t="n">
        <v>0</v>
      </c>
      <c r="AE375" s="10"/>
      <c r="AF375" s="10"/>
      <c r="AG375" s="10"/>
      <c r="AH375" s="10"/>
      <c r="AI375" s="10"/>
      <c r="AJ375" s="10"/>
      <c r="AK375" s="10"/>
      <c r="AL375" s="10"/>
      <c r="AM375" s="10"/>
    </row>
    <row r="376">
      <c r="M376" t="s">
        <v>463</v>
      </c>
      <c r="N376" t="n">
        <v>411</v>
      </c>
      <c r="O376" s="10"/>
      <c r="P376" s="10" t="n">
        <v>744195.347903812</v>
      </c>
      <c r="Q376" s="10" t="n">
        <v>4134920.63483436</v>
      </c>
      <c r="R376" s="10" t="n">
        <v>16434.5964502442</v>
      </c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</row>
    <row r="377">
      <c r="M377" t="s">
        <v>464</v>
      </c>
      <c r="N377" t="n">
        <v>1743</v>
      </c>
      <c r="O377" s="10" t="n">
        <v>452404.413935368</v>
      </c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</row>
    <row r="378">
      <c r="M378" t="s">
        <v>465</v>
      </c>
      <c r="N378" t="n">
        <v>2099</v>
      </c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 t="n">
        <v>31165365.5763135</v>
      </c>
      <c r="AE378" s="10" t="n">
        <v>2617098.0554695</v>
      </c>
      <c r="AF378" s="10" t="n">
        <v>2571192.57668841</v>
      </c>
      <c r="AG378" s="10"/>
      <c r="AH378" s="10"/>
      <c r="AI378" s="10"/>
      <c r="AJ378" s="10"/>
      <c r="AK378" s="10"/>
      <c r="AL378" s="10"/>
      <c r="AM378" s="10"/>
    </row>
    <row r="379">
      <c r="M379" t="s">
        <v>466</v>
      </c>
      <c r="N379" t="n">
        <v>2100</v>
      </c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 t="n">
        <v>34937.9398152331</v>
      </c>
      <c r="AE379" s="10" t="n">
        <v>52341.96110939</v>
      </c>
      <c r="AF379" s="10"/>
      <c r="AG379" s="10"/>
      <c r="AH379" s="10"/>
      <c r="AI379" s="10"/>
      <c r="AJ379" s="10"/>
      <c r="AK379" s="10"/>
      <c r="AL379" s="10"/>
      <c r="AM379" s="10"/>
    </row>
    <row r="380">
      <c r="M380" t="s">
        <v>467</v>
      </c>
      <c r="N380" t="n">
        <v>2102</v>
      </c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 t="n">
        <v>210855.385744593</v>
      </c>
      <c r="AE380" s="10" t="n">
        <v>288138.062781004</v>
      </c>
      <c r="AF380" s="10" t="n">
        <v>20865.6363457013</v>
      </c>
      <c r="AG380" s="10"/>
      <c r="AH380" s="10"/>
      <c r="AI380" s="10"/>
      <c r="AJ380" s="10" t="n">
        <v>-24572.2394103787</v>
      </c>
      <c r="AK380" s="10"/>
      <c r="AL380" s="10"/>
      <c r="AM380" s="10"/>
    </row>
    <row r="381">
      <c r="M381" t="s">
        <v>468</v>
      </c>
      <c r="N381" t="n">
        <v>1823</v>
      </c>
      <c r="O381" s="10"/>
      <c r="P381" s="10"/>
      <c r="Q381" s="10"/>
      <c r="R381" s="10"/>
      <c r="S381" s="10" t="n">
        <v>37147340.4055538</v>
      </c>
      <c r="T381" s="10" t="n">
        <v>5121509.43546802</v>
      </c>
      <c r="U381" s="10" t="n">
        <v>3808500.97406303</v>
      </c>
      <c r="V381" s="10" t="n">
        <v>13986708.5358016</v>
      </c>
      <c r="W381" s="10" t="n">
        <v>22244183.506385</v>
      </c>
      <c r="X381" s="10" t="n">
        <v>10237346.5627635</v>
      </c>
      <c r="Y381" s="10" t="n">
        <v>7224617.00426771</v>
      </c>
      <c r="Z381" s="10" t="n">
        <v>5480331.44124534</v>
      </c>
      <c r="AA381" s="10" t="n">
        <v>5810656.11411382</v>
      </c>
      <c r="AB381" s="10" t="n">
        <v>3792900.07550717</v>
      </c>
      <c r="AC381" s="10" t="n">
        <v>2265117.25047495</v>
      </c>
      <c r="AD381" s="10" t="n">
        <v>33065.1710815725</v>
      </c>
      <c r="AE381" s="10" t="n">
        <v>6956.72246744801</v>
      </c>
      <c r="AF381" s="10" t="n">
        <v>1585268.59592767</v>
      </c>
      <c r="AG381" s="10" t="n">
        <v>-7106.50327287993</v>
      </c>
      <c r="AH381" s="10"/>
      <c r="AI381" s="10"/>
      <c r="AJ381" s="10"/>
      <c r="AK381" s="10"/>
      <c r="AL381" s="10"/>
      <c r="AM381" s="10"/>
    </row>
    <row r="382">
      <c r="M382" t="s">
        <v>469</v>
      </c>
      <c r="N382" t="n">
        <v>2194</v>
      </c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 t="n">
        <v>5960.64087540105</v>
      </c>
      <c r="AH382" s="10" t="n">
        <v>590944.52153513</v>
      </c>
      <c r="AI382" s="10" t="n">
        <v>0</v>
      </c>
      <c r="AJ382" s="10" t="n">
        <v>-11307.7163163244</v>
      </c>
      <c r="AK382" s="10" t="n">
        <v>329024</v>
      </c>
      <c r="AL382" s="10" t="n">
        <v>0</v>
      </c>
      <c r="AM382" s="10"/>
    </row>
    <row r="383">
      <c r="M383" t="s">
        <v>470</v>
      </c>
      <c r="N383" t="n">
        <v>1987</v>
      </c>
      <c r="O383" s="10"/>
      <c r="P383" s="10"/>
      <c r="Q383" s="10"/>
      <c r="R383" s="10"/>
      <c r="S383" s="10"/>
      <c r="T383" s="10"/>
      <c r="U383" s="10" t="n">
        <v>13701094.5123385</v>
      </c>
      <c r="V383" s="10" t="n">
        <v>109089819.979785</v>
      </c>
      <c r="W383" s="10" t="n">
        <v>184584659.744878</v>
      </c>
      <c r="X383" s="10" t="n">
        <v>191398523.423441</v>
      </c>
      <c r="Y383" s="10" t="n">
        <v>84928461.9658505</v>
      </c>
      <c r="Z383" s="10" t="n">
        <v>54131514.1445788</v>
      </c>
      <c r="AA383" s="10" t="n">
        <v>19369262.697707</v>
      </c>
      <c r="AB383" s="10" t="n">
        <v>5058149.80060216</v>
      </c>
      <c r="AC383" s="10" t="n">
        <v>-526192.378456774</v>
      </c>
      <c r="AD383" s="10" t="n">
        <v>-41960.5621064211</v>
      </c>
      <c r="AE383" s="10" t="n">
        <v>-131297.025921205</v>
      </c>
      <c r="AF383" s="10"/>
      <c r="AG383" s="10"/>
      <c r="AH383" s="10"/>
      <c r="AI383" s="10" t="n">
        <v>568403.185295571</v>
      </c>
      <c r="AJ383" s="10"/>
      <c r="AK383" s="10" t="n">
        <v>0</v>
      </c>
      <c r="AL383" s="10"/>
      <c r="AM383" s="10"/>
    </row>
    <row r="384">
      <c r="M384" t="s">
        <v>471</v>
      </c>
      <c r="N384" t="n">
        <v>664</v>
      </c>
      <c r="O384" s="10"/>
      <c r="P384" s="10"/>
      <c r="Q384" s="10"/>
      <c r="R384" s="10"/>
      <c r="S384" s="10"/>
      <c r="T384" s="10"/>
      <c r="U384" s="10"/>
      <c r="V384" s="10" t="n">
        <v>21506277.4975517</v>
      </c>
      <c r="W384" s="10" t="n">
        <v>5336793.95958193</v>
      </c>
      <c r="X384" s="10" t="n">
        <v>13747496.8067283</v>
      </c>
      <c r="Y384" s="10" t="n">
        <v>-5716742.9552464</v>
      </c>
      <c r="Z384" s="10" t="n">
        <v>42144.4867959516</v>
      </c>
      <c r="AA384" s="10" t="n">
        <v>175075.441766596</v>
      </c>
      <c r="AB384" s="10" t="n">
        <v>185091.142236285</v>
      </c>
      <c r="AC384" s="10" t="n">
        <v>183790.710163309</v>
      </c>
      <c r="AD384" s="10" t="n">
        <v>-23536.0404199629</v>
      </c>
      <c r="AE384" s="10" t="n">
        <v>7609442.18715243</v>
      </c>
      <c r="AF384" s="10" t="n">
        <v>1233034.0997333</v>
      </c>
      <c r="AG384" s="10" t="n">
        <v>3142715.15464515</v>
      </c>
      <c r="AH384" s="10" t="n">
        <v>299085.990002464</v>
      </c>
      <c r="AI384" s="10" t="n">
        <v>15087.9247482462</v>
      </c>
      <c r="AJ384" s="10"/>
      <c r="AK384" s="10" t="n">
        <v>2586690.0781</v>
      </c>
      <c r="AL384" s="10" t="n">
        <v>4246535.95856278</v>
      </c>
      <c r="AM384" s="10"/>
    </row>
    <row r="385">
      <c r="M385" t="s">
        <v>472</v>
      </c>
      <c r="N385" t="n">
        <v>2004</v>
      </c>
      <c r="O385" s="10"/>
      <c r="P385" s="10"/>
      <c r="Q385" s="10"/>
      <c r="R385" s="10"/>
      <c r="S385" s="10"/>
      <c r="T385" s="10"/>
      <c r="U385" s="10"/>
      <c r="V385" s="10"/>
      <c r="W385" s="10" t="n">
        <v>3095062.66941039</v>
      </c>
      <c r="X385" s="10" t="n">
        <v>4639842.51172813</v>
      </c>
      <c r="Y385" s="10" t="n">
        <v>383764.675830977</v>
      </c>
      <c r="Z385" s="10" t="n">
        <v>-5535.79020942237</v>
      </c>
      <c r="AA385" s="10" t="n">
        <v>0</v>
      </c>
      <c r="AB385" s="10" t="n">
        <v>352085.464549358</v>
      </c>
      <c r="AC385" s="10"/>
      <c r="AD385" s="10" t="n">
        <v>-465.073799657885</v>
      </c>
      <c r="AE385" s="10"/>
      <c r="AF385" s="10"/>
      <c r="AG385" s="10"/>
      <c r="AH385" s="10"/>
      <c r="AI385" s="10"/>
      <c r="AJ385" s="10"/>
      <c r="AK385" s="10"/>
      <c r="AL385" s="10"/>
      <c r="AM385" s="10"/>
    </row>
    <row r="386">
      <c r="M386" t="s">
        <v>473</v>
      </c>
      <c r="N386" t="n">
        <v>2200</v>
      </c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 t="n">
        <v>11653918.6986243</v>
      </c>
      <c r="AG386" s="10" t="n">
        <v>17252151.5873034</v>
      </c>
      <c r="AH386" s="10" t="n">
        <v>4058817.48582849</v>
      </c>
      <c r="AI386" s="10"/>
      <c r="AJ386" s="10"/>
      <c r="AK386" s="10"/>
      <c r="AL386" s="10"/>
      <c r="AM386" s="10"/>
    </row>
    <row r="387">
      <c r="M387" t="s">
        <v>474</v>
      </c>
      <c r="N387" t="n">
        <v>456</v>
      </c>
      <c r="O387" s="10" t="n">
        <v>-261864.600626189</v>
      </c>
      <c r="P387" s="10" t="n">
        <v>156302.744920016</v>
      </c>
      <c r="Q387" s="10" t="n">
        <v>7501666.71670581</v>
      </c>
      <c r="R387" s="10" t="n">
        <v>868098.699228434</v>
      </c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</row>
    <row r="388">
      <c r="M388" t="s">
        <v>475</v>
      </c>
      <c r="N388" t="n">
        <v>1965</v>
      </c>
      <c r="O388" s="10"/>
      <c r="P388" s="10"/>
      <c r="Q388" s="10"/>
      <c r="R388" s="10"/>
      <c r="S388" s="10" t="n">
        <v>1238850.13385455</v>
      </c>
      <c r="T388" s="10" t="n">
        <v>2137336.56704481</v>
      </c>
      <c r="U388" s="10" t="n">
        <v>8310849.40358192</v>
      </c>
      <c r="V388" s="10" t="n">
        <v>22126.8835080929</v>
      </c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</row>
    <row r="389">
      <c r="M389" t="s">
        <v>476</v>
      </c>
      <c r="N389" t="n">
        <v>1966</v>
      </c>
      <c r="O389" s="10"/>
      <c r="P389" s="10"/>
      <c r="Q389" s="10"/>
      <c r="R389" s="10"/>
      <c r="S389" s="10"/>
      <c r="T389" s="10"/>
      <c r="U389" s="10"/>
      <c r="V389" s="10" t="n">
        <v>89500.7651982541</v>
      </c>
      <c r="W389" s="10" t="n">
        <v>15994.8562440534</v>
      </c>
      <c r="X389" s="10" t="n">
        <v>53561.4877202619</v>
      </c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</row>
    <row r="390">
      <c r="M390" t="s">
        <v>477</v>
      </c>
      <c r="N390" t="n">
        <v>547</v>
      </c>
      <c r="O390" s="10"/>
      <c r="P390" s="10" t="n">
        <v>174456.351844842</v>
      </c>
      <c r="Q390" s="10" t="n">
        <v>66622.2345539443</v>
      </c>
      <c r="R390" s="10" t="n">
        <v>67658.422103926</v>
      </c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</row>
    <row r="391">
      <c r="M391" t="s">
        <v>478</v>
      </c>
      <c r="N391" t="n">
        <v>548</v>
      </c>
      <c r="O391" s="10" t="n">
        <v>130583.302622344</v>
      </c>
      <c r="P391" s="10" t="n">
        <v>14533842.6960745</v>
      </c>
      <c r="Q391" s="10" t="n">
        <v>25906771.8235537</v>
      </c>
      <c r="R391" s="10" t="n">
        <v>29562468.2835908</v>
      </c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</row>
    <row r="392">
      <c r="M392" t="s">
        <v>479</v>
      </c>
      <c r="N392" t="n">
        <v>2181</v>
      </c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 t="n">
        <v>2854778.74471836</v>
      </c>
      <c r="AH392" s="10" t="n">
        <v>7805548.84830469</v>
      </c>
      <c r="AI392" s="10" t="n">
        <v>5536168.61571212</v>
      </c>
      <c r="AJ392" s="10" t="n">
        <v>16302367.2265166</v>
      </c>
      <c r="AK392" s="10" t="n">
        <v>11742422</v>
      </c>
      <c r="AL392" s="10" t="n">
        <v>8053250.92405966</v>
      </c>
      <c r="AM392" s="10"/>
    </row>
    <row r="393">
      <c r="M393" t="s">
        <v>480</v>
      </c>
      <c r="N393" t="n">
        <v>1140</v>
      </c>
      <c r="O393" s="10" t="n">
        <v>13484004.0382264</v>
      </c>
      <c r="P393" s="10" t="n">
        <v>2414224.64897379</v>
      </c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</row>
    <row r="394">
      <c r="M394" t="s">
        <v>481</v>
      </c>
      <c r="N394" t="n">
        <v>1642</v>
      </c>
      <c r="O394" s="10"/>
      <c r="P394" s="10" t="n">
        <v>32151680.0175708</v>
      </c>
      <c r="Q394" s="10" t="n">
        <v>18135830.1479144</v>
      </c>
      <c r="R394" s="10" t="n">
        <v>8515034.9021761</v>
      </c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</row>
    <row r="395">
      <c r="M395" t="s">
        <v>482</v>
      </c>
      <c r="N395" t="n">
        <v>1082</v>
      </c>
      <c r="O395" s="10" t="n">
        <v>5519682.84770224</v>
      </c>
      <c r="P395" s="10"/>
      <c r="Q395" s="10" t="n">
        <v>1707880.39486337</v>
      </c>
      <c r="R395" s="10" t="n">
        <v>380959.583918502</v>
      </c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</row>
    <row r="396">
      <c r="M396" t="s">
        <v>483</v>
      </c>
      <c r="N396" t="n">
        <v>2258</v>
      </c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 t="n">
        <v>42318635.4185196</v>
      </c>
      <c r="AA396" s="10"/>
      <c r="AB396" s="10"/>
      <c r="AC396" s="10"/>
      <c r="AD396" s="10" t="n">
        <v>846069.850160116</v>
      </c>
      <c r="AE396" s="10" t="n">
        <v>9451706.81710647</v>
      </c>
      <c r="AF396" s="10" t="n">
        <v>44669138.1328122</v>
      </c>
      <c r="AG396" s="10" t="n">
        <v>31125194.7471537</v>
      </c>
      <c r="AH396" s="10" t="n">
        <v>36291936.5374622</v>
      </c>
      <c r="AI396" s="10" t="n">
        <v>42120405.9388146</v>
      </c>
      <c r="AJ396" s="10" t="n">
        <v>15720340.8480171</v>
      </c>
      <c r="AK396" s="10"/>
      <c r="AL396" s="10"/>
      <c r="AM396" s="10"/>
    </row>
    <row r="397">
      <c r="M397" t="s">
        <v>484</v>
      </c>
      <c r="N397" t="n">
        <v>1780</v>
      </c>
      <c r="O397" s="10" t="n">
        <v>203594.912111314</v>
      </c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</row>
    <row r="398">
      <c r="M398" t="s">
        <v>485</v>
      </c>
      <c r="N398" t="n">
        <v>1684</v>
      </c>
      <c r="O398" s="10" t="n">
        <v>318428.078208508</v>
      </c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</row>
    <row r="399">
      <c r="M399" t="s">
        <v>486</v>
      </c>
      <c r="N399" t="n">
        <v>1629</v>
      </c>
      <c r="O399" s="10"/>
      <c r="P399" s="10"/>
      <c r="Q399" s="10"/>
      <c r="R399" s="10" t="n">
        <v>129018.820366511</v>
      </c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</row>
    <row r="400">
      <c r="M400" t="s">
        <v>80</v>
      </c>
      <c r="N400" t="n">
        <v>1631</v>
      </c>
      <c r="O400" s="10" t="n">
        <v>2253242.19258639</v>
      </c>
      <c r="P400" s="10" t="n">
        <v>-156652.944845051</v>
      </c>
      <c r="Q400" s="10"/>
      <c r="R400" s="10" t="n">
        <v>4176757.066974</v>
      </c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</row>
    <row r="401">
      <c r="M401" t="s">
        <v>487</v>
      </c>
      <c r="N401" t="n">
        <v>40</v>
      </c>
      <c r="O401" s="10"/>
      <c r="P401" s="10"/>
      <c r="Q401" s="10"/>
      <c r="R401" s="10"/>
      <c r="S401" s="10"/>
      <c r="T401" s="10"/>
      <c r="U401" s="10"/>
      <c r="V401" s="10" t="n">
        <v>47092.431161197</v>
      </c>
      <c r="W401" s="10"/>
      <c r="X401" s="10"/>
      <c r="Y401" s="10"/>
      <c r="Z401" s="10"/>
      <c r="AA401" s="10" t="n">
        <v>-43579.3357916851</v>
      </c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</row>
    <row r="402">
      <c r="M402" t="s">
        <v>488</v>
      </c>
      <c r="N402" t="n">
        <v>1782</v>
      </c>
      <c r="O402" s="10" t="n">
        <v>139017.413482139</v>
      </c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</row>
    <row r="403">
      <c r="M403" t="s">
        <v>489</v>
      </c>
      <c r="N403" t="n">
        <v>596</v>
      </c>
      <c r="O403" s="10"/>
      <c r="P403" s="10"/>
      <c r="Q403" s="10" t="n">
        <v>81055.4990747919</v>
      </c>
      <c r="R403" s="10" t="n">
        <v>201483.428581153</v>
      </c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</row>
    <row r="404">
      <c r="M404" t="s">
        <v>490</v>
      </c>
      <c r="N404" t="n">
        <v>1979</v>
      </c>
      <c r="O404" s="10"/>
      <c r="P404" s="10"/>
      <c r="Q404" s="10"/>
      <c r="R404" s="10"/>
      <c r="S404" s="10" t="n">
        <v>219910.431432223</v>
      </c>
      <c r="T404" s="10"/>
      <c r="U404" s="10"/>
      <c r="V404" s="10" t="n">
        <v>1614793.01424513</v>
      </c>
      <c r="W404" s="10" t="n">
        <v>485319.050080004</v>
      </c>
      <c r="X404" s="10" t="n">
        <v>1362593.47961855</v>
      </c>
      <c r="Y404" s="10" t="n">
        <v>155055.860623575</v>
      </c>
      <c r="Z404" s="10" t="n">
        <v>41549.2056836374</v>
      </c>
      <c r="AA404" s="10" t="n">
        <v>1472422.16819534</v>
      </c>
      <c r="AB404" s="10"/>
      <c r="AC404" s="10" t="n">
        <v>11250.8992075327</v>
      </c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</row>
    <row r="405">
      <c r="M405" t="s">
        <v>491</v>
      </c>
      <c r="N405" t="n">
        <v>1327</v>
      </c>
      <c r="O405" s="10"/>
      <c r="P405" s="10"/>
      <c r="Q405" s="10"/>
      <c r="R405" s="10"/>
      <c r="S405" s="10" t="n">
        <v>4169318.28450497</v>
      </c>
      <c r="T405" s="10" t="n">
        <v>12253596.7801638</v>
      </c>
      <c r="U405" s="10" t="n">
        <v>21312463.3754224</v>
      </c>
      <c r="V405" s="10"/>
      <c r="W405" s="10"/>
      <c r="X405" s="10"/>
      <c r="Y405" s="10" t="n">
        <v>-2152.15233345758</v>
      </c>
      <c r="Z405" s="10" t="n">
        <v>-11826.135025139</v>
      </c>
      <c r="AA405" s="10" t="n">
        <v>0</v>
      </c>
      <c r="AB405" s="10" t="n">
        <v>-9893.3516601407</v>
      </c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</row>
    <row r="406">
      <c r="M406" t="s">
        <v>492</v>
      </c>
      <c r="N406" t="n">
        <v>1328</v>
      </c>
      <c r="O406" s="10"/>
      <c r="P406" s="10"/>
      <c r="Q406" s="10"/>
      <c r="R406" s="10"/>
      <c r="S406" s="10" t="n">
        <v>57889246.0078844</v>
      </c>
      <c r="T406" s="10"/>
      <c r="U406" s="10"/>
      <c r="V406" s="10"/>
      <c r="W406" s="10"/>
      <c r="X406" s="10" t="n">
        <v>-168037.923095719</v>
      </c>
      <c r="Y406" s="10"/>
      <c r="Z406" s="10" t="n">
        <v>-49574.7059854135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</row>
    <row r="407">
      <c r="M407" t="s">
        <v>493</v>
      </c>
      <c r="N407" t="n">
        <v>471</v>
      </c>
      <c r="O407" s="10" t="n">
        <v>18656747.6352619</v>
      </c>
      <c r="P407" s="10" t="n">
        <v>10784898.8643439</v>
      </c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</row>
    <row r="408">
      <c r="M408" t="s">
        <v>494</v>
      </c>
      <c r="N408" t="n">
        <v>154</v>
      </c>
      <c r="O408" s="10" t="n">
        <v>57091.8213085937</v>
      </c>
      <c r="P408" s="10" t="n">
        <v>673197.834272801</v>
      </c>
      <c r="Q408" s="10" t="n">
        <v>48401.2863483166</v>
      </c>
      <c r="R408" s="10" t="n">
        <v>703428.157160494</v>
      </c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</row>
    <row r="409">
      <c r="M409" t="s">
        <v>495</v>
      </c>
      <c r="N409" t="n">
        <v>546</v>
      </c>
      <c r="O409" s="10"/>
      <c r="P409" s="10"/>
      <c r="Q409" s="10" t="n">
        <v>22129.7632259605</v>
      </c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</row>
    <row r="410">
      <c r="M410" t="s">
        <v>496</v>
      </c>
      <c r="N410" t="n">
        <v>706</v>
      </c>
      <c r="O410" s="10"/>
      <c r="P410" s="10" t="n">
        <v>1178313.90182269</v>
      </c>
      <c r="Q410" s="10" t="n">
        <v>1381769.99210225</v>
      </c>
      <c r="R410" s="10" t="n">
        <v>95811.3353555034</v>
      </c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</row>
    <row r="411">
      <c r="M411" t="s">
        <v>497</v>
      </c>
      <c r="N411" t="n">
        <v>1956</v>
      </c>
      <c r="O411" s="10"/>
      <c r="P411" s="10"/>
      <c r="Q411" s="10"/>
      <c r="R411" s="10"/>
      <c r="S411" s="10" t="n">
        <v>-919262.225127765</v>
      </c>
      <c r="T411" s="10"/>
      <c r="U411" s="10" t="n">
        <v>76998.0787880408</v>
      </c>
      <c r="V411" s="10"/>
      <c r="W411" s="10"/>
      <c r="X411" s="10" t="n">
        <v>603472.440245875</v>
      </c>
      <c r="Y411" s="10" t="n">
        <v>66425.2622843181</v>
      </c>
      <c r="Z411" s="10"/>
      <c r="AA411" s="10" t="n">
        <v>33817.6209909876</v>
      </c>
      <c r="AB411" s="10" t="n">
        <v>77761.7440487059</v>
      </c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</row>
    <row r="412">
      <c r="M412" t="s">
        <v>498</v>
      </c>
      <c r="N412" t="n">
        <v>583</v>
      </c>
      <c r="O412" s="10"/>
      <c r="P412" s="10"/>
      <c r="Q412" s="10"/>
      <c r="R412" s="10" t="n">
        <v>119136.728759665</v>
      </c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</row>
    <row r="413">
      <c r="M413" t="s">
        <v>499</v>
      </c>
      <c r="N413" t="n">
        <v>691</v>
      </c>
      <c r="O413" s="10" t="n">
        <v>55612932.2839296</v>
      </c>
      <c r="P413" s="10"/>
      <c r="Q413" s="10" t="n">
        <v>70635531.5630547</v>
      </c>
      <c r="R413" s="10" t="n">
        <v>-609535.334269604</v>
      </c>
      <c r="S413" s="10" t="n">
        <v>71491091.6722354</v>
      </c>
      <c r="T413" s="10" t="n">
        <v>33183738.8010092</v>
      </c>
      <c r="U413" s="10" t="n">
        <v>15934542.1257136</v>
      </c>
      <c r="V413" s="10" t="n">
        <v>20740532.1950401</v>
      </c>
      <c r="W413" s="10" t="n">
        <v>9913638.29377655</v>
      </c>
      <c r="X413" s="10" t="n">
        <v>12947143.9881602</v>
      </c>
      <c r="Y413" s="10" t="n">
        <v>9707544.16344232</v>
      </c>
      <c r="Z413" s="10" t="n">
        <v>0</v>
      </c>
      <c r="AA413" s="10" t="n">
        <v>-66701.2408321134</v>
      </c>
      <c r="AB413" s="10" t="n">
        <v>-24796.9686681473</v>
      </c>
      <c r="AC413" s="10" t="n">
        <v>-63899.0415064916</v>
      </c>
      <c r="AD413" s="10" t="n">
        <v>18453.6927310685</v>
      </c>
      <c r="AE413" s="10" t="n">
        <v>1382499.70571922</v>
      </c>
      <c r="AF413" s="10" t="n">
        <v>10838874.615212</v>
      </c>
      <c r="AG413" s="10" t="n">
        <v>25668.1721273862</v>
      </c>
      <c r="AH413" s="10"/>
      <c r="AI413" s="10"/>
      <c r="AJ413" s="10"/>
      <c r="AK413" s="10"/>
      <c r="AL413" s="10"/>
      <c r="AM413" s="10"/>
    </row>
    <row r="414">
      <c r="M414" t="s">
        <v>500</v>
      </c>
      <c r="N414" t="n">
        <v>825</v>
      </c>
      <c r="O414" s="10" t="n">
        <v>145286.446075244</v>
      </c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</row>
    <row r="415">
      <c r="M415" t="s">
        <v>501</v>
      </c>
      <c r="N415" t="n">
        <v>120</v>
      </c>
      <c r="O415" s="10"/>
      <c r="P415" s="10"/>
      <c r="Q415" s="10" t="n">
        <v>156456.649524621</v>
      </c>
      <c r="R415" s="10" t="n">
        <v>48572.3469496091</v>
      </c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</row>
    <row r="416">
      <c r="M416" t="s">
        <v>502</v>
      </c>
      <c r="N416" t="n">
        <v>986</v>
      </c>
      <c r="O416" s="10" t="n">
        <v>154666154.868016</v>
      </c>
      <c r="P416" s="10" t="n">
        <v>74274357.9917282</v>
      </c>
      <c r="Q416" s="10" t="n">
        <v>77094658.1458392</v>
      </c>
      <c r="R416" s="10" t="n">
        <v>156545618.922727</v>
      </c>
      <c r="S416" s="10" t="n">
        <v>379366.727988002</v>
      </c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</row>
    <row r="417">
      <c r="M417" t="s">
        <v>503</v>
      </c>
      <c r="N417" t="n">
        <v>2008</v>
      </c>
      <c r="O417" s="10" t="n">
        <v>140828645.252201</v>
      </c>
      <c r="P417" s="10" t="n">
        <v>116371118.016479</v>
      </c>
      <c r="Q417" s="10" t="n">
        <v>177019577.372242</v>
      </c>
      <c r="R417" s="10" t="n">
        <v>213582817.730442</v>
      </c>
      <c r="S417" s="10" t="n">
        <v>-233486.655265138</v>
      </c>
      <c r="T417" s="10"/>
      <c r="U417" s="10" t="n">
        <v>721886.349468333</v>
      </c>
      <c r="V417" s="10"/>
      <c r="W417" s="10"/>
      <c r="X417" s="10"/>
      <c r="Y417" s="10"/>
      <c r="Z417" s="10"/>
      <c r="AA417" s="10" t="n">
        <v>-906269.884189584</v>
      </c>
      <c r="AB417" s="10" t="n">
        <v>-523467.933524527</v>
      </c>
      <c r="AC417" s="10"/>
      <c r="AD417" s="10"/>
      <c r="AE417" s="10"/>
      <c r="AF417" s="10"/>
      <c r="AG417" s="10" t="n">
        <v>0</v>
      </c>
      <c r="AH417" s="10"/>
      <c r="AI417" s="10"/>
      <c r="AJ417" s="10"/>
      <c r="AK417" s="10"/>
      <c r="AL417" s="10"/>
      <c r="AM417" s="10"/>
    </row>
    <row r="418">
      <c r="M418" t="s">
        <v>504</v>
      </c>
      <c r="N418" t="n">
        <v>464</v>
      </c>
      <c r="O418" s="10"/>
      <c r="P418" s="10"/>
      <c r="Q418" s="10" t="n">
        <v>85338937.5977746</v>
      </c>
      <c r="R418" s="10" t="n">
        <v>45145844.0680125</v>
      </c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</row>
    <row r="419">
      <c r="M419" t="s">
        <v>505</v>
      </c>
      <c r="N419" t="n">
        <v>463</v>
      </c>
      <c r="O419" s="10"/>
      <c r="P419" s="10" t="n">
        <v>883185.281214515</v>
      </c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</row>
    <row r="420">
      <c r="M420" t="s">
        <v>506</v>
      </c>
      <c r="N420" t="n">
        <v>1783</v>
      </c>
      <c r="O420" s="10" t="n">
        <v>678420.811947329</v>
      </c>
      <c r="P420" s="10" t="n">
        <v>1174147.78469648</v>
      </c>
      <c r="Q420" s="10"/>
      <c r="R420" s="10" t="n">
        <v>2251126.75349449</v>
      </c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</row>
    <row r="421">
      <c r="M421" t="s">
        <v>507</v>
      </c>
      <c r="N421" t="n">
        <v>481</v>
      </c>
      <c r="O421" s="10"/>
      <c r="P421" s="10"/>
      <c r="Q421" s="10"/>
      <c r="R421" s="10" t="n">
        <v>10419154.7137092</v>
      </c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</row>
    <row r="422">
      <c r="M422" t="s">
        <v>508</v>
      </c>
      <c r="N422" t="n">
        <v>643</v>
      </c>
      <c r="O422" s="10"/>
      <c r="P422" s="10"/>
      <c r="Q422" s="10"/>
      <c r="R422" s="10"/>
      <c r="S422" s="10"/>
      <c r="T422" s="10"/>
      <c r="U422" s="10"/>
      <c r="V422" s="10"/>
      <c r="W422" s="10" t="n">
        <v>0</v>
      </c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</row>
    <row r="423">
      <c r="M423" t="s">
        <v>509</v>
      </c>
      <c r="N423" t="n">
        <v>551</v>
      </c>
      <c r="O423" s="10" t="n">
        <v>650806.369666724</v>
      </c>
      <c r="P423" s="10" t="n">
        <v>1027839.93493424</v>
      </c>
      <c r="Q423" s="10" t="n">
        <v>631122.211614309</v>
      </c>
      <c r="R423" s="10" t="n">
        <v>609180.279937392</v>
      </c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</row>
    <row r="424">
      <c r="M424" t="s">
        <v>510</v>
      </c>
      <c r="N424" t="n">
        <v>553</v>
      </c>
      <c r="O424" s="10"/>
      <c r="P424" s="10" t="n">
        <v>439683.893268099</v>
      </c>
      <c r="Q424" s="10" t="n">
        <v>64740.0399553574</v>
      </c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</row>
    <row r="425">
      <c r="M425" t="s">
        <v>511</v>
      </c>
      <c r="N425" t="n">
        <v>560</v>
      </c>
      <c r="O425" s="10" t="n">
        <v>18286084.6202744</v>
      </c>
      <c r="P425" s="10" t="n">
        <v>322630.357063465</v>
      </c>
      <c r="Q425" s="10" t="n">
        <v>704726.580586774</v>
      </c>
      <c r="R425" s="10" t="n">
        <v>1675711.68339896</v>
      </c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</row>
    <row r="426">
      <c r="M426" t="s">
        <v>512</v>
      </c>
      <c r="N426" t="n">
        <v>1784</v>
      </c>
      <c r="O426" s="10" t="n">
        <v>-118717.38113684</v>
      </c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</row>
    <row r="427">
      <c r="M427" t="s">
        <v>81</v>
      </c>
      <c r="N427" t="n">
        <v>2112</v>
      </c>
      <c r="O427" s="10" t="n">
        <v>53589787.8234609</v>
      </c>
      <c r="P427" s="10" t="n">
        <v>213627962.882241</v>
      </c>
      <c r="Q427" s="10" t="n">
        <v>118948927.809633</v>
      </c>
      <c r="R427" s="10" t="n">
        <v>211913973.986422</v>
      </c>
      <c r="S427" s="10" t="n">
        <v>417214272.512907</v>
      </c>
      <c r="T427" s="10" t="n">
        <v>1186198717.88939</v>
      </c>
      <c r="U427" s="10" t="n">
        <v>1243475699.89317</v>
      </c>
      <c r="V427" s="10" t="n">
        <v>756964540.144383</v>
      </c>
      <c r="W427" s="10" t="n">
        <v>968863946.589199</v>
      </c>
      <c r="X427" s="10" t="n">
        <v>583744825.068167</v>
      </c>
      <c r="Y427" s="10" t="n">
        <v>72282000.1279525</v>
      </c>
      <c r="Z427" s="10" t="n">
        <v>113811373.321779</v>
      </c>
      <c r="AA427" s="10" t="n">
        <v>95998280.9446819</v>
      </c>
      <c r="AB427" s="10" t="n">
        <v>-9708964.65247545</v>
      </c>
      <c r="AC427" s="10" t="n">
        <v>29311051.2370712</v>
      </c>
      <c r="AD427" s="10" t="n">
        <v>-540132.165616112</v>
      </c>
      <c r="AE427" s="10" t="n">
        <v>-216833.414038293</v>
      </c>
      <c r="AF427" s="10" t="n">
        <v>0</v>
      </c>
      <c r="AG427" s="10" t="n">
        <v>0</v>
      </c>
      <c r="AH427" s="10"/>
      <c r="AI427" s="10"/>
      <c r="AJ427" s="10" t="n">
        <v>58119.8240813181</v>
      </c>
      <c r="AK427" s="10" t="n">
        <v>38919604</v>
      </c>
      <c r="AL427" s="10" t="n">
        <v>3019352.97629527</v>
      </c>
      <c r="AM427" s="10"/>
    </row>
    <row r="428">
      <c r="M428" t="s">
        <v>513</v>
      </c>
      <c r="N428" t="n">
        <v>1837</v>
      </c>
      <c r="O428" s="10"/>
      <c r="P428" s="10"/>
      <c r="Q428" s="10"/>
      <c r="R428" s="10"/>
      <c r="S428" s="10" t="n">
        <v>106658095.810775</v>
      </c>
      <c r="T428" s="10" t="n">
        <v>138147854.7927</v>
      </c>
      <c r="U428" s="10" t="n">
        <v>8696972.98576402</v>
      </c>
      <c r="V428" s="10" t="n">
        <v>144064117.307124</v>
      </c>
      <c r="W428" s="10" t="n">
        <v>131823431.967449</v>
      </c>
      <c r="X428" s="10" t="n">
        <v>141451280.979346</v>
      </c>
      <c r="Y428" s="10" t="n">
        <v>11438555.38787</v>
      </c>
      <c r="Z428" s="10" t="n">
        <v>9329152.86987782</v>
      </c>
      <c r="AA428" s="10" t="n">
        <v>15052345.33392</v>
      </c>
      <c r="AB428" s="10" t="n">
        <v>4562201.85712333</v>
      </c>
      <c r="AC428" s="10" t="n">
        <v>4623107.97302502</v>
      </c>
      <c r="AD428" s="10" t="n">
        <v>-334581.55683554</v>
      </c>
      <c r="AE428" s="10" t="n">
        <v>-1540008.64444142</v>
      </c>
      <c r="AF428" s="10" t="n">
        <v>377158.889283234</v>
      </c>
      <c r="AG428" s="10" t="n">
        <v>-236830.16083884</v>
      </c>
      <c r="AH428" s="10" t="n">
        <v>-336940.203392742</v>
      </c>
      <c r="AI428" s="10"/>
      <c r="AJ428" s="10"/>
      <c r="AK428" s="10" t="n">
        <v>-9703.2998</v>
      </c>
      <c r="AL428" s="10"/>
      <c r="AM428" s="10"/>
    </row>
    <row r="429">
      <c r="M429" t="s">
        <v>514</v>
      </c>
      <c r="N429" t="n">
        <v>2179</v>
      </c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 t="n">
        <v>54637.3857510739</v>
      </c>
      <c r="AG429" s="10" t="n">
        <v>76657.705413415</v>
      </c>
      <c r="AH429" s="10" t="n">
        <v>-46702.2441316231</v>
      </c>
      <c r="AI429" s="10"/>
      <c r="AJ429" s="10"/>
      <c r="AK429" s="10" t="n">
        <v>61913</v>
      </c>
      <c r="AL429" s="10" t="n">
        <v>1085505.5362564</v>
      </c>
      <c r="AM429" s="10"/>
    </row>
    <row r="430">
      <c r="M430" t="s">
        <v>515</v>
      </c>
      <c r="N430" t="n">
        <v>1785</v>
      </c>
      <c r="O430" s="10"/>
      <c r="P430" s="10" t="n">
        <v>1377768.53390196</v>
      </c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</row>
    <row r="431">
      <c r="M431" t="s">
        <v>516</v>
      </c>
      <c r="N431" t="n">
        <v>1961</v>
      </c>
      <c r="O431" s="10"/>
      <c r="P431" s="10"/>
      <c r="Q431" s="10"/>
      <c r="R431" s="10"/>
      <c r="S431" s="10" t="n">
        <v>57760.3679726363</v>
      </c>
      <c r="T431" s="10" t="n">
        <v>6593360.1616638</v>
      </c>
      <c r="U431" s="10" t="n">
        <v>993565.580997531</v>
      </c>
      <c r="V431" s="10" t="n">
        <v>794394.581631908</v>
      </c>
      <c r="W431" s="10" t="n">
        <v>13831195.4086469</v>
      </c>
      <c r="X431" s="10" t="n">
        <v>33768035.9816914</v>
      </c>
      <c r="Y431" s="10" t="n">
        <v>16070123.4238412</v>
      </c>
      <c r="Z431" s="10" t="n">
        <v>6498473.88690322</v>
      </c>
      <c r="AA431" s="10" t="n">
        <v>423399.012872005</v>
      </c>
      <c r="AB431" s="10" t="n">
        <v>-114736.340341804</v>
      </c>
      <c r="AC431" s="10" t="n">
        <v>-4222.11261648146</v>
      </c>
      <c r="AD431" s="10" t="n">
        <v>0</v>
      </c>
      <c r="AE431" s="10"/>
      <c r="AF431" s="10"/>
      <c r="AG431" s="10"/>
      <c r="AH431" s="10"/>
      <c r="AI431" s="10"/>
      <c r="AJ431" s="10"/>
      <c r="AK431" s="10"/>
      <c r="AL431" s="10"/>
      <c r="AM431" s="10"/>
    </row>
    <row r="432">
      <c r="M432" t="s">
        <v>517</v>
      </c>
      <c r="N432" t="n">
        <v>2202</v>
      </c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 t="n">
        <v>13643408.8865487</v>
      </c>
      <c r="AH432" s="10" t="n">
        <v>24237336.515989</v>
      </c>
      <c r="AI432" s="10" t="n">
        <v>2581588.54514636</v>
      </c>
      <c r="AJ432" s="10" t="n">
        <v>2511144.66086483</v>
      </c>
      <c r="AK432" s="10" t="n">
        <v>8755500.0885</v>
      </c>
      <c r="AL432" s="10" t="n">
        <v>651810.160388551</v>
      </c>
      <c r="AM432" s="10"/>
    </row>
    <row r="433">
      <c r="M433" t="s">
        <v>518</v>
      </c>
      <c r="N433" t="n">
        <v>472</v>
      </c>
      <c r="O433" s="10" t="n">
        <v>1564046.07693715</v>
      </c>
      <c r="P433" s="10" t="n">
        <v>1597984.34261814</v>
      </c>
      <c r="Q433" s="10"/>
      <c r="R433" s="10" t="n">
        <v>323270.112206556</v>
      </c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</row>
    <row r="434">
      <c r="M434" t="s">
        <v>519</v>
      </c>
      <c r="N434" t="n">
        <v>1871</v>
      </c>
      <c r="O434" s="10"/>
      <c r="P434" s="10"/>
      <c r="Q434" s="10"/>
      <c r="R434" s="10"/>
      <c r="S434" s="10"/>
      <c r="T434" s="10"/>
      <c r="U434" s="10"/>
      <c r="V434" s="10"/>
      <c r="W434" s="10" t="n">
        <v>14900662.3783363</v>
      </c>
      <c r="X434" s="10" t="n">
        <v>0</v>
      </c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</row>
    <row r="435">
      <c r="M435" t="s">
        <v>520</v>
      </c>
      <c r="N435" t="n">
        <v>47</v>
      </c>
      <c r="O435" s="10"/>
      <c r="P435" s="10"/>
      <c r="Q435" s="10"/>
      <c r="R435" s="10"/>
      <c r="S435" s="10"/>
      <c r="T435" s="10"/>
      <c r="U435" s="10"/>
      <c r="V435" s="10" t="n">
        <v>1149890.31760999</v>
      </c>
      <c r="W435" s="10" t="n">
        <v>225453.672222574</v>
      </c>
      <c r="X435" s="10" t="n">
        <v>2367048.37299357</v>
      </c>
      <c r="Y435" s="10" t="n">
        <v>2542279.39163387</v>
      </c>
      <c r="Z435" s="10" t="n">
        <v>2001707.36201694</v>
      </c>
      <c r="AA435" s="10" t="n">
        <v>3074948.6650133</v>
      </c>
      <c r="AB435" s="10" t="n">
        <v>2477751.74731152</v>
      </c>
      <c r="AC435" s="10" t="n">
        <v>1998886.84188609</v>
      </c>
      <c r="AD435" s="10" t="n">
        <v>1581951.43327891</v>
      </c>
      <c r="AE435" s="10" t="n">
        <v>2834560.99031866</v>
      </c>
      <c r="AF435" s="10" t="n">
        <v>-84237.0259860687</v>
      </c>
      <c r="AG435" s="10" t="n">
        <v>0</v>
      </c>
      <c r="AH435" s="10"/>
      <c r="AI435" s="10"/>
      <c r="AJ435" s="10"/>
      <c r="AK435" s="10" t="n">
        <v>0</v>
      </c>
      <c r="AL435" s="10"/>
      <c r="AM435" s="10"/>
    </row>
    <row r="436">
      <c r="M436" t="s">
        <v>521</v>
      </c>
      <c r="N436" t="n">
        <v>1866</v>
      </c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 t="n">
        <v>6162589.72844312</v>
      </c>
      <c r="AA436" s="10" t="n">
        <v>9961386.63819937</v>
      </c>
      <c r="AB436" s="10" t="n">
        <v>10238930.1436363</v>
      </c>
      <c r="AC436" s="10" t="n">
        <v>10310520.025994</v>
      </c>
      <c r="AD436" s="10" t="n">
        <v>10253583.0785315</v>
      </c>
      <c r="AE436" s="10" t="n">
        <v>10770119.5384756</v>
      </c>
      <c r="AF436" s="10" t="n">
        <v>10242391.410374</v>
      </c>
      <c r="AG436" s="10" t="n">
        <v>10751377.6628378</v>
      </c>
      <c r="AH436" s="10" t="n">
        <v>10913413.6667952</v>
      </c>
      <c r="AI436" s="10" t="n">
        <v>10582137.5198174</v>
      </c>
      <c r="AJ436" s="10" t="n">
        <v>7349534.42619316</v>
      </c>
      <c r="AK436" s="10" t="n">
        <v>202948.4063</v>
      </c>
      <c r="AL436" s="10" t="n">
        <v>-730286.191238317</v>
      </c>
      <c r="AM436" s="10"/>
    </row>
    <row r="437">
      <c r="M437" t="s">
        <v>522</v>
      </c>
      <c r="N437" t="n">
        <v>790</v>
      </c>
      <c r="O437" s="10"/>
      <c r="P437" s="10"/>
      <c r="Q437" s="10"/>
      <c r="R437" s="10" t="n">
        <v>760779.336761921</v>
      </c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</row>
    <row r="438">
      <c r="M438" t="s">
        <v>523</v>
      </c>
      <c r="N438" t="n">
        <v>48</v>
      </c>
      <c r="O438" s="10"/>
      <c r="P438" s="10"/>
      <c r="Q438" s="10"/>
      <c r="R438" s="10"/>
      <c r="S438" s="10"/>
      <c r="T438" s="10"/>
      <c r="U438" s="10"/>
      <c r="V438" s="10" t="n">
        <v>60873.424352246</v>
      </c>
      <c r="W438" s="10"/>
      <c r="X438" s="10"/>
      <c r="Y438" s="10"/>
      <c r="Z438" s="10"/>
      <c r="AA438" s="10"/>
      <c r="AB438" s="10" t="n">
        <v>632432.504874495</v>
      </c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</row>
    <row r="439">
      <c r="M439" t="s">
        <v>524</v>
      </c>
      <c r="N439" t="n">
        <v>540</v>
      </c>
      <c r="O439" s="10" t="n">
        <v>6956514.41917082</v>
      </c>
      <c r="P439" s="10" t="n">
        <v>2397299.89674087</v>
      </c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</row>
    <row r="440">
      <c r="M440" t="s">
        <v>525</v>
      </c>
      <c r="N440" t="n">
        <v>56</v>
      </c>
      <c r="O440" s="10"/>
      <c r="P440" s="10"/>
      <c r="Q440" s="10"/>
      <c r="R440" s="10"/>
      <c r="S440" s="10"/>
      <c r="T440" s="10"/>
      <c r="U440" s="10"/>
      <c r="V440" s="10" t="n">
        <v>86526.1845620282</v>
      </c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</row>
    <row r="441">
      <c r="M441" t="s">
        <v>526</v>
      </c>
      <c r="N441" t="n">
        <v>1027</v>
      </c>
      <c r="O441" s="10" t="n">
        <v>-1264442.86953851</v>
      </c>
      <c r="P441" s="10" t="n">
        <v>52042.5483191659</v>
      </c>
      <c r="Q441" s="10" t="n">
        <v>537459.735847002</v>
      </c>
      <c r="R441" s="10" t="n">
        <v>24307235.9682802</v>
      </c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 t="n">
        <v>-94629.544559844</v>
      </c>
      <c r="AF441" s="10"/>
      <c r="AG441" s="10"/>
      <c r="AH441" s="10"/>
      <c r="AI441" s="10"/>
      <c r="AJ441" s="10"/>
      <c r="AK441" s="10"/>
      <c r="AL441" s="10"/>
      <c r="AM441" s="10"/>
    </row>
    <row r="442">
      <c r="M442" t="s">
        <v>527</v>
      </c>
      <c r="N442" t="n">
        <v>1971</v>
      </c>
      <c r="O442" s="10"/>
      <c r="P442" s="10"/>
      <c r="Q442" s="10"/>
      <c r="R442" s="10"/>
      <c r="S442" s="10" t="n">
        <v>72847.8126430537</v>
      </c>
      <c r="T442" s="10" t="n">
        <v>18749976.5496339</v>
      </c>
      <c r="U442" s="10" t="n">
        <v>23643173.6331354</v>
      </c>
      <c r="V442" s="10" t="n">
        <v>35309148.7512213</v>
      </c>
      <c r="W442" s="10" t="n">
        <v>64268320.4160306</v>
      </c>
      <c r="X442" s="10" t="n">
        <v>34252139.0497129</v>
      </c>
      <c r="Y442" s="10" t="n">
        <v>51981722.9075659</v>
      </c>
      <c r="Z442" s="10" t="n">
        <v>35046455.3432003</v>
      </c>
      <c r="AA442" s="10" t="n">
        <v>19835984.5707844</v>
      </c>
      <c r="AB442" s="10" t="n">
        <v>23747113.8629144</v>
      </c>
      <c r="AC442" s="10" t="n">
        <v>19736163.8214635</v>
      </c>
      <c r="AD442" s="10" t="n">
        <v>9623155.65805374</v>
      </c>
      <c r="AE442" s="10" t="n">
        <v>4756923.07610318</v>
      </c>
      <c r="AF442" s="10" t="n">
        <v>4502971.98738748</v>
      </c>
      <c r="AG442" s="10" t="n">
        <v>-46692.0764584794</v>
      </c>
      <c r="AH442" s="10"/>
      <c r="AI442" s="10" t="n">
        <v>-36472.617186834</v>
      </c>
      <c r="AJ442" s="10" t="n">
        <v>-132109.521704921</v>
      </c>
      <c r="AK442" s="10" t="n">
        <v>-4503015.3596</v>
      </c>
      <c r="AL442" s="10" t="n">
        <v>6031399.37266525</v>
      </c>
      <c r="AM442" s="10"/>
    </row>
    <row r="443">
      <c r="M443" t="s">
        <v>528</v>
      </c>
      <c r="N443" t="n">
        <v>1957</v>
      </c>
      <c r="O443" s="10"/>
      <c r="P443" s="10"/>
      <c r="Q443" s="10"/>
      <c r="R443" s="10"/>
      <c r="S443" s="10" t="n">
        <v>103318.82669118</v>
      </c>
      <c r="T443" s="10" t="n">
        <v>111701.483020138</v>
      </c>
      <c r="U443" s="10"/>
      <c r="V443" s="10" t="n">
        <v>6379.50983308361</v>
      </c>
      <c r="W443" s="10" t="n">
        <v>21546.8669329843</v>
      </c>
      <c r="X443" s="10" t="n">
        <v>-4750.58158104272</v>
      </c>
      <c r="Y443" s="10" t="n">
        <v>24458.6253799628</v>
      </c>
      <c r="Z443" s="10" t="n">
        <v>2707.20017893448</v>
      </c>
      <c r="AA443" s="10" t="n">
        <v>117744.549977534</v>
      </c>
      <c r="AB443" s="10" t="n">
        <v>19408.3939194872</v>
      </c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</row>
    <row r="444">
      <c r="M444" t="s">
        <v>529</v>
      </c>
      <c r="N444" t="n">
        <v>2005</v>
      </c>
      <c r="O444" s="10"/>
      <c r="P444" s="10"/>
      <c r="Q444" s="10"/>
      <c r="R444" s="10"/>
      <c r="S444" s="10"/>
      <c r="T444" s="10"/>
      <c r="U444" s="10"/>
      <c r="V444" s="10"/>
      <c r="W444" s="10" t="n">
        <v>455152.65322706</v>
      </c>
      <c r="X444" s="10" t="n">
        <v>331572.203667836</v>
      </c>
      <c r="Y444" s="10" t="n">
        <v>21551338.2530466</v>
      </c>
      <c r="Z444" s="10" t="n">
        <v>24359837.6344757</v>
      </c>
      <c r="AA444" s="10" t="n">
        <v>42219994.4813444</v>
      </c>
      <c r="AB444" s="10" t="n">
        <v>13987438.3174103</v>
      </c>
      <c r="AC444" s="10" t="n">
        <v>2679342.73032376</v>
      </c>
      <c r="AD444" s="10"/>
      <c r="AE444" s="10"/>
      <c r="AF444" s="10" t="n">
        <v>-444828.258722868</v>
      </c>
      <c r="AG444" s="10" t="n">
        <v>-439363.1883194</v>
      </c>
      <c r="AH444" s="10"/>
      <c r="AI444" s="10"/>
      <c r="AJ444" s="10"/>
      <c r="AK444" s="10"/>
      <c r="AL444" s="10"/>
      <c r="AM444" s="10"/>
    </row>
    <row r="445">
      <c r="M445" t="s">
        <v>530</v>
      </c>
      <c r="N445" t="n">
        <v>441</v>
      </c>
      <c r="O445" s="10"/>
      <c r="P445" s="10"/>
      <c r="Q445" s="10"/>
      <c r="R445" s="10" t="n">
        <v>21425.1669995766</v>
      </c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</row>
    <row r="446">
      <c r="M446" t="s">
        <v>531</v>
      </c>
      <c r="N446" t="n">
        <v>494</v>
      </c>
      <c r="O446" s="10" t="n">
        <v>17267841.8485296</v>
      </c>
      <c r="P446" s="10" t="n">
        <v>3749776.7396604</v>
      </c>
      <c r="Q446" s="10" t="n">
        <v>2327487.36477098</v>
      </c>
      <c r="R446" s="10" t="n">
        <v>384348.600377041</v>
      </c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</row>
    <row r="447">
      <c r="M447" t="s">
        <v>532</v>
      </c>
      <c r="N447" t="n">
        <v>1787</v>
      </c>
      <c r="O447" s="10" t="n">
        <v>405903.703103011</v>
      </c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</row>
    <row r="448">
      <c r="M448" t="s">
        <v>533</v>
      </c>
      <c r="N448" t="n">
        <v>549</v>
      </c>
      <c r="O448" s="10" t="n">
        <v>113101.103483842</v>
      </c>
      <c r="P448" s="10" t="n">
        <v>2710411.75674278</v>
      </c>
      <c r="Q448" s="10" t="n">
        <v>563307.299294924</v>
      </c>
      <c r="R448" s="10" t="n">
        <v>1861866.82216157</v>
      </c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</row>
    <row r="449">
      <c r="M449" t="s">
        <v>534</v>
      </c>
      <c r="N449" t="n">
        <v>1952</v>
      </c>
      <c r="O449" s="10"/>
      <c r="P449" s="10"/>
      <c r="Q449" s="10"/>
      <c r="R449" s="10"/>
      <c r="S449" s="10"/>
      <c r="T449" s="10"/>
      <c r="U449" s="10"/>
      <c r="V449" s="10"/>
      <c r="W449" s="10" t="n">
        <v>131568.656662061</v>
      </c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</row>
    <row r="450">
      <c r="M450" t="s">
        <v>535</v>
      </c>
      <c r="N450" t="n">
        <v>1124</v>
      </c>
      <c r="O450" s="10" t="n">
        <v>25047071.4674724</v>
      </c>
      <c r="P450" s="10" t="n">
        <v>4431265.79378</v>
      </c>
      <c r="Q450" s="10" t="n">
        <v>16448251.6754828</v>
      </c>
      <c r="R450" s="10" t="n">
        <v>5265890.04063028</v>
      </c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 t="n">
        <v>0</v>
      </c>
      <c r="AG450" s="10"/>
      <c r="AH450" s="10"/>
      <c r="AI450" s="10"/>
      <c r="AJ450" s="10"/>
      <c r="AK450" s="10"/>
      <c r="AL450" s="10"/>
      <c r="AM450" s="10"/>
    </row>
    <row r="451">
      <c r="M451" t="s">
        <v>536</v>
      </c>
      <c r="N451" t="n">
        <v>234</v>
      </c>
      <c r="O451" s="10"/>
      <c r="P451" s="10" t="n">
        <v>216903.106722601</v>
      </c>
      <c r="Q451" s="10" t="n">
        <v>44709.8865456424</v>
      </c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</row>
    <row r="452">
      <c r="M452" t="s">
        <v>537</v>
      </c>
      <c r="N452" t="n">
        <v>1340</v>
      </c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 t="n">
        <v>126981.515475772</v>
      </c>
      <c r="AB452" s="10" t="n">
        <v>-618.346845448369</v>
      </c>
      <c r="AC452" s="10" t="n">
        <v>0</v>
      </c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</row>
    <row r="453">
      <c r="M453" t="s">
        <v>538</v>
      </c>
      <c r="N453" t="n">
        <v>1323</v>
      </c>
      <c r="O453" s="10"/>
      <c r="P453" s="10"/>
      <c r="Q453" s="10"/>
      <c r="R453" s="10"/>
      <c r="S453" s="10"/>
      <c r="T453" s="10"/>
      <c r="U453" s="10" t="n">
        <v>103717.21759294</v>
      </c>
      <c r="V453" s="10"/>
      <c r="W453" s="10"/>
      <c r="X453" s="10"/>
      <c r="Y453" s="10" t="n">
        <v>18805.7734187508</v>
      </c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</row>
    <row r="454">
      <c r="M454" t="s">
        <v>539</v>
      </c>
      <c r="N454" t="n">
        <v>2195</v>
      </c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 t="n">
        <v>117345.828635952</v>
      </c>
      <c r="AH454" s="10" t="n">
        <v>114284.151200469</v>
      </c>
      <c r="AI454" s="10" t="n">
        <v>214636.421709813</v>
      </c>
      <c r="AJ454" s="10" t="n">
        <v>82327.0395022725</v>
      </c>
      <c r="AK454" s="10" t="n">
        <v>432654.7559</v>
      </c>
      <c r="AL454" s="10" t="n">
        <v>3623.65182256291</v>
      </c>
      <c r="AM454" s="10"/>
    </row>
    <row r="455">
      <c r="M455" t="s">
        <v>540</v>
      </c>
      <c r="N455" t="n">
        <v>700</v>
      </c>
      <c r="O455" s="10"/>
      <c r="P455" s="10"/>
      <c r="Q455" s="10"/>
      <c r="R455" s="10"/>
      <c r="S455" s="10" t="n">
        <v>25649623.1139413</v>
      </c>
      <c r="T455" s="10" t="n">
        <v>45380921.8862216</v>
      </c>
      <c r="U455" s="10" t="n">
        <v>18154005.5949859</v>
      </c>
      <c r="V455" s="10" t="n">
        <v>53647758.5517357</v>
      </c>
      <c r="W455" s="10" t="n">
        <v>14577949.5784945</v>
      </c>
      <c r="X455" s="10" t="n">
        <v>80306203.3421548</v>
      </c>
      <c r="Y455" s="10" t="n">
        <v>189242954.878924</v>
      </c>
      <c r="Z455" s="10" t="n">
        <v>497941633.963114</v>
      </c>
      <c r="AA455" s="10" t="n">
        <v>519890694.340442</v>
      </c>
      <c r="AB455" s="10" t="n">
        <v>593026351.6933</v>
      </c>
      <c r="AC455" s="10" t="n">
        <v>567161419.291154</v>
      </c>
      <c r="AD455" s="10" t="n">
        <v>41727184.7240555</v>
      </c>
      <c r="AE455" s="10" t="n">
        <v>-48886225.3574999</v>
      </c>
      <c r="AF455" s="10" t="n">
        <v>11999622.7287963</v>
      </c>
      <c r="AG455" s="10" t="n">
        <v>59931827.422929</v>
      </c>
      <c r="AH455" s="10" t="n">
        <v>-10867005.4031351</v>
      </c>
      <c r="AI455" s="10" t="n">
        <v>-25807543.5162477</v>
      </c>
      <c r="AJ455" s="10" t="n">
        <v>-4450659.88678024</v>
      </c>
      <c r="AK455" s="10" t="n">
        <v>7459064.7939</v>
      </c>
      <c r="AL455" s="10" t="n">
        <v>-108684.371538275</v>
      </c>
      <c r="AM455" s="10"/>
    </row>
    <row r="456">
      <c r="M456" t="s">
        <v>541</v>
      </c>
      <c r="N456" t="n">
        <v>947</v>
      </c>
      <c r="O456" s="10" t="n">
        <v>24581663.6580965</v>
      </c>
      <c r="P456" s="10" t="n">
        <v>54233.6640663491</v>
      </c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</row>
    <row r="457">
      <c r="M457" t="s">
        <v>82</v>
      </c>
      <c r="N457" t="n">
        <v>2015</v>
      </c>
      <c r="O457" s="10"/>
      <c r="P457" s="10" t="n">
        <v>4908197.07727307</v>
      </c>
      <c r="Q457" s="10" t="n">
        <v>6251266.76394206</v>
      </c>
      <c r="R457" s="10" t="n">
        <v>1245582.40790326</v>
      </c>
      <c r="S457" s="10" t="n">
        <v>15989794.4043259</v>
      </c>
      <c r="T457" s="10" t="n">
        <v>24244100.4830277</v>
      </c>
      <c r="U457" s="10" t="n">
        <v>74552618.190887</v>
      </c>
      <c r="V457" s="10"/>
      <c r="W457" s="10" t="n">
        <v>20044684.7948307</v>
      </c>
      <c r="X457" s="10" t="n">
        <v>28505698.5066915</v>
      </c>
      <c r="Y457" s="10" t="n">
        <v>11161704.6812588</v>
      </c>
      <c r="Z457" s="10" t="n">
        <v>280985754.545777</v>
      </c>
      <c r="AA457" s="10" t="n">
        <v>616221460.786337</v>
      </c>
      <c r="AB457" s="10" t="n">
        <v>165478866.397853</v>
      </c>
      <c r="AC457" s="10" t="n">
        <v>548798568.149088</v>
      </c>
      <c r="AD457" s="10" t="n">
        <v>156390006.645587</v>
      </c>
      <c r="AE457" s="10" t="n">
        <v>46707070.3069022</v>
      </c>
      <c r="AF457" s="10" t="n">
        <v>-33550713.288908</v>
      </c>
      <c r="AG457" s="10" t="n">
        <v>24850516.8705382</v>
      </c>
      <c r="AH457" s="10" t="n">
        <v>-11519132.2051029</v>
      </c>
      <c r="AI457" s="10" t="n">
        <v>18204511.0767526</v>
      </c>
      <c r="AJ457" s="10" t="n">
        <v>11640813.7500581</v>
      </c>
      <c r="AK457" s="10" t="n">
        <v>14412182.8907</v>
      </c>
      <c r="AL457" s="10" t="n">
        <v>-953163.38816421</v>
      </c>
      <c r="AM457" s="10"/>
    </row>
    <row r="458">
      <c r="M458"/>
      <c r="N458"/>
      <c r="O458" s="10" t="n">
        <v>29979039847.905</v>
      </c>
      <c r="P458" s="10" t="n">
        <v>32171178636.5445</v>
      </c>
      <c r="Q458" s="10" t="n">
        <v>36815970630.278</v>
      </c>
      <c r="R458" s="10" t="n">
        <v>44688103394.7196</v>
      </c>
      <c r="S458" s="10" t="n">
        <v>53546534424.129</v>
      </c>
      <c r="T458" s="10" t="n">
        <v>57278297049.9515</v>
      </c>
      <c r="U458" s="10" t="n">
        <v>59459681706.04</v>
      </c>
      <c r="V458" s="10" t="n">
        <v>66763563977.832</v>
      </c>
      <c r="W458" s="10" t="n">
        <v>70871955857.2583</v>
      </c>
      <c r="X458" s="10" t="n">
        <v>68976994515.0645</v>
      </c>
      <c r="Y458" s="10" t="n">
        <v>70612317649.5376</v>
      </c>
      <c r="Z458" s="10" t="n">
        <v>64202624389.8796</v>
      </c>
      <c r="AA458" s="10" t="n">
        <v>59477180933.7137</v>
      </c>
      <c r="AB458" s="10" t="n">
        <v>48339158362.9193</v>
      </c>
      <c r="AC458" s="10" t="n">
        <v>47198164403.5154</v>
      </c>
      <c r="AD458" s="10" t="n">
        <v>46125767339.5873</v>
      </c>
      <c r="AE458" s="10" t="n">
        <v>49958929122.0466</v>
      </c>
      <c r="AF458" s="10" t="n">
        <v>51974909605.3897</v>
      </c>
      <c r="AG458" s="10" t="n">
        <v>56084111486.2321</v>
      </c>
      <c r="AH458" s="10" t="n">
        <v>59146828106.2369</v>
      </c>
      <c r="AI458" s="10" t="n">
        <v>58267075335.2283</v>
      </c>
      <c r="AJ458" s="10" t="n">
        <v>50419185583.9507</v>
      </c>
      <c r="AK458" s="10" t="n">
        <v>51073125313.6937</v>
      </c>
      <c r="AL458" s="10" t="n">
        <v>27270017937.0679</v>
      </c>
      <c r="AM458" s="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O1</f>
      </c>
      <c r="B1" t="str">
        <f>P1</f>
      </c>
      <c r="C1" t="str">
        <f>AF1</f>
      </c>
      <c r="D1" t="str">
        <f>AL1</f>
      </c>
      <c r="E1" t="str">
        <f>AM1</f>
      </c>
      <c r="F1" t="str">
        <f>AN1</f>
      </c>
      <c r="G1" t="str">
        <f>AL1&amp;"-"&amp;AM1</f>
      </c>
      <c r="H1" t="str">
        <f>AF1&amp;"-"&amp;AM1</f>
      </c>
      <c r="I1" t="str">
        <f>AN1&amp;"/"&amp;AM1</f>
      </c>
      <c r="J1" t="str">
        <f>"Share "&amp;AM1</f>
      </c>
      <c r="K1" t="str">
        <f>"Share "&amp;AN1</f>
      </c>
      <c r="O1" t="s">
        <v>95</v>
      </c>
      <c r="P1" t="s">
        <v>96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>
      <c r="A2" t="str">
        <f>O2</f>
      </c>
      <c r="B2" t="str">
        <f>P2</f>
      </c>
      <c r="C2" s="11" t="str">
        <f>AF2</f>
      </c>
      <c r="D2" s="11" t="str">
        <f>AL2</f>
      </c>
      <c r="E2" s="11" t="str">
        <f>AM2</f>
      </c>
      <c r="F2" s="11" t="str">
        <f>AN2</f>
      </c>
      <c r="G2" s="7" t="str">
        <f>AM2/AL2-1</f>
      </c>
      <c r="H2" s="7" t="str">
        <f>AM2/AF2-1</f>
      </c>
      <c r="I2" s="7" t="str">
        <f>AN2/AM2</f>
      </c>
      <c r="J2" s="7" t="str">
        <f>AM2/Sum(AM$1:AM$458)</f>
      </c>
      <c r="K2" s="7" t="str">
        <f>AN2/Sum(AN1:AN$458)</f>
      </c>
      <c r="O2" t="s">
        <v>97</v>
      </c>
      <c r="P2" t="n">
        <v>1896</v>
      </c>
      <c r="Q2" s="11" t="n">
        <v>6276036.78287013</v>
      </c>
      <c r="R2" s="11" t="n">
        <v>10282499.2124288</v>
      </c>
      <c r="S2" s="11" t="n">
        <v>202487842.890335</v>
      </c>
      <c r="T2" s="11" t="n">
        <v>45465161.3435763</v>
      </c>
      <c r="U2" s="11" t="n">
        <v>-5429299.54970282</v>
      </c>
      <c r="V2" s="11"/>
      <c r="W2" s="11"/>
      <c r="X2" s="11"/>
      <c r="Y2" s="11"/>
      <c r="Z2" s="11"/>
      <c r="AA2" s="11" t="n">
        <v>320102.390483035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>
      <c r="A3" t="str">
        <f>O3</f>
      </c>
      <c r="B3" t="str">
        <f>P3</f>
      </c>
      <c r="C3" s="11" t="str">
        <f>AF3</f>
      </c>
      <c r="D3" s="11" t="str">
        <f>AL3</f>
      </c>
      <c r="E3" s="11" t="str">
        <f>AM3</f>
      </c>
      <c r="F3" s="11" t="str">
        <f>AN3</f>
      </c>
      <c r="G3" s="7" t="str">
        <f>AM3/AL3-1</f>
      </c>
      <c r="H3" s="7" t="str">
        <f>AM3/AF3-1</f>
      </c>
      <c r="I3" s="7" t="str">
        <f>AN3/AM3</f>
      </c>
      <c r="J3" s="7" t="str">
        <f>AM3/Sum(AM$1:AM$458)</f>
      </c>
      <c r="K3" s="7" t="str">
        <f>AN3/Sum(AN1:AN$458)</f>
      </c>
      <c r="O3" t="s">
        <v>98</v>
      </c>
      <c r="P3" t="n">
        <v>564</v>
      </c>
      <c r="Q3" s="11"/>
      <c r="R3" s="11" t="n">
        <v>131301.309731314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>
      <c r="A4" t="str">
        <f>O4</f>
      </c>
      <c r="B4" t="str">
        <f>P4</f>
      </c>
      <c r="C4" s="11" t="str">
        <f>AF4</f>
      </c>
      <c r="D4" s="11" t="str">
        <f>AL4</f>
      </c>
      <c r="E4" s="11" t="str">
        <f>AM4</f>
      </c>
      <c r="F4" s="11" t="str">
        <f>AN4</f>
      </c>
      <c r="G4" s="7" t="str">
        <f>AM4/AL4-1</f>
      </c>
      <c r="H4" s="7" t="str">
        <f>AM4/AF4-1</f>
      </c>
      <c r="I4" s="7" t="str">
        <f>AN4/AM4</f>
      </c>
      <c r="J4" s="7" t="str">
        <f>AM4/Sum(AM$1:AM$458)</f>
      </c>
      <c r="K4" s="7" t="str">
        <f>AN4/Sum(AN1:AN$458)</f>
      </c>
      <c r="O4" t="s">
        <v>99</v>
      </c>
      <c r="P4" t="n">
        <v>688</v>
      </c>
      <c r="Q4" s="11"/>
      <c r="R4" s="11"/>
      <c r="S4" s="11"/>
      <c r="T4" s="11"/>
      <c r="U4" s="11"/>
      <c r="V4" s="11"/>
      <c r="W4" s="11"/>
      <c r="X4" s="11"/>
      <c r="Y4" s="11"/>
      <c r="Z4" s="11" t="n">
        <v>28420.9084111453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>
      <c r="A5" t="str">
        <f>O5</f>
      </c>
      <c r="B5" t="str">
        <f>P5</f>
      </c>
      <c r="C5" s="11" t="str">
        <f>AF5</f>
      </c>
      <c r="D5" s="11" t="str">
        <f>AL5</f>
      </c>
      <c r="E5" s="11" t="str">
        <f>AM5</f>
      </c>
      <c r="F5" s="11" t="str">
        <f>AN5</f>
      </c>
      <c r="G5" s="7" t="str">
        <f>AM5/AL5-1</f>
      </c>
      <c r="H5" s="7" t="str">
        <f>AM5/AF5-1</f>
      </c>
      <c r="I5" s="7" t="str">
        <f>AN5/AM5</f>
      </c>
      <c r="J5" s="7" t="str">
        <f>AM5/Sum(AM$1:AM$458)</f>
      </c>
      <c r="K5" s="7" t="str">
        <f>AN5/Sum(AN1:AN$458)</f>
      </c>
      <c r="O5" t="s">
        <v>100</v>
      </c>
      <c r="P5" t="n">
        <v>107</v>
      </c>
      <c r="Q5" s="11" t="n">
        <v>373000.976369512</v>
      </c>
      <c r="R5" s="11" t="n">
        <v>6312860.01893149</v>
      </c>
      <c r="S5" s="11" t="n">
        <v>456994.363791569</v>
      </c>
      <c r="T5" s="11" t="n">
        <v>4427004.84613506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>
      <c r="A6" t="str">
        <f>O6</f>
      </c>
      <c r="B6" t="str">
        <f>P6</f>
      </c>
      <c r="C6" s="11" t="str">
        <f>AF6</f>
      </c>
      <c r="D6" s="11" t="str">
        <f>AL6</f>
      </c>
      <c r="E6" s="11" t="str">
        <f>AM6</f>
      </c>
      <c r="F6" s="11" t="str">
        <f>AN6</f>
      </c>
      <c r="G6" s="7" t="str">
        <f>AM6/AL6-1</f>
      </c>
      <c r="H6" s="7" t="str">
        <f>AM6/AF6-1</f>
      </c>
      <c r="I6" s="7" t="str">
        <f>AN6/AM6</f>
      </c>
      <c r="J6" s="7" t="str">
        <f>AM6/Sum(AM$1:AM$458)</f>
      </c>
      <c r="K6" s="7" t="str">
        <f>AN6/Sum(AN1:AN$458)</f>
      </c>
      <c r="O6" t="s">
        <v>101</v>
      </c>
      <c r="P6" t="n">
        <v>1010</v>
      </c>
      <c r="Q6" s="11"/>
      <c r="R6" s="11" t="n">
        <v>391900.533226395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>
      <c r="A7" t="str">
        <f>O7</f>
      </c>
      <c r="B7" t="str">
        <f>P7</f>
      </c>
      <c r="C7" s="11" t="str">
        <f>AF7</f>
      </c>
      <c r="D7" s="11" t="str">
        <f>AL7</f>
      </c>
      <c r="E7" s="11" t="str">
        <f>AM7</f>
      </c>
      <c r="F7" s="11" t="str">
        <f>AN7</f>
      </c>
      <c r="G7" s="7" t="str">
        <f>AM7/AL7-1</f>
      </c>
      <c r="H7" s="7" t="str">
        <f>AM7/AF7-1</f>
      </c>
      <c r="I7" s="7" t="str">
        <f>AN7/AM7</f>
      </c>
      <c r="J7" s="7" t="str">
        <f>AM7/Sum(AM$1:AM$458)</f>
      </c>
      <c r="K7" s="7" t="str">
        <f>AN7/Sum(AN1:AN$458)</f>
      </c>
      <c r="O7" t="s">
        <v>102</v>
      </c>
      <c r="P7" t="n">
        <v>1322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 t="n">
        <v>12592.9999975973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>
      <c r="A8" t="str">
        <f>O8</f>
      </c>
      <c r="B8" t="str">
        <f>P8</f>
      </c>
      <c r="C8" s="11" t="str">
        <f>AF8</f>
      </c>
      <c r="D8" s="11" t="str">
        <f>AL8</f>
      </c>
      <c r="E8" s="11" t="str">
        <f>AM8</f>
      </c>
      <c r="F8" s="11" t="str">
        <f>AN8</f>
      </c>
      <c r="G8" s="7" t="str">
        <f>AM8/AL8-1</f>
      </c>
      <c r="H8" s="7" t="str">
        <f>AM8/AF8-1</f>
      </c>
      <c r="I8" s="7" t="str">
        <f>AN8/AM8</f>
      </c>
      <c r="J8" s="7" t="str">
        <f>AM8/Sum(AM$1:AM$458)</f>
      </c>
      <c r="K8" s="7" t="str">
        <f>AN8/Sum(AN1:AN$458)</f>
      </c>
      <c r="O8" t="s">
        <v>103</v>
      </c>
      <c r="P8" t="n">
        <v>2034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 t="n">
        <v>57870.9462162625</v>
      </c>
      <c r="AG8" s="11"/>
      <c r="AH8" s="11"/>
      <c r="AI8" s="11"/>
      <c r="AJ8" s="11"/>
      <c r="AK8" s="11"/>
      <c r="AL8" s="11"/>
      <c r="AM8" s="11"/>
      <c r="AN8" s="11"/>
      <c r="AO8" s="11"/>
    </row>
    <row r="9">
      <c r="A9" t="str">
        <f>O9</f>
      </c>
      <c r="B9" t="str">
        <f>P9</f>
      </c>
      <c r="C9" s="11" t="str">
        <f>AF9</f>
      </c>
      <c r="D9" s="11" t="str">
        <f>AL9</f>
      </c>
      <c r="E9" s="11" t="str">
        <f>AM9</f>
      </c>
      <c r="F9" s="11" t="str">
        <f>AN9</f>
      </c>
      <c r="G9" s="7" t="str">
        <f>AM9/AL9-1</f>
      </c>
      <c r="H9" s="7" t="str">
        <f>AM9/AF9-1</f>
      </c>
      <c r="I9" s="7" t="str">
        <f>AN9/AM9</f>
      </c>
      <c r="J9" s="7" t="str">
        <f>AM9/Sum(AM$1:AM$458)</f>
      </c>
      <c r="K9" s="7" t="str">
        <f>AN9/Sum(AN1:AN$458)</f>
      </c>
      <c r="O9" t="s">
        <v>104</v>
      </c>
      <c r="P9" t="n">
        <v>1708</v>
      </c>
      <c r="Q9" s="11" t="n">
        <v>1959466.92347726</v>
      </c>
      <c r="R9" s="11" t="n">
        <v>2381036.10742952</v>
      </c>
      <c r="S9" s="11" t="n">
        <v>468798.457144588</v>
      </c>
      <c r="T9" s="11" t="n">
        <v>8163560.06621455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>
      <c r="A10" t="str">
        <f>O10</f>
      </c>
      <c r="B10" t="str">
        <f>P10</f>
      </c>
      <c r="C10" s="11" t="str">
        <f>AF10</f>
      </c>
      <c r="D10" s="11" t="str">
        <f>AL10</f>
      </c>
      <c r="E10" s="11" t="str">
        <f>AM10</f>
      </c>
      <c r="F10" s="11" t="str">
        <f>AN10</f>
      </c>
      <c r="G10" s="7" t="str">
        <f>AM10/AL10-1</f>
      </c>
      <c r="H10" s="7" t="str">
        <f>AM10/AF10-1</f>
      </c>
      <c r="I10" s="7" t="str">
        <f>AN10/AM10</f>
      </c>
      <c r="J10" s="7" t="str">
        <f>AM10/Sum(AM$1:AM$458)</f>
      </c>
      <c r="K10" s="7" t="str">
        <f>AN10/Sum(AN1:AN$458)</f>
      </c>
      <c r="O10" t="s">
        <v>105</v>
      </c>
      <c r="P10" t="n">
        <v>1707</v>
      </c>
      <c r="Q10" s="11"/>
      <c r="R10" s="11" t="n">
        <v>77304.2672359348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>
      <c r="A11" t="str">
        <f>O11</f>
      </c>
      <c r="B11" t="str">
        <f>P11</f>
      </c>
      <c r="C11" s="11" t="str">
        <f>AF11</f>
      </c>
      <c r="D11" s="11" t="str">
        <f>AL11</f>
      </c>
      <c r="E11" s="11" t="str">
        <f>AM11</f>
      </c>
      <c r="F11" s="11" t="str">
        <f>AN11</f>
      </c>
      <c r="G11" s="7" t="str">
        <f>AM11/AL11-1</f>
      </c>
      <c r="H11" s="7" t="str">
        <f>AM11/AF11-1</f>
      </c>
      <c r="I11" s="7" t="str">
        <f>AN11/AM11</f>
      </c>
      <c r="J11" s="7" t="str">
        <f>AM11/Sum(AM$1:AM$458)</f>
      </c>
      <c r="K11" s="7" t="str">
        <f>AN11/Sum(AN1:AN$458)</f>
      </c>
      <c r="O11" t="s">
        <v>106</v>
      </c>
      <c r="P11" t="n">
        <v>1713</v>
      </c>
      <c r="Q11" s="11" t="n">
        <v>7943694.78070884</v>
      </c>
      <c r="R11" s="11"/>
      <c r="S11" s="11"/>
      <c r="T11" s="11" t="n">
        <v>11236313.0212144</v>
      </c>
      <c r="U11" s="11"/>
      <c r="V11" s="11"/>
      <c r="W11" s="11"/>
      <c r="X11" s="11"/>
      <c r="Y11" s="11"/>
      <c r="Z11" s="11" t="n">
        <v>0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>
      <c r="A12" t="str">
        <f>O12</f>
      </c>
      <c r="B12" t="str">
        <f>P12</f>
      </c>
      <c r="C12" s="11" t="str">
        <f>AF12</f>
      </c>
      <c r="D12" s="11" t="str">
        <f>AL12</f>
      </c>
      <c r="E12" s="11" t="str">
        <f>AM12</f>
      </c>
      <c r="F12" s="11" t="str">
        <f>AN12</f>
      </c>
      <c r="G12" s="7" t="str">
        <f>AM12/AL12-1</f>
      </c>
      <c r="H12" s="7" t="str">
        <f>AM12/AF12-1</f>
      </c>
      <c r="I12" s="7" t="str">
        <f>AN12/AM12</f>
      </c>
      <c r="J12" s="7" t="str">
        <f>AM12/Sum(AM$1:AM$458)</f>
      </c>
      <c r="K12" s="7" t="str">
        <f>AN12/Sum(AN1:AN$458)</f>
      </c>
      <c r="O12" t="s">
        <v>107</v>
      </c>
      <c r="P12" t="n">
        <v>2037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 t="n">
        <v>254577.731525185</v>
      </c>
      <c r="AJ12" s="11"/>
      <c r="AK12" s="11"/>
      <c r="AL12" s="11"/>
      <c r="AM12" s="11"/>
      <c r="AN12" s="11"/>
      <c r="AO12" s="11"/>
    </row>
    <row r="13">
      <c r="A13" t="str">
        <f>O13</f>
      </c>
      <c r="B13" t="str">
        <f>P13</f>
      </c>
      <c r="C13" s="11" t="str">
        <f>AF13</f>
      </c>
      <c r="D13" s="11" t="str">
        <f>AL13</f>
      </c>
      <c r="E13" s="11" t="str">
        <f>AM13</f>
      </c>
      <c r="F13" s="11" t="str">
        <f>AN13</f>
      </c>
      <c r="G13" s="7" t="str">
        <f>AM13/AL13-1</f>
      </c>
      <c r="H13" s="7" t="str">
        <f>AM13/AF13-1</f>
      </c>
      <c r="I13" s="7" t="str">
        <f>AN13/AM13</f>
      </c>
      <c r="J13" s="7" t="str">
        <f>AM13/Sum(AM$1:AM$458)</f>
      </c>
      <c r="K13" s="7" t="str">
        <f>AN13/Sum(AN1:AN$458)</f>
      </c>
      <c r="O13" t="s">
        <v>108</v>
      </c>
      <c r="P13" t="n">
        <v>1724</v>
      </c>
      <c r="Q13" s="11" t="n">
        <v>42853041.903458</v>
      </c>
      <c r="R13" s="11" t="n">
        <v>4564516.8652561</v>
      </c>
      <c r="S13" s="11" t="n">
        <v>81530.7066219599</v>
      </c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>
      <c r="A14" t="str">
        <f>O14</f>
      </c>
      <c r="B14" t="str">
        <f>P14</f>
      </c>
      <c r="C14" s="11" t="str">
        <f>AF14</f>
      </c>
      <c r="D14" s="11" t="str">
        <f>AL14</f>
      </c>
      <c r="E14" s="11" t="str">
        <f>AM14</f>
      </c>
      <c r="F14" s="11" t="str">
        <f>AN14</f>
      </c>
      <c r="G14" s="7" t="str">
        <f>AM14/AL14-1</f>
      </c>
      <c r="H14" s="7" t="str">
        <f>AM14/AF14-1</f>
      </c>
      <c r="I14" s="7" t="str">
        <f>AN14/AM14</f>
      </c>
      <c r="J14" s="7" t="str">
        <f>AM14/Sum(AM$1:AM$458)</f>
      </c>
      <c r="K14" s="7" t="str">
        <f>AN14/Sum(AN1:AN$458)</f>
      </c>
      <c r="O14" t="s">
        <v>109</v>
      </c>
      <c r="P14" t="n">
        <v>1710</v>
      </c>
      <c r="Q14" s="11"/>
      <c r="R14" s="11"/>
      <c r="S14" s="11" t="n">
        <v>14249345.2234009</v>
      </c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>
      <c r="A15" t="str">
        <f>O15</f>
      </c>
      <c r="B15" t="str">
        <f>P15</f>
      </c>
      <c r="C15" s="11" t="str">
        <f>AF15</f>
      </c>
      <c r="D15" s="11" t="str">
        <f>AL15</f>
      </c>
      <c r="E15" s="11" t="str">
        <f>AM15</f>
      </c>
      <c r="F15" s="11" t="str">
        <f>AN15</f>
      </c>
      <c r="G15" s="7" t="str">
        <f>AM15/AL15-1</f>
      </c>
      <c r="H15" s="7" t="str">
        <f>AM15/AF15-1</f>
      </c>
      <c r="I15" s="7" t="str">
        <f>AN15/AM15</f>
      </c>
      <c r="J15" s="7" t="str">
        <f>AM15/Sum(AM$1:AM$458)</f>
      </c>
      <c r="K15" s="7" t="str">
        <f>AN15/Sum(AN1:AN$458)</f>
      </c>
      <c r="O15" t="s">
        <v>110</v>
      </c>
      <c r="P15" t="n">
        <v>2041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 t="n">
        <v>164924.040472892</v>
      </c>
      <c r="AG15" s="11"/>
      <c r="AH15" s="11"/>
      <c r="AI15" s="11"/>
      <c r="AJ15" s="11"/>
      <c r="AK15" s="11"/>
      <c r="AL15" s="11"/>
      <c r="AM15" s="11"/>
      <c r="AN15" s="11"/>
      <c r="AO15" s="11"/>
    </row>
    <row r="16">
      <c r="A16" t="str">
        <f>O16</f>
      </c>
      <c r="B16" t="str">
        <f>P16</f>
      </c>
      <c r="C16" s="11" t="str">
        <f>AF16</f>
      </c>
      <c r="D16" s="11" t="str">
        <f>AL16</f>
      </c>
      <c r="E16" s="11" t="str">
        <f>AM16</f>
      </c>
      <c r="F16" s="11" t="str">
        <f>AN16</f>
      </c>
      <c r="G16" s="7" t="str">
        <f>AM16/AL16-1</f>
      </c>
      <c r="H16" s="7" t="str">
        <f>AM16/AF16-1</f>
      </c>
      <c r="I16" s="7" t="str">
        <f>AN16/AM16</f>
      </c>
      <c r="J16" s="7" t="str">
        <f>AM16/Sum(AM$1:AM$458)</f>
      </c>
      <c r="K16" s="7" t="str">
        <f>AN16/Sum(AN1:AN$458)</f>
      </c>
      <c r="O16" t="s">
        <v>111</v>
      </c>
      <c r="P16" t="n">
        <v>2044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 t="n">
        <v>121029.969128235</v>
      </c>
      <c r="AG16" s="11" t="n">
        <v>135297.832253874</v>
      </c>
      <c r="AH16" s="11" t="n">
        <v>229633.455624784</v>
      </c>
      <c r="AI16" s="11" t="n">
        <v>67767.8797536224</v>
      </c>
      <c r="AJ16" s="11" t="n">
        <v>81598.8095874281</v>
      </c>
      <c r="AK16" s="11" t="n">
        <v>0</v>
      </c>
      <c r="AL16" s="11" t="n">
        <v>173400.956000424</v>
      </c>
      <c r="AM16" s="11"/>
      <c r="AN16" s="11"/>
      <c r="AO16" s="11"/>
    </row>
    <row r="17">
      <c r="A17" t="str">
        <f>O17</f>
      </c>
      <c r="B17" t="str">
        <f>P17</f>
      </c>
      <c r="C17" s="11" t="str">
        <f>AF17</f>
      </c>
      <c r="D17" s="11" t="str">
        <f>AL17</f>
      </c>
      <c r="E17" s="11" t="str">
        <f>AM17</f>
      </c>
      <c r="F17" s="11" t="str">
        <f>AN17</f>
      </c>
      <c r="G17" s="7" t="str">
        <f>AM17/AL17-1</f>
      </c>
      <c r="H17" s="7" t="str">
        <f>AM17/AF17-1</f>
      </c>
      <c r="I17" s="7" t="str">
        <f>AN17/AM17</f>
      </c>
      <c r="J17" s="7" t="str">
        <f>AM17/Sum(AM$1:AM$458)</f>
      </c>
      <c r="K17" s="7" t="str">
        <f>AN17/Sum(AN1:AN$458)</f>
      </c>
      <c r="O17" t="s">
        <v>112</v>
      </c>
      <c r="P17" t="n">
        <v>2045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 t="n">
        <v>285400.897309604</v>
      </c>
      <c r="AG17" s="11"/>
      <c r="AH17" s="11"/>
      <c r="AI17" s="11"/>
      <c r="AJ17" s="11"/>
      <c r="AK17" s="11"/>
      <c r="AL17" s="11"/>
      <c r="AM17" s="11"/>
      <c r="AN17" s="11"/>
      <c r="AO17" s="11"/>
    </row>
    <row r="18">
      <c r="A18" t="str">
        <f>O18</f>
      </c>
      <c r="B18" t="str">
        <f>P18</f>
      </c>
      <c r="C18" s="11" t="str">
        <f>AF18</f>
      </c>
      <c r="D18" s="11" t="str">
        <f>AL18</f>
      </c>
      <c r="E18" s="11" t="str">
        <f>AM18</f>
      </c>
      <c r="F18" s="11" t="str">
        <f>AN18</f>
      </c>
      <c r="G18" s="7" t="str">
        <f>AM18/AL18-1</f>
      </c>
      <c r="H18" s="7" t="str">
        <f>AM18/AF18-1</f>
      </c>
      <c r="I18" s="7" t="str">
        <f>AN18/AM18</f>
      </c>
      <c r="J18" s="7" t="str">
        <f>AM18/Sum(AM$1:AM$458)</f>
      </c>
      <c r="K18" s="7" t="str">
        <f>AN18/Sum(AN1:AN$458)</f>
      </c>
      <c r="O18" t="s">
        <v>113</v>
      </c>
      <c r="P18" t="n">
        <v>2046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 t="n">
        <v>262.85227658429</v>
      </c>
      <c r="AM18" s="11" t="n">
        <v>3337.9199</v>
      </c>
      <c r="AN18" s="11"/>
      <c r="AO18" s="11"/>
    </row>
    <row r="19">
      <c r="A19" t="str">
        <f>O19</f>
      </c>
      <c r="B19" t="str">
        <f>P19</f>
      </c>
      <c r="C19" s="11" t="str">
        <f>AF19</f>
      </c>
      <c r="D19" s="11" t="str">
        <f>AL19</f>
      </c>
      <c r="E19" s="11" t="str">
        <f>AM19</f>
      </c>
      <c r="F19" s="11" t="str">
        <f>AN19</f>
      </c>
      <c r="G19" s="7" t="str">
        <f>AM19/AL19-1</f>
      </c>
      <c r="H19" s="7" t="str">
        <f>AM19/AF19-1</f>
      </c>
      <c r="I19" s="7" t="str">
        <f>AN19/AM19</f>
      </c>
      <c r="J19" s="7" t="str">
        <f>AM19/Sum(AM$1:AM$458)</f>
      </c>
      <c r="K19" s="7" t="str">
        <f>AN19/Sum(AN1:AN$458)</f>
      </c>
      <c r="O19" t="s">
        <v>114</v>
      </c>
      <c r="P19" t="n">
        <v>1714</v>
      </c>
      <c r="Q19" s="11" t="n">
        <v>13056922.9613611</v>
      </c>
      <c r="R19" s="11"/>
      <c r="S19" s="11" t="n">
        <v>421794.840052648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>
      <c r="A20" t="str">
        <f>O20</f>
      </c>
      <c r="B20" t="str">
        <f>P20</f>
      </c>
      <c r="C20" s="11" t="str">
        <f>AF20</f>
      </c>
      <c r="D20" s="11" t="str">
        <f>AL20</f>
      </c>
      <c r="E20" s="11" t="str">
        <f>AM20</f>
      </c>
      <c r="F20" s="11" t="str">
        <f>AN20</f>
      </c>
      <c r="G20" s="7" t="str">
        <f>AM20/AL20-1</f>
      </c>
      <c r="H20" s="7" t="str">
        <f>AM20/AF20-1</f>
      </c>
      <c r="I20" s="7" t="str">
        <f>AN20/AM20</f>
      </c>
      <c r="J20" s="7" t="str">
        <f>AM20/Sum(AM$1:AM$458)</f>
      </c>
      <c r="K20" s="7" t="str">
        <f>AN20/Sum(AN1:AN$458)</f>
      </c>
      <c r="O20" t="s">
        <v>115</v>
      </c>
      <c r="P20" t="n">
        <v>2049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 t="n">
        <v>47776.3954917545</v>
      </c>
      <c r="AG20" s="11"/>
      <c r="AH20" s="11" t="n">
        <v>3729515.67490272</v>
      </c>
      <c r="AI20" s="11"/>
      <c r="AJ20" s="11"/>
      <c r="AK20" s="11"/>
      <c r="AL20" s="11"/>
      <c r="AM20" s="11"/>
      <c r="AN20" s="11"/>
      <c r="AO20" s="11"/>
    </row>
    <row r="21">
      <c r="A21" t="str">
        <f>O21</f>
      </c>
      <c r="B21" t="str">
        <f>P21</f>
      </c>
      <c r="C21" s="11" t="str">
        <f>AF21</f>
      </c>
      <c r="D21" s="11" t="str">
        <f>AL21</f>
      </c>
      <c r="E21" s="11" t="str">
        <f>AM21</f>
      </c>
      <c r="F21" s="11" t="str">
        <f>AN21</f>
      </c>
      <c r="G21" s="7" t="str">
        <f>AM21/AL21-1</f>
      </c>
      <c r="H21" s="7" t="str">
        <f>AM21/AF21-1</f>
      </c>
      <c r="I21" s="7" t="str">
        <f>AN21/AM21</f>
      </c>
      <c r="J21" s="7" t="str">
        <f>AM21/Sum(AM$1:AM$458)</f>
      </c>
      <c r="K21" s="7" t="str">
        <f>AN21/Sum(AN1:AN$458)</f>
      </c>
      <c r="O21" t="s">
        <v>116</v>
      </c>
      <c r="P21" t="n">
        <v>917</v>
      </c>
      <c r="Q21" s="11"/>
      <c r="R21" s="11" t="n">
        <v>195551.953635398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>
      <c r="A22" t="str">
        <f>O22</f>
      </c>
      <c r="B22" t="str">
        <f>P22</f>
      </c>
      <c r="C22" s="11" t="str">
        <f>AF22</f>
      </c>
      <c r="D22" s="11" t="str">
        <f>AL22</f>
      </c>
      <c r="E22" s="11" t="str">
        <f>AM22</f>
      </c>
      <c r="F22" s="11" t="str">
        <f>AN22</f>
      </c>
      <c r="G22" s="7" t="str">
        <f>AM22/AL22-1</f>
      </c>
      <c r="H22" s="7" t="str">
        <f>AM22/AF22-1</f>
      </c>
      <c r="I22" s="7" t="str">
        <f>AN22/AM22</f>
      </c>
      <c r="J22" s="7" t="str">
        <f>AM22/Sum(AM$1:AM$458)</f>
      </c>
      <c r="K22" s="7" t="str">
        <f>AN22/Sum(AN1:AN$458)</f>
      </c>
      <c r="O22" t="s">
        <v>117</v>
      </c>
      <c r="P22" t="n">
        <v>1810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 t="n">
        <v>111300.206176583</v>
      </c>
      <c r="AE22" s="11" t="n">
        <v>109187.861294292</v>
      </c>
      <c r="AF22" s="11"/>
      <c r="AG22" s="11"/>
      <c r="AH22" s="11"/>
      <c r="AI22" s="11"/>
      <c r="AJ22" s="11" t="n">
        <v>0</v>
      </c>
      <c r="AK22" s="11"/>
      <c r="AL22" s="11"/>
      <c r="AM22" s="11"/>
      <c r="AN22" s="11"/>
      <c r="AO22" s="11"/>
    </row>
    <row r="23">
      <c r="A23" t="str">
        <f>O23</f>
      </c>
      <c r="B23" t="str">
        <f>P23</f>
      </c>
      <c r="C23" s="11" t="str">
        <f>AF23</f>
      </c>
      <c r="D23" s="11" t="str">
        <f>AL23</f>
      </c>
      <c r="E23" s="11" t="str">
        <f>AM23</f>
      </c>
      <c r="F23" s="11" t="str">
        <f>AN23</f>
      </c>
      <c r="G23" s="7" t="str">
        <f>AM23/AL23-1</f>
      </c>
      <c r="H23" s="7" t="str">
        <f>AM23/AF23-1</f>
      </c>
      <c r="I23" s="7" t="str">
        <f>AN23/AM23</f>
      </c>
      <c r="J23" s="7" t="str">
        <f>AM23/Sum(AM$1:AM$458)</f>
      </c>
      <c r="K23" s="7" t="str">
        <f>AN23/Sum(AN1:AN$458)</f>
      </c>
      <c r="O23" t="s">
        <v>118</v>
      </c>
      <c r="P23" t="n">
        <v>2242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 t="n">
        <v>434682.495095531</v>
      </c>
      <c r="AK23" s="11" t="n">
        <v>6313435.45534992</v>
      </c>
      <c r="AL23" s="11" t="n">
        <v>6571984.84294244</v>
      </c>
      <c r="AM23" s="11" t="n">
        <v>6063916.5234</v>
      </c>
      <c r="AN23" s="11" t="n">
        <v>9866116.23416833</v>
      </c>
      <c r="AO23" s="11"/>
    </row>
    <row r="24">
      <c r="A24" t="str">
        <f>O24</f>
      </c>
      <c r="B24" t="str">
        <f>P24</f>
      </c>
      <c r="C24" s="11" t="str">
        <f>AF24</f>
      </c>
      <c r="D24" s="11" t="str">
        <f>AL24</f>
      </c>
      <c r="E24" s="11" t="str">
        <f>AM24</f>
      </c>
      <c r="F24" s="11" t="str">
        <f>AN24</f>
      </c>
      <c r="G24" s="7" t="str">
        <f>AM24/AL24-1</f>
      </c>
      <c r="H24" s="7" t="str">
        <f>AM24/AF24-1</f>
      </c>
      <c r="I24" s="7" t="str">
        <f>AN24/AM24</f>
      </c>
      <c r="J24" s="7" t="str">
        <f>AM24/Sum(AM$1:AM$458)</f>
      </c>
      <c r="K24" s="7" t="str">
        <f>AN24/Sum(AN1:AN$458)</f>
      </c>
      <c r="O24" t="s">
        <v>119</v>
      </c>
      <c r="P24" t="n">
        <v>2249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 t="n">
        <v>11001641.1417771</v>
      </c>
      <c r="AL24" s="11" t="n">
        <v>962358.835431866</v>
      </c>
      <c r="AM24" s="11" t="n">
        <v>2522735</v>
      </c>
      <c r="AN24" s="11" t="n">
        <v>918552.667920046</v>
      </c>
      <c r="AO24" s="11"/>
    </row>
    <row r="25">
      <c r="A25" t="str">
        <f>O25</f>
      </c>
      <c r="B25" t="str">
        <f>P25</f>
      </c>
      <c r="C25" s="11" t="str">
        <f>AF25</f>
      </c>
      <c r="D25" s="11" t="str">
        <f>AL25</f>
      </c>
      <c r="E25" s="11" t="str">
        <f>AM25</f>
      </c>
      <c r="F25" s="11" t="str">
        <f>AN25</f>
      </c>
      <c r="G25" s="7" t="str">
        <f>AM25/AL25-1</f>
      </c>
      <c r="H25" s="7" t="str">
        <f>AM25/AF25-1</f>
      </c>
      <c r="I25" s="7" t="str">
        <f>AN25/AM25</f>
      </c>
      <c r="J25" s="7" t="str">
        <f>AM25/Sum(AM$1:AM$458)</f>
      </c>
      <c r="K25" s="7" t="str">
        <f>AN25/Sum(AN1:AN$458)</f>
      </c>
      <c r="O25" t="s">
        <v>120</v>
      </c>
      <c r="P25" t="n">
        <v>2250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 t="n">
        <v>24154564.5713613</v>
      </c>
      <c r="AL25" s="11" t="n">
        <v>36105583.2417638</v>
      </c>
      <c r="AM25" s="11" t="n">
        <v>35691816.2656</v>
      </c>
      <c r="AN25" s="11" t="n">
        <v>18391121.5892455</v>
      </c>
      <c r="AO25" s="11"/>
    </row>
    <row r="26">
      <c r="A26" t="str">
        <f>O26</f>
      </c>
      <c r="B26" t="str">
        <f>P26</f>
      </c>
      <c r="C26" s="11" t="str">
        <f>AF26</f>
      </c>
      <c r="D26" s="11" t="str">
        <f>AL26</f>
      </c>
      <c r="E26" s="11" t="str">
        <f>AM26</f>
      </c>
      <c r="F26" s="11" t="str">
        <f>AN26</f>
      </c>
      <c r="G26" s="7" t="str">
        <f>AM26/AL26-1</f>
      </c>
      <c r="H26" s="7" t="str">
        <f>AM26/AF26-1</f>
      </c>
      <c r="I26" s="7" t="str">
        <f>AN26/AM26</f>
      </c>
      <c r="J26" s="7" t="str">
        <f>AM26/Sum(AM$1:AM$458)</f>
      </c>
      <c r="K26" s="7" t="str">
        <f>AN26/Sum(AN1:AN$458)</f>
      </c>
      <c r="O26" t="s">
        <v>121</v>
      </c>
      <c r="P26" t="n">
        <v>1753</v>
      </c>
      <c r="Q26" s="11" t="n">
        <v>301514.616047525</v>
      </c>
      <c r="R26" s="11" t="n">
        <v>31504376.4705479</v>
      </c>
      <c r="S26" s="11" t="n">
        <v>47231909.282345</v>
      </c>
      <c r="T26" s="11" t="n">
        <v>140331680.358842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</row>
    <row r="27">
      <c r="A27" t="str">
        <f>O27</f>
      </c>
      <c r="B27" t="str">
        <f>P27</f>
      </c>
      <c r="C27" s="11" t="str">
        <f>AF27</f>
      </c>
      <c r="D27" s="11" t="str">
        <f>AL27</f>
      </c>
      <c r="E27" s="11" t="str">
        <f>AM27</f>
      </c>
      <c r="F27" s="11" t="str">
        <f>AN27</f>
      </c>
      <c r="G27" s="7" t="str">
        <f>AM27/AL27-1</f>
      </c>
      <c r="H27" s="7" t="str">
        <f>AM27/AF27-1</f>
      </c>
      <c r="I27" s="7" t="str">
        <f>AN27/AM27</f>
      </c>
      <c r="J27" s="7" t="str">
        <f>AM27/Sum(AM$1:AM$458)</f>
      </c>
      <c r="K27" s="7" t="str">
        <f>AN27/Sum(AN1:AN$458)</f>
      </c>
      <c r="O27" t="s">
        <v>122</v>
      </c>
      <c r="P27" t="n">
        <v>565</v>
      </c>
      <c r="Q27" s="11"/>
      <c r="R27" s="11"/>
      <c r="S27" s="11" t="n">
        <v>67724.8403006413</v>
      </c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</row>
    <row r="28">
      <c r="A28" t="str">
        <f>O28</f>
      </c>
      <c r="B28" t="str">
        <f>P28</f>
      </c>
      <c r="C28" s="11" t="str">
        <f>AF28</f>
      </c>
      <c r="D28" s="11" t="str">
        <f>AL28</f>
      </c>
      <c r="E28" s="11" t="str">
        <f>AM28</f>
      </c>
      <c r="F28" s="11" t="str">
        <f>AN28</f>
      </c>
      <c r="G28" s="7" t="str">
        <f>AM28/AL28-1</f>
      </c>
      <c r="H28" s="7" t="str">
        <f>AM28/AF28-1</f>
      </c>
      <c r="I28" s="7" t="str">
        <f>AN28/AM28</f>
      </c>
      <c r="J28" s="7" t="str">
        <f>AM28/Sum(AM$1:AM$458)</f>
      </c>
      <c r="K28" s="7" t="str">
        <f>AN28/Sum(AN1:AN$458)</f>
      </c>
      <c r="O28" t="s">
        <v>123</v>
      </c>
      <c r="P28" t="n">
        <v>568</v>
      </c>
      <c r="Q28" s="11"/>
      <c r="R28" s="11"/>
      <c r="S28" s="11" t="n">
        <v>280518.431618116</v>
      </c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</row>
    <row r="29">
      <c r="A29" t="str">
        <f>O29</f>
      </c>
      <c r="B29" t="str">
        <f>P29</f>
      </c>
      <c r="C29" s="11" t="str">
        <f>AF29</f>
      </c>
      <c r="D29" s="11" t="str">
        <f>AL29</f>
      </c>
      <c r="E29" s="11" t="str">
        <f>AM29</f>
      </c>
      <c r="F29" s="11" t="str">
        <f>AN29</f>
      </c>
      <c r="G29" s="7" t="str">
        <f>AM29/AL29-1</f>
      </c>
      <c r="H29" s="7" t="str">
        <f>AM29/AF29-1</f>
      </c>
      <c r="I29" s="7" t="str">
        <f>AN29/AM29</f>
      </c>
      <c r="J29" s="7" t="str">
        <f>AM29/Sum(AM$1:AM$458)</f>
      </c>
      <c r="K29" s="7" t="str">
        <f>AN29/Sum(AN1:AN$458)</f>
      </c>
      <c r="O29" t="s">
        <v>124</v>
      </c>
      <c r="P29" t="n">
        <v>709</v>
      </c>
      <c r="Q29" s="11"/>
      <c r="R29" s="11"/>
      <c r="S29" s="11" t="n">
        <v>54353.8044146399</v>
      </c>
      <c r="T29" s="11" t="n">
        <v>66835.5494026621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>
      <c r="A30" t="str">
        <f>O30</f>
      </c>
      <c r="B30" t="str">
        <f>P30</f>
      </c>
      <c r="C30" s="11" t="str">
        <f>AF30</f>
      </c>
      <c r="D30" s="11" t="str">
        <f>AL30</f>
      </c>
      <c r="E30" s="11" t="str">
        <f>AM30</f>
      </c>
      <c r="F30" s="11" t="str">
        <f>AN30</f>
      </c>
      <c r="G30" s="7" t="str">
        <f>AM30/AL30-1</f>
      </c>
      <c r="H30" s="7" t="str">
        <f>AM30/AF30-1</f>
      </c>
      <c r="I30" s="7" t="str">
        <f>AN30/AM30</f>
      </c>
      <c r="J30" s="7" t="str">
        <f>AM30/Sum(AM$1:AM$458)</f>
      </c>
      <c r="K30" s="7" t="str">
        <f>AN30/Sum(AN1:AN$458)</f>
      </c>
      <c r="O30" t="s">
        <v>125</v>
      </c>
      <c r="P30" t="n">
        <v>2192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 t="n">
        <v>57088.241652919</v>
      </c>
      <c r="AJ30" s="11"/>
      <c r="AK30" s="11"/>
      <c r="AL30" s="11"/>
      <c r="AM30" s="11"/>
      <c r="AN30" s="11"/>
      <c r="AO30" s="11"/>
    </row>
    <row r="31">
      <c r="A31" t="str">
        <f>O31</f>
      </c>
      <c r="B31" t="str">
        <f>P31</f>
      </c>
      <c r="C31" s="11" t="str">
        <f>AF31</f>
      </c>
      <c r="D31" s="11" t="str">
        <f>AL31</f>
      </c>
      <c r="E31" s="11" t="str">
        <f>AM31</f>
      </c>
      <c r="F31" s="11" t="str">
        <f>AN31</f>
      </c>
      <c r="G31" s="7" t="str">
        <f>AM31/AL31-1</f>
      </c>
      <c r="H31" s="7" t="str">
        <f>AM31/AF31-1</f>
      </c>
      <c r="I31" s="7" t="str">
        <f>AN31/AM31</f>
      </c>
      <c r="J31" s="7" t="str">
        <f>AM31/Sum(AM$1:AM$458)</f>
      </c>
      <c r="K31" s="7" t="str">
        <f>AN31/Sum(AN1:AN$458)</f>
      </c>
      <c r="O31" t="s">
        <v>126</v>
      </c>
      <c r="P31" t="n">
        <v>1882</v>
      </c>
      <c r="Q31" s="11"/>
      <c r="R31" s="11"/>
      <c r="S31" s="11" t="n">
        <v>4193118.02970403</v>
      </c>
      <c r="T31" s="11"/>
      <c r="U31" s="11" t="n">
        <v>-79172.5747486253</v>
      </c>
      <c r="V31" s="11"/>
      <c r="W31" s="11"/>
      <c r="X31" s="11"/>
      <c r="Y31" s="11"/>
      <c r="Z31" s="11"/>
      <c r="AA31" s="11"/>
      <c r="AB31" s="11"/>
      <c r="AC31" s="11"/>
      <c r="AD31" s="11"/>
      <c r="AE31" s="11" t="n">
        <v>-184640.313044025</v>
      </c>
      <c r="AF31" s="11"/>
      <c r="AG31" s="11"/>
      <c r="AH31" s="11"/>
      <c r="AI31" s="11"/>
      <c r="AJ31" s="11"/>
      <c r="AK31" s="11"/>
      <c r="AL31" s="11"/>
      <c r="AM31" s="11"/>
      <c r="AN31" s="11"/>
      <c r="AO31" s="11"/>
    </row>
    <row r="32">
      <c r="A32" t="str">
        <f>O32</f>
      </c>
      <c r="B32" t="str">
        <f>P32</f>
      </c>
      <c r="C32" s="11" t="str">
        <f>AF32</f>
      </c>
      <c r="D32" s="11" t="str">
        <f>AL32</f>
      </c>
      <c r="E32" s="11" t="str">
        <f>AM32</f>
      </c>
      <c r="F32" s="11" t="str">
        <f>AN32</f>
      </c>
      <c r="G32" s="7" t="str">
        <f>AM32/AL32-1</f>
      </c>
      <c r="H32" s="7" t="str">
        <f>AM32/AF32-1</f>
      </c>
      <c r="I32" s="7" t="str">
        <f>AN32/AM32</f>
      </c>
      <c r="J32" s="7" t="str">
        <f>AM32/Sum(AM$1:AM$458)</f>
      </c>
      <c r="K32" s="7" t="str">
        <f>AN32/Sum(AN1:AN$458)</f>
      </c>
      <c r="O32" t="s">
        <v>127</v>
      </c>
      <c r="P32" t="n">
        <v>2255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 t="n">
        <v>21112439.7139966</v>
      </c>
      <c r="AL32" s="11" t="n">
        <v>9389765.09736137</v>
      </c>
      <c r="AM32" s="11" t="n">
        <v>32355638.25</v>
      </c>
      <c r="AN32" s="11" t="n">
        <v>14977937.5609225</v>
      </c>
      <c r="AO32" s="11"/>
    </row>
    <row r="33">
      <c r="A33" t="str">
        <f>O33</f>
      </c>
      <c r="B33" t="str">
        <f>P33</f>
      </c>
      <c r="C33" s="11" t="str">
        <f>AF33</f>
      </c>
      <c r="D33" s="11" t="str">
        <f>AL33</f>
      </c>
      <c r="E33" s="11" t="str">
        <f>AM33</f>
      </c>
      <c r="F33" s="11" t="str">
        <f>AN33</f>
      </c>
      <c r="G33" s="7" t="str">
        <f>AM33/AL33-1</f>
      </c>
      <c r="H33" s="7" t="str">
        <f>AM33/AF33-1</f>
      </c>
      <c r="I33" s="7" t="str">
        <f>AN33/AM33</f>
      </c>
      <c r="J33" s="7" t="str">
        <f>AM33/Sum(AM$1:AM$458)</f>
      </c>
      <c r="K33" s="7" t="str">
        <f>AN33/Sum(AN1:AN$458)</f>
      </c>
      <c r="O33" t="s">
        <v>128</v>
      </c>
      <c r="P33" t="n">
        <v>1886</v>
      </c>
      <c r="Q33" s="11"/>
      <c r="R33" s="11"/>
      <c r="S33" s="11" t="n">
        <v>2336999.28054354</v>
      </c>
      <c r="T33" s="11" t="n">
        <v>3983412.45894368</v>
      </c>
      <c r="U33" s="11" t="n">
        <v>4095304.28806822</v>
      </c>
      <c r="V33" s="11" t="n">
        <v>4091399.72549166</v>
      </c>
      <c r="W33" s="11" t="n">
        <v>1888081.75732959</v>
      </c>
      <c r="X33" s="11"/>
      <c r="Y33" s="11"/>
      <c r="Z33" s="11" t="n">
        <v>-28387.3898910366</v>
      </c>
      <c r="AA33" s="11" t="n">
        <v>-5825.91740577314</v>
      </c>
      <c r="AB33" s="11" t="n">
        <v>-10515.5397100564</v>
      </c>
      <c r="AC33" s="11"/>
      <c r="AD33" s="11" t="n">
        <v>-15791.6813530896</v>
      </c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</row>
    <row r="34">
      <c r="A34" t="str">
        <f>O34</f>
      </c>
      <c r="B34" t="str">
        <f>P34</f>
      </c>
      <c r="C34" s="11" t="str">
        <f>AF34</f>
      </c>
      <c r="D34" s="11" t="str">
        <f>AL34</f>
      </c>
      <c r="E34" s="11" t="str">
        <f>AM34</f>
      </c>
      <c r="F34" s="11" t="str">
        <f>AN34</f>
      </c>
      <c r="G34" s="7" t="str">
        <f>AM34/AL34-1</f>
      </c>
      <c r="H34" s="7" t="str">
        <f>AM34/AF34-1</f>
      </c>
      <c r="I34" s="7" t="str">
        <f>AN34/AM34</f>
      </c>
      <c r="J34" s="7" t="str">
        <f>AM34/Sum(AM$1:AM$458)</f>
      </c>
      <c r="K34" s="7" t="str">
        <f>AN34/Sum(AN1:AN$458)</f>
      </c>
      <c r="O34" t="s">
        <v>129</v>
      </c>
      <c r="P34" t="n">
        <v>1365</v>
      </c>
      <c r="Q34" s="11"/>
      <c r="R34" s="11"/>
      <c r="S34" s="11" t="n">
        <v>3416105.54814331</v>
      </c>
      <c r="T34" s="11" t="n">
        <v>3695539.5874365</v>
      </c>
      <c r="U34" s="11" t="n">
        <v>202506685.289908</v>
      </c>
      <c r="V34" s="11" t="n">
        <v>446077074.995262</v>
      </c>
      <c r="W34" s="11" t="n">
        <v>99645661.6139823</v>
      </c>
      <c r="X34" s="11" t="n">
        <v>132924792.317833</v>
      </c>
      <c r="Y34" s="11" t="n">
        <v>207897346.364304</v>
      </c>
      <c r="Z34" s="11" t="n">
        <v>111762007.962653</v>
      </c>
      <c r="AA34" s="11" t="n">
        <v>169357253.973482</v>
      </c>
      <c r="AB34" s="11" t="n">
        <v>116337034.940654</v>
      </c>
      <c r="AC34" s="11" t="n">
        <v>68350483.3538447</v>
      </c>
      <c r="AD34" s="11" t="n">
        <v>62548503.1860407</v>
      </c>
      <c r="AE34" s="11" t="n">
        <v>14770778.8776568</v>
      </c>
      <c r="AF34" s="11" t="n">
        <v>-369269.12468529</v>
      </c>
      <c r="AG34" s="11"/>
      <c r="AH34" s="11" t="n">
        <v>-745.528974849789</v>
      </c>
      <c r="AI34" s="11" t="n">
        <v>0</v>
      </c>
      <c r="AJ34" s="11"/>
      <c r="AK34" s="11" t="n">
        <v>0</v>
      </c>
      <c r="AL34" s="11"/>
      <c r="AM34" s="11"/>
      <c r="AN34" s="11" t="n">
        <v>-6074563.51832659</v>
      </c>
      <c r="AO34" s="11"/>
    </row>
    <row r="35">
      <c r="A35" t="str">
        <f>O35</f>
      </c>
      <c r="B35" t="str">
        <f>P35</f>
      </c>
      <c r="C35" s="11" t="str">
        <f>AF35</f>
      </c>
      <c r="D35" s="11" t="str">
        <f>AL35</f>
      </c>
      <c r="E35" s="11" t="str">
        <f>AM35</f>
      </c>
      <c r="F35" s="11" t="str">
        <f>AN35</f>
      </c>
      <c r="G35" s="7" t="str">
        <f>AM35/AL35-1</f>
      </c>
      <c r="H35" s="7" t="str">
        <f>AM35/AF35-1</f>
      </c>
      <c r="I35" s="7" t="str">
        <f>AN35/AM35</f>
      </c>
      <c r="J35" s="7" t="str">
        <f>AM35/Sum(AM$1:AM$458)</f>
      </c>
      <c r="K35" s="7" t="str">
        <f>AN35/Sum(AN1:AN$458)</f>
      </c>
      <c r="O35" t="s">
        <v>130</v>
      </c>
      <c r="P35" t="n">
        <v>2190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 t="n">
        <v>691649.926637983</v>
      </c>
      <c r="AL35" s="11" t="n">
        <v>83768.2658487113</v>
      </c>
      <c r="AM35" s="11" t="n">
        <v>36387.1797</v>
      </c>
      <c r="AN35" s="11" t="n">
        <v>0</v>
      </c>
      <c r="AO35" s="11"/>
    </row>
    <row r="36">
      <c r="A36" t="str">
        <f>O36</f>
      </c>
      <c r="B36" t="str">
        <f>P36</f>
      </c>
      <c r="C36" s="11" t="str">
        <f>AF36</f>
      </c>
      <c r="D36" s="11" t="str">
        <f>AL36</f>
      </c>
      <c r="E36" s="11" t="str">
        <f>AM36</f>
      </c>
      <c r="F36" s="11" t="str">
        <f>AN36</f>
      </c>
      <c r="G36" s="7" t="str">
        <f>AM36/AL36-1</f>
      </c>
      <c r="H36" s="7" t="str">
        <f>AM36/AF36-1</f>
      </c>
      <c r="I36" s="7" t="str">
        <f>AN36/AM36</f>
      </c>
      <c r="J36" s="7" t="str">
        <f>AM36/Sum(AM$1:AM$458)</f>
      </c>
      <c r="K36" s="7" t="str">
        <f>AN36/Sum(AN1:AN$458)</f>
      </c>
      <c r="O36" t="s">
        <v>131</v>
      </c>
      <c r="P36" t="n">
        <v>1379</v>
      </c>
      <c r="Q36" s="11"/>
      <c r="R36" s="11"/>
      <c r="S36" s="11"/>
      <c r="T36" s="11"/>
      <c r="U36" s="11"/>
      <c r="V36" s="11" t="n">
        <v>1299289.23551731</v>
      </c>
      <c r="W36" s="11" t="n">
        <v>2144891.15433328</v>
      </c>
      <c r="X36" s="11" t="n">
        <v>1052183.66103674</v>
      </c>
      <c r="Y36" s="11" t="n">
        <v>1390735.35456462</v>
      </c>
      <c r="Z36" s="11" t="n">
        <v>0</v>
      </c>
      <c r="AA36" s="11" t="n">
        <v>433950.907475507</v>
      </c>
      <c r="AB36" s="11" t="n">
        <v>911824.248768144</v>
      </c>
      <c r="AC36" s="11" t="n">
        <v>2276962.01496342</v>
      </c>
      <c r="AD36" s="11" t="n">
        <v>1105981.9743949</v>
      </c>
      <c r="AE36" s="11" t="n">
        <v>690067.283379927</v>
      </c>
      <c r="AF36" s="11" t="n">
        <v>24192887.4141036</v>
      </c>
      <c r="AG36" s="11" t="n">
        <v>161260136.755341</v>
      </c>
      <c r="AH36" s="11" t="n">
        <v>179477775.646506</v>
      </c>
      <c r="AI36" s="11" t="n">
        <v>166671265.672859</v>
      </c>
      <c r="AJ36" s="11" t="n">
        <v>253073749.635469</v>
      </c>
      <c r="AK36" s="11" t="n">
        <v>323696181.315544</v>
      </c>
      <c r="AL36" s="11" t="n">
        <v>269760639.172584</v>
      </c>
      <c r="AM36" s="11" t="n">
        <v>277976938.8652</v>
      </c>
      <c r="AN36" s="11" t="n">
        <v>54143821.0899375</v>
      </c>
      <c r="AO36" s="11"/>
    </row>
    <row r="37">
      <c r="A37" t="str">
        <f>O37</f>
      </c>
      <c r="B37" t="str">
        <f>P37</f>
      </c>
      <c r="C37" s="11" t="str">
        <f>AF37</f>
      </c>
      <c r="D37" s="11" t="str">
        <f>AL37</f>
      </c>
      <c r="E37" s="11" t="str">
        <f>AM37</f>
      </c>
      <c r="F37" s="11" t="str">
        <f>AN37</f>
      </c>
      <c r="G37" s="7" t="str">
        <f>AM37/AL37-1</f>
      </c>
      <c r="H37" s="7" t="str">
        <f>AM37/AF37-1</f>
      </c>
      <c r="I37" s="7" t="str">
        <f>AN37/AM37</f>
      </c>
      <c r="J37" s="7" t="str">
        <f>AM37/Sum(AM$1:AM$458)</f>
      </c>
      <c r="K37" s="7" t="str">
        <f>AN37/Sum(AN1:AN$458)</f>
      </c>
      <c r="O37" t="s">
        <v>132</v>
      </c>
      <c r="P37" t="n">
        <v>699</v>
      </c>
      <c r="Q37" s="11"/>
      <c r="R37" s="11"/>
      <c r="S37" s="11"/>
      <c r="T37" s="11"/>
      <c r="U37" s="11" t="n">
        <v>1854062.65932298</v>
      </c>
      <c r="V37" s="11" t="n">
        <v>5128225.31716094</v>
      </c>
      <c r="W37" s="11" t="n">
        <v>3078491.46150349</v>
      </c>
      <c r="X37" s="11"/>
      <c r="Y37" s="11"/>
      <c r="Z37" s="11"/>
      <c r="AA37" s="11"/>
      <c r="AB37" s="11"/>
      <c r="AC37" s="11"/>
      <c r="AD37" s="11" t="n">
        <v>-41103.1414076329</v>
      </c>
      <c r="AE37" s="11" t="n">
        <v>-1870.29100809452</v>
      </c>
      <c r="AF37" s="11"/>
      <c r="AG37" s="11" t="n">
        <v>0</v>
      </c>
      <c r="AH37" s="11"/>
      <c r="AI37" s="11" t="n">
        <v>0</v>
      </c>
      <c r="AJ37" s="11"/>
      <c r="AK37" s="11"/>
      <c r="AL37" s="11"/>
      <c r="AM37" s="11"/>
      <c r="AN37" s="11"/>
      <c r="AO37" s="11"/>
    </row>
    <row r="38">
      <c r="A38" t="str">
        <f>O38</f>
      </c>
      <c r="B38" t="str">
        <f>P38</f>
      </c>
      <c r="C38" s="11" t="str">
        <f>AF38</f>
      </c>
      <c r="D38" s="11" t="str">
        <f>AL38</f>
      </c>
      <c r="E38" s="11" t="str">
        <f>AM38</f>
      </c>
      <c r="F38" s="11" t="str">
        <f>AN38</f>
      </c>
      <c r="G38" s="7" t="str">
        <f>AM38/AL38-1</f>
      </c>
      <c r="H38" s="7" t="str">
        <f>AM38/AF38-1</f>
      </c>
      <c r="I38" s="7" t="str">
        <f>AN38/AM38</f>
      </c>
      <c r="J38" s="7" t="str">
        <f>AM38/Sum(AM$1:AM$458)</f>
      </c>
      <c r="K38" s="7" t="str">
        <f>AN38/Sum(AN1:AN$458)</f>
      </c>
      <c r="O38" t="s">
        <v>133</v>
      </c>
      <c r="P38" t="n">
        <v>1890</v>
      </c>
      <c r="Q38" s="11"/>
      <c r="R38" s="11" t="n">
        <v>484585.202575387</v>
      </c>
      <c r="S38" s="11" t="n">
        <v>35612131.2330615</v>
      </c>
      <c r="T38" s="11" t="n">
        <v>44921842.8803451</v>
      </c>
      <c r="U38" s="11" t="n">
        <v>43893276.3331255</v>
      </c>
      <c r="V38" s="11" t="n">
        <v>9184555.78253128</v>
      </c>
      <c r="W38" s="11" t="n">
        <v>7126550.2474786</v>
      </c>
      <c r="X38" s="11" t="n">
        <v>8813397.49238669</v>
      </c>
      <c r="Y38" s="11" t="n">
        <v>7580745.65825666</v>
      </c>
      <c r="Z38" s="11" t="n">
        <v>-58567.3278147383</v>
      </c>
      <c r="AA38" s="11" t="n">
        <v>0</v>
      </c>
      <c r="AB38" s="11" t="n">
        <v>-88876.152347503</v>
      </c>
      <c r="AC38" s="11" t="n">
        <v>-16941.8167484875</v>
      </c>
      <c r="AD38" s="11" t="n">
        <v>-372988.632604486</v>
      </c>
      <c r="AE38" s="11" t="n">
        <v>-14062.9476512751</v>
      </c>
      <c r="AF38" s="11" t="n">
        <v>-129886.968235356</v>
      </c>
      <c r="AG38" s="11"/>
      <c r="AH38" s="11"/>
      <c r="AI38" s="11"/>
      <c r="AJ38" s="11" t="n">
        <v>0</v>
      </c>
      <c r="AK38" s="11"/>
      <c r="AL38" s="11"/>
      <c r="AM38" s="11"/>
      <c r="AN38" s="11"/>
      <c r="AO38" s="11"/>
    </row>
    <row r="39">
      <c r="A39" t="str">
        <f>O39</f>
      </c>
      <c r="B39" t="str">
        <f>P39</f>
      </c>
      <c r="C39" s="11" t="str">
        <f>AF39</f>
      </c>
      <c r="D39" s="11" t="str">
        <f>AL39</f>
      </c>
      <c r="E39" s="11" t="str">
        <f>AM39</f>
      </c>
      <c r="F39" s="11" t="str">
        <f>AN39</f>
      </c>
      <c r="G39" s="7" t="str">
        <f>AM39/AL39-1</f>
      </c>
      <c r="H39" s="7" t="str">
        <f>AM39/AF39-1</f>
      </c>
      <c r="I39" s="7" t="str">
        <f>AN39/AM39</f>
      </c>
      <c r="J39" s="7" t="str">
        <f>AM39/Sum(AM$1:AM$458)</f>
      </c>
      <c r="K39" s="7" t="str">
        <f>AN39/Sum(AN1:AN$458)</f>
      </c>
      <c r="O39" t="s">
        <v>134</v>
      </c>
      <c r="P39" t="n">
        <v>1728</v>
      </c>
      <c r="Q39" s="11" t="n">
        <v>4512275.16167116</v>
      </c>
      <c r="R39" s="11" t="n">
        <v>195886.378789035</v>
      </c>
      <c r="S39" s="11" t="n">
        <v>125942.423726242</v>
      </c>
      <c r="T39" s="11" t="n">
        <v>240830726.442139</v>
      </c>
      <c r="U39" s="11"/>
      <c r="V39" s="11"/>
      <c r="W39" s="11"/>
      <c r="X39" s="11"/>
      <c r="Y39" s="11"/>
      <c r="Z39" s="11"/>
      <c r="AA39" s="11" t="n">
        <v>-355217.798021538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>
      <c r="A40" t="str">
        <f>O40</f>
      </c>
      <c r="B40" t="str">
        <f>P40</f>
      </c>
      <c r="C40" s="11" t="str">
        <f>AF40</f>
      </c>
      <c r="D40" s="11" t="str">
        <f>AL40</f>
      </c>
      <c r="E40" s="11" t="str">
        <f>AM40</f>
      </c>
      <c r="F40" s="11" t="str">
        <f>AN40</f>
      </c>
      <c r="G40" s="7" t="str">
        <f>AM40/AL40-1</f>
      </c>
      <c r="H40" s="7" t="str">
        <f>AM40/AF40-1</f>
      </c>
      <c r="I40" s="7" t="str">
        <f>AN40/AM40</f>
      </c>
      <c r="J40" s="7" t="str">
        <f>AM40/Sum(AM$1:AM$458)</f>
      </c>
      <c r="K40" s="7" t="str">
        <f>AN40/Sum(AN1:AN$458)</f>
      </c>
      <c r="O40" t="s">
        <v>135</v>
      </c>
      <c r="P40" t="n">
        <v>1817</v>
      </c>
      <c r="Q40" s="11"/>
      <c r="R40" s="11"/>
      <c r="S40" s="11"/>
      <c r="T40" s="11"/>
      <c r="U40" s="11"/>
      <c r="V40" s="11" t="n">
        <v>0</v>
      </c>
      <c r="W40" s="11"/>
      <c r="X40" s="11" t="n">
        <v>336647.0180304</v>
      </c>
      <c r="Y40" s="11"/>
      <c r="Z40" s="11" t="n">
        <v>989704.496050566</v>
      </c>
      <c r="AA40" s="11" t="n">
        <v>-25911348.4978825</v>
      </c>
      <c r="AB40" s="11" t="n">
        <v>-19541261.3370134</v>
      </c>
      <c r="AC40" s="11" t="n">
        <v>-23575.9209730617</v>
      </c>
      <c r="AD40" s="11" t="n">
        <v>-15297473.5141342</v>
      </c>
      <c r="AE40" s="11" t="n">
        <v>0</v>
      </c>
      <c r="AF40" s="11" t="n">
        <v>-7490647.21163992</v>
      </c>
      <c r="AG40" s="11" t="n">
        <v>-1354.78839201479</v>
      </c>
      <c r="AH40" s="11" t="n">
        <v>0</v>
      </c>
      <c r="AI40" s="11" t="n">
        <v>-25551466.4884791</v>
      </c>
      <c r="AJ40" s="11" t="n">
        <v>0</v>
      </c>
      <c r="AK40" s="11"/>
      <c r="AL40" s="11"/>
      <c r="AM40" s="11"/>
      <c r="AN40" s="11"/>
      <c r="AO40" s="11"/>
    </row>
    <row r="41">
      <c r="A41" t="str">
        <f>O41</f>
      </c>
      <c r="B41" t="str">
        <f>P41</f>
      </c>
      <c r="C41" s="11" t="str">
        <f>AF41</f>
      </c>
      <c r="D41" s="11" t="str">
        <f>AL41</f>
      </c>
      <c r="E41" s="11" t="str">
        <f>AM41</f>
      </c>
      <c r="F41" s="11" t="str">
        <f>AN41</f>
      </c>
      <c r="G41" s="7" t="str">
        <f>AM41/AL41-1</f>
      </c>
      <c r="H41" s="7" t="str">
        <f>AM41/AF41-1</f>
      </c>
      <c r="I41" s="7" t="str">
        <f>AN41/AM41</f>
      </c>
      <c r="J41" s="7" t="str">
        <f>AM41/Sum(AM$1:AM$458)</f>
      </c>
      <c r="K41" s="7" t="str">
        <f>AN41/Sum(AN1:AN$458)</f>
      </c>
      <c r="O41" t="s">
        <v>136</v>
      </c>
      <c r="P41" t="n">
        <v>461</v>
      </c>
      <c r="Q41" s="11" t="n">
        <v>56222535.9215972</v>
      </c>
      <c r="R41" s="11" t="n">
        <v>68802540.9522215</v>
      </c>
      <c r="S41" s="11" t="n">
        <v>16815175.573496</v>
      </c>
      <c r="T41" s="11" t="n">
        <v>376916.840813959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</row>
    <row r="42">
      <c r="A42" t="str">
        <f>O42</f>
      </c>
      <c r="B42" t="str">
        <f>P42</f>
      </c>
      <c r="C42" s="11" t="str">
        <f>AF42</f>
      </c>
      <c r="D42" s="11" t="str">
        <f>AL42</f>
      </c>
      <c r="E42" s="11" t="str">
        <f>AM42</f>
      </c>
      <c r="F42" s="11" t="str">
        <f>AN42</f>
      </c>
      <c r="G42" s="7" t="str">
        <f>AM42/AL42-1</f>
      </c>
      <c r="H42" s="7" t="str">
        <f>AM42/AF42-1</f>
      </c>
      <c r="I42" s="7" t="str">
        <f>AN42/AM42</f>
      </c>
      <c r="J42" s="7" t="str">
        <f>AM42/Sum(AM$1:AM$458)</f>
      </c>
      <c r="K42" s="7" t="str">
        <f>AN42/Sum(AN1:AN$458)</f>
      </c>
      <c r="O42" t="s">
        <v>137</v>
      </c>
      <c r="P42" t="n">
        <v>2052</v>
      </c>
      <c r="Q42" s="11" t="n">
        <v>19316135.147223</v>
      </c>
      <c r="R42" s="11" t="n">
        <v>24304941.1720284</v>
      </c>
      <c r="S42" s="11" t="n">
        <v>9275656.86739579</v>
      </c>
      <c r="T42" s="11" t="n">
        <v>8051731.66611278</v>
      </c>
      <c r="U42" s="11" t="n">
        <v>483311.783476559</v>
      </c>
      <c r="V42" s="11" t="n">
        <v>-17208.3640970738</v>
      </c>
      <c r="W42" s="11"/>
      <c r="X42" s="11" t="n">
        <v>0</v>
      </c>
      <c r="Y42" s="11"/>
      <c r="Z42" s="11"/>
      <c r="AA42" s="11"/>
      <c r="AB42" s="11"/>
      <c r="AC42" s="11" t="n">
        <v>0</v>
      </c>
      <c r="AD42" s="11"/>
      <c r="AE42" s="11"/>
      <c r="AF42" s="11" t="n">
        <v>-2955.43880527423</v>
      </c>
      <c r="AG42" s="11"/>
      <c r="AH42" s="11" t="n">
        <v>-694.689485265268</v>
      </c>
      <c r="AI42" s="11" t="n">
        <v>0</v>
      </c>
      <c r="AJ42" s="11"/>
      <c r="AK42" s="11"/>
      <c r="AL42" s="11"/>
      <c r="AM42" s="11"/>
      <c r="AN42" s="11"/>
      <c r="AO42" s="11"/>
    </row>
    <row r="43">
      <c r="A43" t="str">
        <f>O43</f>
      </c>
      <c r="B43" t="str">
        <f>P43</f>
      </c>
      <c r="C43" s="11" t="str">
        <f>AF43</f>
      </c>
      <c r="D43" s="11" t="str">
        <f>AL43</f>
      </c>
      <c r="E43" s="11" t="str">
        <f>AM43</f>
      </c>
      <c r="F43" s="11" t="str">
        <f>AN43</f>
      </c>
      <c r="G43" s="7" t="str">
        <f>AM43/AL43-1</f>
      </c>
      <c r="H43" s="7" t="str">
        <f>AM43/AF43-1</f>
      </c>
      <c r="I43" s="7" t="str">
        <f>AN43/AM43</f>
      </c>
      <c r="J43" s="7" t="str">
        <f>AM43/Sum(AM$1:AM$458)</f>
      </c>
      <c r="K43" s="7" t="str">
        <f>AN43/Sum(AN1:AN$458)</f>
      </c>
      <c r="O43" t="s">
        <v>138</v>
      </c>
      <c r="P43" t="n">
        <v>1734</v>
      </c>
      <c r="Q43" s="11" t="n">
        <v>17995529.5011545</v>
      </c>
      <c r="R43" s="11" t="n">
        <v>9389312.72614791</v>
      </c>
      <c r="S43" s="11" t="n">
        <v>-15641231.2349877</v>
      </c>
      <c r="T43" s="11" t="n">
        <v>4674985.15385263</v>
      </c>
      <c r="U43" s="11"/>
      <c r="V43" s="11"/>
      <c r="W43" s="11"/>
      <c r="X43" s="11"/>
      <c r="Y43" s="11"/>
      <c r="Z43" s="11" t="n">
        <v>-30882.6874981675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>
      <c r="A44" t="str">
        <f>O44</f>
      </c>
      <c r="B44" t="str">
        <f>P44</f>
      </c>
      <c r="C44" s="11" t="str">
        <f>AF44</f>
      </c>
      <c r="D44" s="11" t="str">
        <f>AL44</f>
      </c>
      <c r="E44" s="11" t="str">
        <f>AM44</f>
      </c>
      <c r="F44" s="11" t="str">
        <f>AN44</f>
      </c>
      <c r="G44" s="7" t="str">
        <f>AM44/AL44-1</f>
      </c>
      <c r="H44" s="7" t="str">
        <f>AM44/AF44-1</f>
      </c>
      <c r="I44" s="7" t="str">
        <f>AN44/AM44</f>
      </c>
      <c r="J44" s="7" t="str">
        <f>AM44/Sum(AM$1:AM$458)</f>
      </c>
      <c r="K44" s="7" t="str">
        <f>AN44/Sum(AN1:AN$458)</f>
      </c>
      <c r="O44" t="s">
        <v>139</v>
      </c>
      <c r="P44" t="n">
        <v>1745</v>
      </c>
      <c r="Q44" s="11" t="n">
        <v>98544900.9845887</v>
      </c>
      <c r="R44" s="11" t="n">
        <v>89956970.0202741</v>
      </c>
      <c r="S44" s="11" t="n">
        <v>29185149.4902078</v>
      </c>
      <c r="T44" s="11" t="n">
        <v>12219601.7079131</v>
      </c>
      <c r="U44" s="11"/>
      <c r="V44" s="11"/>
      <c r="W44" s="11"/>
      <c r="X44" s="11"/>
      <c r="Y44" s="11"/>
      <c r="Z44" s="11"/>
      <c r="AA44" s="11" t="n">
        <v>63324.4737405122</v>
      </c>
      <c r="AB44" s="11"/>
      <c r="AC44" s="11"/>
      <c r="AD44" s="11"/>
      <c r="AE44" s="11"/>
      <c r="AF44" s="11"/>
      <c r="AG44" s="11"/>
      <c r="AH44" s="11"/>
      <c r="AI44" s="11"/>
      <c r="AJ44" s="11" t="n">
        <v>0</v>
      </c>
      <c r="AK44" s="11"/>
      <c r="AL44" s="11"/>
      <c r="AM44" s="11"/>
      <c r="AN44" s="11"/>
      <c r="AO44" s="11"/>
    </row>
    <row r="45">
      <c r="A45" t="str">
        <f>O45</f>
      </c>
      <c r="B45" t="str">
        <f>P45</f>
      </c>
      <c r="C45" s="11" t="str">
        <f>AF45</f>
      </c>
      <c r="D45" s="11" t="str">
        <f>AL45</f>
      </c>
      <c r="E45" s="11" t="str">
        <f>AM45</f>
      </c>
      <c r="F45" s="11" t="str">
        <f>AN45</f>
      </c>
      <c r="G45" s="7" t="str">
        <f>AM45/AL45-1</f>
      </c>
      <c r="H45" s="7" t="str">
        <f>AM45/AF45-1</f>
      </c>
      <c r="I45" s="7" t="str">
        <f>AN45/AM45</f>
      </c>
      <c r="J45" s="7" t="str">
        <f>AM45/Sum(AM$1:AM$458)</f>
      </c>
      <c r="K45" s="7" t="str">
        <f>AN45/Sum(AN1:AN$458)</f>
      </c>
      <c r="O45" t="s">
        <v>140</v>
      </c>
      <c r="P45" t="n">
        <v>1895</v>
      </c>
      <c r="Q45" s="11"/>
      <c r="R45" s="11"/>
      <c r="S45" s="11"/>
      <c r="T45" s="11" t="n">
        <v>436396.822570323</v>
      </c>
      <c r="U45" s="11"/>
      <c r="V45" s="11"/>
      <c r="W45" s="11"/>
      <c r="X45" s="11"/>
      <c r="Y45" s="11"/>
      <c r="Z45" s="11"/>
      <c r="AA45" s="11"/>
      <c r="AB45" s="11" t="n">
        <v>-58362.5277737044</v>
      </c>
      <c r="AC45" s="11"/>
      <c r="AD45" s="11"/>
      <c r="AE45" s="11" t="n">
        <v>0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6">
      <c r="A46" t="str">
        <f>O46</f>
      </c>
      <c r="B46" t="str">
        <f>P46</f>
      </c>
      <c r="C46" s="11" t="str">
        <f>AF46</f>
      </c>
      <c r="D46" s="11" t="str">
        <f>AL46</f>
      </c>
      <c r="E46" s="11" t="str">
        <f>AM46</f>
      </c>
      <c r="F46" s="11" t="str">
        <f>AN46</f>
      </c>
      <c r="G46" s="7" t="str">
        <f>AM46/AL46-1</f>
      </c>
      <c r="H46" s="7" t="str">
        <f>AM46/AF46-1</f>
      </c>
      <c r="I46" s="7" t="str">
        <f>AN46/AM46</f>
      </c>
      <c r="J46" s="7" t="str">
        <f>AM46/Sum(AM$1:AM$458)</f>
      </c>
      <c r="K46" s="7" t="str">
        <f>AN46/Sum(AN1:AN$458)</f>
      </c>
      <c r="O46" t="s">
        <v>141</v>
      </c>
      <c r="P46" t="n">
        <v>2040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n">
        <v>2304462.72656988</v>
      </c>
      <c r="AO46" s="11"/>
    </row>
    <row r="47">
      <c r="A47" t="str">
        <f>O47</f>
      </c>
      <c r="B47" t="str">
        <f>P47</f>
      </c>
      <c r="C47" s="11" t="str">
        <f>AF47</f>
      </c>
      <c r="D47" s="11" t="str">
        <f>AL47</f>
      </c>
      <c r="E47" s="11" t="str">
        <f>AM47</f>
      </c>
      <c r="F47" s="11" t="str">
        <f>AN47</f>
      </c>
      <c r="G47" s="7" t="str">
        <f>AM47/AL47-1</f>
      </c>
      <c r="H47" s="7" t="str">
        <f>AM47/AF47-1</f>
      </c>
      <c r="I47" s="7" t="str">
        <f>AN47/AM47</f>
      </c>
      <c r="J47" s="7" t="str">
        <f>AM47/Sum(AM$1:AM$458)</f>
      </c>
      <c r="K47" s="7" t="str">
        <f>AN47/Sum(AN1:AN$458)</f>
      </c>
      <c r="O47" t="s">
        <v>142</v>
      </c>
      <c r="P47" t="n">
        <v>2055</v>
      </c>
      <c r="Q47" s="11"/>
      <c r="R47" s="11"/>
      <c r="S47" s="11" t="n">
        <v>35627623.6202855</v>
      </c>
      <c r="T47" s="11"/>
      <c r="U47" s="11"/>
      <c r="V47" s="11"/>
      <c r="W47" s="11"/>
      <c r="X47" s="11"/>
      <c r="Y47" s="11" t="n">
        <v>0</v>
      </c>
      <c r="Z47" s="11"/>
      <c r="AA47" s="11"/>
      <c r="AB47" s="11"/>
      <c r="AC47" s="11"/>
      <c r="AD47" s="11" t="n">
        <v>-81828.5051821234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</row>
    <row r="48">
      <c r="A48" t="str">
        <f>O48</f>
      </c>
      <c r="B48" t="str">
        <f>P48</f>
      </c>
      <c r="C48" s="11" t="str">
        <f>AF48</f>
      </c>
      <c r="D48" s="11" t="str">
        <f>AL48</f>
      </c>
      <c r="E48" s="11" t="str">
        <f>AM48</f>
      </c>
      <c r="F48" s="11" t="str">
        <f>AN48</f>
      </c>
      <c r="G48" s="7" t="str">
        <f>AM48/AL48-1</f>
      </c>
      <c r="H48" s="7" t="str">
        <f>AM48/AF48-1</f>
      </c>
      <c r="I48" s="7" t="str">
        <f>AN48/AM48</f>
      </c>
      <c r="J48" s="7" t="str">
        <f>AM48/Sum(AM$1:AM$458)</f>
      </c>
      <c r="K48" s="7" t="str">
        <f>AN48/Sum(AN1:AN$458)</f>
      </c>
      <c r="O48" t="s">
        <v>143</v>
      </c>
      <c r="P48" t="n">
        <v>2056</v>
      </c>
      <c r="Q48" s="11"/>
      <c r="R48" s="11"/>
      <c r="S48" s="11"/>
      <c r="T48" s="11" t="n">
        <v>12044857.070608</v>
      </c>
      <c r="U48" s="11"/>
      <c r="V48" s="11" t="n">
        <v>-33739.6541369724</v>
      </c>
      <c r="W48" s="11" t="n">
        <v>88641.7452636873</v>
      </c>
      <c r="X48" s="11" t="n">
        <v>0</v>
      </c>
      <c r="Y48" s="11" t="n">
        <v>0</v>
      </c>
      <c r="Z48" s="11"/>
      <c r="AA48" s="11" t="n">
        <v>0</v>
      </c>
      <c r="AB48" s="11"/>
      <c r="AC48" s="11"/>
      <c r="AD48" s="11" t="n">
        <v>0</v>
      </c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</row>
    <row r="49">
      <c r="A49" t="str">
        <f>O49</f>
      </c>
      <c r="B49" t="str">
        <f>P49</f>
      </c>
      <c r="C49" s="11" t="str">
        <f>AF49</f>
      </c>
      <c r="D49" s="11" t="str">
        <f>AL49</f>
      </c>
      <c r="E49" s="11" t="str">
        <f>AM49</f>
      </c>
      <c r="F49" s="11" t="str">
        <f>AN49</f>
      </c>
      <c r="G49" s="7" t="str">
        <f>AM49/AL49-1</f>
      </c>
      <c r="H49" s="7" t="str">
        <f>AM49/AF49-1</f>
      </c>
      <c r="I49" s="7" t="str">
        <f>AN49/AM49</f>
      </c>
      <c r="J49" s="7" t="str">
        <f>AM49/Sum(AM$1:AM$458)</f>
      </c>
      <c r="K49" s="7" t="str">
        <f>AN49/Sum(AN1:AN$458)</f>
      </c>
      <c r="O49" t="s">
        <v>144</v>
      </c>
      <c r="P49" t="n">
        <v>487</v>
      </c>
      <c r="Q49" s="11" t="n">
        <v>28392673.2006467</v>
      </c>
      <c r="R49" s="11"/>
      <c r="S49" s="11"/>
      <c r="T49" s="11" t="n">
        <v>240263.590385721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</row>
    <row r="50">
      <c r="A50" t="str">
        <f>O50</f>
      </c>
      <c r="B50" t="str">
        <f>P50</f>
      </c>
      <c r="C50" s="11" t="str">
        <f>AF50</f>
      </c>
      <c r="D50" s="11" t="str">
        <f>AL50</f>
      </c>
      <c r="E50" s="11" t="str">
        <f>AM50</f>
      </c>
      <c r="F50" s="11" t="str">
        <f>AN50</f>
      </c>
      <c r="G50" s="7" t="str">
        <f>AM50/AL50-1</f>
      </c>
      <c r="H50" s="7" t="str">
        <f>AM50/AF50-1</f>
      </c>
      <c r="I50" s="7" t="str">
        <f>AN50/AM50</f>
      </c>
      <c r="J50" s="7" t="str">
        <f>AM50/Sum(AM$1:AM$458)</f>
      </c>
      <c r="K50" s="7" t="str">
        <f>AN50/Sum(AN1:AN$458)</f>
      </c>
      <c r="O50" t="s">
        <v>145</v>
      </c>
      <c r="P50" t="n">
        <v>439</v>
      </c>
      <c r="Q50" s="11"/>
      <c r="R50" s="11"/>
      <c r="S50" s="11" t="n">
        <v>1817508.91243602</v>
      </c>
      <c r="T50" s="11" t="n">
        <v>17300.136624907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</row>
    <row r="51">
      <c r="A51" t="str">
        <f>O51</f>
      </c>
      <c r="B51" t="str">
        <f>P51</f>
      </c>
      <c r="C51" s="11" t="str">
        <f>AF51</f>
      </c>
      <c r="D51" s="11" t="str">
        <f>AL51</f>
      </c>
      <c r="E51" s="11" t="str">
        <f>AM51</f>
      </c>
      <c r="F51" s="11" t="str">
        <f>AN51</f>
      </c>
      <c r="G51" s="7" t="str">
        <f>AM51/AL51-1</f>
      </c>
      <c r="H51" s="7" t="str">
        <f>AM51/AF51-1</f>
      </c>
      <c r="I51" s="7" t="str">
        <f>AN51/AM51</f>
      </c>
      <c r="J51" s="7" t="str">
        <f>AM51/Sum(AM$1:AM$458)</f>
      </c>
      <c r="K51" s="7" t="str">
        <f>AN51/Sum(AN1:AN$458)</f>
      </c>
      <c r="O51" t="s">
        <v>146</v>
      </c>
      <c r="P51" t="n">
        <v>1605</v>
      </c>
      <c r="Q51" s="11" t="n">
        <v>-2248648.6720549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</row>
    <row r="52">
      <c r="A52" t="str">
        <f>O52</f>
      </c>
      <c r="B52" t="str">
        <f>P52</f>
      </c>
      <c r="C52" s="11" t="str">
        <f>AF52</f>
      </c>
      <c r="D52" s="11" t="str">
        <f>AL52</f>
      </c>
      <c r="E52" s="11" t="str">
        <f>AM52</f>
      </c>
      <c r="F52" s="11" t="str">
        <f>AN52</f>
      </c>
      <c r="G52" s="7" t="str">
        <f>AM52/AL52-1</f>
      </c>
      <c r="H52" s="7" t="str">
        <f>AM52/AF52-1</f>
      </c>
      <c r="I52" s="7" t="str">
        <f>AN52/AM52</f>
      </c>
      <c r="J52" s="7" t="str">
        <f>AM52/Sum(AM$1:AM$458)</f>
      </c>
      <c r="K52" s="7" t="str">
        <f>AN52/Sum(AN1:AN$458)</f>
      </c>
      <c r="O52" t="s">
        <v>147</v>
      </c>
      <c r="P52" t="n">
        <v>1621</v>
      </c>
      <c r="Q52" s="11" t="n">
        <v>29842081.6148227</v>
      </c>
      <c r="R52" s="11" t="n">
        <v>9931844.97397674</v>
      </c>
      <c r="S52" s="11" t="n">
        <v>20452713.861927</v>
      </c>
      <c r="T52" s="11" t="n">
        <v>20358330.8284479</v>
      </c>
      <c r="U52" s="11"/>
      <c r="V52" s="11"/>
      <c r="W52" s="11"/>
      <c r="X52" s="11"/>
      <c r="Y52" s="11"/>
      <c r="Z52" s="11"/>
      <c r="AA52" s="11" t="n">
        <v>-240839.612332515</v>
      </c>
      <c r="AB52" s="11" t="n">
        <v>-16720.0800300282</v>
      </c>
      <c r="AC52" s="11"/>
      <c r="AD52" s="11"/>
      <c r="AE52" s="11"/>
      <c r="AF52" s="11"/>
      <c r="AG52" s="11"/>
      <c r="AH52" s="11"/>
      <c r="AI52" s="11"/>
      <c r="AJ52" s="11"/>
      <c r="AK52" s="11" t="n">
        <v>0</v>
      </c>
      <c r="AL52" s="11"/>
      <c r="AM52" s="11"/>
      <c r="AN52" s="11"/>
      <c r="AO52" s="11"/>
    </row>
    <row r="53">
      <c r="A53" t="str">
        <f>O53</f>
      </c>
      <c r="B53" t="str">
        <f>P53</f>
      </c>
      <c r="C53" s="11" t="str">
        <f>AF53</f>
      </c>
      <c r="D53" s="11" t="str">
        <f>AL53</f>
      </c>
      <c r="E53" s="11" t="str">
        <f>AM53</f>
      </c>
      <c r="F53" s="11" t="str">
        <f>AN53</f>
      </c>
      <c r="G53" s="7" t="str">
        <f>AM53/AL53-1</f>
      </c>
      <c r="H53" s="7" t="str">
        <f>AM53/AF53-1</f>
      </c>
      <c r="I53" s="7" t="str">
        <f>AN53/AM53</f>
      </c>
      <c r="J53" s="7" t="str">
        <f>AM53/Sum(AM$1:AM$458)</f>
      </c>
      <c r="K53" s="7" t="str">
        <f>AN53/Sum(AN1:AN$458)</f>
      </c>
      <c r="O53" t="s">
        <v>148</v>
      </c>
      <c r="P53" t="n">
        <v>965</v>
      </c>
      <c r="Q53" s="11"/>
      <c r="R53" s="11" t="n">
        <v>4345911.66069966</v>
      </c>
      <c r="S53" s="11" t="n">
        <v>1715101.68602131</v>
      </c>
      <c r="T53" s="11" t="n">
        <v>160228.553319451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>
      <c r="A54" t="str">
        <f>O54</f>
      </c>
      <c r="B54" t="str">
        <f>P54</f>
      </c>
      <c r="C54" s="11" t="str">
        <f>AF54</f>
      </c>
      <c r="D54" s="11" t="str">
        <f>AL54</f>
      </c>
      <c r="E54" s="11" t="str">
        <f>AM54</f>
      </c>
      <c r="F54" s="11" t="str">
        <f>AN54</f>
      </c>
      <c r="G54" s="7" t="str">
        <f>AM54/AL54-1</f>
      </c>
      <c r="H54" s="7" t="str">
        <f>AM54/AF54-1</f>
      </c>
      <c r="I54" s="7" t="str">
        <f>AN54/AM54</f>
      </c>
      <c r="J54" s="7" t="str">
        <f>AM54/Sum(AM$1:AM$458)</f>
      </c>
      <c r="K54" s="7" t="str">
        <f>AN54/Sum(AN1:AN$458)</f>
      </c>
      <c r="O54" t="s">
        <v>149</v>
      </c>
      <c r="P54" t="n">
        <v>968</v>
      </c>
      <c r="Q54" s="11" t="n">
        <v>264085061.271796</v>
      </c>
      <c r="R54" s="11" t="n">
        <v>96134644.9807561</v>
      </c>
      <c r="S54" s="11" t="n">
        <v>107228272.205287</v>
      </c>
      <c r="T54" s="11" t="n">
        <v>47083276.5094018</v>
      </c>
      <c r="U54" s="11"/>
      <c r="V54" s="11"/>
      <c r="W54" s="11"/>
      <c r="X54" s="11"/>
      <c r="Y54" s="11" t="n">
        <v>-71719.7802068676</v>
      </c>
      <c r="Z54" s="11" t="n">
        <v>-142224.288118191</v>
      </c>
      <c r="AA54" s="11" t="n">
        <v>-18724.676120985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 t="n">
        <v>-360085.445792874</v>
      </c>
      <c r="AL54" s="11"/>
      <c r="AM54" s="11"/>
      <c r="AN54" s="11"/>
      <c r="AO54" s="11"/>
    </row>
    <row r="55">
      <c r="A55" t="str">
        <f>O55</f>
      </c>
      <c r="B55" t="str">
        <f>P55</f>
      </c>
      <c r="C55" s="11" t="str">
        <f>AF55</f>
      </c>
      <c r="D55" s="11" t="str">
        <f>AL55</f>
      </c>
      <c r="E55" s="11" t="str">
        <f>AM55</f>
      </c>
      <c r="F55" s="11" t="str">
        <f>AN55</f>
      </c>
      <c r="G55" s="7" t="str">
        <f>AM55/AL55-1</f>
      </c>
      <c r="H55" s="7" t="str">
        <f>AM55/AF55-1</f>
      </c>
      <c r="I55" s="7" t="str">
        <f>AN55/AM55</f>
      </c>
      <c r="J55" s="7" t="str">
        <f>AM55/Sum(AM$1:AM$458)</f>
      </c>
      <c r="K55" s="7" t="str">
        <f>AN55/Sum(AN1:AN$458)</f>
      </c>
      <c r="O55" t="s">
        <v>150</v>
      </c>
      <c r="P55" t="n">
        <v>1624</v>
      </c>
      <c r="Q55" s="11" t="n">
        <v>43624.7113437676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</row>
    <row r="56">
      <c r="A56" t="str">
        <f>O56</f>
      </c>
      <c r="B56" t="str">
        <f>P56</f>
      </c>
      <c r="C56" s="11" t="str">
        <f>AF56</f>
      </c>
      <c r="D56" s="11" t="str">
        <f>AL56</f>
      </c>
      <c r="E56" s="11" t="str">
        <f>AM56</f>
      </c>
      <c r="F56" s="11" t="str">
        <f>AN56</f>
      </c>
      <c r="G56" s="7" t="str">
        <f>AM56/AL56-1</f>
      </c>
      <c r="H56" s="7" t="str">
        <f>AM56/AF56-1</f>
      </c>
      <c r="I56" s="7" t="str">
        <f>AN56/AM56</f>
      </c>
      <c r="J56" s="7" t="str">
        <f>AM56/Sum(AM$1:AM$458)</f>
      </c>
      <c r="K56" s="7" t="str">
        <f>AN56/Sum(AN1:AN$458)</f>
      </c>
      <c r="O56" t="s">
        <v>151</v>
      </c>
      <c r="P56" t="n">
        <v>1619</v>
      </c>
      <c r="Q56" s="11" t="n">
        <v>13197040.6870071</v>
      </c>
      <c r="R56" s="11" t="n">
        <v>4698679.71851902</v>
      </c>
      <c r="S56" s="11" t="n">
        <v>-1020924.4023885</v>
      </c>
      <c r="T56" s="11" t="n">
        <v>544584.772888171</v>
      </c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</row>
    <row r="57">
      <c r="A57" t="str">
        <f>O57</f>
      </c>
      <c r="B57" t="str">
        <f>P57</f>
      </c>
      <c r="C57" s="11" t="str">
        <f>AF57</f>
      </c>
      <c r="D57" s="11" t="str">
        <f>AL57</f>
      </c>
      <c r="E57" s="11" t="str">
        <f>AM57</f>
      </c>
      <c r="F57" s="11" t="str">
        <f>AN57</f>
      </c>
      <c r="G57" s="7" t="str">
        <f>AM57/AL57-1</f>
      </c>
      <c r="H57" s="7" t="str">
        <f>AM57/AF57-1</f>
      </c>
      <c r="I57" s="7" t="str">
        <f>AN57/AM57</f>
      </c>
      <c r="J57" s="7" t="str">
        <f>AM57/Sum(AM$1:AM$458)</f>
      </c>
      <c r="K57" s="7" t="str">
        <f>AN57/Sum(AN1:AN$458)</f>
      </c>
      <c r="O57" t="s">
        <v>152</v>
      </c>
      <c r="P57" t="n">
        <v>1609</v>
      </c>
      <c r="Q57" s="11" t="n">
        <v>7261153.8571346</v>
      </c>
      <c r="R57" s="11" t="n">
        <v>14958721.9663856</v>
      </c>
      <c r="S57" s="11" t="n">
        <v>1556414.97754985</v>
      </c>
      <c r="T57" s="11" t="n">
        <v>150859.995231727</v>
      </c>
      <c r="U57" s="11"/>
      <c r="V57" s="11"/>
      <c r="W57" s="11"/>
      <c r="X57" s="11"/>
      <c r="Y57" s="11"/>
      <c r="Z57" s="11"/>
      <c r="AA57" s="11"/>
      <c r="AB57" s="11" t="n">
        <v>0</v>
      </c>
      <c r="AC57" s="11"/>
      <c r="AD57" s="11"/>
      <c r="AE57" s="11"/>
      <c r="AF57" s="11"/>
      <c r="AG57" s="11"/>
      <c r="AH57" s="11"/>
      <c r="AI57" s="11"/>
      <c r="AJ57" s="11"/>
      <c r="AK57" s="11" t="n">
        <v>0</v>
      </c>
      <c r="AL57" s="11"/>
      <c r="AM57" s="11"/>
      <c r="AN57" s="11"/>
      <c r="AO57" s="11"/>
    </row>
    <row r="58">
      <c r="A58" t="str">
        <f>O58</f>
      </c>
      <c r="B58" t="str">
        <f>P58</f>
      </c>
      <c r="C58" s="11" t="str">
        <f>AF58</f>
      </c>
      <c r="D58" s="11" t="str">
        <f>AL58</f>
      </c>
      <c r="E58" s="11" t="str">
        <f>AM58</f>
      </c>
      <c r="F58" s="11" t="str">
        <f>AN58</f>
      </c>
      <c r="G58" s="7" t="str">
        <f>AM58/AL58-1</f>
      </c>
      <c r="H58" s="7" t="str">
        <f>AM58/AF58-1</f>
      </c>
      <c r="I58" s="7" t="str">
        <f>AN58/AM58</f>
      </c>
      <c r="J58" s="7" t="str">
        <f>AM58/Sum(AM$1:AM$458)</f>
      </c>
      <c r="K58" s="7" t="str">
        <f>AN58/Sum(AN1:AN$458)</f>
      </c>
      <c r="O58" t="s">
        <v>153</v>
      </c>
      <c r="P58" t="n">
        <v>966</v>
      </c>
      <c r="Q58" s="11"/>
      <c r="R58" s="11" t="n">
        <v>806002.479718345</v>
      </c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</row>
    <row r="59">
      <c r="A59" t="str">
        <f>O59</f>
      </c>
      <c r="B59" t="str">
        <f>P59</f>
      </c>
      <c r="C59" s="11" t="str">
        <f>AF59</f>
      </c>
      <c r="D59" s="11" t="str">
        <f>AL59</f>
      </c>
      <c r="E59" s="11" t="str">
        <f>AM59</f>
      </c>
      <c r="F59" s="11" t="str">
        <f>AN59</f>
      </c>
      <c r="G59" s="7" t="str">
        <f>AM59/AL59-1</f>
      </c>
      <c r="H59" s="7" t="str">
        <f>AM59/AF59-1</f>
      </c>
      <c r="I59" s="7" t="str">
        <f>AN59/AM59</f>
      </c>
      <c r="J59" s="7" t="str">
        <f>AM59/Sum(AM$1:AM$458)</f>
      </c>
      <c r="K59" s="7" t="str">
        <f>AN59/Sum(AN1:AN$458)</f>
      </c>
      <c r="O59" t="s">
        <v>154</v>
      </c>
      <c r="P59" t="n">
        <v>1612</v>
      </c>
      <c r="Q59" s="11" t="n">
        <v>110537359.984671</v>
      </c>
      <c r="R59" s="11" t="n">
        <v>42617953.7393092</v>
      </c>
      <c r="S59" s="11" t="n">
        <v>19427691.1826856</v>
      </c>
      <c r="T59" s="11" t="n">
        <v>26974603.7346791</v>
      </c>
      <c r="U59" s="11"/>
      <c r="V59" s="11"/>
      <c r="W59" s="11"/>
      <c r="X59" s="11"/>
      <c r="Y59" s="11"/>
      <c r="Z59" s="11"/>
      <c r="AA59" s="11" t="n">
        <v>-86332.5634400142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</row>
    <row r="60">
      <c r="A60" t="str">
        <f>O60</f>
      </c>
      <c r="B60" t="str">
        <f>P60</f>
      </c>
      <c r="C60" s="11" t="str">
        <f>AF60</f>
      </c>
      <c r="D60" s="11" t="str">
        <f>AL60</f>
      </c>
      <c r="E60" s="11" t="str">
        <f>AM60</f>
      </c>
      <c r="F60" s="11" t="str">
        <f>AN60</f>
      </c>
      <c r="G60" s="7" t="str">
        <f>AM60/AL60-1</f>
      </c>
      <c r="H60" s="7" t="str">
        <f>AM60/AF60-1</f>
      </c>
      <c r="I60" s="7" t="str">
        <f>AN60/AM60</f>
      </c>
      <c r="J60" s="7" t="str">
        <f>AM60/Sum(AM$1:AM$458)</f>
      </c>
      <c r="K60" s="7" t="str">
        <f>AN60/Sum(AN1:AN$458)</f>
      </c>
      <c r="O60" t="s">
        <v>155</v>
      </c>
      <c r="P60" t="n">
        <v>415</v>
      </c>
      <c r="Q60" s="11" t="n">
        <v>3433426.35575949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</row>
    <row r="61">
      <c r="A61" t="str">
        <f>O61</f>
      </c>
      <c r="B61" t="str">
        <f>P61</f>
      </c>
      <c r="C61" s="11" t="str">
        <f>AF61</f>
      </c>
      <c r="D61" s="11" t="str">
        <f>AL61</f>
      </c>
      <c r="E61" s="11" t="str">
        <f>AM61</f>
      </c>
      <c r="F61" s="11" t="str">
        <f>AN61</f>
      </c>
      <c r="G61" s="7" t="str">
        <f>AM61/AL61-1</f>
      </c>
      <c r="H61" s="7" t="str">
        <f>AM61/AF61-1</f>
      </c>
      <c r="I61" s="7" t="str">
        <f>AN61/AM61</f>
      </c>
      <c r="J61" s="7" t="str">
        <f>AM61/Sum(AM$1:AM$458)</f>
      </c>
      <c r="K61" s="7" t="str">
        <f>AN61/Sum(AN1:AN$458)</f>
      </c>
      <c r="O61" t="s">
        <v>156</v>
      </c>
      <c r="P61" t="n">
        <v>1608</v>
      </c>
      <c r="Q61" s="11" t="n">
        <v>43651513.0738332</v>
      </c>
      <c r="R61" s="11" t="n">
        <v>24552761.253214</v>
      </c>
      <c r="S61" s="11" t="n">
        <v>11453119.9671532</v>
      </c>
      <c r="T61" s="11" t="n">
        <v>10700721.9421834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</row>
    <row r="62">
      <c r="A62" t="str">
        <f>O62</f>
      </c>
      <c r="B62" t="str">
        <f>P62</f>
      </c>
      <c r="C62" s="11" t="str">
        <f>AF62</f>
      </c>
      <c r="D62" s="11" t="str">
        <f>AL62</f>
      </c>
      <c r="E62" s="11" t="str">
        <f>AM62</f>
      </c>
      <c r="F62" s="11" t="str">
        <f>AN62</f>
      </c>
      <c r="G62" s="7" t="str">
        <f>AM62/AL62-1</f>
      </c>
      <c r="H62" s="7" t="str">
        <f>AM62/AF62-1</f>
      </c>
      <c r="I62" s="7" t="str">
        <f>AN62/AM62</f>
      </c>
      <c r="J62" s="7" t="str">
        <f>AM62/Sum(AM$1:AM$458)</f>
      </c>
      <c r="K62" s="7" t="str">
        <f>AN62/Sum(AN1:AN$458)</f>
      </c>
      <c r="O62" t="s">
        <v>157</v>
      </c>
      <c r="P62" t="n">
        <v>431</v>
      </c>
      <c r="Q62" s="11"/>
      <c r="R62" s="11"/>
      <c r="S62" s="11" t="n">
        <v>1396330.59982201</v>
      </c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</row>
    <row r="63">
      <c r="A63" t="str">
        <f>O63</f>
      </c>
      <c r="B63" t="str">
        <f>P63</f>
      </c>
      <c r="C63" s="11" t="str">
        <f>AF63</f>
      </c>
      <c r="D63" s="11" t="str">
        <f>AL63</f>
      </c>
      <c r="E63" s="11" t="str">
        <f>AM63</f>
      </c>
      <c r="F63" s="11" t="str">
        <f>AN63</f>
      </c>
      <c r="G63" s="7" t="str">
        <f>AM63/AL63-1</f>
      </c>
      <c r="H63" s="7" t="str">
        <f>AM63/AF63-1</f>
      </c>
      <c r="I63" s="7" t="str">
        <f>AN63/AM63</f>
      </c>
      <c r="J63" s="7" t="str">
        <f>AM63/Sum(AM$1:AM$458)</f>
      </c>
      <c r="K63" s="7" t="str">
        <f>AN63/Sum(AN1:AN$458)</f>
      </c>
      <c r="O63" t="s">
        <v>158</v>
      </c>
      <c r="P63" t="n">
        <v>2150</v>
      </c>
      <c r="Q63" s="11"/>
      <c r="R63" s="11"/>
      <c r="S63" s="11"/>
      <c r="T63" s="11" t="n">
        <v>4266445.61989676</v>
      </c>
      <c r="U63" s="11"/>
      <c r="V63" s="11"/>
      <c r="W63" s="11"/>
      <c r="X63" s="11"/>
      <c r="Y63" s="11"/>
      <c r="Z63" s="11"/>
      <c r="AA63" s="11"/>
      <c r="AB63" s="11"/>
      <c r="AC63" s="11" t="n">
        <v>-188201.165080181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</row>
    <row r="64">
      <c r="A64" t="str">
        <f>O64</f>
      </c>
      <c r="B64" t="str">
        <f>P64</f>
      </c>
      <c r="C64" s="11" t="str">
        <f>AF64</f>
      </c>
      <c r="D64" s="11" t="str">
        <f>AL64</f>
      </c>
      <c r="E64" s="11" t="str">
        <f>AM64</f>
      </c>
      <c r="F64" s="11" t="str">
        <f>AN64</f>
      </c>
      <c r="G64" s="7" t="str">
        <f>AM64/AL64-1</f>
      </c>
      <c r="H64" s="7" t="str">
        <f>AM64/AF64-1</f>
      </c>
      <c r="I64" s="7" t="str">
        <f>AN64/AM64</f>
      </c>
      <c r="J64" s="7" t="str">
        <f>AM64/Sum(AM$1:AM$458)</f>
      </c>
      <c r="K64" s="7" t="str">
        <f>AN64/Sum(AN1:AN$458)</f>
      </c>
      <c r="O64" t="s">
        <v>159</v>
      </c>
      <c r="P64" t="n">
        <v>1610</v>
      </c>
      <c r="Q64" s="11" t="n">
        <v>1907370.93948256</v>
      </c>
      <c r="R64" s="11" t="n">
        <v>850241.248626917</v>
      </c>
      <c r="S64" s="11" t="n">
        <v>1674393.79244643</v>
      </c>
      <c r="T64" s="11" t="n">
        <v>740271.52044042</v>
      </c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</row>
    <row r="65">
      <c r="A65" t="str">
        <f>O65</f>
      </c>
      <c r="B65" t="str">
        <f>P65</f>
      </c>
      <c r="C65" s="11" t="str">
        <f>AF65</f>
      </c>
      <c r="D65" s="11" t="str">
        <f>AL65</f>
      </c>
      <c r="E65" s="11" t="str">
        <f>AM65</f>
      </c>
      <c r="F65" s="11" t="str">
        <f>AN65</f>
      </c>
      <c r="G65" s="7" t="str">
        <f>AM65/AL65-1</f>
      </c>
      <c r="H65" s="7" t="str">
        <f>AM65/AF65-1</f>
      </c>
      <c r="I65" s="7" t="str">
        <f>AN65/AM65</f>
      </c>
      <c r="J65" s="7" t="str">
        <f>AM65/Sum(AM$1:AM$458)</f>
      </c>
      <c r="K65" s="7" t="str">
        <f>AN65/Sum(AN1:AN$458)</f>
      </c>
      <c r="O65" t="s">
        <v>160</v>
      </c>
      <c r="P65" t="n">
        <v>1022</v>
      </c>
      <c r="Q65" s="11" t="n">
        <v>1106742.76949089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</row>
    <row r="66">
      <c r="A66" t="str">
        <f>O66</f>
      </c>
      <c r="B66" t="str">
        <f>P66</f>
      </c>
      <c r="C66" s="11" t="str">
        <f>AF66</f>
      </c>
      <c r="D66" s="11" t="str">
        <f>AL66</f>
      </c>
      <c r="E66" s="11" t="str">
        <f>AM66</f>
      </c>
      <c r="F66" s="11" t="str">
        <f>AN66</f>
      </c>
      <c r="G66" s="7" t="str">
        <f>AM66/AL66-1</f>
      </c>
      <c r="H66" s="7" t="str">
        <f>AM66/AF66-1</f>
      </c>
      <c r="I66" s="7" t="str">
        <f>AN66/AM66</f>
      </c>
      <c r="J66" s="7" t="str">
        <f>AM66/Sum(AM$1:AM$458)</f>
      </c>
      <c r="K66" s="7" t="str">
        <f>AN66/Sum(AN1:AN$458)</f>
      </c>
      <c r="O66" t="s">
        <v>161</v>
      </c>
      <c r="P66" t="n">
        <v>931</v>
      </c>
      <c r="Q66" s="11"/>
      <c r="R66" s="11"/>
      <c r="S66" s="11"/>
      <c r="T66" s="11" t="n">
        <v>110402.087419582</v>
      </c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</row>
    <row r="67">
      <c r="A67" t="str">
        <f>O67</f>
      </c>
      <c r="B67" t="str">
        <f>P67</f>
      </c>
      <c r="C67" s="11" t="str">
        <f>AF67</f>
      </c>
      <c r="D67" s="11" t="str">
        <f>AL67</f>
      </c>
      <c r="E67" s="11" t="str">
        <f>AM67</f>
      </c>
      <c r="F67" s="11" t="str">
        <f>AN67</f>
      </c>
      <c r="G67" s="7" t="str">
        <f>AM67/AL67-1</f>
      </c>
      <c r="H67" s="7" t="str">
        <f>AM67/AF67-1</f>
      </c>
      <c r="I67" s="7" t="str">
        <f>AN67/AM67</f>
      </c>
      <c r="J67" s="7" t="str">
        <f>AM67/Sum(AM$1:AM$458)</f>
      </c>
      <c r="K67" s="7" t="str">
        <f>AN67/Sum(AN1:AN$458)</f>
      </c>
      <c r="O67" t="s">
        <v>162</v>
      </c>
      <c r="P67" t="n">
        <v>1617</v>
      </c>
      <c r="Q67" s="11"/>
      <c r="R67" s="11"/>
      <c r="S67" s="11" t="n">
        <v>3941.4273029816</v>
      </c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</row>
    <row r="68">
      <c r="A68" t="str">
        <f>O68</f>
      </c>
      <c r="B68" t="str">
        <f>P68</f>
      </c>
      <c r="C68" s="11" t="str">
        <f>AF68</f>
      </c>
      <c r="D68" s="11" t="str">
        <f>AL68</f>
      </c>
      <c r="E68" s="11" t="str">
        <f>AM68</f>
      </c>
      <c r="F68" s="11" t="str">
        <f>AN68</f>
      </c>
      <c r="G68" s="7" t="str">
        <f>AM68/AL68-1</f>
      </c>
      <c r="H68" s="7" t="str">
        <f>AM68/AF68-1</f>
      </c>
      <c r="I68" s="7" t="str">
        <f>AN68/AM68</f>
      </c>
      <c r="J68" s="7" t="str">
        <f>AM68/Sum(AM$1:AM$458)</f>
      </c>
      <c r="K68" s="7" t="str">
        <f>AN68/Sum(AN1:AN$458)</f>
      </c>
      <c r="O68" t="s">
        <v>163</v>
      </c>
      <c r="P68" t="n">
        <v>933</v>
      </c>
      <c r="Q68" s="11"/>
      <c r="R68" s="11" t="n">
        <v>260914.718923041</v>
      </c>
      <c r="S68" s="11" t="n">
        <v>1732552.36317009</v>
      </c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</row>
    <row r="69">
      <c r="A69" t="str">
        <f>O69</f>
      </c>
      <c r="B69" t="str">
        <f>P69</f>
      </c>
      <c r="C69" s="11" t="str">
        <f>AF69</f>
      </c>
      <c r="D69" s="11" t="str">
        <f>AL69</f>
      </c>
      <c r="E69" s="11" t="str">
        <f>AM69</f>
      </c>
      <c r="F69" s="11" t="str">
        <f>AN69</f>
      </c>
      <c r="G69" s="7" t="str">
        <f>AM69/AL69-1</f>
      </c>
      <c r="H69" s="7" t="str">
        <f>AM69/AF69-1</f>
      </c>
      <c r="I69" s="7" t="str">
        <f>AN69/AM69</f>
      </c>
      <c r="J69" s="7" t="str">
        <f>AM69/Sum(AM$1:AM$458)</f>
      </c>
      <c r="K69" s="7" t="str">
        <f>AN69/Sum(AN1:AN$458)</f>
      </c>
      <c r="O69" t="s">
        <v>164</v>
      </c>
      <c r="P69" t="n">
        <v>1611</v>
      </c>
      <c r="Q69" s="11"/>
      <c r="R69" s="11"/>
      <c r="S69" s="11"/>
      <c r="T69" s="11" t="n">
        <v>51200.9680786467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</row>
    <row r="70">
      <c r="A70" t="str">
        <f>O70</f>
      </c>
      <c r="B70" t="str">
        <f>P70</f>
      </c>
      <c r="C70" s="11" t="str">
        <f>AF70</f>
      </c>
      <c r="D70" s="11" t="str">
        <f>AL70</f>
      </c>
      <c r="E70" s="11" t="str">
        <f>AM70</f>
      </c>
      <c r="F70" s="11" t="str">
        <f>AN70</f>
      </c>
      <c r="G70" s="7" t="str">
        <f>AM70/AL70-1</f>
      </c>
      <c r="H70" s="7" t="str">
        <f>AM70/AF70-1</f>
      </c>
      <c r="I70" s="7" t="str">
        <f>AN70/AM70</f>
      </c>
      <c r="J70" s="7" t="str">
        <f>AM70/Sum(AM$1:AM$458)</f>
      </c>
      <c r="K70" s="7" t="str">
        <f>AN70/Sum(AN1:AN$458)</f>
      </c>
      <c r="O70" t="s">
        <v>165</v>
      </c>
      <c r="P70" t="n">
        <v>1654</v>
      </c>
      <c r="Q70" s="11" t="n">
        <v>61580775.0227265</v>
      </c>
      <c r="R70" s="11" t="n">
        <v>32595201.9127201</v>
      </c>
      <c r="S70" s="11" t="n">
        <v>16651028.6371296</v>
      </c>
      <c r="T70" s="11" t="n">
        <v>46806270.1290663</v>
      </c>
      <c r="U70" s="11"/>
      <c r="V70" s="11"/>
      <c r="W70" s="11"/>
      <c r="X70" s="11"/>
      <c r="Y70" s="11"/>
      <c r="Z70" s="11"/>
      <c r="AA70" s="11" t="n">
        <v>-16923.2337353016</v>
      </c>
      <c r="AB70" s="11" t="n">
        <v>-68266.7164467187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</row>
    <row r="71">
      <c r="A71" t="str">
        <f>O71</f>
      </c>
      <c r="B71" t="str">
        <f>P71</f>
      </c>
      <c r="C71" s="11" t="str">
        <f>AF71</f>
      </c>
      <c r="D71" s="11" t="str">
        <f>AL71</f>
      </c>
      <c r="E71" s="11" t="str">
        <f>AM71</f>
      </c>
      <c r="F71" s="11" t="str">
        <f>AN71</f>
      </c>
      <c r="G71" s="7" t="str">
        <f>AM71/AL71-1</f>
      </c>
      <c r="H71" s="7" t="str">
        <f>AM71/AF71-1</f>
      </c>
      <c r="I71" s="7" t="str">
        <f>AN71/AM71</f>
      </c>
      <c r="J71" s="7" t="str">
        <f>AM71/Sum(AM$1:AM$458)</f>
      </c>
      <c r="K71" s="7" t="str">
        <f>AN71/Sum(AN1:AN$458)</f>
      </c>
      <c r="O71" t="s">
        <v>166</v>
      </c>
      <c r="P71" t="n">
        <v>1616</v>
      </c>
      <c r="Q71" s="11" t="n">
        <v>1685502.12050835</v>
      </c>
      <c r="R71" s="11" t="n">
        <v>4758445.59491465</v>
      </c>
      <c r="S71" s="11" t="n">
        <v>-1151822.34011152</v>
      </c>
      <c r="T71" s="11" t="n">
        <v>163050.701917119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</row>
    <row r="72">
      <c r="A72" t="str">
        <f>O72</f>
      </c>
      <c r="B72" t="str">
        <f>P72</f>
      </c>
      <c r="C72" s="11" t="str">
        <f>AF72</f>
      </c>
      <c r="D72" s="11" t="str">
        <f>AL72</f>
      </c>
      <c r="E72" s="11" t="str">
        <f>AM72</f>
      </c>
      <c r="F72" s="11" t="str">
        <f>AN72</f>
      </c>
      <c r="G72" s="7" t="str">
        <f>AM72/AL72-1</f>
      </c>
      <c r="H72" s="7" t="str">
        <f>AM72/AF72-1</f>
      </c>
      <c r="I72" s="7" t="str">
        <f>AN72/AM72</f>
      </c>
      <c r="J72" s="7" t="str">
        <f>AM72/Sum(AM$1:AM$458)</f>
      </c>
      <c r="K72" s="7" t="str">
        <f>AN72/Sum(AN1:AN$458)</f>
      </c>
      <c r="O72" t="s">
        <v>167</v>
      </c>
      <c r="P72" t="n">
        <v>1023</v>
      </c>
      <c r="Q72" s="11" t="n">
        <v>513079.924494349</v>
      </c>
      <c r="R72" s="11" t="n">
        <v>37145478.8918352</v>
      </c>
      <c r="S72" s="11" t="n">
        <v>44212662.6017548</v>
      </c>
      <c r="T72" s="11" t="n">
        <v>31617646.1893393</v>
      </c>
      <c r="U72" s="11"/>
      <c r="V72" s="11"/>
      <c r="W72" s="11"/>
      <c r="X72" s="11"/>
      <c r="Y72" s="11"/>
      <c r="Z72" s="11" t="n">
        <v>-796555.5501808</v>
      </c>
      <c r="AA72" s="11" t="n">
        <v>0</v>
      </c>
      <c r="AB72" s="11" t="n">
        <v>-217379.008241774</v>
      </c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</row>
    <row r="73">
      <c r="A73" t="str">
        <f>O73</f>
      </c>
      <c r="B73" t="str">
        <f>P73</f>
      </c>
      <c r="C73" s="11" t="str">
        <f>AF73</f>
      </c>
      <c r="D73" s="11" t="str">
        <f>AL73</f>
      </c>
      <c r="E73" s="11" t="str">
        <f>AM73</f>
      </c>
      <c r="F73" s="11" t="str">
        <f>AN73</f>
      </c>
      <c r="G73" s="7" t="str">
        <f>AM73/AL73-1</f>
      </c>
      <c r="H73" s="7" t="str">
        <f>AM73/AF73-1</f>
      </c>
      <c r="I73" s="7" t="str">
        <f>AN73/AM73</f>
      </c>
      <c r="J73" s="7" t="str">
        <f>AM73/Sum(AM$1:AM$458)</f>
      </c>
      <c r="K73" s="7" t="str">
        <f>AN73/Sum(AN1:AN$458)</f>
      </c>
      <c r="O73" t="s">
        <v>168</v>
      </c>
      <c r="P73" t="n">
        <v>1677</v>
      </c>
      <c r="Q73" s="11" t="n">
        <v>1234414.52656355</v>
      </c>
      <c r="R73" s="11" t="n">
        <v>-10329713.103223</v>
      </c>
      <c r="S73" s="11" t="n">
        <v>2014072.45775528</v>
      </c>
      <c r="T73" s="11" t="n">
        <v>9607707.75228616</v>
      </c>
      <c r="U73" s="11"/>
      <c r="V73" s="11"/>
      <c r="W73" s="11"/>
      <c r="X73" s="11"/>
      <c r="Y73" s="11" t="n">
        <v>-5852.96565969682</v>
      </c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</row>
    <row r="74">
      <c r="A74" t="str">
        <f>O74</f>
      </c>
      <c r="B74" t="str">
        <f>P74</f>
      </c>
      <c r="C74" s="11" t="str">
        <f>AF74</f>
      </c>
      <c r="D74" s="11" t="str">
        <f>AL74</f>
      </c>
      <c r="E74" s="11" t="str">
        <f>AM74</f>
      </c>
      <c r="F74" s="11" t="str">
        <f>AN74</f>
      </c>
      <c r="G74" s="7" t="str">
        <f>AM74/AL74-1</f>
      </c>
      <c r="H74" s="7" t="str">
        <f>AM74/AF74-1</f>
      </c>
      <c r="I74" s="7" t="str">
        <f>AN74/AM74</f>
      </c>
      <c r="J74" s="7" t="str">
        <f>AM74/Sum(AM$1:AM$458)</f>
      </c>
      <c r="K74" s="7" t="str">
        <f>AN74/Sum(AN1:AN$458)</f>
      </c>
      <c r="O74" t="s">
        <v>169</v>
      </c>
      <c r="P74" t="n">
        <v>1666</v>
      </c>
      <c r="Q74" s="11" t="n">
        <v>54475.9543580174</v>
      </c>
      <c r="R74" s="11" t="n">
        <v>0</v>
      </c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</row>
    <row r="75">
      <c r="A75" t="str">
        <f>O75</f>
      </c>
      <c r="B75" t="str">
        <f>P75</f>
      </c>
      <c r="C75" s="11" t="str">
        <f>AF75</f>
      </c>
      <c r="D75" s="11" t="str">
        <f>AL75</f>
      </c>
      <c r="E75" s="11" t="str">
        <f>AM75</f>
      </c>
      <c r="F75" s="11" t="str">
        <f>AN75</f>
      </c>
      <c r="G75" s="7" t="str">
        <f>AM75/AL75-1</f>
      </c>
      <c r="H75" s="7" t="str">
        <f>AM75/AF75-1</f>
      </c>
      <c r="I75" s="7" t="str">
        <f>AN75/AM75</f>
      </c>
      <c r="J75" s="7" t="str">
        <f>AM75/Sum(AM$1:AM$458)</f>
      </c>
      <c r="K75" s="7" t="str">
        <f>AN75/Sum(AN1:AN$458)</f>
      </c>
      <c r="O75" t="s">
        <v>170</v>
      </c>
      <c r="P75" t="n">
        <v>1667</v>
      </c>
      <c r="Q75" s="11" t="n">
        <v>53356.2534335273</v>
      </c>
      <c r="R75" s="11" t="n">
        <v>53949.718181185</v>
      </c>
      <c r="S75" s="11" t="n">
        <v>45657.1957082975</v>
      </c>
      <c r="T75" s="11" t="n">
        <v>46583.7379215545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</row>
    <row r="76">
      <c r="A76" t="str">
        <f>O76</f>
      </c>
      <c r="B76" t="str">
        <f>P76</f>
      </c>
      <c r="C76" s="11" t="str">
        <f>AF76</f>
      </c>
      <c r="D76" s="11" t="str">
        <f>AL76</f>
      </c>
      <c r="E76" s="11" t="str">
        <f>AM76</f>
      </c>
      <c r="F76" s="11" t="str">
        <f>AN76</f>
      </c>
      <c r="G76" s="7" t="str">
        <f>AM76/AL76-1</f>
      </c>
      <c r="H76" s="7" t="str">
        <f>AM76/AF76-1</f>
      </c>
      <c r="I76" s="7" t="str">
        <f>AN76/AM76</f>
      </c>
      <c r="J76" s="7" t="str">
        <f>AM76/Sum(AM$1:AM$458)</f>
      </c>
      <c r="K76" s="7" t="str">
        <f>AN76/Sum(AN1:AN$458)</f>
      </c>
      <c r="O76" t="s">
        <v>171</v>
      </c>
      <c r="P76" t="n">
        <v>1035</v>
      </c>
      <c r="Q76" s="11" t="n">
        <v>2497157.6480897</v>
      </c>
      <c r="R76" s="11" t="n">
        <v>6600629.7086825</v>
      </c>
      <c r="S76" s="11" t="n">
        <v>8747049.03683917</v>
      </c>
      <c r="T76" s="11" t="n">
        <v>4079079.0296573</v>
      </c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</row>
    <row r="77">
      <c r="A77" t="str">
        <f>O77</f>
      </c>
      <c r="B77" t="str">
        <f>P77</f>
      </c>
      <c r="C77" s="11" t="str">
        <f>AF77</f>
      </c>
      <c r="D77" s="11" t="str">
        <f>AL77</f>
      </c>
      <c r="E77" s="11" t="str">
        <f>AM77</f>
      </c>
      <c r="F77" s="11" t="str">
        <f>AN77</f>
      </c>
      <c r="G77" s="7" t="str">
        <f>AM77/AL77-1</f>
      </c>
      <c r="H77" s="7" t="str">
        <f>AM77/AF77-1</f>
      </c>
      <c r="I77" s="7" t="str">
        <f>AN77/AM77</f>
      </c>
      <c r="J77" s="7" t="str">
        <f>AM77/Sum(AM$1:AM$458)</f>
      </c>
      <c r="K77" s="7" t="str">
        <f>AN77/Sum(AN1:AN$458)</f>
      </c>
      <c r="O77" t="s">
        <v>172</v>
      </c>
      <c r="P77" t="n">
        <v>1680</v>
      </c>
      <c r="Q77" s="11"/>
      <c r="R77" s="11"/>
      <c r="S77" s="11" t="n">
        <v>130832.713157719</v>
      </c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</row>
    <row r="78">
      <c r="A78" t="str">
        <f>O78</f>
      </c>
      <c r="B78" t="str">
        <f>P78</f>
      </c>
      <c r="C78" s="11" t="str">
        <f>AF78</f>
      </c>
      <c r="D78" s="11" t="str">
        <f>AL78</f>
      </c>
      <c r="E78" s="11" t="str">
        <f>AM78</f>
      </c>
      <c r="F78" s="11" t="str">
        <f>AN78</f>
      </c>
      <c r="G78" s="7" t="str">
        <f>AM78/AL78-1</f>
      </c>
      <c r="H78" s="7" t="str">
        <f>AM78/AF78-1</f>
      </c>
      <c r="I78" s="7" t="str">
        <f>AN78/AM78</f>
      </c>
      <c r="J78" s="7" t="str">
        <f>AM78/Sum(AM$1:AM$458)</f>
      </c>
      <c r="K78" s="7" t="str">
        <f>AN78/Sum(AN1:AN$458)</f>
      </c>
      <c r="O78" t="s">
        <v>173</v>
      </c>
      <c r="P78" t="n">
        <v>1656</v>
      </c>
      <c r="Q78" s="11"/>
      <c r="R78" s="11"/>
      <c r="S78" s="11"/>
      <c r="T78" s="11" t="n">
        <v>848390.898033162</v>
      </c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</row>
    <row r="79">
      <c r="A79" t="str">
        <f>O79</f>
      </c>
      <c r="B79" t="str">
        <f>P79</f>
      </c>
      <c r="C79" s="11" t="str">
        <f>AF79</f>
      </c>
      <c r="D79" s="11" t="str">
        <f>AL79</f>
      </c>
      <c r="E79" s="11" t="str">
        <f>AM79</f>
      </c>
      <c r="F79" s="11" t="str">
        <f>AN79</f>
      </c>
      <c r="G79" s="7" t="str">
        <f>AM79/AL79-1</f>
      </c>
      <c r="H79" s="7" t="str">
        <f>AM79/AF79-1</f>
      </c>
      <c r="I79" s="7" t="str">
        <f>AN79/AM79</f>
      </c>
      <c r="J79" s="7" t="str">
        <f>AM79/Sum(AM$1:AM$458)</f>
      </c>
      <c r="K79" s="7" t="str">
        <f>AN79/Sum(AN1:AN$458)</f>
      </c>
      <c r="O79" t="s">
        <v>174</v>
      </c>
      <c r="P79" t="n">
        <v>498</v>
      </c>
      <c r="Q79" s="11" t="n">
        <v>-495691.437698734</v>
      </c>
      <c r="R79" s="11" t="n">
        <v>42898490.6963743</v>
      </c>
      <c r="S79" s="11" t="n">
        <v>21254437.1359405</v>
      </c>
      <c r="T79" s="11" t="n">
        <v>27381157.7072836</v>
      </c>
      <c r="U79" s="11"/>
      <c r="V79" s="11"/>
      <c r="W79" s="11"/>
      <c r="X79" s="11"/>
      <c r="Y79" s="11"/>
      <c r="Z79" s="11"/>
      <c r="AA79" s="11"/>
      <c r="AB79" s="11"/>
      <c r="AC79" s="11"/>
      <c r="AD79" s="11" t="n">
        <v>-164837.90555178</v>
      </c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</row>
    <row r="80">
      <c r="A80" t="str">
        <f>O80</f>
      </c>
      <c r="B80" t="str">
        <f>P80</f>
      </c>
      <c r="C80" s="11" t="str">
        <f>AF80</f>
      </c>
      <c r="D80" s="11" t="str">
        <f>AL80</f>
      </c>
      <c r="E80" s="11" t="str">
        <f>AM80</f>
      </c>
      <c r="F80" s="11" t="str">
        <f>AN80</f>
      </c>
      <c r="G80" s="7" t="str">
        <f>AM80/AL80-1</f>
      </c>
      <c r="H80" s="7" t="str">
        <f>AM80/AF80-1</f>
      </c>
      <c r="I80" s="7" t="str">
        <f>AN80/AM80</f>
      </c>
      <c r="J80" s="7" t="str">
        <f>AM80/Sum(AM$1:AM$458)</f>
      </c>
      <c r="K80" s="7" t="str">
        <f>AN80/Sum(AN1:AN$458)</f>
      </c>
      <c r="O80" t="s">
        <v>175</v>
      </c>
      <c r="P80" t="n">
        <v>497</v>
      </c>
      <c r="Q80" s="11"/>
      <c r="R80" s="11" t="n">
        <v>876001.450319862</v>
      </c>
      <c r="S80" s="11"/>
      <c r="T80" s="11" t="n">
        <v>-390.102613932547</v>
      </c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</row>
    <row r="81">
      <c r="A81" t="str">
        <f>O81</f>
      </c>
      <c r="B81" t="str">
        <f>P81</f>
      </c>
      <c r="C81" s="11" t="str">
        <f>AF81</f>
      </c>
      <c r="D81" s="11" t="str">
        <f>AL81</f>
      </c>
      <c r="E81" s="11" t="str">
        <f>AM81</f>
      </c>
      <c r="F81" s="11" t="str">
        <f>AN81</f>
      </c>
      <c r="G81" s="7" t="str">
        <f>AM81/AL81-1</f>
      </c>
      <c r="H81" s="7" t="str">
        <f>AM81/AF81-1</f>
      </c>
      <c r="I81" s="7" t="str">
        <f>AN81/AM81</f>
      </c>
      <c r="J81" s="7" t="str">
        <f>AM81/Sum(AM$1:AM$458)</f>
      </c>
      <c r="K81" s="7" t="str">
        <f>AN81/Sum(AN1:AN$458)</f>
      </c>
      <c r="O81" t="s">
        <v>176</v>
      </c>
      <c r="P81" t="n">
        <v>1094</v>
      </c>
      <c r="Q81" s="11" t="n">
        <v>66774.8914968603</v>
      </c>
      <c r="R81" s="11" t="n">
        <v>7488402.29341956</v>
      </c>
      <c r="S81" s="11" t="n">
        <v>1312343.10124051</v>
      </c>
      <c r="T81" s="11" t="n">
        <v>7630753.03982281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</row>
    <row r="82">
      <c r="A82" t="str">
        <f>O82</f>
      </c>
      <c r="B82" t="str">
        <f>P82</f>
      </c>
      <c r="C82" s="11" t="str">
        <f>AF82</f>
      </c>
      <c r="D82" s="11" t="str">
        <f>AL82</f>
      </c>
      <c r="E82" s="11" t="str">
        <f>AM82</f>
      </c>
      <c r="F82" s="11" t="str">
        <f>AN82</f>
      </c>
      <c r="G82" s="7" t="str">
        <f>AM82/AL82-1</f>
      </c>
      <c r="H82" s="7" t="str">
        <f>AM82/AF82-1</f>
      </c>
      <c r="I82" s="7" t="str">
        <f>AN82/AM82</f>
      </c>
      <c r="J82" s="7" t="str">
        <f>AM82/Sum(AM$1:AM$458)</f>
      </c>
      <c r="K82" s="7" t="str">
        <f>AN82/Sum(AN1:AN$458)</f>
      </c>
      <c r="O82" t="s">
        <v>177</v>
      </c>
      <c r="P82" t="n">
        <v>1093</v>
      </c>
      <c r="Q82" s="11" t="n">
        <v>626903.259310438</v>
      </c>
      <c r="R82" s="11" t="n">
        <v>3482675.15539506</v>
      </c>
      <c r="S82" s="11" t="n">
        <v>1731603.5010416</v>
      </c>
      <c r="T82" s="11" t="n">
        <v>1416345.25563723</v>
      </c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</row>
    <row r="83">
      <c r="A83" t="str">
        <f>O83</f>
      </c>
      <c r="B83" t="str">
        <f>P83</f>
      </c>
      <c r="C83" s="11" t="str">
        <f>AF83</f>
      </c>
      <c r="D83" s="11" t="str">
        <f>AL83</f>
      </c>
      <c r="E83" s="11" t="str">
        <f>AM83</f>
      </c>
      <c r="F83" s="11" t="str">
        <f>AN83</f>
      </c>
      <c r="G83" s="7" t="str">
        <f>AM83/AL83-1</f>
      </c>
      <c r="H83" s="7" t="str">
        <f>AM83/AF83-1</f>
      </c>
      <c r="I83" s="7" t="str">
        <f>AN83/AM83</f>
      </c>
      <c r="J83" s="7" t="str">
        <f>AM83/Sum(AM$1:AM$458)</f>
      </c>
      <c r="K83" s="7" t="str">
        <f>AN83/Sum(AN1:AN$458)</f>
      </c>
      <c r="O83" t="s">
        <v>178</v>
      </c>
      <c r="P83" t="n">
        <v>1700</v>
      </c>
      <c r="Q83" s="11"/>
      <c r="R83" s="11"/>
      <c r="S83" s="11" t="n">
        <v>4692624.83337705</v>
      </c>
      <c r="T83" s="11" t="n">
        <v>-848137.94086944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</row>
    <row r="84">
      <c r="A84" t="str">
        <f>O84</f>
      </c>
      <c r="B84" t="str">
        <f>P84</f>
      </c>
      <c r="C84" s="11" t="str">
        <f>AF84</f>
      </c>
      <c r="D84" s="11" t="str">
        <f>AL84</f>
      </c>
      <c r="E84" s="11" t="str">
        <f>AM84</f>
      </c>
      <c r="F84" s="11" t="str">
        <f>AN84</f>
      </c>
      <c r="G84" s="7" t="str">
        <f>AM84/AL84-1</f>
      </c>
      <c r="H84" s="7" t="str">
        <f>AM84/AF84-1</f>
      </c>
      <c r="I84" s="7" t="str">
        <f>AN84/AM84</f>
      </c>
      <c r="J84" s="7" t="str">
        <f>AM84/Sum(AM$1:AM$458)</f>
      </c>
      <c r="K84" s="7" t="str">
        <f>AN84/Sum(AN1:AN$458)</f>
      </c>
      <c r="O84" t="s">
        <v>179</v>
      </c>
      <c r="P84" t="n">
        <v>1695</v>
      </c>
      <c r="Q84" s="11"/>
      <c r="R84" s="11"/>
      <c r="S84" s="11"/>
      <c r="T84" s="11" t="n">
        <v>45520.098763254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</row>
    <row r="85">
      <c r="A85" t="str">
        <f>O85</f>
      </c>
      <c r="B85" t="str">
        <f>P85</f>
      </c>
      <c r="C85" s="11" t="str">
        <f>AF85</f>
      </c>
      <c r="D85" s="11" t="str">
        <f>AL85</f>
      </c>
      <c r="E85" s="11" t="str">
        <f>AM85</f>
      </c>
      <c r="F85" s="11" t="str">
        <f>AN85</f>
      </c>
      <c r="G85" s="7" t="str">
        <f>AM85/AL85-1</f>
      </c>
      <c r="H85" s="7" t="str">
        <f>AM85/AF85-1</f>
      </c>
      <c r="I85" s="7" t="str">
        <f>AN85/AM85</f>
      </c>
      <c r="J85" s="7" t="str">
        <f>AM85/Sum(AM$1:AM$458)</f>
      </c>
      <c r="K85" s="7" t="str">
        <f>AN85/Sum(AN1:AN$458)</f>
      </c>
      <c r="O85" t="s">
        <v>180</v>
      </c>
      <c r="P85" t="n">
        <v>1072</v>
      </c>
      <c r="Q85" s="11"/>
      <c r="R85" s="11"/>
      <c r="S85" s="11" t="n">
        <v>249765.049080313</v>
      </c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</row>
    <row r="86">
      <c r="A86" t="str">
        <f>O86</f>
      </c>
      <c r="B86" t="str">
        <f>P86</f>
      </c>
      <c r="C86" s="11" t="str">
        <f>AF86</f>
      </c>
      <c r="D86" s="11" t="str">
        <f>AL86</f>
      </c>
      <c r="E86" s="11" t="str">
        <f>AM86</f>
      </c>
      <c r="F86" s="11" t="str">
        <f>AN86</f>
      </c>
      <c r="G86" s="7" t="str">
        <f>AM86/AL86-1</f>
      </c>
      <c r="H86" s="7" t="str">
        <f>AM86/AF86-1</f>
      </c>
      <c r="I86" s="7" t="str">
        <f>AN86/AM86</f>
      </c>
      <c r="J86" s="7" t="str">
        <f>AM86/Sum(AM$1:AM$458)</f>
      </c>
      <c r="K86" s="7" t="str">
        <f>AN86/Sum(AN1:AN$458)</f>
      </c>
      <c r="O86" t="s">
        <v>181</v>
      </c>
      <c r="P86" t="n">
        <v>1064</v>
      </c>
      <c r="Q86" s="11" t="n">
        <v>5649728.11221801</v>
      </c>
      <c r="R86" s="11"/>
      <c r="S86" s="11" t="n">
        <v>707071.559005806</v>
      </c>
      <c r="T86" s="11" t="n">
        <v>124589.022324707</v>
      </c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</row>
    <row r="87">
      <c r="A87" t="str">
        <f>O87</f>
      </c>
      <c r="B87" t="str">
        <f>P87</f>
      </c>
      <c r="C87" s="11" t="str">
        <f>AF87</f>
      </c>
      <c r="D87" s="11" t="str">
        <f>AL87</f>
      </c>
      <c r="E87" s="11" t="str">
        <f>AM87</f>
      </c>
      <c r="F87" s="11" t="str">
        <f>AN87</f>
      </c>
      <c r="G87" s="7" t="str">
        <f>AM87/AL87-1</f>
      </c>
      <c r="H87" s="7" t="str">
        <f>AM87/AF87-1</f>
      </c>
      <c r="I87" s="7" t="str">
        <f>AN87/AM87</f>
      </c>
      <c r="J87" s="7" t="str">
        <f>AM87/Sum(AM$1:AM$458)</f>
      </c>
      <c r="K87" s="7" t="str">
        <f>AN87/Sum(AN1:AN$458)</f>
      </c>
      <c r="O87" t="s">
        <v>182</v>
      </c>
      <c r="P87" t="n">
        <v>418</v>
      </c>
      <c r="Q87" s="11"/>
      <c r="R87" s="11" t="n">
        <v>62349.7839506239</v>
      </c>
      <c r="S87" s="11" t="n">
        <v>73486.3435685932</v>
      </c>
      <c r="T87" s="11" t="n">
        <v>106287.723913262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</row>
    <row r="88">
      <c r="A88" t="str">
        <f>O88</f>
      </c>
      <c r="B88" t="str">
        <f>P88</f>
      </c>
      <c r="C88" s="11" t="str">
        <f>AF88</f>
      </c>
      <c r="D88" s="11" t="str">
        <f>AL88</f>
      </c>
      <c r="E88" s="11" t="str">
        <f>AM88</f>
      </c>
      <c r="F88" s="11" t="str">
        <f>AN88</f>
      </c>
      <c r="G88" s="7" t="str">
        <f>AM88/AL88-1</f>
      </c>
      <c r="H88" s="7" t="str">
        <f>AM88/AF88-1</f>
      </c>
      <c r="I88" s="7" t="str">
        <f>AN88/AM88</f>
      </c>
      <c r="J88" s="7" t="str">
        <f>AM88/Sum(AM$1:AM$458)</f>
      </c>
      <c r="K88" s="7" t="str">
        <f>AN88/Sum(AN1:AN$458)</f>
      </c>
      <c r="O88" t="s">
        <v>183</v>
      </c>
      <c r="P88" t="n">
        <v>943</v>
      </c>
      <c r="Q88" s="11" t="n">
        <v>2670743.60598665</v>
      </c>
      <c r="R88" s="11"/>
      <c r="S88" s="11"/>
      <c r="T88" s="11" t="n">
        <v>215028.82754696</v>
      </c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</row>
    <row r="89">
      <c r="A89" t="str">
        <f>O89</f>
      </c>
      <c r="B89" t="str">
        <f>P89</f>
      </c>
      <c r="C89" s="11" t="str">
        <f>AF89</f>
      </c>
      <c r="D89" s="11" t="str">
        <f>AL89</f>
      </c>
      <c r="E89" s="11" t="str">
        <f>AM89</f>
      </c>
      <c r="F89" s="11" t="str">
        <f>AN89</f>
      </c>
      <c r="G89" s="7" t="str">
        <f>AM89/AL89-1</f>
      </c>
      <c r="H89" s="7" t="str">
        <f>AM89/AF89-1</f>
      </c>
      <c r="I89" s="7" t="str">
        <f>AN89/AM89</f>
      </c>
      <c r="J89" s="7" t="str">
        <f>AM89/Sum(AM$1:AM$458)</f>
      </c>
      <c r="K89" s="7" t="str">
        <f>AN89/Sum(AN1:AN$458)</f>
      </c>
      <c r="O89" t="s">
        <v>184</v>
      </c>
      <c r="P89" t="n">
        <v>997</v>
      </c>
      <c r="Q89" s="11" t="n">
        <v>377314.975602395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</row>
    <row r="90">
      <c r="A90" t="str">
        <f>O90</f>
      </c>
      <c r="B90" t="str">
        <f>P90</f>
      </c>
      <c r="C90" s="11" t="str">
        <f>AF90</f>
      </c>
      <c r="D90" s="11" t="str">
        <f>AL90</f>
      </c>
      <c r="E90" s="11" t="str">
        <f>AM90</f>
      </c>
      <c r="F90" s="11" t="str">
        <f>AN90</f>
      </c>
      <c r="G90" s="7" t="str">
        <f>AM90/AL90-1</f>
      </c>
      <c r="H90" s="7" t="str">
        <f>AM90/AF90-1</f>
      </c>
      <c r="I90" s="7" t="str">
        <f>AN90/AM90</f>
      </c>
      <c r="J90" s="7" t="str">
        <f>AM90/Sum(AM$1:AM$458)</f>
      </c>
      <c r="K90" s="7" t="str">
        <f>AN90/Sum(AN1:AN$458)</f>
      </c>
      <c r="O90" t="s">
        <v>185</v>
      </c>
      <c r="P90" t="n">
        <v>1129</v>
      </c>
      <c r="Q90" s="11"/>
      <c r="R90" s="11"/>
      <c r="S90" s="11" t="n">
        <v>205727.596743572</v>
      </c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</row>
    <row r="91">
      <c r="A91" t="str">
        <f>O91</f>
      </c>
      <c r="B91" t="str">
        <f>P91</f>
      </c>
      <c r="C91" s="11" t="str">
        <f>AF91</f>
      </c>
      <c r="D91" s="11" t="str">
        <f>AL91</f>
      </c>
      <c r="E91" s="11" t="str">
        <f>AM91</f>
      </c>
      <c r="F91" s="11" t="str">
        <f>AN91</f>
      </c>
      <c r="G91" s="7" t="str">
        <f>AM91/AL91-1</f>
      </c>
      <c r="H91" s="7" t="str">
        <f>AM91/AF91-1</f>
      </c>
      <c r="I91" s="7" t="str">
        <f>AN91/AM91</f>
      </c>
      <c r="J91" s="7" t="str">
        <f>AM91/Sum(AM$1:AM$458)</f>
      </c>
      <c r="K91" s="7" t="str">
        <f>AN91/Sum(AN1:AN$458)</f>
      </c>
      <c r="O91" t="s">
        <v>186</v>
      </c>
      <c r="P91" t="n">
        <v>1104</v>
      </c>
      <c r="Q91" s="11" t="n">
        <v>45798496.7796965</v>
      </c>
      <c r="R91" s="11" t="n">
        <v>110738.895214011</v>
      </c>
      <c r="S91" s="11"/>
      <c r="T91" s="11" t="n">
        <v>125259.511192404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</row>
    <row r="92">
      <c r="A92" t="str">
        <f>O92</f>
      </c>
      <c r="B92" t="str">
        <f>P92</f>
      </c>
      <c r="C92" s="11" t="str">
        <f>AF92</f>
      </c>
      <c r="D92" s="11" t="str">
        <f>AL92</f>
      </c>
      <c r="E92" s="11" t="str">
        <f>AM92</f>
      </c>
      <c r="F92" s="11" t="str">
        <f>AN92</f>
      </c>
      <c r="G92" s="7" t="str">
        <f>AM92/AL92-1</f>
      </c>
      <c r="H92" s="7" t="str">
        <f>AM92/AF92-1</f>
      </c>
      <c r="I92" s="7" t="str">
        <f>AN92/AM92</f>
      </c>
      <c r="J92" s="7" t="str">
        <f>AM92/Sum(AM$1:AM$458)</f>
      </c>
      <c r="K92" s="7" t="str">
        <f>AN92/Sum(AN1:AN$458)</f>
      </c>
      <c r="O92" t="s">
        <v>187</v>
      </c>
      <c r="P92" t="n">
        <v>1125</v>
      </c>
      <c r="Q92" s="11"/>
      <c r="R92" s="11"/>
      <c r="S92" s="11"/>
      <c r="T92" s="11" t="n">
        <v>61648.4037080277</v>
      </c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</row>
    <row r="93">
      <c r="A93" t="str">
        <f>O93</f>
      </c>
      <c r="B93" t="str">
        <f>P93</f>
      </c>
      <c r="C93" s="11" t="str">
        <f>AF93</f>
      </c>
      <c r="D93" s="11" t="str">
        <f>AL93</f>
      </c>
      <c r="E93" s="11" t="str">
        <f>AM93</f>
      </c>
      <c r="F93" s="11" t="str">
        <f>AN93</f>
      </c>
      <c r="G93" s="7" t="str">
        <f>AM93/AL93-1</f>
      </c>
      <c r="H93" s="7" t="str">
        <f>AM93/AF93-1</f>
      </c>
      <c r="I93" s="7" t="str">
        <f>AN93/AM93</f>
      </c>
      <c r="J93" s="7" t="str">
        <f>AM93/Sum(AM$1:AM$458)</f>
      </c>
      <c r="K93" s="7" t="str">
        <f>AN93/Sum(AN1:AN$458)</f>
      </c>
      <c r="O93" t="s">
        <v>188</v>
      </c>
      <c r="P93" t="n">
        <v>1113</v>
      </c>
      <c r="Q93" s="11" t="n">
        <v>51364.0582821619</v>
      </c>
      <c r="R93" s="11"/>
      <c r="S93" s="11" t="n">
        <v>86866.6972496371</v>
      </c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</row>
    <row r="94">
      <c r="A94" t="str">
        <f>O94</f>
      </c>
      <c r="B94" t="str">
        <f>P94</f>
      </c>
      <c r="C94" s="11" t="str">
        <f>AF94</f>
      </c>
      <c r="D94" s="11" t="str">
        <f>AL94</f>
      </c>
      <c r="E94" s="11" t="str">
        <f>AM94</f>
      </c>
      <c r="F94" s="11" t="str">
        <f>AN94</f>
      </c>
      <c r="G94" s="7" t="str">
        <f>AM94/AL94-1</f>
      </c>
      <c r="H94" s="7" t="str">
        <f>AM94/AF94-1</f>
      </c>
      <c r="I94" s="7" t="str">
        <f>AN94/AM94</f>
      </c>
      <c r="J94" s="7" t="str">
        <f>AM94/Sum(AM$1:AM$458)</f>
      </c>
      <c r="K94" s="7" t="str">
        <f>AN94/Sum(AN1:AN$458)</f>
      </c>
      <c r="O94" t="s">
        <v>189</v>
      </c>
      <c r="P94" t="n">
        <v>949</v>
      </c>
      <c r="Q94" s="11"/>
      <c r="R94" s="11"/>
      <c r="S94" s="11" t="n">
        <v>94022.7638422845</v>
      </c>
      <c r="T94" s="11" t="n">
        <v>143156.992444895</v>
      </c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>
      <c r="A95" t="str">
        <f>O95</f>
      </c>
      <c r="B95" t="str">
        <f>P95</f>
      </c>
      <c r="C95" s="11" t="str">
        <f>AF95</f>
      </c>
      <c r="D95" s="11" t="str">
        <f>AL95</f>
      </c>
      <c r="E95" s="11" t="str">
        <f>AM95</f>
      </c>
      <c r="F95" s="11" t="str">
        <f>AN95</f>
      </c>
      <c r="G95" s="7" t="str">
        <f>AM95/AL95-1</f>
      </c>
      <c r="H95" s="7" t="str">
        <f>AM95/AF95-1</f>
      </c>
      <c r="I95" s="7" t="str">
        <f>AN95/AM95</f>
      </c>
      <c r="J95" s="7" t="str">
        <f>AM95/Sum(AM$1:AM$458)</f>
      </c>
      <c r="K95" s="7" t="str">
        <f>AN95/Sum(AN1:AN$458)</f>
      </c>
      <c r="O95" t="s">
        <v>190</v>
      </c>
      <c r="P95" t="n">
        <v>646</v>
      </c>
      <c r="Q95" s="11"/>
      <c r="R95" s="11"/>
      <c r="S95" s="11"/>
      <c r="T95" s="11"/>
      <c r="U95" s="11"/>
      <c r="V95" s="11"/>
      <c r="W95" s="11"/>
      <c r="X95" s="11"/>
      <c r="Y95" s="11" t="n">
        <v>120118.051183569</v>
      </c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</row>
    <row r="96">
      <c r="A96" t="str">
        <f>O96</f>
      </c>
      <c r="B96" t="str">
        <f>P96</f>
      </c>
      <c r="C96" s="11" t="str">
        <f>AF96</f>
      </c>
      <c r="D96" s="11" t="str">
        <f>AL96</f>
      </c>
      <c r="E96" s="11" t="str">
        <f>AM96</f>
      </c>
      <c r="F96" s="11" t="str">
        <f>AN96</f>
      </c>
      <c r="G96" s="7" t="str">
        <f>AM96/AL96-1</f>
      </c>
      <c r="H96" s="7" t="str">
        <f>AM96/AF96-1</f>
      </c>
      <c r="I96" s="7" t="str">
        <f>AN96/AM96</f>
      </c>
      <c r="J96" s="7" t="str">
        <f>AM96/Sum(AM$1:AM$458)</f>
      </c>
      <c r="K96" s="7" t="str">
        <f>AN96/Sum(AN1:AN$458)</f>
      </c>
      <c r="O96" t="s">
        <v>191</v>
      </c>
      <c r="P96" t="n">
        <v>1110</v>
      </c>
      <c r="Q96" s="11" t="n">
        <v>96987358.2211019</v>
      </c>
      <c r="R96" s="11" t="n">
        <v>29203293.214472</v>
      </c>
      <c r="S96" s="11" t="n">
        <v>174381169.163595</v>
      </c>
      <c r="T96" s="11" t="n">
        <v>185007679.352816</v>
      </c>
      <c r="U96" s="11" t="n">
        <v>1847691.78535822</v>
      </c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 t="n">
        <v>0</v>
      </c>
      <c r="AJ96" s="11"/>
      <c r="AK96" s="11"/>
      <c r="AL96" s="11"/>
      <c r="AM96" s="11"/>
      <c r="AN96" s="11"/>
      <c r="AO96" s="11"/>
    </row>
    <row r="97">
      <c r="A97" t="str">
        <f>O97</f>
      </c>
      <c r="B97" t="str">
        <f>P97</f>
      </c>
      <c r="C97" s="11" t="str">
        <f>AF97</f>
      </c>
      <c r="D97" s="11" t="str">
        <f>AL97</f>
      </c>
      <c r="E97" s="11" t="str">
        <f>AM97</f>
      </c>
      <c r="F97" s="11" t="str">
        <f>AN97</f>
      </c>
      <c r="G97" s="7" t="str">
        <f>AM97/AL97-1</f>
      </c>
      <c r="H97" s="7" t="str">
        <f>AM97/AF97-1</f>
      </c>
      <c r="I97" s="7" t="str">
        <f>AN97/AM97</f>
      </c>
      <c r="J97" s="7" t="str">
        <f>AM97/Sum(AM$1:AM$458)</f>
      </c>
      <c r="K97" s="7" t="str">
        <f>AN97/Sum(AN1:AN$458)</f>
      </c>
      <c r="O97" t="s">
        <v>192</v>
      </c>
      <c r="P97" t="n">
        <v>1938</v>
      </c>
      <c r="Q97" s="11" t="n">
        <v>48318830.4596201</v>
      </c>
      <c r="R97" s="11" t="n">
        <v>39000806.5451319</v>
      </c>
      <c r="S97" s="11" t="n">
        <v>59171758.2502362</v>
      </c>
      <c r="T97" s="11" t="n">
        <v>23323820.8029997</v>
      </c>
      <c r="U97" s="11" t="n">
        <v>44624.3798605711</v>
      </c>
      <c r="V97" s="11"/>
      <c r="W97" s="11"/>
      <c r="X97" s="11"/>
      <c r="Y97" s="11"/>
      <c r="Z97" s="11" t="n">
        <v>-86892.0824752744</v>
      </c>
      <c r="AA97" s="11" t="n">
        <v>-6541.13858043507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</row>
    <row r="98">
      <c r="A98" t="str">
        <f>O98</f>
      </c>
      <c r="B98" t="str">
        <f>P98</f>
      </c>
      <c r="C98" s="11" t="str">
        <f>AF98</f>
      </c>
      <c r="D98" s="11" t="str">
        <f>AL98</f>
      </c>
      <c r="E98" s="11" t="str">
        <f>AM98</f>
      </c>
      <c r="F98" s="11" t="str">
        <f>AN98</f>
      </c>
      <c r="G98" s="7" t="str">
        <f>AM98/AL98-1</f>
      </c>
      <c r="H98" s="7" t="str">
        <f>AM98/AF98-1</f>
      </c>
      <c r="I98" s="7" t="str">
        <f>AN98/AM98</f>
      </c>
      <c r="J98" s="7" t="str">
        <f>AM98/Sum(AM$1:AM$458)</f>
      </c>
      <c r="K98" s="7" t="str">
        <f>AN98/Sum(AN1:AN$458)</f>
      </c>
      <c r="O98" t="s">
        <v>193</v>
      </c>
      <c r="P98" t="n">
        <v>1704</v>
      </c>
      <c r="Q98" s="11" t="n">
        <v>1828689.73324895</v>
      </c>
      <c r="R98" s="11" t="n">
        <v>6451103.80555507</v>
      </c>
      <c r="S98" s="11" t="n">
        <v>0</v>
      </c>
      <c r="T98" s="11" t="n">
        <v>136135.145394109</v>
      </c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</row>
    <row r="99">
      <c r="A99" t="str">
        <f>O99</f>
      </c>
      <c r="B99" t="str">
        <f>P99</f>
      </c>
      <c r="C99" s="11" t="str">
        <f>AF99</f>
      </c>
      <c r="D99" s="11" t="str">
        <f>AL99</f>
      </c>
      <c r="E99" s="11" t="str">
        <f>AM99</f>
      </c>
      <c r="F99" s="11" t="str">
        <f>AN99</f>
      </c>
      <c r="G99" s="7" t="str">
        <f>AM99/AL99-1</f>
      </c>
      <c r="H99" s="7" t="str">
        <f>AM99/AF99-1</f>
      </c>
      <c r="I99" s="7" t="str">
        <f>AN99/AM99</f>
      </c>
      <c r="J99" s="7" t="str">
        <f>AM99/Sum(AM$1:AM$458)</f>
      </c>
      <c r="K99" s="7" t="str">
        <f>AN99/Sum(AN1:AN$458)</f>
      </c>
      <c r="O99" t="s">
        <v>194</v>
      </c>
      <c r="P99" t="n">
        <v>1116</v>
      </c>
      <c r="Q99" s="11"/>
      <c r="R99" s="11"/>
      <c r="S99" s="11"/>
      <c r="T99" s="11" t="n">
        <v>314837.190856936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>
      <c r="A100" t="str">
        <f>O100</f>
      </c>
      <c r="B100" t="str">
        <f>P100</f>
      </c>
      <c r="C100" s="11" t="str">
        <f>AF100</f>
      </c>
      <c r="D100" s="11" t="str">
        <f>AL100</f>
      </c>
      <c r="E100" s="11" t="str">
        <f>AM100</f>
      </c>
      <c r="F100" s="11" t="str">
        <f>AN100</f>
      </c>
      <c r="G100" s="7" t="str">
        <f>AM100/AL100-1</f>
      </c>
      <c r="H100" s="7" t="str">
        <f>AM100/AF100-1</f>
      </c>
      <c r="I100" s="7" t="str">
        <f>AN100/AM100</f>
      </c>
      <c r="J100" s="7" t="str">
        <f>AM100/Sum(AM$1:AM$458)</f>
      </c>
      <c r="K100" s="7" t="str">
        <f>AN100/Sum(AN1:AN$458)</f>
      </c>
      <c r="O100" t="s">
        <v>195</v>
      </c>
      <c r="P100" t="n">
        <v>1004</v>
      </c>
      <c r="Q100" s="11" t="n">
        <v>1012739.59519532</v>
      </c>
      <c r="R100" s="11" t="n">
        <v>105217.725224709</v>
      </c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</row>
    <row r="101">
      <c r="A101" t="str">
        <f>O101</f>
      </c>
      <c r="B101" t="str">
        <f>P101</f>
      </c>
      <c r="C101" s="11" t="str">
        <f>AF101</f>
      </c>
      <c r="D101" s="11" t="str">
        <f>AL101</f>
      </c>
      <c r="E101" s="11" t="str">
        <f>AM101</f>
      </c>
      <c r="F101" s="11" t="str">
        <f>AN101</f>
      </c>
      <c r="G101" s="7" t="str">
        <f>AM101/AL101-1</f>
      </c>
      <c r="H101" s="7" t="str">
        <f>AM101/AF101-1</f>
      </c>
      <c r="I101" s="7" t="str">
        <f>AN101/AM101</f>
      </c>
      <c r="J101" s="7" t="str">
        <f>AM101/Sum(AM$1:AM$458)</f>
      </c>
      <c r="K101" s="7" t="str">
        <f>AN101/Sum(AN1:AN$458)</f>
      </c>
      <c r="O101" t="s">
        <v>72</v>
      </c>
      <c r="P101" t="n">
        <v>1676</v>
      </c>
      <c r="Q101" s="11" t="n">
        <v>711888220.175922</v>
      </c>
      <c r="R101" s="11" t="n">
        <v>317436067.15464</v>
      </c>
      <c r="S101" s="11" t="n">
        <v>350429767.067843</v>
      </c>
      <c r="T101" s="11" t="n">
        <v>349626004.052508</v>
      </c>
      <c r="U101" s="11"/>
      <c r="V101" s="11"/>
      <c r="W101" s="11"/>
      <c r="X101" s="11"/>
      <c r="Y101" s="11" t="n">
        <v>0</v>
      </c>
      <c r="Z101" s="11" t="n">
        <v>-1038177.44911513</v>
      </c>
      <c r="AA101" s="11" t="n">
        <v>-2007569.02369361</v>
      </c>
      <c r="AB101" s="11" t="n">
        <v>-1138933.95325569</v>
      </c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>
      <c r="A102" t="str">
        <f>O102</f>
      </c>
      <c r="B102" t="str">
        <f>P102</f>
      </c>
      <c r="C102" s="11" t="str">
        <f>AF102</f>
      </c>
      <c r="D102" s="11" t="str">
        <f>AL102</f>
      </c>
      <c r="E102" s="11" t="str">
        <f>AM102</f>
      </c>
      <c r="F102" s="11" t="str">
        <f>AN102</f>
      </c>
      <c r="G102" s="7" t="str">
        <f>AM102/AL102-1</f>
      </c>
      <c r="H102" s="7" t="str">
        <f>AM102/AF102-1</f>
      </c>
      <c r="I102" s="7" t="str">
        <f>AN102/AM102</f>
      </c>
      <c r="J102" s="7" t="str">
        <f>AM102/Sum(AM$1:AM$458)</f>
      </c>
      <c r="K102" s="7" t="str">
        <f>AN102/Sum(AN1:AN$458)</f>
      </c>
      <c r="O102" t="s">
        <v>196</v>
      </c>
      <c r="P102" t="n">
        <v>512</v>
      </c>
      <c r="Q102" s="11"/>
      <c r="R102" s="11"/>
      <c r="S102" s="11" t="n">
        <v>123229.392403031</v>
      </c>
      <c r="T102" s="11" t="n">
        <v>1920909.46231559</v>
      </c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</row>
    <row r="103">
      <c r="A103" t="str">
        <f>O103</f>
      </c>
      <c r="B103" t="str">
        <f>P103</f>
      </c>
      <c r="C103" s="11" t="str">
        <f>AF103</f>
      </c>
      <c r="D103" s="11" t="str">
        <f>AL103</f>
      </c>
      <c r="E103" s="11" t="str">
        <f>AM103</f>
      </c>
      <c r="F103" s="11" t="str">
        <f>AN103</f>
      </c>
      <c r="G103" s="7" t="str">
        <f>AM103/AL103-1</f>
      </c>
      <c r="H103" s="7" t="str">
        <f>AM103/AF103-1</f>
      </c>
      <c r="I103" s="7" t="str">
        <f>AN103/AM103</f>
      </c>
      <c r="J103" s="7" t="str">
        <f>AM103/Sum(AM$1:AM$458)</f>
      </c>
      <c r="K103" s="7" t="str">
        <f>AN103/Sum(AN1:AN$458)</f>
      </c>
      <c r="O103" t="s">
        <v>197</v>
      </c>
      <c r="P103" t="n">
        <v>521</v>
      </c>
      <c r="Q103" s="11"/>
      <c r="R103" s="11"/>
      <c r="S103" s="11"/>
      <c r="T103" s="11" t="n">
        <v>49524.7459094053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</row>
    <row r="104">
      <c r="A104" t="str">
        <f>O104</f>
      </c>
      <c r="B104" t="str">
        <f>P104</f>
      </c>
      <c r="C104" s="11" t="str">
        <f>AF104</f>
      </c>
      <c r="D104" s="11" t="str">
        <f>AL104</f>
      </c>
      <c r="E104" s="11" t="str">
        <f>AM104</f>
      </c>
      <c r="F104" s="11" t="str">
        <f>AN104</f>
      </c>
      <c r="G104" s="7" t="str">
        <f>AM104/AL104-1</f>
      </c>
      <c r="H104" s="7" t="str">
        <f>AM104/AF104-1</f>
      </c>
      <c r="I104" s="7" t="str">
        <f>AN104/AM104</f>
      </c>
      <c r="J104" s="7" t="str">
        <f>AM104/Sum(AM$1:AM$458)</f>
      </c>
      <c r="K104" s="7" t="str">
        <f>AN104/Sum(AN1:AN$458)</f>
      </c>
      <c r="O104" t="s">
        <v>198</v>
      </c>
      <c r="P104" t="n">
        <v>522</v>
      </c>
      <c r="Q104" s="11" t="n">
        <v>-141791.621977593</v>
      </c>
      <c r="R104" s="11"/>
      <c r="S104" s="11"/>
      <c r="T104" s="11" t="n">
        <v>106594.015418733</v>
      </c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</row>
    <row r="105">
      <c r="A105" t="str">
        <f>O105</f>
      </c>
      <c r="B105" t="str">
        <f>P105</f>
      </c>
      <c r="C105" s="11" t="str">
        <f>AF105</f>
      </c>
      <c r="D105" s="11" t="str">
        <f>AL105</f>
      </c>
      <c r="E105" s="11" t="str">
        <f>AM105</f>
      </c>
      <c r="F105" s="11" t="str">
        <f>AN105</f>
      </c>
      <c r="G105" s="7" t="str">
        <f>AM105/AL105-1</f>
      </c>
      <c r="H105" s="7" t="str">
        <f>AM105/AF105-1</f>
      </c>
      <c r="I105" s="7" t="str">
        <f>AN105/AM105</f>
      </c>
      <c r="J105" s="7" t="str">
        <f>AM105/Sum(AM$1:AM$458)</f>
      </c>
      <c r="K105" s="7" t="str">
        <f>AN105/Sum(AN1:AN$458)</f>
      </c>
      <c r="O105" t="s">
        <v>199</v>
      </c>
      <c r="P105" t="n">
        <v>1689</v>
      </c>
      <c r="Q105" s="11"/>
      <c r="R105" s="11"/>
      <c r="S105" s="11" t="n">
        <v>146755.271919528</v>
      </c>
      <c r="T105" s="11" t="n">
        <v>22541690.9673166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</row>
    <row r="106">
      <c r="A106" t="str">
        <f>O106</f>
      </c>
      <c r="B106" t="str">
        <f>P106</f>
      </c>
      <c r="C106" s="11" t="str">
        <f>AF106</f>
      </c>
      <c r="D106" s="11" t="str">
        <f>AL106</f>
      </c>
      <c r="E106" s="11" t="str">
        <f>AM106</f>
      </c>
      <c r="F106" s="11" t="str">
        <f>AN106</f>
      </c>
      <c r="G106" s="7" t="str">
        <f>AM106/AL106-1</f>
      </c>
      <c r="H106" s="7" t="str">
        <f>AM106/AF106-1</f>
      </c>
      <c r="I106" s="7" t="str">
        <f>AN106/AM106</f>
      </c>
      <c r="J106" s="7" t="str">
        <f>AM106/Sum(AM$1:AM$458)</f>
      </c>
      <c r="K106" s="7" t="str">
        <f>AN106/Sum(AN1:AN$458)</f>
      </c>
      <c r="O106" t="s">
        <v>200</v>
      </c>
      <c r="P106" t="n">
        <v>1092</v>
      </c>
      <c r="Q106" s="11"/>
      <c r="R106" s="11" t="n">
        <v>43669.2996611036</v>
      </c>
      <c r="S106" s="11"/>
      <c r="T106" s="11" t="n">
        <v>127182.595172024</v>
      </c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</row>
    <row r="107">
      <c r="A107" t="str">
        <f>O107</f>
      </c>
      <c r="B107" t="str">
        <f>P107</f>
      </c>
      <c r="C107" s="11" t="str">
        <f>AF107</f>
      </c>
      <c r="D107" s="11" t="str">
        <f>AL107</f>
      </c>
      <c r="E107" s="11" t="str">
        <f>AM107</f>
      </c>
      <c r="F107" s="11" t="str">
        <f>AN107</f>
      </c>
      <c r="G107" s="7" t="str">
        <f>AM107/AL107-1</f>
      </c>
      <c r="H107" s="7" t="str">
        <f>AM107/AF107-1</f>
      </c>
      <c r="I107" s="7" t="str">
        <f>AN107/AM107</f>
      </c>
      <c r="J107" s="7" t="str">
        <f>AM107/Sum(AM$1:AM$458)</f>
      </c>
      <c r="K107" s="7" t="str">
        <f>AN107/Sum(AN1:AN$458)</f>
      </c>
      <c r="O107" t="s">
        <v>201</v>
      </c>
      <c r="P107" t="n">
        <v>1698</v>
      </c>
      <c r="Q107" s="11"/>
      <c r="R107" s="11"/>
      <c r="S107" s="11" t="n">
        <v>117311.039585197</v>
      </c>
      <c r="T107" s="11" t="n">
        <v>161776.773068496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</row>
    <row r="108">
      <c r="A108" t="str">
        <f>O108</f>
      </c>
      <c r="B108" t="str">
        <f>P108</f>
      </c>
      <c r="C108" s="11" t="str">
        <f>AF108</f>
      </c>
      <c r="D108" s="11" t="str">
        <f>AL108</f>
      </c>
      <c r="E108" s="11" t="str">
        <f>AM108</f>
      </c>
      <c r="F108" s="11" t="str">
        <f>AN108</f>
      </c>
      <c r="G108" s="7" t="str">
        <f>AM108/AL108-1</f>
      </c>
      <c r="H108" s="7" t="str">
        <f>AM108/AF108-1</f>
      </c>
      <c r="I108" s="7" t="str">
        <f>AN108/AM108</f>
      </c>
      <c r="J108" s="7" t="str">
        <f>AM108/Sum(AM$1:AM$458)</f>
      </c>
      <c r="K108" s="7" t="str">
        <f>AN108/Sum(AN1:AN$458)</f>
      </c>
      <c r="O108" t="s">
        <v>202</v>
      </c>
      <c r="P108" t="n">
        <v>1696</v>
      </c>
      <c r="Q108" s="11" t="n">
        <v>-159159.104282562</v>
      </c>
      <c r="R108" s="11" t="n">
        <v>34262.8034764719</v>
      </c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</row>
    <row r="109">
      <c r="A109" t="str">
        <f>O109</f>
      </c>
      <c r="B109" t="str">
        <f>P109</f>
      </c>
      <c r="C109" s="11" t="str">
        <f>AF109</f>
      </c>
      <c r="D109" s="11" t="str">
        <f>AL109</f>
      </c>
      <c r="E109" s="11" t="str">
        <f>AM109</f>
      </c>
      <c r="F109" s="11" t="str">
        <f>AN109</f>
      </c>
      <c r="G109" s="7" t="str">
        <f>AM109/AL109-1</f>
      </c>
      <c r="H109" s="7" t="str">
        <f>AM109/AF109-1</f>
      </c>
      <c r="I109" s="7" t="str">
        <f>AN109/AM109</f>
      </c>
      <c r="J109" s="7" t="str">
        <f>AM109/Sum(AM$1:AM$458)</f>
      </c>
      <c r="K109" s="7" t="str">
        <f>AN109/Sum(AN1:AN$458)</f>
      </c>
      <c r="O109" t="s">
        <v>203</v>
      </c>
      <c r="P109" t="n">
        <v>1065</v>
      </c>
      <c r="Q109" s="11" t="n">
        <v>500527.317737693</v>
      </c>
      <c r="R109" s="11" t="n">
        <v>162155.185108676</v>
      </c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</row>
    <row r="110">
      <c r="A110" t="str">
        <f>O110</f>
      </c>
      <c r="B110" t="str">
        <f>P110</f>
      </c>
      <c r="C110" s="11" t="str">
        <f>AF110</f>
      </c>
      <c r="D110" s="11" t="str">
        <f>AL110</f>
      </c>
      <c r="E110" s="11" t="str">
        <f>AM110</f>
      </c>
      <c r="F110" s="11" t="str">
        <f>AN110</f>
      </c>
      <c r="G110" s="7" t="str">
        <f>AM110/AL110-1</f>
      </c>
      <c r="H110" s="7" t="str">
        <f>AM110/AF110-1</f>
      </c>
      <c r="I110" s="7" t="str">
        <f>AN110/AM110</f>
      </c>
      <c r="J110" s="7" t="str">
        <f>AM110/Sum(AM$1:AM$458)</f>
      </c>
      <c r="K110" s="7" t="str">
        <f>AN110/Sum(AN1:AN$458)</f>
      </c>
      <c r="O110" t="s">
        <v>204</v>
      </c>
      <c r="P110" t="n">
        <v>467</v>
      </c>
      <c r="Q110" s="11" t="n">
        <v>252139.521456628</v>
      </c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</row>
    <row r="111">
      <c r="A111" t="str">
        <f>O111</f>
      </c>
      <c r="B111" t="str">
        <f>P111</f>
      </c>
      <c r="C111" s="11" t="str">
        <f>AF111</f>
      </c>
      <c r="D111" s="11" t="str">
        <f>AL111</f>
      </c>
      <c r="E111" s="11" t="str">
        <f>AM111</f>
      </c>
      <c r="F111" s="11" t="str">
        <f>AN111</f>
      </c>
      <c r="G111" s="7" t="str">
        <f>AM111/AL111-1</f>
      </c>
      <c r="H111" s="7" t="str">
        <f>AM111/AF111-1</f>
      </c>
      <c r="I111" s="7" t="str">
        <f>AN111/AM111</f>
      </c>
      <c r="J111" s="7" t="str">
        <f>AM111/Sum(AM$1:AM$458)</f>
      </c>
      <c r="K111" s="7" t="str">
        <f>AN111/Sum(AN1:AN$458)</f>
      </c>
      <c r="O111" t="s">
        <v>205</v>
      </c>
      <c r="P111" t="n">
        <v>1015</v>
      </c>
      <c r="Q111" s="11"/>
      <c r="R111" s="11"/>
      <c r="S111" s="11" t="n">
        <v>154875.730299075</v>
      </c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</row>
    <row r="112">
      <c r="A112" t="str">
        <f>O112</f>
      </c>
      <c r="B112" t="str">
        <f>P112</f>
      </c>
      <c r="C112" s="11" t="str">
        <f>AF112</f>
      </c>
      <c r="D112" s="11" t="str">
        <f>AL112</f>
      </c>
      <c r="E112" s="11" t="str">
        <f>AM112</f>
      </c>
      <c r="F112" s="11" t="str">
        <f>AN112</f>
      </c>
      <c r="G112" s="7" t="str">
        <f>AM112/AL112-1</f>
      </c>
      <c r="H112" s="7" t="str">
        <f>AM112/AF112-1</f>
      </c>
      <c r="I112" s="7" t="str">
        <f>AN112/AM112</f>
      </c>
      <c r="J112" s="7" t="str">
        <f>AM112/Sum(AM$1:AM$458)</f>
      </c>
      <c r="K112" s="7" t="str">
        <f>AN112/Sum(AN1:AN$458)</f>
      </c>
      <c r="O112" t="s">
        <v>206</v>
      </c>
      <c r="P112" t="n">
        <v>2038</v>
      </c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 t="n">
        <v>1469650.47896388</v>
      </c>
      <c r="AG112" s="11"/>
      <c r="AH112" s="11"/>
      <c r="AI112" s="11"/>
      <c r="AJ112" s="11"/>
      <c r="AK112" s="11"/>
      <c r="AL112" s="11"/>
      <c r="AM112" s="11"/>
      <c r="AN112" s="11"/>
      <c r="AO112" s="11"/>
    </row>
    <row r="113">
      <c r="A113" t="str">
        <f>O113</f>
      </c>
      <c r="B113" t="str">
        <f>P113</f>
      </c>
      <c r="C113" s="11" t="str">
        <f>AF113</f>
      </c>
      <c r="D113" s="11" t="str">
        <f>AL113</f>
      </c>
      <c r="E113" s="11" t="str">
        <f>AM113</f>
      </c>
      <c r="F113" s="11" t="str">
        <f>AN113</f>
      </c>
      <c r="G113" s="7" t="str">
        <f>AM113/AL113-1</f>
      </c>
      <c r="H113" s="7" t="str">
        <f>AM113/AF113-1</f>
      </c>
      <c r="I113" s="7" t="str">
        <f>AN113/AM113</f>
      </c>
      <c r="J113" s="7" t="str">
        <f>AM113/Sum(AM$1:AM$458)</f>
      </c>
      <c r="K113" s="7" t="str">
        <f>AN113/Sum(AN1:AN$458)</f>
      </c>
      <c r="O113" t="s">
        <v>207</v>
      </c>
      <c r="P113" t="n">
        <v>459</v>
      </c>
      <c r="Q113" s="11"/>
      <c r="R113" s="11"/>
      <c r="S113" s="11"/>
      <c r="T113" s="11" t="n">
        <v>103742.913892687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</row>
    <row r="114">
      <c r="A114" t="str">
        <f>O114</f>
      </c>
      <c r="B114" t="str">
        <f>P114</f>
      </c>
      <c r="C114" s="11" t="str">
        <f>AF114</f>
      </c>
      <c r="D114" s="11" t="str">
        <f>AL114</f>
      </c>
      <c r="E114" s="11" t="str">
        <f>AM114</f>
      </c>
      <c r="F114" s="11" t="str">
        <f>AN114</f>
      </c>
      <c r="G114" s="7" t="str">
        <f>AM114/AL114-1</f>
      </c>
      <c r="H114" s="7" t="str">
        <f>AM114/AF114-1</f>
      </c>
      <c r="I114" s="7" t="str">
        <f>AN114/AM114</f>
      </c>
      <c r="J114" s="7" t="str">
        <f>AM114/Sum(AM$1:AM$458)</f>
      </c>
      <c r="K114" s="7" t="str">
        <f>AN114/Sum(AN1:AN$458)</f>
      </c>
      <c r="O114" t="s">
        <v>208</v>
      </c>
      <c r="P114" t="n">
        <v>1090</v>
      </c>
      <c r="Q114" s="11" t="n">
        <v>81869.0416218039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</row>
    <row r="115">
      <c r="A115" t="str">
        <f>O115</f>
      </c>
      <c r="B115" t="str">
        <f>P115</f>
      </c>
      <c r="C115" s="11" t="str">
        <f>AF115</f>
      </c>
      <c r="D115" s="11" t="str">
        <f>AL115</f>
      </c>
      <c r="E115" s="11" t="str">
        <f>AM115</f>
      </c>
      <c r="F115" s="11" t="str">
        <f>AN115</f>
      </c>
      <c r="G115" s="7" t="str">
        <f>AM115/AL115-1</f>
      </c>
      <c r="H115" s="7" t="str">
        <f>AM115/AF115-1</f>
      </c>
      <c r="I115" s="7" t="str">
        <f>AN115/AM115</f>
      </c>
      <c r="J115" s="7" t="str">
        <f>AM115/Sum(AM$1:AM$458)</f>
      </c>
      <c r="K115" s="7" t="str">
        <f>AN115/Sum(AN1:AN$458)</f>
      </c>
      <c r="O115" t="s">
        <v>209</v>
      </c>
      <c r="P115" t="n">
        <v>1694</v>
      </c>
      <c r="Q115" s="11" t="n">
        <v>25385408.5713542</v>
      </c>
      <c r="R115" s="11" t="n">
        <v>90053.4374798043</v>
      </c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</row>
    <row r="116">
      <c r="A116" t="str">
        <f>O116</f>
      </c>
      <c r="B116" t="str">
        <f>P116</f>
      </c>
      <c r="C116" s="11" t="str">
        <f>AF116</f>
      </c>
      <c r="D116" s="11" t="str">
        <f>AL116</f>
      </c>
      <c r="E116" s="11" t="str">
        <f>AM116</f>
      </c>
      <c r="F116" s="11" t="str">
        <f>AN116</f>
      </c>
      <c r="G116" s="7" t="str">
        <f>AM116/AL116-1</f>
      </c>
      <c r="H116" s="7" t="str">
        <f>AM116/AF116-1</f>
      </c>
      <c r="I116" s="7" t="str">
        <f>AN116/AM116</f>
      </c>
      <c r="J116" s="7" t="str">
        <f>AM116/Sum(AM$1:AM$458)</f>
      </c>
      <c r="K116" s="7" t="str">
        <f>AN116/Sum(AN1:AN$458)</f>
      </c>
      <c r="O116" t="s">
        <v>210</v>
      </c>
      <c r="P116" t="n">
        <v>935</v>
      </c>
      <c r="Q116" s="11"/>
      <c r="R116" s="11"/>
      <c r="S116" s="11"/>
      <c r="T116" s="11" t="n">
        <v>83811.1084620706</v>
      </c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</row>
    <row r="117">
      <c r="A117" t="str">
        <f>O117</f>
      </c>
      <c r="B117" t="str">
        <f>P117</f>
      </c>
      <c r="C117" s="11" t="str">
        <f>AF117</f>
      </c>
      <c r="D117" s="11" t="str">
        <f>AL117</f>
      </c>
      <c r="E117" s="11" t="str">
        <f>AM117</f>
      </c>
      <c r="F117" s="11" t="str">
        <f>AN117</f>
      </c>
      <c r="G117" s="7" t="str">
        <f>AM117/AL117-1</f>
      </c>
      <c r="H117" s="7" t="str">
        <f>AM117/AF117-1</f>
      </c>
      <c r="I117" s="7" t="str">
        <f>AN117/AM117</f>
      </c>
      <c r="J117" s="7" t="str">
        <f>AM117/Sum(AM$1:AM$458)</f>
      </c>
      <c r="K117" s="7" t="str">
        <f>AN117/Sum(AN1:AN$458)</f>
      </c>
      <c r="O117" t="s">
        <v>211</v>
      </c>
      <c r="P117" t="n">
        <v>962</v>
      </c>
      <c r="Q117" s="11"/>
      <c r="R117" s="11" t="n">
        <v>11289477.0121891</v>
      </c>
      <c r="S117" s="11" t="n">
        <v>1165452.72129287</v>
      </c>
      <c r="T117" s="11" t="n">
        <v>6583632.28908106</v>
      </c>
      <c r="U117" s="11"/>
      <c r="V117" s="11"/>
      <c r="W117" s="11"/>
      <c r="X117" s="11"/>
      <c r="Y117" s="11"/>
      <c r="Z117" s="11" t="n">
        <v>-145156.65942075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</row>
    <row r="118">
      <c r="A118" t="str">
        <f>O118</f>
      </c>
      <c r="B118" t="str">
        <f>P118</f>
      </c>
      <c r="C118" s="11" t="str">
        <f>AF118</f>
      </c>
      <c r="D118" s="11" t="str">
        <f>AL118</f>
      </c>
      <c r="E118" s="11" t="str">
        <f>AM118</f>
      </c>
      <c r="F118" s="11" t="str">
        <f>AN118</f>
      </c>
      <c r="G118" s="7" t="str">
        <f>AM118/AL118-1</f>
      </c>
      <c r="H118" s="7" t="str">
        <f>AM118/AF118-1</f>
      </c>
      <c r="I118" s="7" t="str">
        <f>AN118/AM118</f>
      </c>
      <c r="J118" s="7" t="str">
        <f>AM118/Sum(AM$1:AM$458)</f>
      </c>
      <c r="K118" s="7" t="str">
        <f>AN118/Sum(AN1:AN$458)</f>
      </c>
      <c r="O118" t="s">
        <v>212</v>
      </c>
      <c r="P118" t="n">
        <v>1007</v>
      </c>
      <c r="Q118" s="11" t="n">
        <v>4918453.53888263</v>
      </c>
      <c r="R118" s="11" t="n">
        <v>279260.778058923</v>
      </c>
      <c r="S118" s="11" t="n">
        <v>40489319.8447089</v>
      </c>
      <c r="T118" s="11" t="n">
        <v>13179436.9987875</v>
      </c>
      <c r="U118" s="11"/>
      <c r="V118" s="11"/>
      <c r="W118" s="11"/>
      <c r="X118" s="11"/>
      <c r="Y118" s="11" t="n">
        <v>-16423.4338781941</v>
      </c>
      <c r="Z118" s="11"/>
      <c r="AA118" s="11"/>
      <c r="AB118" s="11"/>
      <c r="AC118" s="11"/>
      <c r="AD118" s="11"/>
      <c r="AE118" s="11"/>
      <c r="AF118" s="11"/>
      <c r="AG118" s="11" t="n">
        <v>0</v>
      </c>
      <c r="AH118" s="11"/>
      <c r="AI118" s="11"/>
      <c r="AJ118" s="11"/>
      <c r="AK118" s="11"/>
      <c r="AL118" s="11"/>
      <c r="AM118" s="11"/>
      <c r="AN118" s="11"/>
      <c r="AO118" s="11"/>
    </row>
    <row r="119">
      <c r="A119" t="str">
        <f>O119</f>
      </c>
      <c r="B119" t="str">
        <f>P119</f>
      </c>
      <c r="C119" s="11" t="str">
        <f>AF119</f>
      </c>
      <c r="D119" s="11" t="str">
        <f>AL119</f>
      </c>
      <c r="E119" s="11" t="str">
        <f>AM119</f>
      </c>
      <c r="F119" s="11" t="str">
        <f>AN119</f>
      </c>
      <c r="G119" s="7" t="str">
        <f>AM119/AL119-1</f>
      </c>
      <c r="H119" s="7" t="str">
        <f>AM119/AF119-1</f>
      </c>
      <c r="I119" s="7" t="str">
        <f>AN119/AM119</f>
      </c>
      <c r="J119" s="7" t="str">
        <f>AM119/Sum(AM$1:AM$458)</f>
      </c>
      <c r="K119" s="7" t="str">
        <f>AN119/Sum(AN1:AN$458)</f>
      </c>
      <c r="O119" t="s">
        <v>213</v>
      </c>
      <c r="P119" t="n">
        <v>1058</v>
      </c>
      <c r="Q119" s="11"/>
      <c r="R119" s="11" t="n">
        <v>865574.32642578</v>
      </c>
      <c r="S119" s="11" t="n">
        <v>615598.765073488</v>
      </c>
      <c r="T119" s="11" t="n">
        <v>404786.320135101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</row>
    <row r="120">
      <c r="A120" t="str">
        <f>O120</f>
      </c>
      <c r="B120" t="str">
        <f>P120</f>
      </c>
      <c r="C120" s="11" t="str">
        <f>AF120</f>
      </c>
      <c r="D120" s="11" t="str">
        <f>AL120</f>
      </c>
      <c r="E120" s="11" t="str">
        <f>AM120</f>
      </c>
      <c r="F120" s="11" t="str">
        <f>AN120</f>
      </c>
      <c r="G120" s="7" t="str">
        <f>AM120/AL120-1</f>
      </c>
      <c r="H120" s="7" t="str">
        <f>AM120/AF120-1</f>
      </c>
      <c r="I120" s="7" t="str">
        <f>AN120/AM120</f>
      </c>
      <c r="J120" s="7" t="str">
        <f>AM120/Sum(AM$1:AM$458)</f>
      </c>
      <c r="K120" s="7" t="str">
        <f>AN120/Sum(AN1:AN$458)</f>
      </c>
      <c r="O120" t="s">
        <v>214</v>
      </c>
      <c r="P120" t="n">
        <v>1083</v>
      </c>
      <c r="Q120" s="11" t="n">
        <v>14050907.1621387</v>
      </c>
      <c r="R120" s="11" t="n">
        <v>4383714.32287784</v>
      </c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</row>
    <row r="121">
      <c r="A121" t="str">
        <f>O121</f>
      </c>
      <c r="B121" t="str">
        <f>P121</f>
      </c>
      <c r="C121" s="11" t="str">
        <f>AF121</f>
      </c>
      <c r="D121" s="11" t="str">
        <f>AL121</f>
      </c>
      <c r="E121" s="11" t="str">
        <f>AM121</f>
      </c>
      <c r="F121" s="11" t="str">
        <f>AN121</f>
      </c>
      <c r="G121" s="7" t="str">
        <f>AM121/AL121-1</f>
      </c>
      <c r="H121" s="7" t="str">
        <f>AM121/AF121-1</f>
      </c>
      <c r="I121" s="7" t="str">
        <f>AN121/AM121</f>
      </c>
      <c r="J121" s="7" t="str">
        <f>AM121/Sum(AM$1:AM$458)</f>
      </c>
      <c r="K121" s="7" t="str">
        <f>AN121/Sum(AN1:AN$458)</f>
      </c>
      <c r="O121" t="s">
        <v>215</v>
      </c>
      <c r="P121" t="n">
        <v>1056</v>
      </c>
      <c r="Q121" s="11"/>
      <c r="R121" s="11" t="n">
        <v>151989.9224198</v>
      </c>
      <c r="S121" s="11" t="n">
        <v>236592.792821885</v>
      </c>
      <c r="T121" s="11" t="n">
        <v>67627.9453372126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</row>
    <row r="122">
      <c r="A122" t="str">
        <f>O122</f>
      </c>
      <c r="B122" t="str">
        <f>P122</f>
      </c>
      <c r="C122" s="11" t="str">
        <f>AF122</f>
      </c>
      <c r="D122" s="11" t="str">
        <f>AL122</f>
      </c>
      <c r="E122" s="11" t="str">
        <f>AM122</f>
      </c>
      <c r="F122" s="11" t="str">
        <f>AN122</f>
      </c>
      <c r="G122" s="7" t="str">
        <f>AM122/AL122-1</f>
      </c>
      <c r="H122" s="7" t="str">
        <f>AM122/AF122-1</f>
      </c>
      <c r="I122" s="7" t="str">
        <f>AN122/AM122</f>
      </c>
      <c r="J122" s="7" t="str">
        <f>AM122/Sum(AM$1:AM$458)</f>
      </c>
      <c r="K122" s="7" t="str">
        <f>AN122/Sum(AN1:AN$458)</f>
      </c>
      <c r="O122" t="s">
        <v>216</v>
      </c>
      <c r="P122" t="n">
        <v>1059</v>
      </c>
      <c r="Q122" s="11" t="n">
        <v>4061850.01704676</v>
      </c>
      <c r="R122" s="11" t="n">
        <v>13380970.3455625</v>
      </c>
      <c r="S122" s="11" t="n">
        <v>7361854.7550588</v>
      </c>
      <c r="T122" s="11" t="n">
        <v>2502368.0752504</v>
      </c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</row>
    <row r="123">
      <c r="A123" t="str">
        <f>O123</f>
      </c>
      <c r="B123" t="str">
        <f>P123</f>
      </c>
      <c r="C123" s="11" t="str">
        <f>AF123</f>
      </c>
      <c r="D123" s="11" t="str">
        <f>AL123</f>
      </c>
      <c r="E123" s="11" t="str">
        <f>AM123</f>
      </c>
      <c r="F123" s="11" t="str">
        <f>AN123</f>
      </c>
      <c r="G123" s="7" t="str">
        <f>AM123/AL123-1</f>
      </c>
      <c r="H123" s="7" t="str">
        <f>AM123/AF123-1</f>
      </c>
      <c r="I123" s="7" t="str">
        <f>AN123/AM123</f>
      </c>
      <c r="J123" s="7" t="str">
        <f>AM123/Sum(AM$1:AM$458)</f>
      </c>
      <c r="K123" s="7" t="str">
        <f>AN123/Sum(AN1:AN$458)</f>
      </c>
      <c r="O123" t="s">
        <v>217</v>
      </c>
      <c r="P123" t="n">
        <v>1033</v>
      </c>
      <c r="Q123" s="11" t="n">
        <v>12492415.9651126</v>
      </c>
      <c r="R123" s="11" t="n">
        <v>2820253.06746424</v>
      </c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</row>
    <row r="124">
      <c r="A124" t="str">
        <f>O124</f>
      </c>
      <c r="B124" t="str">
        <f>P124</f>
      </c>
      <c r="C124" s="11" t="str">
        <f>AF124</f>
      </c>
      <c r="D124" s="11" t="str">
        <f>AL124</f>
      </c>
      <c r="E124" s="11" t="str">
        <f>AM124</f>
      </c>
      <c r="F124" s="11" t="str">
        <f>AN124</f>
      </c>
      <c r="G124" s="7" t="str">
        <f>AM124/AL124-1</f>
      </c>
      <c r="H124" s="7" t="str">
        <f>AM124/AF124-1</f>
      </c>
      <c r="I124" s="7" t="str">
        <f>AN124/AM124</f>
      </c>
      <c r="J124" s="7" t="str">
        <f>AM124/Sum(AM$1:AM$458)</f>
      </c>
      <c r="K124" s="7" t="str">
        <f>AN124/Sum(AN1:AN$458)</f>
      </c>
      <c r="O124" t="s">
        <v>218</v>
      </c>
      <c r="P124" t="n">
        <v>1114</v>
      </c>
      <c r="Q124" s="11"/>
      <c r="R124" s="11"/>
      <c r="S124" s="11" t="n">
        <v>353537.332468743</v>
      </c>
      <c r="T124" s="11" t="n">
        <v>556200.992521014</v>
      </c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</row>
    <row r="125">
      <c r="A125" t="str">
        <f>O125</f>
      </c>
      <c r="B125" t="str">
        <f>P125</f>
      </c>
      <c r="C125" s="11" t="str">
        <f>AF125</f>
      </c>
      <c r="D125" s="11" t="str">
        <f>AL125</f>
      </c>
      <c r="E125" s="11" t="str">
        <f>AM125</f>
      </c>
      <c r="F125" s="11" t="str">
        <f>AN125</f>
      </c>
      <c r="G125" s="7" t="str">
        <f>AM125/AL125-1</f>
      </c>
      <c r="H125" s="7" t="str">
        <f>AM125/AF125-1</f>
      </c>
      <c r="I125" s="7" t="str">
        <f>AN125/AM125</f>
      </c>
      <c r="J125" s="7" t="str">
        <f>AM125/Sum(AM$1:AM$458)</f>
      </c>
      <c r="K125" s="7" t="str">
        <f>AN125/Sum(AN1:AN$458)</f>
      </c>
      <c r="O125" t="s">
        <v>219</v>
      </c>
      <c r="P125" t="n">
        <v>49</v>
      </c>
      <c r="Q125" s="11"/>
      <c r="R125" s="11"/>
      <c r="S125" s="11"/>
      <c r="T125" s="11"/>
      <c r="U125" s="11"/>
      <c r="V125" s="11"/>
      <c r="W125" s="11"/>
      <c r="X125" s="11" t="n">
        <v>8573.14674667806</v>
      </c>
      <c r="Y125" s="11" t="n">
        <v>5339750.66667818</v>
      </c>
      <c r="Z125" s="11" t="n">
        <v>26860926.3420571</v>
      </c>
      <c r="AA125" s="11" t="n">
        <v>29523327.8201608</v>
      </c>
      <c r="AB125" s="11" t="n">
        <v>9513904.58043586</v>
      </c>
      <c r="AC125" s="11" t="n">
        <v>6049677.19884572</v>
      </c>
      <c r="AD125" s="11" t="n">
        <v>5580801.33474769</v>
      </c>
      <c r="AE125" s="11" t="n">
        <v>6576049.30353613</v>
      </c>
      <c r="AF125" s="11" t="n">
        <v>1827958.09222318</v>
      </c>
      <c r="AG125" s="11" t="n">
        <v>0</v>
      </c>
      <c r="AH125" s="11"/>
      <c r="AI125" s="11" t="n">
        <v>-4190.81519724656</v>
      </c>
      <c r="AJ125" s="11" t="n">
        <v>-11592.4367611241</v>
      </c>
      <c r="AK125" s="11"/>
      <c r="AL125" s="11"/>
      <c r="AM125" s="11" t="n">
        <v>91503.6172</v>
      </c>
      <c r="AN125" s="11"/>
      <c r="AO125" s="11"/>
    </row>
    <row r="126">
      <c r="A126" t="str">
        <f>O126</f>
      </c>
      <c r="B126" t="str">
        <f>P126</f>
      </c>
      <c r="C126" s="11" t="str">
        <f>AF126</f>
      </c>
      <c r="D126" s="11" t="str">
        <f>AL126</f>
      </c>
      <c r="E126" s="11" t="str">
        <f>AM126</f>
      </c>
      <c r="F126" s="11" t="str">
        <f>AN126</f>
      </c>
      <c r="G126" s="7" t="str">
        <f>AM126/AL126-1</f>
      </c>
      <c r="H126" s="7" t="str">
        <f>AM126/AF126-1</f>
      </c>
      <c r="I126" s="7" t="str">
        <f>AN126/AM126</f>
      </c>
      <c r="J126" s="7" t="str">
        <f>AM126/Sum(AM$1:AM$458)</f>
      </c>
      <c r="K126" s="7" t="str">
        <f>AN126/Sum(AN1:AN$458)</f>
      </c>
      <c r="O126" t="s">
        <v>220</v>
      </c>
      <c r="P126" t="n">
        <v>1109</v>
      </c>
      <c r="Q126" s="11" t="n">
        <v>157888025.609709</v>
      </c>
      <c r="R126" s="11" t="n">
        <v>128041091.979651</v>
      </c>
      <c r="S126" s="11" t="n">
        <v>125458191.894575</v>
      </c>
      <c r="T126" s="11" t="n">
        <v>45186077.9715893</v>
      </c>
      <c r="U126" s="11"/>
      <c r="V126" s="11"/>
      <c r="W126" s="11"/>
      <c r="X126" s="11"/>
      <c r="Y126" s="11"/>
      <c r="Z126" s="11" t="n">
        <v>0</v>
      </c>
      <c r="AA126" s="11" t="n">
        <v>-3081034.56693856</v>
      </c>
      <c r="AB126" s="11" t="n">
        <v>-3895600.22585892</v>
      </c>
      <c r="AC126" s="11"/>
      <c r="AD126" s="11"/>
      <c r="AE126" s="11"/>
      <c r="AF126" s="11"/>
      <c r="AG126" s="11"/>
      <c r="AH126" s="11"/>
      <c r="AI126" s="11" t="n">
        <v>-137681.072178251</v>
      </c>
      <c r="AJ126" s="11"/>
      <c r="AK126" s="11"/>
      <c r="AL126" s="11"/>
      <c r="AM126" s="11"/>
      <c r="AN126" s="11"/>
      <c r="AO126" s="11"/>
    </row>
    <row r="127">
      <c r="A127" t="str">
        <f>O127</f>
      </c>
      <c r="B127" t="str">
        <f>P127</f>
      </c>
      <c r="C127" s="11" t="str">
        <f>AF127</f>
      </c>
      <c r="D127" s="11" t="str">
        <f>AL127</f>
      </c>
      <c r="E127" s="11" t="str">
        <f>AM127</f>
      </c>
      <c r="F127" s="11" t="str">
        <f>AN127</f>
      </c>
      <c r="G127" s="7" t="str">
        <f>AM127/AL127-1</f>
      </c>
      <c r="H127" s="7" t="str">
        <f>AM127/AF127-1</f>
      </c>
      <c r="I127" s="7" t="str">
        <f>AN127/AM127</f>
      </c>
      <c r="J127" s="7" t="str">
        <f>AM127/Sum(AM$1:AM$458)</f>
      </c>
      <c r="K127" s="7" t="str">
        <f>AN127/Sum(AN1:AN$458)</f>
      </c>
      <c r="O127" t="s">
        <v>221</v>
      </c>
      <c r="P127" t="n">
        <v>1128</v>
      </c>
      <c r="Q127" s="11" t="n">
        <v>4031000.88320652</v>
      </c>
      <c r="R127" s="11" t="n">
        <v>7472903.58052101</v>
      </c>
      <c r="S127" s="11" t="n">
        <v>126914.580342344</v>
      </c>
      <c r="T127" s="11" t="n">
        <v>40040.3761081703</v>
      </c>
      <c r="U127" s="11"/>
      <c r="V127" s="11"/>
      <c r="W127" s="11"/>
      <c r="X127" s="11"/>
      <c r="Y127" s="11"/>
      <c r="Z127" s="11"/>
      <c r="AA127" s="11" t="n">
        <v>-13336.073337791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</row>
    <row r="128">
      <c r="A128" t="str">
        <f>O128</f>
      </c>
      <c r="B128" t="str">
        <f>P128</f>
      </c>
      <c r="C128" s="11" t="str">
        <f>AF128</f>
      </c>
      <c r="D128" s="11" t="str">
        <f>AL128</f>
      </c>
      <c r="E128" s="11" t="str">
        <f>AM128</f>
      </c>
      <c r="F128" s="11" t="str">
        <f>AN128</f>
      </c>
      <c r="G128" s="7" t="str">
        <f>AM128/AL128-1</f>
      </c>
      <c r="H128" s="7" t="str">
        <f>AM128/AF128-1</f>
      </c>
      <c r="I128" s="7" t="str">
        <f>AN128/AM128</f>
      </c>
      <c r="J128" s="7" t="str">
        <f>AM128/Sum(AM$1:AM$458)</f>
      </c>
      <c r="K128" s="7" t="str">
        <f>AN128/Sum(AN1:AN$458)</f>
      </c>
      <c r="O128" t="s">
        <v>222</v>
      </c>
      <c r="P128" t="n">
        <v>1103</v>
      </c>
      <c r="Q128" s="11"/>
      <c r="R128" s="11" t="n">
        <v>100684.055924921</v>
      </c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</row>
    <row r="129">
      <c r="A129" t="str">
        <f>O129</f>
      </c>
      <c r="B129" t="str">
        <f>P129</f>
      </c>
      <c r="C129" s="11" t="str">
        <f>AF129</f>
      </c>
      <c r="D129" s="11" t="str">
        <f>AL129</f>
      </c>
      <c r="E129" s="11" t="str">
        <f>AM129</f>
      </c>
      <c r="F129" s="11" t="str">
        <f>AN129</f>
      </c>
      <c r="G129" s="7" t="str">
        <f>AM129/AL129-1</f>
      </c>
      <c r="H129" s="7" t="str">
        <f>AM129/AF129-1</f>
      </c>
      <c r="I129" s="7" t="str">
        <f>AN129/AM129</f>
      </c>
      <c r="J129" s="7" t="str">
        <f>AM129/Sum(AM$1:AM$458)</f>
      </c>
      <c r="K129" s="7" t="str">
        <f>AN129/Sum(AN1:AN$458)</f>
      </c>
      <c r="O129" t="s">
        <v>223</v>
      </c>
      <c r="P129" t="n">
        <v>1136</v>
      </c>
      <c r="Q129" s="11"/>
      <c r="R129" s="11"/>
      <c r="S129" s="11"/>
      <c r="T129" s="11" t="n">
        <v>1845866.51963699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</row>
    <row r="130">
      <c r="A130" t="str">
        <f>O130</f>
      </c>
      <c r="B130" t="str">
        <f>P130</f>
      </c>
      <c r="C130" s="11" t="str">
        <f>AF130</f>
      </c>
      <c r="D130" s="11" t="str">
        <f>AL130</f>
      </c>
      <c r="E130" s="11" t="str">
        <f>AM130</f>
      </c>
      <c r="F130" s="11" t="str">
        <f>AN130</f>
      </c>
      <c r="G130" s="7" t="str">
        <f>AM130/AL130-1</f>
      </c>
      <c r="H130" s="7" t="str">
        <f>AM130/AF130-1</f>
      </c>
      <c r="I130" s="7" t="str">
        <f>AN130/AM130</f>
      </c>
      <c r="J130" s="7" t="str">
        <f>AM130/Sum(AM$1:AM$458)</f>
      </c>
      <c r="K130" s="7" t="str">
        <f>AN130/Sum(AN1:AN$458)</f>
      </c>
      <c r="O130" t="s">
        <v>224</v>
      </c>
      <c r="P130" t="n">
        <v>1133</v>
      </c>
      <c r="Q130" s="11" t="n">
        <v>1893942.60703892</v>
      </c>
      <c r="R130" s="11" t="n">
        <v>36817614.4656219</v>
      </c>
      <c r="S130" s="11" t="n">
        <v>1664305.72634707</v>
      </c>
      <c r="T130" s="11" t="n">
        <v>30398407.8985832</v>
      </c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</row>
    <row r="131">
      <c r="A131" t="str">
        <f>O131</f>
      </c>
      <c r="B131" t="str">
        <f>P131</f>
      </c>
      <c r="C131" s="11" t="str">
        <f>AF131</f>
      </c>
      <c r="D131" s="11" t="str">
        <f>AL131</f>
      </c>
      <c r="E131" s="11" t="str">
        <f>AM131</f>
      </c>
      <c r="F131" s="11" t="str">
        <f>AN131</f>
      </c>
      <c r="G131" s="7" t="str">
        <f>AM131/AL131-1</f>
      </c>
      <c r="H131" s="7" t="str">
        <f>AM131/AF131-1</f>
      </c>
      <c r="I131" s="7" t="str">
        <f>AN131/AM131</f>
      </c>
      <c r="J131" s="7" t="str">
        <f>AM131/Sum(AM$1:AM$458)</f>
      </c>
      <c r="K131" s="7" t="str">
        <f>AN131/Sum(AN1:AN$458)</f>
      </c>
      <c r="O131" t="s">
        <v>225</v>
      </c>
      <c r="P131" t="n">
        <v>1135</v>
      </c>
      <c r="Q131" s="11"/>
      <c r="R131" s="11"/>
      <c r="S131" s="11"/>
      <c r="T131" s="11" t="n">
        <v>152.383833567401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</row>
    <row r="132">
      <c r="A132" t="str">
        <f>O132</f>
      </c>
      <c r="B132" t="str">
        <f>P132</f>
      </c>
      <c r="C132" s="11" t="str">
        <f>AF132</f>
      </c>
      <c r="D132" s="11" t="str">
        <f>AL132</f>
      </c>
      <c r="E132" s="11" t="str">
        <f>AM132</f>
      </c>
      <c r="F132" s="11" t="str">
        <f>AN132</f>
      </c>
      <c r="G132" s="7" t="str">
        <f>AM132/AL132-1</f>
      </c>
      <c r="H132" s="7" t="str">
        <f>AM132/AF132-1</f>
      </c>
      <c r="I132" s="7" t="str">
        <f>AN132/AM132</f>
      </c>
      <c r="J132" s="7" t="str">
        <f>AM132/Sum(AM$1:AM$458)</f>
      </c>
      <c r="K132" s="7" t="str">
        <f>AN132/Sum(AN1:AN$458)</f>
      </c>
      <c r="O132" t="s">
        <v>226</v>
      </c>
      <c r="P132" t="n">
        <v>1137</v>
      </c>
      <c r="Q132" s="11"/>
      <c r="R132" s="11"/>
      <c r="S132" s="11" t="n">
        <v>21371258.9912859</v>
      </c>
      <c r="T132" s="11" t="n">
        <v>18679432.799089</v>
      </c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</row>
    <row r="133">
      <c r="A133" t="str">
        <f>O133</f>
      </c>
      <c r="B133" t="str">
        <f>P133</f>
      </c>
      <c r="C133" s="11" t="str">
        <f>AF133</f>
      </c>
      <c r="D133" s="11" t="str">
        <f>AL133</f>
      </c>
      <c r="E133" s="11" t="str">
        <f>AM133</f>
      </c>
      <c r="F133" s="11" t="str">
        <f>AN133</f>
      </c>
      <c r="G133" s="7" t="str">
        <f>AM133/AL133-1</f>
      </c>
      <c r="H133" s="7" t="str">
        <f>AM133/AF133-1</f>
      </c>
      <c r="I133" s="7" t="str">
        <f>AN133/AM133</f>
      </c>
      <c r="J133" s="7" t="str">
        <f>AM133/Sum(AM$1:AM$458)</f>
      </c>
      <c r="K133" s="7" t="str">
        <f>AN133/Sum(AN1:AN$458)</f>
      </c>
      <c r="O133" t="s">
        <v>227</v>
      </c>
      <c r="P133" t="n">
        <v>1138</v>
      </c>
      <c r="Q133" s="11" t="n">
        <v>12043942.6223884</v>
      </c>
      <c r="R133" s="11" t="n">
        <v>378974.685542868</v>
      </c>
      <c r="S133" s="11" t="n">
        <v>6034452.54406375</v>
      </c>
      <c r="T133" s="11" t="n">
        <v>5080690.34850414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</row>
    <row r="134">
      <c r="A134" t="str">
        <f>O134</f>
      </c>
      <c r="B134" t="str">
        <f>P134</f>
      </c>
      <c r="C134" s="11" t="str">
        <f>AF134</f>
      </c>
      <c r="D134" s="11" t="str">
        <f>AL134</f>
      </c>
      <c r="E134" s="11" t="str">
        <f>AM134</f>
      </c>
      <c r="F134" s="11" t="str">
        <f>AN134</f>
      </c>
      <c r="G134" s="7" t="str">
        <f>AM134/AL134-1</f>
      </c>
      <c r="H134" s="7" t="str">
        <f>AM134/AF134-1</f>
      </c>
      <c r="I134" s="7" t="str">
        <f>AN134/AM134</f>
      </c>
      <c r="J134" s="7" t="str">
        <f>AM134/Sum(AM$1:AM$458)</f>
      </c>
      <c r="K134" s="7" t="str">
        <f>AN134/Sum(AN1:AN$458)</f>
      </c>
      <c r="O134" t="s">
        <v>228</v>
      </c>
      <c r="P134" t="n">
        <v>1006</v>
      </c>
      <c r="Q134" s="11" t="n">
        <v>7210253.51337672</v>
      </c>
      <c r="R134" s="11" t="n">
        <v>10338234.6347322</v>
      </c>
      <c r="S134" s="11" t="n">
        <v>7935399.20517376</v>
      </c>
      <c r="T134" s="11" t="n">
        <v>160297.126044556</v>
      </c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</row>
    <row r="135">
      <c r="A135" t="str">
        <f>O135</f>
      </c>
      <c r="B135" t="str">
        <f>P135</f>
      </c>
      <c r="C135" s="11" t="str">
        <f>AF135</f>
      </c>
      <c r="D135" s="11" t="str">
        <f>AL135</f>
      </c>
      <c r="E135" s="11" t="str">
        <f>AM135</f>
      </c>
      <c r="F135" s="11" t="str">
        <f>AN135</f>
      </c>
      <c r="G135" s="7" t="str">
        <f>AM135/AL135-1</f>
      </c>
      <c r="H135" s="7" t="str">
        <f>AM135/AF135-1</f>
      </c>
      <c r="I135" s="7" t="str">
        <f>AN135/AM135</f>
      </c>
      <c r="J135" s="7" t="str">
        <f>AM135/Sum(AM$1:AM$458)</f>
      </c>
      <c r="K135" s="7" t="str">
        <f>AN135/Sum(AN1:AN$458)</f>
      </c>
      <c r="O135" t="s">
        <v>229</v>
      </c>
      <c r="P135" t="n">
        <v>505</v>
      </c>
      <c r="Q135" s="11" t="n">
        <v>285604.522247448</v>
      </c>
      <c r="R135" s="11" t="n">
        <v>12082365.9244443</v>
      </c>
      <c r="S135" s="11" t="n">
        <v>9040781.65479341</v>
      </c>
      <c r="T135" s="11" t="n">
        <v>6053874.46319899</v>
      </c>
      <c r="U135" s="11" t="n">
        <v>-6677.29470647013</v>
      </c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</row>
    <row r="136">
      <c r="A136" t="str">
        <f>O136</f>
      </c>
      <c r="B136" t="str">
        <f>P136</f>
      </c>
      <c r="C136" s="11" t="str">
        <f>AF136</f>
      </c>
      <c r="D136" s="11" t="str">
        <f>AL136</f>
      </c>
      <c r="E136" s="11" t="str">
        <f>AM136</f>
      </c>
      <c r="F136" s="11" t="str">
        <f>AN136</f>
      </c>
      <c r="G136" s="7" t="str">
        <f>AM136/AL136-1</f>
      </c>
      <c r="H136" s="7" t="str">
        <f>AM136/AF136-1</f>
      </c>
      <c r="I136" s="7" t="str">
        <f>AN136/AM136</f>
      </c>
      <c r="J136" s="7" t="str">
        <f>AM136/Sum(AM$1:AM$458)</f>
      </c>
      <c r="K136" s="7" t="str">
        <f>AN136/Sum(AN1:AN$458)</f>
      </c>
      <c r="O136" t="s">
        <v>230</v>
      </c>
      <c r="P136" t="n">
        <v>507</v>
      </c>
      <c r="Q136" s="11"/>
      <c r="R136" s="11" t="n">
        <v>53755729.5073952</v>
      </c>
      <c r="S136" s="11" t="n">
        <v>37816542.9490477</v>
      </c>
      <c r="T136" s="11" t="n">
        <v>40781970.3202861</v>
      </c>
      <c r="U136" s="11"/>
      <c r="V136" s="11"/>
      <c r="W136" s="11"/>
      <c r="X136" s="11"/>
      <c r="Y136" s="11"/>
      <c r="Z136" s="11"/>
      <c r="AA136" s="11" t="n">
        <v>-31093.6037885866</v>
      </c>
      <c r="AB136" s="11"/>
      <c r="AC136" s="11"/>
      <c r="AD136" s="11"/>
      <c r="AE136" s="11"/>
      <c r="AF136" s="11"/>
      <c r="AG136" s="11" t="n">
        <v>0</v>
      </c>
      <c r="AH136" s="11"/>
      <c r="AI136" s="11"/>
      <c r="AJ136" s="11"/>
      <c r="AK136" s="11"/>
      <c r="AL136" s="11"/>
      <c r="AM136" s="11"/>
      <c r="AN136" s="11"/>
      <c r="AO136" s="11"/>
    </row>
    <row r="137">
      <c r="A137" t="str">
        <f>O137</f>
      </c>
      <c r="B137" t="str">
        <f>P137</f>
      </c>
      <c r="C137" s="11" t="str">
        <f>AF137</f>
      </c>
      <c r="D137" s="11" t="str">
        <f>AL137</f>
      </c>
      <c r="E137" s="11" t="str">
        <f>AM137</f>
      </c>
      <c r="F137" s="11" t="str">
        <f>AN137</f>
      </c>
      <c r="G137" s="7" t="str">
        <f>AM137/AL137-1</f>
      </c>
      <c r="H137" s="7" t="str">
        <f>AM137/AF137-1</f>
      </c>
      <c r="I137" s="7" t="str">
        <f>AN137/AM137</f>
      </c>
      <c r="J137" s="7" t="str">
        <f>AM137/Sum(AM$1:AM$458)</f>
      </c>
      <c r="K137" s="7" t="str">
        <f>AN137/Sum(AN1:AN$458)</f>
      </c>
      <c r="O137" t="s">
        <v>231</v>
      </c>
      <c r="P137" t="n">
        <v>1702</v>
      </c>
      <c r="Q137" s="11"/>
      <c r="R137" s="11"/>
      <c r="S137" s="11"/>
      <c r="T137" s="11" t="n">
        <v>1866093.94970473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</row>
    <row r="138">
      <c r="A138" t="str">
        <f>O138</f>
      </c>
      <c r="B138" t="str">
        <f>P138</f>
      </c>
      <c r="C138" s="11" t="str">
        <f>AF138</f>
      </c>
      <c r="D138" s="11" t="str">
        <f>AL138</f>
      </c>
      <c r="E138" s="11" t="str">
        <f>AM138</f>
      </c>
      <c r="F138" s="11" t="str">
        <f>AN138</f>
      </c>
      <c r="G138" s="7" t="str">
        <f>AM138/AL138-1</f>
      </c>
      <c r="H138" s="7" t="str">
        <f>AM138/AF138-1</f>
      </c>
      <c r="I138" s="7" t="str">
        <f>AN138/AM138</f>
      </c>
      <c r="J138" s="7" t="str">
        <f>AM138/Sum(AM$1:AM$458)</f>
      </c>
      <c r="K138" s="7" t="str">
        <f>AN138/Sum(AN1:AN$458)</f>
      </c>
      <c r="O138" t="s">
        <v>232</v>
      </c>
      <c r="P138" t="n">
        <v>501</v>
      </c>
      <c r="Q138" s="11"/>
      <c r="R138" s="11" t="n">
        <v>125961.549613088</v>
      </c>
      <c r="S138" s="11" t="n">
        <v>19963.375878577</v>
      </c>
      <c r="T138" s="11" t="n">
        <v>152376.214375723</v>
      </c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</row>
    <row r="139">
      <c r="A139" t="str">
        <f>O139</f>
      </c>
      <c r="B139" t="str">
        <f>P139</f>
      </c>
      <c r="C139" s="11" t="str">
        <f>AF139</f>
      </c>
      <c r="D139" s="11" t="str">
        <f>AL139</f>
      </c>
      <c r="E139" s="11" t="str">
        <f>AM139</f>
      </c>
      <c r="F139" s="11" t="str">
        <f>AN139</f>
      </c>
      <c r="G139" s="7" t="str">
        <f>AM139/AL139-1</f>
      </c>
      <c r="H139" s="7" t="str">
        <f>AM139/AF139-1</f>
      </c>
      <c r="I139" s="7" t="str">
        <f>AN139/AM139</f>
      </c>
      <c r="J139" s="7" t="str">
        <f>AM139/Sum(AM$1:AM$458)</f>
      </c>
      <c r="K139" s="7" t="str">
        <f>AN139/Sum(AN1:AN$458)</f>
      </c>
      <c r="O139" t="s">
        <v>233</v>
      </c>
      <c r="P139" t="n">
        <v>518</v>
      </c>
      <c r="Q139" s="11"/>
      <c r="R139" s="11" t="n">
        <v>66900.805498949</v>
      </c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</row>
    <row r="140">
      <c r="A140" t="str">
        <f>O140</f>
      </c>
      <c r="B140" t="str">
        <f>P140</f>
      </c>
      <c r="C140" s="11" t="str">
        <f>AF140</f>
      </c>
      <c r="D140" s="11" t="str">
        <f>AL140</f>
      </c>
      <c r="E140" s="11" t="str">
        <f>AM140</f>
      </c>
      <c r="F140" s="11" t="str">
        <f>AN140</f>
      </c>
      <c r="G140" s="7" t="str">
        <f>AM140/AL140-1</f>
      </c>
      <c r="H140" s="7" t="str">
        <f>AM140/AF140-1</f>
      </c>
      <c r="I140" s="7" t="str">
        <f>AN140/AM140</f>
      </c>
      <c r="J140" s="7" t="str">
        <f>AM140/Sum(AM$1:AM$458)</f>
      </c>
      <c r="K140" s="7" t="str">
        <f>AN140/Sum(AN1:AN$458)</f>
      </c>
      <c r="O140" t="s">
        <v>234</v>
      </c>
      <c r="P140" t="n">
        <v>519</v>
      </c>
      <c r="Q140" s="11"/>
      <c r="R140" s="11"/>
      <c r="S140" s="11" t="n">
        <v>647214.043652724</v>
      </c>
      <c r="T140" s="11" t="n">
        <v>230293.116155406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</row>
    <row r="141">
      <c r="A141" t="str">
        <f>O141</f>
      </c>
      <c r="B141" t="str">
        <f>P141</f>
      </c>
      <c r="C141" s="11" t="str">
        <f>AF141</f>
      </c>
      <c r="D141" s="11" t="str">
        <f>AL141</f>
      </c>
      <c r="E141" s="11" t="str">
        <f>AM141</f>
      </c>
      <c r="F141" s="11" t="str">
        <f>AN141</f>
      </c>
      <c r="G141" s="7" t="str">
        <f>AM141/AL141-1</f>
      </c>
      <c r="H141" s="7" t="str">
        <f>AM141/AF141-1</f>
      </c>
      <c r="I141" s="7" t="str">
        <f>AN141/AM141</f>
      </c>
      <c r="J141" s="7" t="str">
        <f>AM141/Sum(AM$1:AM$458)</f>
      </c>
      <c r="K141" s="7" t="str">
        <f>AN141/Sum(AN1:AN$458)</f>
      </c>
      <c r="O141" t="s">
        <v>235</v>
      </c>
      <c r="P141" t="n">
        <v>1691</v>
      </c>
      <c r="Q141" s="11"/>
      <c r="R141" s="11"/>
      <c r="S141" s="11"/>
      <c r="T141" s="11" t="n">
        <v>4836784.78449616</v>
      </c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</row>
    <row r="142">
      <c r="A142" t="str">
        <f>O142</f>
      </c>
      <c r="B142" t="str">
        <f>P142</f>
      </c>
      <c r="C142" s="11" t="str">
        <f>AF142</f>
      </c>
      <c r="D142" s="11" t="str">
        <f>AL142</f>
      </c>
      <c r="E142" s="11" t="str">
        <f>AM142</f>
      </c>
      <c r="F142" s="11" t="str">
        <f>AN142</f>
      </c>
      <c r="G142" s="7" t="str">
        <f>AM142/AL142-1</f>
      </c>
      <c r="H142" s="7" t="str">
        <f>AM142/AF142-1</f>
      </c>
      <c r="I142" s="7" t="str">
        <f>AN142/AM142</f>
      </c>
      <c r="J142" s="7" t="str">
        <f>AM142/Sum(AM$1:AM$458)</f>
      </c>
      <c r="K142" s="7" t="str">
        <f>AN142/Sum(AN1:AN$458)</f>
      </c>
      <c r="O142" t="s">
        <v>236</v>
      </c>
      <c r="P142" t="n">
        <v>424</v>
      </c>
      <c r="Q142" s="11"/>
      <c r="R142" s="11" t="n">
        <v>46863.6908692001</v>
      </c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</row>
    <row r="143">
      <c r="A143" t="str">
        <f>O143</f>
      </c>
      <c r="B143" t="str">
        <f>P143</f>
      </c>
      <c r="C143" s="11" t="str">
        <f>AF143</f>
      </c>
      <c r="D143" s="11" t="str">
        <f>AL143</f>
      </c>
      <c r="E143" s="11" t="str">
        <f>AM143</f>
      </c>
      <c r="F143" s="11" t="str">
        <f>AN143</f>
      </c>
      <c r="G143" s="7" t="str">
        <f>AM143/AL143-1</f>
      </c>
      <c r="H143" s="7" t="str">
        <f>AM143/AF143-1</f>
      </c>
      <c r="I143" s="7" t="str">
        <f>AN143/AM143</f>
      </c>
      <c r="J143" s="7" t="str">
        <f>AM143/Sum(AM$1:AM$458)</f>
      </c>
      <c r="K143" s="7" t="str">
        <f>AN143/Sum(AN1:AN$458)</f>
      </c>
      <c r="O143" t="s">
        <v>237</v>
      </c>
      <c r="P143" t="n">
        <v>448</v>
      </c>
      <c r="Q143" s="11"/>
      <c r="R143" s="11" t="n">
        <v>120670.691286197</v>
      </c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</row>
    <row r="144">
      <c r="A144" t="str">
        <f>O144</f>
      </c>
      <c r="B144" t="str">
        <f>P144</f>
      </c>
      <c r="C144" s="11" t="str">
        <f>AF144</f>
      </c>
      <c r="D144" s="11" t="str">
        <f>AL144</f>
      </c>
      <c r="E144" s="11" t="str">
        <f>AM144</f>
      </c>
      <c r="F144" s="11" t="str">
        <f>AN144</f>
      </c>
      <c r="G144" s="7" t="str">
        <f>AM144/AL144-1</f>
      </c>
      <c r="H144" s="7" t="str">
        <f>AM144/AF144-1</f>
      </c>
      <c r="I144" s="7" t="str">
        <f>AN144/AM144</f>
      </c>
      <c r="J144" s="7" t="str">
        <f>AM144/Sum(AM$1:AM$458)</f>
      </c>
      <c r="K144" s="7" t="str">
        <f>AN144/Sum(AN1:AN$458)</f>
      </c>
      <c r="O144" t="s">
        <v>238</v>
      </c>
      <c r="P144" t="n">
        <v>410</v>
      </c>
      <c r="Q144" s="11" t="n">
        <v>75470.750624718</v>
      </c>
      <c r="R144" s="11"/>
      <c r="S144" s="11" t="n">
        <v>248303.708224479</v>
      </c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</row>
    <row r="145">
      <c r="A145" t="str">
        <f>O145</f>
      </c>
      <c r="B145" t="str">
        <f>P145</f>
      </c>
      <c r="C145" s="11" t="str">
        <f>AF145</f>
      </c>
      <c r="D145" s="11" t="str">
        <f>AL145</f>
      </c>
      <c r="E145" s="11" t="str">
        <f>AM145</f>
      </c>
      <c r="F145" s="11" t="str">
        <f>AN145</f>
      </c>
      <c r="G145" s="7" t="str">
        <f>AM145/AL145-1</f>
      </c>
      <c r="H145" s="7" t="str">
        <f>AM145/AF145-1</f>
      </c>
      <c r="I145" s="7" t="str">
        <f>AN145/AM145</f>
      </c>
      <c r="J145" s="7" t="str">
        <f>AM145/Sum(AM$1:AM$458)</f>
      </c>
      <c r="K145" s="7" t="str">
        <f>AN145/Sum(AN1:AN$458)</f>
      </c>
      <c r="O145" t="s">
        <v>239</v>
      </c>
      <c r="P145" t="n">
        <v>453</v>
      </c>
      <c r="Q145" s="11"/>
      <c r="R145" s="11"/>
      <c r="S145" s="11"/>
      <c r="T145" s="11" t="n">
        <v>133316.044473112</v>
      </c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</row>
    <row r="146">
      <c r="A146" t="str">
        <f>O146</f>
      </c>
      <c r="B146" t="str">
        <f>P146</f>
      </c>
      <c r="C146" s="11" t="str">
        <f>AF146</f>
      </c>
      <c r="D146" s="11" t="str">
        <f>AL146</f>
      </c>
      <c r="E146" s="11" t="str">
        <f>AM146</f>
      </c>
      <c r="F146" s="11" t="str">
        <f>AN146</f>
      </c>
      <c r="G146" s="7" t="str">
        <f>AM146/AL146-1</f>
      </c>
      <c r="H146" s="7" t="str">
        <f>AM146/AF146-1</f>
      </c>
      <c r="I146" s="7" t="str">
        <f>AN146/AM146</f>
      </c>
      <c r="J146" s="7" t="str">
        <f>AM146/Sum(AM$1:AM$458)</f>
      </c>
      <c r="K146" s="7" t="str">
        <f>AN146/Sum(AN1:AN$458)</f>
      </c>
      <c r="O146" t="s">
        <v>240</v>
      </c>
      <c r="P146" t="n">
        <v>950</v>
      </c>
      <c r="Q146" s="11" t="n">
        <v>532609.25360591</v>
      </c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</row>
    <row r="147">
      <c r="A147" t="str">
        <f>O147</f>
      </c>
      <c r="B147" t="str">
        <f>P147</f>
      </c>
      <c r="C147" s="11" t="str">
        <f>AF147</f>
      </c>
      <c r="D147" s="11" t="str">
        <f>AL147</f>
      </c>
      <c r="E147" s="11" t="str">
        <f>AM147</f>
      </c>
      <c r="F147" s="11" t="str">
        <f>AN147</f>
      </c>
      <c r="G147" s="7" t="str">
        <f>AM147/AL147-1</f>
      </c>
      <c r="H147" s="7" t="str">
        <f>AM147/AF147-1</f>
      </c>
      <c r="I147" s="7" t="str">
        <f>AN147/AM147</f>
      </c>
      <c r="J147" s="7" t="str">
        <f>AM147/Sum(AM$1:AM$458)</f>
      </c>
      <c r="K147" s="7" t="str">
        <f>AN147/Sum(AN1:AN$458)</f>
      </c>
      <c r="O147" t="s">
        <v>241</v>
      </c>
      <c r="P147" t="n">
        <v>993</v>
      </c>
      <c r="Q147" s="11" t="n">
        <v>134428.740140795</v>
      </c>
      <c r="R147" s="11" t="n">
        <v>675791.206690633</v>
      </c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</row>
    <row r="148">
      <c r="A148" t="str">
        <f>O148</f>
      </c>
      <c r="B148" t="str">
        <f>P148</f>
      </c>
      <c r="C148" s="11" t="str">
        <f>AF148</f>
      </c>
      <c r="D148" s="11" t="str">
        <f>AL148</f>
      </c>
      <c r="E148" s="11" t="str">
        <f>AM148</f>
      </c>
      <c r="F148" s="11" t="str">
        <f>AN148</f>
      </c>
      <c r="G148" s="7" t="str">
        <f>AM148/AL148-1</f>
      </c>
      <c r="H148" s="7" t="str">
        <f>AM148/AF148-1</f>
      </c>
      <c r="I148" s="7" t="str">
        <f>AN148/AM148</f>
      </c>
      <c r="J148" s="7" t="str">
        <f>AM148/Sum(AM$1:AM$458)</f>
      </c>
      <c r="K148" s="7" t="str">
        <f>AN148/Sum(AN1:AN$458)</f>
      </c>
      <c r="O148" t="s">
        <v>242</v>
      </c>
      <c r="P148" t="n">
        <v>1002</v>
      </c>
      <c r="Q148" s="11"/>
      <c r="R148" s="11"/>
      <c r="S148" s="11" t="n">
        <v>84326.0451347128</v>
      </c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</row>
    <row r="149">
      <c r="A149" t="str">
        <f>O149</f>
      </c>
      <c r="B149" t="str">
        <f>P149</f>
      </c>
      <c r="C149" s="11" t="str">
        <f>AF149</f>
      </c>
      <c r="D149" s="11" t="str">
        <f>AL149</f>
      </c>
      <c r="E149" s="11" t="str">
        <f>AM149</f>
      </c>
      <c r="F149" s="11" t="str">
        <f>AN149</f>
      </c>
      <c r="G149" s="7" t="str">
        <f>AM149/AL149-1</f>
      </c>
      <c r="H149" s="7" t="str">
        <f>AM149/AF149-1</f>
      </c>
      <c r="I149" s="7" t="str">
        <f>AN149/AM149</f>
      </c>
      <c r="J149" s="7" t="str">
        <f>AM149/Sum(AM$1:AM$458)</f>
      </c>
      <c r="K149" s="7" t="str">
        <f>AN149/Sum(AN1:AN$458)</f>
      </c>
      <c r="O149" t="s">
        <v>243</v>
      </c>
      <c r="P149" t="n">
        <v>13</v>
      </c>
      <c r="Q149" s="11"/>
      <c r="R149" s="11"/>
      <c r="S149" s="11"/>
      <c r="T149" s="11"/>
      <c r="U149" s="11"/>
      <c r="V149" s="11"/>
      <c r="W149" s="11" t="n">
        <v>1255.17550174251</v>
      </c>
      <c r="X149" s="11"/>
      <c r="Y149" s="11" t="n">
        <v>108680.775862794</v>
      </c>
      <c r="Z149" s="11"/>
      <c r="AA149" s="11"/>
      <c r="AB149" s="11"/>
      <c r="AC149" s="11" t="n">
        <v>157332.534419981</v>
      </c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</row>
    <row r="150">
      <c r="A150" t="str">
        <f>O150</f>
      </c>
      <c r="B150" t="str">
        <f>P150</f>
      </c>
      <c r="C150" s="11" t="str">
        <f>AF150</f>
      </c>
      <c r="D150" s="11" t="str">
        <f>AL150</f>
      </c>
      <c r="E150" s="11" t="str">
        <f>AM150</f>
      </c>
      <c r="F150" s="11" t="str">
        <f>AN150</f>
      </c>
      <c r="G150" s="7" t="str">
        <f>AM150/AL150-1</f>
      </c>
      <c r="H150" s="7" t="str">
        <f>AM150/AF150-1</f>
      </c>
      <c r="I150" s="7" t="str">
        <f>AN150/AM150</f>
      </c>
      <c r="J150" s="7" t="str">
        <f>AM150/Sum(AM$1:AM$458)</f>
      </c>
      <c r="K150" s="7" t="str">
        <f>AN150/Sum(AN1:AN$458)</f>
      </c>
      <c r="O150" t="s">
        <v>244</v>
      </c>
      <c r="P150" t="n">
        <v>434</v>
      </c>
      <c r="Q150" s="11" t="n">
        <v>11926629.3106648</v>
      </c>
      <c r="R150" s="11" t="n">
        <v>120783917.86286</v>
      </c>
      <c r="S150" s="11" t="n">
        <v>30976219.1592107</v>
      </c>
      <c r="T150" s="11" t="n">
        <v>26118072.4922567</v>
      </c>
      <c r="U150" s="11"/>
      <c r="V150" s="11"/>
      <c r="W150" s="11"/>
      <c r="X150" s="11"/>
      <c r="Y150" s="11" t="n">
        <v>70461.8806737575</v>
      </c>
      <c r="Z150" s="11" t="n">
        <v>-695337.347593244</v>
      </c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</row>
    <row r="151">
      <c r="A151" t="str">
        <f>O151</f>
      </c>
      <c r="B151" t="str">
        <f>P151</f>
      </c>
      <c r="C151" s="11" t="str">
        <f>AF151</f>
      </c>
      <c r="D151" s="11" t="str">
        <f>AL151</f>
      </c>
      <c r="E151" s="11" t="str">
        <f>AM151</f>
      </c>
      <c r="F151" s="11" t="str">
        <f>AN151</f>
      </c>
      <c r="G151" s="7" t="str">
        <f>AM151/AL151-1</f>
      </c>
      <c r="H151" s="7" t="str">
        <f>AM151/AF151-1</f>
      </c>
      <c r="I151" s="7" t="str">
        <f>AN151/AM151</f>
      </c>
      <c r="J151" s="7" t="str">
        <f>AM151/Sum(AM$1:AM$458)</f>
      </c>
      <c r="K151" s="7" t="str">
        <f>AN151/Sum(AN1:AN$458)</f>
      </c>
      <c r="O151" t="s">
        <v>245</v>
      </c>
      <c r="P151" t="n">
        <v>455</v>
      </c>
      <c r="Q151" s="11"/>
      <c r="R151" s="11" t="n">
        <v>-249624.715033487</v>
      </c>
      <c r="S151" s="11" t="n">
        <v>65224.5652975679</v>
      </c>
      <c r="T151" s="11" t="n">
        <v>-124947.12433359</v>
      </c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</row>
    <row r="152">
      <c r="A152" t="str">
        <f>O152</f>
      </c>
      <c r="B152" t="str">
        <f>P152</f>
      </c>
      <c r="C152" s="11" t="str">
        <f>AF152</f>
      </c>
      <c r="D152" s="11" t="str">
        <f>AL152</f>
      </c>
      <c r="E152" s="11" t="str">
        <f>AM152</f>
      </c>
      <c r="F152" s="11" t="str">
        <f>AN152</f>
      </c>
      <c r="G152" s="7" t="str">
        <f>AM152/AL152-1</f>
      </c>
      <c r="H152" s="7" t="str">
        <f>AM152/AF152-1</f>
      </c>
      <c r="I152" s="7" t="str">
        <f>AN152/AM152</f>
      </c>
      <c r="J152" s="7" t="str">
        <f>AM152/Sum(AM$1:AM$458)</f>
      </c>
      <c r="K152" s="7" t="str">
        <f>AN152/Sum(AN1:AN$458)</f>
      </c>
      <c r="O152" t="s">
        <v>246</v>
      </c>
      <c r="P152" t="n">
        <v>433</v>
      </c>
      <c r="Q152" s="11" t="n">
        <v>12912130.9286811</v>
      </c>
      <c r="R152" s="11" t="n">
        <v>-360054.424728098</v>
      </c>
      <c r="S152" s="11" t="n">
        <v>-3182604.7103097</v>
      </c>
      <c r="T152" s="11" t="n">
        <v>-344491.084869152</v>
      </c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</row>
    <row r="153">
      <c r="A153" t="str">
        <f>O153</f>
      </c>
      <c r="B153" t="str">
        <f>P153</f>
      </c>
      <c r="C153" s="11" t="str">
        <f>AF153</f>
      </c>
      <c r="D153" s="11" t="str">
        <f>AL153</f>
      </c>
      <c r="E153" s="11" t="str">
        <f>AM153</f>
      </c>
      <c r="F153" s="11" t="str">
        <f>AN153</f>
      </c>
      <c r="G153" s="7" t="str">
        <f>AM153/AL153-1</f>
      </c>
      <c r="H153" s="7" t="str">
        <f>AM153/AF153-1</f>
      </c>
      <c r="I153" s="7" t="str">
        <f>AN153/AM153</f>
      </c>
      <c r="J153" s="7" t="str">
        <f>AM153/Sum(AM$1:AM$458)</f>
      </c>
      <c r="K153" s="7" t="str">
        <f>AN153/Sum(AN1:AN$458)</f>
      </c>
      <c r="O153" t="s">
        <v>247</v>
      </c>
      <c r="P153" t="n">
        <v>995</v>
      </c>
      <c r="Q153" s="11"/>
      <c r="R153" s="11" t="n">
        <v>181225.306251727</v>
      </c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</row>
    <row r="154">
      <c r="A154" t="str">
        <f>O154</f>
      </c>
      <c r="B154" t="str">
        <f>P154</f>
      </c>
      <c r="C154" s="11" t="str">
        <f>AF154</f>
      </c>
      <c r="D154" s="11" t="str">
        <f>AL154</f>
      </c>
      <c r="E154" s="11" t="str">
        <f>AM154</f>
      </c>
      <c r="F154" s="11" t="str">
        <f>AN154</f>
      </c>
      <c r="G154" s="7" t="str">
        <f>AM154/AL154-1</f>
      </c>
      <c r="H154" s="7" t="str">
        <f>AM154/AF154-1</f>
      </c>
      <c r="I154" s="7" t="str">
        <f>AN154/AM154</f>
      </c>
      <c r="J154" s="7" t="str">
        <f>AM154/Sum(AM$1:AM$458)</f>
      </c>
      <c r="K154" s="7" t="str">
        <f>AN154/Sum(AN1:AN$458)</f>
      </c>
      <c r="O154" t="s">
        <v>248</v>
      </c>
      <c r="P154" t="n">
        <v>990</v>
      </c>
      <c r="Q154" s="11"/>
      <c r="R154" s="11"/>
      <c r="S154" s="11" t="n">
        <v>211190.930570163</v>
      </c>
      <c r="T154" s="11" t="n">
        <v>1209641.15691806</v>
      </c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 t="n">
        <v>-12996.2097512614</v>
      </c>
      <c r="AI154" s="11"/>
      <c r="AJ154" s="11"/>
      <c r="AK154" s="11"/>
      <c r="AL154" s="11"/>
      <c r="AM154" s="11"/>
      <c r="AN154" s="11"/>
      <c r="AO154" s="11"/>
    </row>
    <row r="155">
      <c r="A155" t="str">
        <f>O155</f>
      </c>
      <c r="B155" t="str">
        <f>P155</f>
      </c>
      <c r="C155" s="11" t="str">
        <f>AF155</f>
      </c>
      <c r="D155" s="11" t="str">
        <f>AL155</f>
      </c>
      <c r="E155" s="11" t="str">
        <f>AM155</f>
      </c>
      <c r="F155" s="11" t="str">
        <f>AN155</f>
      </c>
      <c r="G155" s="7" t="str">
        <f>AM155/AL155-1</f>
      </c>
      <c r="H155" s="7" t="str">
        <f>AM155/AF155-1</f>
      </c>
      <c r="I155" s="7" t="str">
        <f>AN155/AM155</f>
      </c>
      <c r="J155" s="7" t="str">
        <f>AM155/Sum(AM$1:AM$458)</f>
      </c>
      <c r="K155" s="7" t="str">
        <f>AN155/Sum(AN1:AN$458)</f>
      </c>
      <c r="O155" t="s">
        <v>249</v>
      </c>
      <c r="P155" t="n">
        <v>1003</v>
      </c>
      <c r="Q155" s="11"/>
      <c r="R155" s="11"/>
      <c r="S155" s="11" t="n">
        <v>354712.92760994</v>
      </c>
      <c r="T155" s="11" t="n">
        <v>538580.849845615</v>
      </c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</row>
    <row r="156">
      <c r="A156" t="str">
        <f>O156</f>
      </c>
      <c r="B156" t="str">
        <f>P156</f>
      </c>
      <c r="C156" s="11" t="str">
        <f>AF156</f>
      </c>
      <c r="D156" s="11" t="str">
        <f>AL156</f>
      </c>
      <c r="E156" s="11" t="str">
        <f>AM156</f>
      </c>
      <c r="F156" s="11" t="str">
        <f>AN156</f>
      </c>
      <c r="G156" s="7" t="str">
        <f>AM156/AL156-1</f>
      </c>
      <c r="H156" s="7" t="str">
        <f>AM156/AF156-1</f>
      </c>
      <c r="I156" s="7" t="str">
        <f>AN156/AM156</f>
      </c>
      <c r="J156" s="7" t="str">
        <f>AM156/Sum(AM$1:AM$458)</f>
      </c>
      <c r="K156" s="7" t="str">
        <f>AN156/Sum(AN1:AN$458)</f>
      </c>
      <c r="O156" t="s">
        <v>250</v>
      </c>
      <c r="P156" t="n">
        <v>998</v>
      </c>
      <c r="Q156" s="11"/>
      <c r="R156" s="11" t="n">
        <v>1665500.36420161</v>
      </c>
      <c r="S156" s="11" t="n">
        <v>3031001.07903638</v>
      </c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</row>
    <row r="157">
      <c r="A157" t="str">
        <f>O157</f>
      </c>
      <c r="B157" t="str">
        <f>P157</f>
      </c>
      <c r="C157" s="11" t="str">
        <f>AF157</f>
      </c>
      <c r="D157" s="11" t="str">
        <f>AL157</f>
      </c>
      <c r="E157" s="11" t="str">
        <f>AM157</f>
      </c>
      <c r="F157" s="11" t="str">
        <f>AN157</f>
      </c>
      <c r="G157" s="7" t="str">
        <f>AM157/AL157-1</f>
      </c>
      <c r="H157" s="7" t="str">
        <f>AM157/AF157-1</f>
      </c>
      <c r="I157" s="7" t="str">
        <f>AN157/AM157</f>
      </c>
      <c r="J157" s="7" t="str">
        <f>AM157/Sum(AM$1:AM$458)</f>
      </c>
      <c r="K157" s="7" t="str">
        <f>AN157/Sum(AN1:AN$458)</f>
      </c>
      <c r="O157" t="s">
        <v>251</v>
      </c>
      <c r="P157" t="n">
        <v>926</v>
      </c>
      <c r="Q157" s="11"/>
      <c r="R157" s="11" t="n">
        <v>3531606.91879454</v>
      </c>
      <c r="S157" s="11"/>
      <c r="T157" s="11" t="n">
        <v>1579360.90927263</v>
      </c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</row>
    <row r="158">
      <c r="A158" t="str">
        <f>O158</f>
      </c>
      <c r="B158" t="str">
        <f>P158</f>
      </c>
      <c r="C158" s="11" t="str">
        <f>AF158</f>
      </c>
      <c r="D158" s="11" t="str">
        <f>AL158</f>
      </c>
      <c r="E158" s="11" t="str">
        <f>AM158</f>
      </c>
      <c r="F158" s="11" t="str">
        <f>AN158</f>
      </c>
      <c r="G158" s="7" t="str">
        <f>AM158/AL158-1</f>
      </c>
      <c r="H158" s="7" t="str">
        <f>AM158/AF158-1</f>
      </c>
      <c r="I158" s="7" t="str">
        <f>AN158/AM158</f>
      </c>
      <c r="J158" s="7" t="str">
        <f>AM158/Sum(AM$1:AM$458)</f>
      </c>
      <c r="K158" s="7" t="str">
        <f>AN158/Sum(AN1:AN$458)</f>
      </c>
      <c r="O158" t="s">
        <v>252</v>
      </c>
      <c r="P158" t="n">
        <v>1084</v>
      </c>
      <c r="Q158" s="11" t="n">
        <v>31536164.8776253</v>
      </c>
      <c r="R158" s="11" t="n">
        <v>18224617.0582749</v>
      </c>
      <c r="S158" s="11" t="n">
        <v>13786635.9453166</v>
      </c>
      <c r="T158" s="11" t="n">
        <v>4571515.00702203</v>
      </c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</row>
    <row r="159">
      <c r="A159" t="str">
        <f>O159</f>
      </c>
      <c r="B159" t="str">
        <f>P159</f>
      </c>
      <c r="C159" s="11" t="str">
        <f>AF159</f>
      </c>
      <c r="D159" s="11" t="str">
        <f>AL159</f>
      </c>
      <c r="E159" s="11" t="str">
        <f>AM159</f>
      </c>
      <c r="F159" s="11" t="str">
        <f>AN159</f>
      </c>
      <c r="G159" s="7" t="str">
        <f>AM159/AL159-1</f>
      </c>
      <c r="H159" s="7" t="str">
        <f>AM159/AF159-1</f>
      </c>
      <c r="I159" s="7" t="str">
        <f>AN159/AM159</f>
      </c>
      <c r="J159" s="7" t="str">
        <f>AM159/Sum(AM$1:AM$458)</f>
      </c>
      <c r="K159" s="7" t="str">
        <f>AN159/Sum(AN1:AN$458)</f>
      </c>
      <c r="O159" t="s">
        <v>253</v>
      </c>
      <c r="P159" t="n">
        <v>957</v>
      </c>
      <c r="Q159" s="11" t="n">
        <v>2641857.58415688</v>
      </c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</row>
    <row r="160">
      <c r="A160" t="str">
        <f>O160</f>
      </c>
      <c r="B160" t="str">
        <f>P160</f>
      </c>
      <c r="C160" s="11" t="str">
        <f>AF160</f>
      </c>
      <c r="D160" s="11" t="str">
        <f>AL160</f>
      </c>
      <c r="E160" s="11" t="str">
        <f>AM160</f>
      </c>
      <c r="F160" s="11" t="str">
        <f>AN160</f>
      </c>
      <c r="G160" s="7" t="str">
        <f>AM160/AL160-1</f>
      </c>
      <c r="H160" s="7" t="str">
        <f>AM160/AF160-1</f>
      </c>
      <c r="I160" s="7" t="str">
        <f>AN160/AM160</f>
      </c>
      <c r="J160" s="7" t="str">
        <f>AM160/Sum(AM$1:AM$458)</f>
      </c>
      <c r="K160" s="7" t="str">
        <f>AN160/Sum(AN1:AN$458)</f>
      </c>
      <c r="O160" t="s">
        <v>254</v>
      </c>
      <c r="P160" t="n">
        <v>1019</v>
      </c>
      <c r="Q160" s="11" t="n">
        <v>53306338.6850998</v>
      </c>
      <c r="R160" s="11" t="n">
        <v>35998411.6571977</v>
      </c>
      <c r="S160" s="11" t="n">
        <v>26516118.3481537</v>
      </c>
      <c r="T160" s="11" t="n">
        <v>7271637.67844619</v>
      </c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</row>
    <row r="161">
      <c r="A161" t="str">
        <f>O161</f>
      </c>
      <c r="B161" t="str">
        <f>P161</f>
      </c>
      <c r="C161" s="11" t="str">
        <f>AF161</f>
      </c>
      <c r="D161" s="11" t="str">
        <f>AL161</f>
      </c>
      <c r="E161" s="11" t="str">
        <f>AM161</f>
      </c>
      <c r="F161" s="11" t="str">
        <f>AN161</f>
      </c>
      <c r="G161" s="7" t="str">
        <f>AM161/AL161-1</f>
      </c>
      <c r="H161" s="7" t="str">
        <f>AM161/AF161-1</f>
      </c>
      <c r="I161" s="7" t="str">
        <f>AN161/AM161</f>
      </c>
      <c r="J161" s="7" t="str">
        <f>AM161/Sum(AM$1:AM$458)</f>
      </c>
      <c r="K161" s="7" t="str">
        <f>AN161/Sum(AN1:AN$458)</f>
      </c>
      <c r="O161" t="s">
        <v>255</v>
      </c>
      <c r="P161" t="n">
        <v>928</v>
      </c>
      <c r="Q161" s="11"/>
      <c r="R161" s="11"/>
      <c r="S161" s="11" t="n">
        <v>982709.018987487</v>
      </c>
      <c r="T161" s="11" t="n">
        <v>4908420.4246562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</row>
    <row r="162">
      <c r="A162" t="str">
        <f>O162</f>
      </c>
      <c r="B162" t="str">
        <f>P162</f>
      </c>
      <c r="C162" s="11" t="str">
        <f>AF162</f>
      </c>
      <c r="D162" s="11" t="str">
        <f>AL162</f>
      </c>
      <c r="E162" s="11" t="str">
        <f>AM162</f>
      </c>
      <c r="F162" s="11" t="str">
        <f>AN162</f>
      </c>
      <c r="G162" s="7" t="str">
        <f>AM162/AL162-1</f>
      </c>
      <c r="H162" s="7" t="str">
        <f>AM162/AF162-1</f>
      </c>
      <c r="I162" s="7" t="str">
        <f>AN162/AM162</f>
      </c>
      <c r="J162" s="7" t="str">
        <f>AM162/Sum(AM$1:AM$458)</f>
      </c>
      <c r="K162" s="7" t="str">
        <f>AN162/Sum(AN1:AN$458)</f>
      </c>
      <c r="O162" t="s">
        <v>256</v>
      </c>
      <c r="P162" t="n">
        <v>436</v>
      </c>
      <c r="Q162" s="11" t="n">
        <v>293321.248965145</v>
      </c>
      <c r="R162" s="11" t="n">
        <v>1104233.99786051</v>
      </c>
      <c r="S162" s="11" t="n">
        <v>240709.705264834</v>
      </c>
      <c r="T162" s="11" t="n">
        <v>228575.750351102</v>
      </c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</row>
    <row r="163">
      <c r="A163" t="str">
        <f>O163</f>
      </c>
      <c r="B163" t="str">
        <f>P163</f>
      </c>
      <c r="C163" s="11" t="str">
        <f>AF163</f>
      </c>
      <c r="D163" s="11" t="str">
        <f>AL163</f>
      </c>
      <c r="E163" s="11" t="str">
        <f>AM163</f>
      </c>
      <c r="F163" s="11" t="str">
        <f>AN163</f>
      </c>
      <c r="G163" s="7" t="str">
        <f>AM163/AL163-1</f>
      </c>
      <c r="H163" s="7" t="str">
        <f>AM163/AF163-1</f>
      </c>
      <c r="I163" s="7" t="str">
        <f>AN163/AM163</f>
      </c>
      <c r="J163" s="7" t="str">
        <f>AM163/Sum(AM$1:AM$458)</f>
      </c>
      <c r="K163" s="7" t="str">
        <f>AN163/Sum(AN1:AN$458)</f>
      </c>
      <c r="O163" t="s">
        <v>257</v>
      </c>
      <c r="P163" t="n">
        <v>951</v>
      </c>
      <c r="Q163" s="11"/>
      <c r="R163" s="11"/>
      <c r="S163" s="11"/>
      <c r="T163" s="11" t="n">
        <v>150533.893827893</v>
      </c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</row>
    <row r="164">
      <c r="A164" t="str">
        <f>O164</f>
      </c>
      <c r="B164" t="str">
        <f>P164</f>
      </c>
      <c r="C164" s="11" t="str">
        <f>AF164</f>
      </c>
      <c r="D164" s="11" t="str">
        <f>AL164</f>
      </c>
      <c r="E164" s="11" t="str">
        <f>AM164</f>
      </c>
      <c r="F164" s="11" t="str">
        <f>AN164</f>
      </c>
      <c r="G164" s="7" t="str">
        <f>AM164/AL164-1</f>
      </c>
      <c r="H164" s="7" t="str">
        <f>AM164/AF164-1</f>
      </c>
      <c r="I164" s="7" t="str">
        <f>AN164/AM164</f>
      </c>
      <c r="J164" s="7" t="str">
        <f>AM164/Sum(AM$1:AM$458)</f>
      </c>
      <c r="K164" s="7" t="str">
        <f>AN164/Sum(AN1:AN$458)</f>
      </c>
      <c r="O164" t="s">
        <v>258</v>
      </c>
      <c r="P164" t="n">
        <v>927</v>
      </c>
      <c r="Q164" s="11" t="n">
        <v>191405.844615855</v>
      </c>
      <c r="R164" s="11" t="n">
        <v>263926.122782921</v>
      </c>
      <c r="S164" s="11" t="n">
        <v>636787.431000155</v>
      </c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</row>
    <row r="165">
      <c r="A165" t="str">
        <f>O165</f>
      </c>
      <c r="B165" t="str">
        <f>P165</f>
      </c>
      <c r="C165" s="11" t="str">
        <f>AF165</f>
      </c>
      <c r="D165" s="11" t="str">
        <f>AL165</f>
      </c>
      <c r="E165" s="11" t="str">
        <f>AM165</f>
      </c>
      <c r="F165" s="11" t="str">
        <f>AN165</f>
      </c>
      <c r="G165" s="7" t="str">
        <f>AM165/AL165-1</f>
      </c>
      <c r="H165" s="7" t="str">
        <f>AM165/AF165-1</f>
      </c>
      <c r="I165" s="7" t="str">
        <f>AN165/AM165</f>
      </c>
      <c r="J165" s="7" t="str">
        <f>AM165/Sum(AM$1:AM$458)</f>
      </c>
      <c r="K165" s="7" t="str">
        <f>AN165/Sum(AN1:AN$458)</f>
      </c>
      <c r="O165" t="s">
        <v>259</v>
      </c>
      <c r="P165" t="n">
        <v>963</v>
      </c>
      <c r="Q165" s="11" t="n">
        <v>23455102.3438152</v>
      </c>
      <c r="R165" s="11" t="n">
        <v>961320.878903125</v>
      </c>
      <c r="S165" s="11"/>
      <c r="T165" s="11" t="n">
        <v>124625.594444763</v>
      </c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</row>
    <row r="166">
      <c r="A166" t="str">
        <f>O166</f>
      </c>
      <c r="B166" t="str">
        <f>P166</f>
      </c>
      <c r="C166" s="11" t="str">
        <f>AF166</f>
      </c>
      <c r="D166" s="11" t="str">
        <f>AL166</f>
      </c>
      <c r="E166" s="11" t="str">
        <f>AM166</f>
      </c>
      <c r="F166" s="11" t="str">
        <f>AN166</f>
      </c>
      <c r="G166" s="7" t="str">
        <f>AM166/AL166-1</f>
      </c>
      <c r="H166" s="7" t="str">
        <f>AM166/AF166-1</f>
      </c>
      <c r="I166" s="7" t="str">
        <f>AN166/AM166</f>
      </c>
      <c r="J166" s="7" t="str">
        <f>AM166/Sum(AM$1:AM$458)</f>
      </c>
      <c r="K166" s="7" t="str">
        <f>AN166/Sum(AN1:AN$458)</f>
      </c>
      <c r="O166" t="s">
        <v>260</v>
      </c>
      <c r="P166" t="n">
        <v>1008</v>
      </c>
      <c r="Q166" s="11" t="n">
        <v>9598746.85269924</v>
      </c>
      <c r="R166" s="11" t="n">
        <v>4211687.2858283</v>
      </c>
      <c r="S166" s="11" t="n">
        <v>1695062.21481656</v>
      </c>
      <c r="T166" s="11" t="n">
        <v>450254.608394942</v>
      </c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 t="n">
        <v>0</v>
      </c>
      <c r="AK166" s="11"/>
      <c r="AL166" s="11"/>
      <c r="AM166" s="11"/>
      <c r="AN166" s="11"/>
      <c r="AO166" s="11"/>
    </row>
    <row r="167">
      <c r="A167" t="str">
        <f>O167</f>
      </c>
      <c r="B167" t="str">
        <f>P167</f>
      </c>
      <c r="C167" s="11" t="str">
        <f>AF167</f>
      </c>
      <c r="D167" s="11" t="str">
        <f>AL167</f>
      </c>
      <c r="E167" s="11" t="str">
        <f>AM167</f>
      </c>
      <c r="F167" s="11" t="str">
        <f>AN167</f>
      </c>
      <c r="G167" s="7" t="str">
        <f>AM167/AL167-1</f>
      </c>
      <c r="H167" s="7" t="str">
        <f>AM167/AF167-1</f>
      </c>
      <c r="I167" s="7" t="str">
        <f>AN167/AM167</f>
      </c>
      <c r="J167" s="7" t="str">
        <f>AM167/Sum(AM$1:AM$458)</f>
      </c>
      <c r="K167" s="7" t="str">
        <f>AN167/Sum(AN1:AN$458)</f>
      </c>
      <c r="O167" t="s">
        <v>261</v>
      </c>
      <c r="P167" t="n">
        <v>945</v>
      </c>
      <c r="Q167" s="11"/>
      <c r="R167" s="11" t="n">
        <v>75240.9271370755</v>
      </c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</row>
    <row r="168">
      <c r="A168" t="str">
        <f>O168</f>
      </c>
      <c r="B168" t="str">
        <f>P168</f>
      </c>
      <c r="C168" s="11" t="str">
        <f>AF168</f>
      </c>
      <c r="D168" s="11" t="str">
        <f>AL168</f>
      </c>
      <c r="E168" s="11" t="str">
        <f>AM168</f>
      </c>
      <c r="F168" s="11" t="str">
        <f>AN168</f>
      </c>
      <c r="G168" s="7" t="str">
        <f>AM168/AL168-1</f>
      </c>
      <c r="H168" s="7" t="str">
        <f>AM168/AF168-1</f>
      </c>
      <c r="I168" s="7" t="str">
        <f>AN168/AM168</f>
      </c>
      <c r="J168" s="7" t="str">
        <f>AM168/Sum(AM$1:AM$458)</f>
      </c>
      <c r="K168" s="7" t="str">
        <f>AN168/Sum(AN1:AN$458)</f>
      </c>
      <c r="O168" t="s">
        <v>262</v>
      </c>
      <c r="P168" t="n">
        <v>1018</v>
      </c>
      <c r="Q168" s="11" t="n">
        <v>9195103.55593586</v>
      </c>
      <c r="R168" s="11" t="n">
        <v>1969773.61978922</v>
      </c>
      <c r="S168" s="11" t="n">
        <v>2127437.41113997</v>
      </c>
      <c r="T168" s="11" t="n">
        <v>1304053.60868141</v>
      </c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</row>
    <row r="169">
      <c r="A169" t="str">
        <f>O169</f>
      </c>
      <c r="B169" t="str">
        <f>P169</f>
      </c>
      <c r="C169" s="11" t="str">
        <f>AF169</f>
      </c>
      <c r="D169" s="11" t="str">
        <f>AL169</f>
      </c>
      <c r="E169" s="11" t="str">
        <f>AM169</f>
      </c>
      <c r="F169" s="11" t="str">
        <f>AN169</f>
      </c>
      <c r="G169" s="7" t="str">
        <f>AM169/AL169-1</f>
      </c>
      <c r="H169" s="7" t="str">
        <f>AM169/AF169-1</f>
      </c>
      <c r="I169" s="7" t="str">
        <f>AN169/AM169</f>
      </c>
      <c r="J169" s="7" t="str">
        <f>AM169/Sum(AM$1:AM$458)</f>
      </c>
      <c r="K169" s="7" t="str">
        <f>AN169/Sum(AN1:AN$458)</f>
      </c>
      <c r="O169" t="s">
        <v>263</v>
      </c>
      <c r="P169" t="n">
        <v>523</v>
      </c>
      <c r="Q169" s="11"/>
      <c r="R169" s="11" t="n">
        <v>100023.093003345</v>
      </c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</row>
    <row r="170">
      <c r="A170" t="str">
        <f>O170</f>
      </c>
      <c r="B170" t="str">
        <f>P170</f>
      </c>
      <c r="C170" s="11" t="str">
        <f>AF170</f>
      </c>
      <c r="D170" s="11" t="str">
        <f>AL170</f>
      </c>
      <c r="E170" s="11" t="str">
        <f>AM170</f>
      </c>
      <c r="F170" s="11" t="str">
        <f>AN170</f>
      </c>
      <c r="G170" s="7" t="str">
        <f>AM170/AL170-1</f>
      </c>
      <c r="H170" s="7" t="str">
        <f>AM170/AF170-1</f>
      </c>
      <c r="I170" s="7" t="str">
        <f>AN170/AM170</f>
      </c>
      <c r="J170" s="7" t="str">
        <f>AM170/Sum(AM$1:AM$458)</f>
      </c>
      <c r="K170" s="7" t="str">
        <f>AN170/Sum(AN1:AN$458)</f>
      </c>
      <c r="O170" t="s">
        <v>264</v>
      </c>
      <c r="P170" t="n">
        <v>445</v>
      </c>
      <c r="Q170" s="11"/>
      <c r="R170" s="11"/>
      <c r="S170" s="11"/>
      <c r="T170" s="11" t="n">
        <v>1882732.74049195</v>
      </c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</row>
    <row r="171">
      <c r="A171" t="str">
        <f>O171</f>
      </c>
      <c r="B171" t="str">
        <f>P171</f>
      </c>
      <c r="C171" s="11" t="str">
        <f>AF171</f>
      </c>
      <c r="D171" s="11" t="str">
        <f>AL171</f>
      </c>
      <c r="E171" s="11" t="str">
        <f>AM171</f>
      </c>
      <c r="F171" s="11" t="str">
        <f>AN171</f>
      </c>
      <c r="G171" s="7" t="str">
        <f>AM171/AL171-1</f>
      </c>
      <c r="H171" s="7" t="str">
        <f>AM171/AF171-1</f>
      </c>
      <c r="I171" s="7" t="str">
        <f>AN171/AM171</f>
      </c>
      <c r="J171" s="7" t="str">
        <f>AM171/Sum(AM$1:AM$458)</f>
      </c>
      <c r="K171" s="7" t="str">
        <f>AN171/Sum(AN1:AN$458)</f>
      </c>
      <c r="O171" t="s">
        <v>265</v>
      </c>
      <c r="P171" t="n">
        <v>558</v>
      </c>
      <c r="Q171" s="11"/>
      <c r="R171" s="11"/>
      <c r="S171" s="11"/>
      <c r="T171" s="11" t="n">
        <v>4315.5101666288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</row>
    <row r="172">
      <c r="A172" t="str">
        <f>O172</f>
      </c>
      <c r="B172" t="str">
        <f>P172</f>
      </c>
      <c r="C172" s="11" t="str">
        <f>AF172</f>
      </c>
      <c r="D172" s="11" t="str">
        <f>AL172</f>
      </c>
      <c r="E172" s="11" t="str">
        <f>AM172</f>
      </c>
      <c r="F172" s="11" t="str">
        <f>AN172</f>
      </c>
      <c r="G172" s="7" t="str">
        <f>AM172/AL172-1</f>
      </c>
      <c r="H172" s="7" t="str">
        <f>AM172/AF172-1</f>
      </c>
      <c r="I172" s="7" t="str">
        <f>AN172/AM172</f>
      </c>
      <c r="J172" s="7" t="str">
        <f>AM172/Sum(AM$1:AM$458)</f>
      </c>
      <c r="K172" s="7" t="str">
        <f>AN172/Sum(AN1:AN$458)</f>
      </c>
      <c r="O172" t="s">
        <v>266</v>
      </c>
      <c r="P172" t="n">
        <v>940</v>
      </c>
      <c r="Q172" s="11"/>
      <c r="R172" s="11"/>
      <c r="S172" s="11" t="n">
        <v>4415760.53038144</v>
      </c>
      <c r="T172" s="11" t="n">
        <v>-2290327.4946797</v>
      </c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</row>
    <row r="173">
      <c r="A173" t="str">
        <f>O173</f>
      </c>
      <c r="B173" t="str">
        <f>P173</f>
      </c>
      <c r="C173" s="11" t="str">
        <f>AF173</f>
      </c>
      <c r="D173" s="11" t="str">
        <f>AL173</f>
      </c>
      <c r="E173" s="11" t="str">
        <f>AM173</f>
      </c>
      <c r="F173" s="11" t="str">
        <f>AN173</f>
      </c>
      <c r="G173" s="7" t="str">
        <f>AM173/AL173-1</f>
      </c>
      <c r="H173" s="7" t="str">
        <f>AM173/AF173-1</f>
      </c>
      <c r="I173" s="7" t="str">
        <f>AN173/AM173</f>
      </c>
      <c r="J173" s="7" t="str">
        <f>AM173/Sum(AM$1:AM$458)</f>
      </c>
      <c r="K173" s="7" t="str">
        <f>AN173/Sum(AN1:AN$458)</f>
      </c>
      <c r="O173" t="s">
        <v>267</v>
      </c>
      <c r="P173" t="n">
        <v>973</v>
      </c>
      <c r="Q173" s="11"/>
      <c r="R173" s="11" t="n">
        <v>189989.76924046</v>
      </c>
      <c r="S173" s="11" t="n">
        <v>91454.1583422327</v>
      </c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</row>
    <row r="174">
      <c r="A174" t="str">
        <f>O174</f>
      </c>
      <c r="B174" t="str">
        <f>P174</f>
      </c>
      <c r="C174" s="11" t="str">
        <f>AF174</f>
      </c>
      <c r="D174" s="11" t="str">
        <f>AL174</f>
      </c>
      <c r="E174" s="11" t="str">
        <f>AM174</f>
      </c>
      <c r="F174" s="11" t="str">
        <f>AN174</f>
      </c>
      <c r="G174" s="7" t="str">
        <f>AM174/AL174-1</f>
      </c>
      <c r="H174" s="7" t="str">
        <f>AM174/AF174-1</f>
      </c>
      <c r="I174" s="7" t="str">
        <f>AN174/AM174</f>
      </c>
      <c r="J174" s="7" t="str">
        <f>AM174/Sum(AM$1:AM$458)</f>
      </c>
      <c r="K174" s="7" t="str">
        <f>AN174/Sum(AN1:AN$458)</f>
      </c>
      <c r="O174" t="s">
        <v>268</v>
      </c>
      <c r="P174" t="n">
        <v>1017</v>
      </c>
      <c r="Q174" s="11" t="n">
        <v>2517307.41754037</v>
      </c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</row>
    <row r="175">
      <c r="A175" t="str">
        <f>O175</f>
      </c>
      <c r="B175" t="str">
        <f>P175</f>
      </c>
      <c r="C175" s="11" t="str">
        <f>AF175</f>
      </c>
      <c r="D175" s="11" t="str">
        <f>AL175</f>
      </c>
      <c r="E175" s="11" t="str">
        <f>AM175</f>
      </c>
      <c r="F175" s="11" t="str">
        <f>AN175</f>
      </c>
      <c r="G175" s="7" t="str">
        <f>AM175/AL175-1</f>
      </c>
      <c r="H175" s="7" t="str">
        <f>AM175/AF175-1</f>
      </c>
      <c r="I175" s="7" t="str">
        <f>AN175/AM175</f>
      </c>
      <c r="J175" s="7" t="str">
        <f>AM175/Sum(AM$1:AM$458)</f>
      </c>
      <c r="K175" s="7" t="str">
        <f>AN175/Sum(AN1:AN$458)</f>
      </c>
      <c r="O175" t="s">
        <v>269</v>
      </c>
      <c r="P175" t="n">
        <v>1088</v>
      </c>
      <c r="Q175" s="11"/>
      <c r="R175" s="11" t="n">
        <v>48333.8995634944</v>
      </c>
      <c r="S175" s="11"/>
      <c r="T175" s="11" t="n">
        <v>147605.076546727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</row>
    <row r="176">
      <c r="A176" t="str">
        <f>O176</f>
      </c>
      <c r="B176" t="str">
        <f>P176</f>
      </c>
      <c r="C176" s="11" t="str">
        <f>AF176</f>
      </c>
      <c r="D176" s="11" t="str">
        <f>AL176</f>
      </c>
      <c r="E176" s="11" t="str">
        <f>AM176</f>
      </c>
      <c r="F176" s="11" t="str">
        <f>AN176</f>
      </c>
      <c r="G176" s="7" t="str">
        <f>AM176/AL176-1</f>
      </c>
      <c r="H176" s="7" t="str">
        <f>AM176/AF176-1</f>
      </c>
      <c r="I176" s="7" t="str">
        <f>AN176/AM176</f>
      </c>
      <c r="J176" s="7" t="str">
        <f>AM176/Sum(AM$1:AM$458)</f>
      </c>
      <c r="K176" s="7" t="str">
        <f>AN176/Sum(AN1:AN$458)</f>
      </c>
      <c r="O176" t="s">
        <v>270</v>
      </c>
      <c r="P176" t="n">
        <v>1087</v>
      </c>
      <c r="Q176" s="11" t="n">
        <v>11939097.8994588</v>
      </c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</row>
    <row r="177">
      <c r="A177" t="str">
        <f>O177</f>
      </c>
      <c r="B177" t="str">
        <f>P177</f>
      </c>
      <c r="C177" s="11" t="str">
        <f>AF177</f>
      </c>
      <c r="D177" s="11" t="str">
        <f>AL177</f>
      </c>
      <c r="E177" s="11" t="str">
        <f>AM177</f>
      </c>
      <c r="F177" s="11" t="str">
        <f>AN177</f>
      </c>
      <c r="G177" s="7" t="str">
        <f>AM177/AL177-1</f>
      </c>
      <c r="H177" s="7" t="str">
        <f>AM177/AF177-1</f>
      </c>
      <c r="I177" s="7" t="str">
        <f>AN177/AM177</f>
      </c>
      <c r="J177" s="7" t="str">
        <f>AM177/Sum(AM$1:AM$458)</f>
      </c>
      <c r="K177" s="7" t="str">
        <f>AN177/Sum(AN1:AN$458)</f>
      </c>
      <c r="O177" t="s">
        <v>271</v>
      </c>
      <c r="P177" t="n">
        <v>458</v>
      </c>
      <c r="Q177" s="11"/>
      <c r="R177" s="11" t="n">
        <v>475580.963061404</v>
      </c>
      <c r="S177" s="11" t="n">
        <v>216256.705141608</v>
      </c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</row>
    <row r="178">
      <c r="A178" t="str">
        <f>O178</f>
      </c>
      <c r="B178" t="str">
        <f>P178</f>
      </c>
      <c r="C178" s="11" t="str">
        <f>AF178</f>
      </c>
      <c r="D178" s="11" t="str">
        <f>AL178</f>
      </c>
      <c r="E178" s="11" t="str">
        <f>AM178</f>
      </c>
      <c r="F178" s="11" t="str">
        <f>AN178</f>
      </c>
      <c r="G178" s="7" t="str">
        <f>AM178/AL178-1</f>
      </c>
      <c r="H178" s="7" t="str">
        <f>AM178/AF178-1</f>
      </c>
      <c r="I178" s="7" t="str">
        <f>AN178/AM178</f>
      </c>
      <c r="J178" s="7" t="str">
        <f>AM178/Sum(AM$1:AM$458)</f>
      </c>
      <c r="K178" s="7" t="str">
        <f>AN178/Sum(AN1:AN$458)</f>
      </c>
      <c r="O178" t="s">
        <v>272</v>
      </c>
      <c r="P178" t="n">
        <v>1014</v>
      </c>
      <c r="Q178" s="11" t="n">
        <v>84316.8726472042</v>
      </c>
      <c r="R178" s="11"/>
      <c r="S178" s="11" t="n">
        <v>945419.203227364</v>
      </c>
      <c r="T178" s="11" t="n">
        <v>56912.3141607529</v>
      </c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</row>
    <row r="179">
      <c r="A179" t="str">
        <f>O179</f>
      </c>
      <c r="B179" t="str">
        <f>P179</f>
      </c>
      <c r="C179" s="11" t="str">
        <f>AF179</f>
      </c>
      <c r="D179" s="11" t="str">
        <f>AL179</f>
      </c>
      <c r="E179" s="11" t="str">
        <f>AM179</f>
      </c>
      <c r="F179" s="11" t="str">
        <f>AN179</f>
      </c>
      <c r="G179" s="7" t="str">
        <f>AM179/AL179-1</f>
      </c>
      <c r="H179" s="7" t="str">
        <f>AM179/AF179-1</f>
      </c>
      <c r="I179" s="7" t="str">
        <f>AN179/AM179</f>
      </c>
      <c r="J179" s="7" t="str">
        <f>AM179/Sum(AM$1:AM$458)</f>
      </c>
      <c r="K179" s="7" t="str">
        <f>AN179/Sum(AN1:AN$458)</f>
      </c>
      <c r="O179" t="s">
        <v>273</v>
      </c>
      <c r="P179" t="n">
        <v>942</v>
      </c>
      <c r="Q179" s="11"/>
      <c r="R179" s="11"/>
      <c r="S179" s="11"/>
      <c r="T179" s="11" t="n">
        <v>569915.53754208</v>
      </c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</row>
    <row r="180">
      <c r="A180" t="str">
        <f>O180</f>
      </c>
      <c r="B180" t="str">
        <f>P180</f>
      </c>
      <c r="C180" s="11" t="str">
        <f>AF180</f>
      </c>
      <c r="D180" s="11" t="str">
        <f>AL180</f>
      </c>
      <c r="E180" s="11" t="str">
        <f>AM180</f>
      </c>
      <c r="F180" s="11" t="str">
        <f>AN180</f>
      </c>
      <c r="G180" s="7" t="str">
        <f>AM180/AL180-1</f>
      </c>
      <c r="H180" s="7" t="str">
        <f>AM180/AF180-1</f>
      </c>
      <c r="I180" s="7" t="str">
        <f>AN180/AM180</f>
      </c>
      <c r="J180" s="7" t="str">
        <f>AM180/Sum(AM$1:AM$458)</f>
      </c>
      <c r="K180" s="7" t="str">
        <f>AN180/Sum(AN1:AN$458)</f>
      </c>
      <c r="O180" t="s">
        <v>274</v>
      </c>
      <c r="P180" t="n">
        <v>1764</v>
      </c>
      <c r="Q180" s="11"/>
      <c r="R180" s="11"/>
      <c r="S180" s="11" t="n">
        <v>3219677.11085216</v>
      </c>
      <c r="T180" s="11" t="n">
        <v>81852.9762007294</v>
      </c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</row>
    <row r="181">
      <c r="A181" t="str">
        <f>O181</f>
      </c>
      <c r="B181" t="str">
        <f>P181</f>
      </c>
      <c r="C181" s="11" t="str">
        <f>AF181</f>
      </c>
      <c r="D181" s="11" t="str">
        <f>AL181</f>
      </c>
      <c r="E181" s="11" t="str">
        <f>AM181</f>
      </c>
      <c r="F181" s="11" t="str">
        <f>AN181</f>
      </c>
      <c r="G181" s="7" t="str">
        <f>AM181/AL181-1</f>
      </c>
      <c r="H181" s="7" t="str">
        <f>AM181/AF181-1</f>
      </c>
      <c r="I181" s="7" t="str">
        <f>AN181/AM181</f>
      </c>
      <c r="J181" s="7" t="str">
        <f>AM181/Sum(AM$1:AM$458)</f>
      </c>
      <c r="K181" s="7" t="str">
        <f>AN181/Sum(AN1:AN$458)</f>
      </c>
      <c r="O181" t="s">
        <v>275</v>
      </c>
      <c r="P181" t="n">
        <v>1363</v>
      </c>
      <c r="Q181" s="11"/>
      <c r="R181" s="11"/>
      <c r="S181" s="11"/>
      <c r="T181" s="11"/>
      <c r="U181" s="11" t="n">
        <v>8512264.0811301</v>
      </c>
      <c r="V181" s="11" t="n">
        <v>6425899.1030621</v>
      </c>
      <c r="W181" s="11" t="n">
        <v>38022987.913719</v>
      </c>
      <c r="X181" s="11" t="n">
        <v>61179941.5450467</v>
      </c>
      <c r="Y181" s="11" t="n">
        <v>103830771.873145</v>
      </c>
      <c r="Z181" s="11" t="n">
        <v>82604052.3476983</v>
      </c>
      <c r="AA181" s="11" t="n">
        <v>53130456.1339885</v>
      </c>
      <c r="AB181" s="11" t="n">
        <v>60586479.2938296</v>
      </c>
      <c r="AC181" s="11" t="n">
        <v>130716289.654368</v>
      </c>
      <c r="AD181" s="11" t="n">
        <v>128152191.097967</v>
      </c>
      <c r="AE181" s="11" t="n">
        <v>115679184.213207</v>
      </c>
      <c r="AF181" s="11" t="n">
        <v>97515490.4323282</v>
      </c>
      <c r="AG181" s="11" t="n">
        <v>65908168.1951201</v>
      </c>
      <c r="AH181" s="11" t="n">
        <v>30860472.5719656</v>
      </c>
      <c r="AI181" s="11" t="n">
        <v>1709332.07096844</v>
      </c>
      <c r="AJ181" s="11" t="n">
        <v>-74889.4750054569</v>
      </c>
      <c r="AK181" s="11" t="n">
        <v>-3448477.24524365</v>
      </c>
      <c r="AL181" s="11" t="n">
        <v>-366412.176005217</v>
      </c>
      <c r="AM181" s="11" t="n">
        <v>-118228.4104</v>
      </c>
      <c r="AN181" s="11" t="n">
        <v>0</v>
      </c>
      <c r="AO181" s="11"/>
    </row>
    <row r="182">
      <c r="A182" t="str">
        <f>O182</f>
      </c>
      <c r="B182" t="str">
        <f>P182</f>
      </c>
      <c r="C182" s="11" t="str">
        <f>AF182</f>
      </c>
      <c r="D182" s="11" t="str">
        <f>AL182</f>
      </c>
      <c r="E182" s="11" t="str">
        <f>AM182</f>
      </c>
      <c r="F182" s="11" t="str">
        <f>AN182</f>
      </c>
      <c r="G182" s="7" t="str">
        <f>AM182/AL182-1</f>
      </c>
      <c r="H182" s="7" t="str">
        <f>AM182/AF182-1</f>
      </c>
      <c r="I182" s="7" t="str">
        <f>AN182/AM182</f>
      </c>
      <c r="J182" s="7" t="str">
        <f>AM182/Sum(AM$1:AM$458)</f>
      </c>
      <c r="K182" s="7" t="str">
        <f>AN182/Sum(AN1:AN$458)</f>
      </c>
      <c r="O182" t="s">
        <v>276</v>
      </c>
      <c r="P182" t="n">
        <v>2057</v>
      </c>
      <c r="Q182" s="11" t="n">
        <v>124106889.461622</v>
      </c>
      <c r="R182" s="11" t="n">
        <v>15647095.1307433</v>
      </c>
      <c r="S182" s="11" t="n">
        <v>16855630.3336389</v>
      </c>
      <c r="T182" s="11" t="n">
        <v>226762.382731649</v>
      </c>
      <c r="U182" s="11" t="n">
        <v>18626940.5562355</v>
      </c>
      <c r="V182" s="11" t="n">
        <v>2606414.6287795</v>
      </c>
      <c r="W182" s="11" t="n">
        <v>3469820.99855136</v>
      </c>
      <c r="X182" s="11" t="n">
        <v>149689.863830887</v>
      </c>
      <c r="Y182" s="11"/>
      <c r="Z182" s="11"/>
      <c r="AA182" s="11"/>
      <c r="AB182" s="11"/>
      <c r="AC182" s="11" t="n">
        <v>-65000.028787598</v>
      </c>
      <c r="AD182" s="11"/>
      <c r="AE182" s="11"/>
      <c r="AF182" s="11" t="n">
        <v>0</v>
      </c>
      <c r="AG182" s="11"/>
      <c r="AH182" s="11"/>
      <c r="AI182" s="11"/>
      <c r="AJ182" s="11"/>
      <c r="AK182" s="11"/>
      <c r="AL182" s="11"/>
      <c r="AM182" s="11"/>
      <c r="AN182" s="11"/>
      <c r="AO182" s="11"/>
    </row>
    <row r="183">
      <c r="A183" t="str">
        <f>O183</f>
      </c>
      <c r="B183" t="str">
        <f>P183</f>
      </c>
      <c r="C183" s="11" t="str">
        <f>AF183</f>
      </c>
      <c r="D183" s="11" t="str">
        <f>AL183</f>
      </c>
      <c r="E183" s="11" t="str">
        <f>AM183</f>
      </c>
      <c r="F183" s="11" t="str">
        <f>AN183</f>
      </c>
      <c r="G183" s="7" t="str">
        <f>AM183/AL183-1</f>
      </c>
      <c r="H183" s="7" t="str">
        <f>AM183/AF183-1</f>
      </c>
      <c r="I183" s="7" t="str">
        <f>AN183/AM183</f>
      </c>
      <c r="J183" s="7" t="str">
        <f>AM183/Sum(AM$1:AM$458)</f>
      </c>
      <c r="K183" s="7" t="str">
        <f>AN183/Sum(AN1:AN$458)</f>
      </c>
      <c r="O183" t="s">
        <v>277</v>
      </c>
      <c r="P183" t="n">
        <v>1166</v>
      </c>
      <c r="Q183" s="11" t="n">
        <v>129746766.467727</v>
      </c>
      <c r="R183" s="11" t="n">
        <v>108304209.109057</v>
      </c>
      <c r="S183" s="11" t="n">
        <v>2082420.03735793</v>
      </c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</row>
    <row r="184">
      <c r="A184" t="str">
        <f>O184</f>
      </c>
      <c r="B184" t="str">
        <f>P184</f>
      </c>
      <c r="C184" s="11" t="str">
        <f>AF184</f>
      </c>
      <c r="D184" s="11" t="str">
        <f>AL184</f>
      </c>
      <c r="E184" s="11" t="str">
        <f>AM184</f>
      </c>
      <c r="F184" s="11" t="str">
        <f>AN184</f>
      </c>
      <c r="G184" s="7" t="str">
        <f>AM184/AL184-1</f>
      </c>
      <c r="H184" s="7" t="str">
        <f>AM184/AF184-1</f>
      </c>
      <c r="I184" s="7" t="str">
        <f>AN184/AM184</f>
      </c>
      <c r="J184" s="7" t="str">
        <f>AM184/Sum(AM$1:AM$458)</f>
      </c>
      <c r="K184" s="7" t="str">
        <f>AN184/Sum(AN1:AN$458)</f>
      </c>
      <c r="O184" t="s">
        <v>278</v>
      </c>
      <c r="P184" t="n">
        <v>1942</v>
      </c>
      <c r="Q184" s="11"/>
      <c r="R184" s="11"/>
      <c r="S184" s="11"/>
      <c r="T184" s="11" t="n">
        <v>2608105.69352449</v>
      </c>
      <c r="U184" s="11" t="n">
        <v>2870800.89233885</v>
      </c>
      <c r="V184" s="11" t="n">
        <v>4023708.19997591</v>
      </c>
      <c r="W184" s="11" t="n">
        <v>3987274.87626944</v>
      </c>
      <c r="X184" s="11"/>
      <c r="Y184" s="11" t="n">
        <v>0</v>
      </c>
      <c r="Z184" s="11" t="n">
        <v>-87840.232842472</v>
      </c>
      <c r="AA184" s="11" t="n">
        <v>-29143.1129260451</v>
      </c>
      <c r="AB184" s="11" t="n">
        <v>-4635.42943779766</v>
      </c>
      <c r="AC184" s="11"/>
      <c r="AD184" s="11"/>
      <c r="AE184" s="11"/>
      <c r="AF184" s="11"/>
      <c r="AG184" s="11" t="n">
        <v>0</v>
      </c>
      <c r="AH184" s="11"/>
      <c r="AI184" s="11"/>
      <c r="AJ184" s="11" t="n">
        <v>0</v>
      </c>
      <c r="AK184" s="11"/>
      <c r="AL184" s="11"/>
      <c r="AM184" s="11"/>
      <c r="AN184" s="11"/>
      <c r="AO184" s="11"/>
    </row>
    <row r="185">
      <c r="A185" t="str">
        <f>O185</f>
      </c>
      <c r="B185" t="str">
        <f>P185</f>
      </c>
      <c r="C185" s="11" t="str">
        <f>AF185</f>
      </c>
      <c r="D185" s="11" t="str">
        <f>AL185</f>
      </c>
      <c r="E185" s="11" t="str">
        <f>AM185</f>
      </c>
      <c r="F185" s="11" t="str">
        <f>AN185</f>
      </c>
      <c r="G185" s="7" t="str">
        <f>AM185/AL185-1</f>
      </c>
      <c r="H185" s="7" t="str">
        <f>AM185/AF185-1</f>
      </c>
      <c r="I185" s="7" t="str">
        <f>AN185/AM185</f>
      </c>
      <c r="J185" s="7" t="str">
        <f>AM185/Sum(AM$1:AM$458)</f>
      </c>
      <c r="K185" s="7" t="str">
        <f>AN185/Sum(AN1:AN$458)</f>
      </c>
      <c r="O185" t="s">
        <v>279</v>
      </c>
      <c r="P185" t="n">
        <v>334</v>
      </c>
      <c r="Q185" s="11"/>
      <c r="R185" s="11"/>
      <c r="S185" s="11"/>
      <c r="T185" s="11" t="n">
        <v>14087.8854133062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</row>
    <row r="186">
      <c r="A186" t="str">
        <f>O186</f>
      </c>
      <c r="B186" t="str">
        <f>P186</f>
      </c>
      <c r="C186" s="11" t="str">
        <f>AF186</f>
      </c>
      <c r="D186" s="11" t="str">
        <f>AL186</f>
      </c>
      <c r="E186" s="11" t="str">
        <f>AM186</f>
      </c>
      <c r="F186" s="11" t="str">
        <f>AN186</f>
      </c>
      <c r="G186" s="7" t="str">
        <f>AM186/AL186-1</f>
      </c>
      <c r="H186" s="7" t="str">
        <f>AM186/AF186-1</f>
      </c>
      <c r="I186" s="7" t="str">
        <f>AN186/AM186</f>
      </c>
      <c r="J186" s="7" t="str">
        <f>AM186/Sum(AM$1:AM$458)</f>
      </c>
      <c r="K186" s="7" t="str">
        <f>AN186/Sum(AN1:AN$458)</f>
      </c>
      <c r="O186" t="s">
        <v>280</v>
      </c>
      <c r="P186" t="n">
        <v>460</v>
      </c>
      <c r="Q186" s="11" t="n">
        <v>46048.3064184214</v>
      </c>
      <c r="R186" s="11" t="n">
        <v>1402017.51249498</v>
      </c>
      <c r="S186" s="11" t="n">
        <v>2151992.90700867</v>
      </c>
      <c r="T186" s="11" t="n">
        <v>96282.2014012266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</row>
    <row r="187">
      <c r="A187" t="str">
        <f>O187</f>
      </c>
      <c r="B187" t="str">
        <f>P187</f>
      </c>
      <c r="C187" s="11" t="str">
        <f>AF187</f>
      </c>
      <c r="D187" s="11" t="str">
        <f>AL187</f>
      </c>
      <c r="E187" s="11" t="str">
        <f>AM187</f>
      </c>
      <c r="F187" s="11" t="str">
        <f>AN187</f>
      </c>
      <c r="G187" s="7" t="str">
        <f>AM187/AL187-1</f>
      </c>
      <c r="H187" s="7" t="str">
        <f>AM187/AF187-1</f>
      </c>
      <c r="I187" s="7" t="str">
        <f>AN187/AM187</f>
      </c>
      <c r="J187" s="7" t="str">
        <f>AM187/Sum(AM$1:AM$458)</f>
      </c>
      <c r="K187" s="7" t="str">
        <f>AN187/Sum(AN1:AN$458)</f>
      </c>
      <c r="O187" t="s">
        <v>281</v>
      </c>
      <c r="P187" t="n">
        <v>468</v>
      </c>
      <c r="Q187" s="11"/>
      <c r="R187" s="11"/>
      <c r="S187" s="11"/>
      <c r="T187" s="11" t="n">
        <v>3416152.97162068</v>
      </c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</row>
    <row r="188">
      <c r="A188" t="str">
        <f>O188</f>
      </c>
      <c r="B188" t="str">
        <f>P188</f>
      </c>
      <c r="C188" s="11" t="str">
        <f>AF188</f>
      </c>
      <c r="D188" s="11" t="str">
        <f>AL188</f>
      </c>
      <c r="E188" s="11" t="str">
        <f>AM188</f>
      </c>
      <c r="F188" s="11" t="str">
        <f>AN188</f>
      </c>
      <c r="G188" s="7" t="str">
        <f>AM188/AL188-1</f>
      </c>
      <c r="H188" s="7" t="str">
        <f>AM188/AF188-1</f>
      </c>
      <c r="I188" s="7" t="str">
        <f>AN188/AM188</f>
      </c>
      <c r="J188" s="7" t="str">
        <f>AM188/Sum(AM$1:AM$458)</f>
      </c>
      <c r="K188" s="7" t="str">
        <f>AN188/Sum(AN1:AN$458)</f>
      </c>
      <c r="O188" t="s">
        <v>282</v>
      </c>
      <c r="P188" t="n">
        <v>655</v>
      </c>
      <c r="Q188" s="11"/>
      <c r="R188" s="11"/>
      <c r="S188" s="11"/>
      <c r="T188" s="11"/>
      <c r="U188" s="11"/>
      <c r="V188" s="11"/>
      <c r="W188" s="11"/>
      <c r="X188" s="11" t="n">
        <v>5429092.14556382</v>
      </c>
      <c r="Y188" s="11"/>
      <c r="Z188" s="11"/>
      <c r="AA188" s="11" t="n">
        <v>-259677.948324055</v>
      </c>
      <c r="AB188" s="11" t="n">
        <v>4337413.9128831</v>
      </c>
      <c r="AC188" s="11" t="n">
        <v>4262578.5961242</v>
      </c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</row>
    <row r="189">
      <c r="A189" t="str">
        <f>O189</f>
      </c>
      <c r="B189" t="str">
        <f>P189</f>
      </c>
      <c r="C189" s="11" t="str">
        <f>AF189</f>
      </c>
      <c r="D189" s="11" t="str">
        <f>AL189</f>
      </c>
      <c r="E189" s="11" t="str">
        <f>AM189</f>
      </c>
      <c r="F189" s="11" t="str">
        <f>AN189</f>
      </c>
      <c r="G189" s="7" t="str">
        <f>AM189/AL189-1</f>
      </c>
      <c r="H189" s="7" t="str">
        <f>AM189/AF189-1</f>
      </c>
      <c r="I189" s="7" t="str">
        <f>AN189/AM189</f>
      </c>
      <c r="J189" s="7" t="str">
        <f>AM189/Sum(AM$1:AM$458)</f>
      </c>
      <c r="K189" s="7" t="str">
        <f>AN189/Sum(AN1:AN$458)</f>
      </c>
      <c r="O189" t="s">
        <v>283</v>
      </c>
      <c r="P189" t="n">
        <v>1908</v>
      </c>
      <c r="Q189" s="11"/>
      <c r="R189" s="11"/>
      <c r="S189" s="11"/>
      <c r="T189" s="11" t="n">
        <v>6065565.35091028</v>
      </c>
      <c r="U189" s="11"/>
      <c r="V189" s="11"/>
      <c r="W189" s="11"/>
      <c r="X189" s="11"/>
      <c r="Y189" s="11"/>
      <c r="Z189" s="11"/>
      <c r="AA189" s="11" t="n">
        <v>-482212.736149673</v>
      </c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</row>
    <row r="190">
      <c r="A190" t="str">
        <f>O190</f>
      </c>
      <c r="B190" t="str">
        <f>P190</f>
      </c>
      <c r="C190" s="11" t="str">
        <f>AF190</f>
      </c>
      <c r="D190" s="11" t="str">
        <f>AL190</f>
      </c>
      <c r="E190" s="11" t="str">
        <f>AM190</f>
      </c>
      <c r="F190" s="11" t="str">
        <f>AN190</f>
      </c>
      <c r="G190" s="7" t="str">
        <f>AM190/AL190-1</f>
      </c>
      <c r="H190" s="7" t="str">
        <f>AM190/AF190-1</f>
      </c>
      <c r="I190" s="7" t="str">
        <f>AN190/AM190</f>
      </c>
      <c r="J190" s="7" t="str">
        <f>AM190/Sum(AM$1:AM$458)</f>
      </c>
      <c r="K190" s="7" t="str">
        <f>AN190/Sum(AN1:AN$458)</f>
      </c>
      <c r="O190" t="s">
        <v>284</v>
      </c>
      <c r="P190" t="n">
        <v>486</v>
      </c>
      <c r="Q190" s="11" t="n">
        <v>46920.8006452967</v>
      </c>
      <c r="R190" s="11"/>
      <c r="S190" s="11" t="n">
        <v>-70802.8185963504</v>
      </c>
      <c r="T190" s="11" t="n">
        <v>7300866.42156276</v>
      </c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>
      <c r="A191" t="str">
        <f>O191</f>
      </c>
      <c r="B191" t="str">
        <f>P191</f>
      </c>
      <c r="C191" s="11" t="str">
        <f>AF191</f>
      </c>
      <c r="D191" s="11" t="str">
        <f>AL191</f>
      </c>
      <c r="E191" s="11" t="str">
        <f>AM191</f>
      </c>
      <c r="F191" s="11" t="str">
        <f>AN191</f>
      </c>
      <c r="G191" s="7" t="str">
        <f>AM191/AL191-1</f>
      </c>
      <c r="H191" s="7" t="str">
        <f>AM191/AF191-1</f>
      </c>
      <c r="I191" s="7" t="str">
        <f>AN191/AM191</f>
      </c>
      <c r="J191" s="7" t="str">
        <f>AM191/Sum(AM$1:AM$458)</f>
      </c>
      <c r="K191" s="7" t="str">
        <f>AN191/Sum(AN1:AN$458)</f>
      </c>
      <c r="O191" t="s">
        <v>285</v>
      </c>
      <c r="P191" t="n">
        <v>1867</v>
      </c>
      <c r="Q191" s="11"/>
      <c r="R191" s="11"/>
      <c r="S191" s="11"/>
      <c r="T191" s="11"/>
      <c r="U191" s="11"/>
      <c r="V191" s="11"/>
      <c r="W191" s="11"/>
      <c r="X191" s="11"/>
      <c r="Y191" s="11" t="n">
        <v>5516817.73954354</v>
      </c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</row>
    <row r="192">
      <c r="A192" t="str">
        <f>O192</f>
      </c>
      <c r="B192" t="str">
        <f>P192</f>
      </c>
      <c r="C192" s="11" t="str">
        <f>AF192</f>
      </c>
      <c r="D192" s="11" t="str">
        <f>AL192</f>
      </c>
      <c r="E192" s="11" t="str">
        <f>AM192</f>
      </c>
      <c r="F192" s="11" t="str">
        <f>AN192</f>
      </c>
      <c r="G192" s="7" t="str">
        <f>AM192/AL192-1</f>
      </c>
      <c r="H192" s="7" t="str">
        <f>AM192/AF192-1</f>
      </c>
      <c r="I192" s="7" t="str">
        <f>AN192/AM192</f>
      </c>
      <c r="J192" s="7" t="str">
        <f>AM192/Sum(AM$1:AM$458)</f>
      </c>
      <c r="K192" s="7" t="str">
        <f>AN192/Sum(AN1:AN$458)</f>
      </c>
      <c r="O192" t="s">
        <v>286</v>
      </c>
      <c r="P192" t="n">
        <v>1853</v>
      </c>
      <c r="Q192" s="11"/>
      <c r="R192" s="11"/>
      <c r="S192" s="11"/>
      <c r="T192" s="11"/>
      <c r="U192" s="11"/>
      <c r="V192" s="11" t="n">
        <v>4939867.356688</v>
      </c>
      <c r="W192" s="11" t="n">
        <v>0</v>
      </c>
      <c r="X192" s="11" t="n">
        <v>12319.8971022078</v>
      </c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</row>
    <row r="193">
      <c r="A193" t="str">
        <f>O193</f>
      </c>
      <c r="B193" t="str">
        <f>P193</f>
      </c>
      <c r="C193" s="11" t="str">
        <f>AF193</f>
      </c>
      <c r="D193" s="11" t="str">
        <f>AL193</f>
      </c>
      <c r="E193" s="11" t="str">
        <f>AM193</f>
      </c>
      <c r="F193" s="11" t="str">
        <f>AN193</f>
      </c>
      <c r="G193" s="7" t="str">
        <f>AM193/AL193-1</f>
      </c>
      <c r="H193" s="7" t="str">
        <f>AM193/AF193-1</f>
      </c>
      <c r="I193" s="7" t="str">
        <f>AN193/AM193</f>
      </c>
      <c r="J193" s="7" t="str">
        <f>AM193/Sum(AM$1:AM$458)</f>
      </c>
      <c r="K193" s="7" t="str">
        <f>AN193/Sum(AN1:AN$458)</f>
      </c>
      <c r="O193" t="s">
        <v>287</v>
      </c>
      <c r="P193" t="n">
        <v>630</v>
      </c>
      <c r="Q193" s="11"/>
      <c r="R193" s="11"/>
      <c r="S193" s="11"/>
      <c r="T193" s="11"/>
      <c r="U193" s="11" t="n">
        <v>7076383.92287717</v>
      </c>
      <c r="V193" s="11" t="n">
        <v>2879157.09413518</v>
      </c>
      <c r="W193" s="11" t="n">
        <v>253186358.608639</v>
      </c>
      <c r="X193" s="11" t="n">
        <v>530770834.158442</v>
      </c>
      <c r="Y193" s="11" t="n">
        <v>675258326.778128</v>
      </c>
      <c r="Z193" s="11" t="n">
        <v>642279821.06243</v>
      </c>
      <c r="AA193" s="11" t="n">
        <v>240857207.929885</v>
      </c>
      <c r="AB193" s="11" t="n">
        <v>240389882.923456</v>
      </c>
      <c r="AC193" s="11" t="n">
        <v>107854864.665195</v>
      </c>
      <c r="AD193" s="11" t="n">
        <v>236629553.423295</v>
      </c>
      <c r="AE193" s="11" t="n">
        <v>12789747.8906877</v>
      </c>
      <c r="AF193" s="11" t="n">
        <v>188224.127486576</v>
      </c>
      <c r="AG193" s="11" t="n">
        <v>1827280.74861338</v>
      </c>
      <c r="AH193" s="11" t="n">
        <v>-266938.46832997</v>
      </c>
      <c r="AI193" s="11" t="n">
        <v>-366758.020385836</v>
      </c>
      <c r="AJ193" s="11" t="n">
        <v>-581153.04841066</v>
      </c>
      <c r="AK193" s="11" t="n">
        <v>-714398.676833573</v>
      </c>
      <c r="AL193" s="11" t="n">
        <v>-948.158696171271</v>
      </c>
      <c r="AM193" s="11"/>
      <c r="AN193" s="11"/>
      <c r="AO193" s="11"/>
    </row>
    <row r="194">
      <c r="A194" t="str">
        <f>O194</f>
      </c>
      <c r="B194" t="str">
        <f>P194</f>
      </c>
      <c r="C194" s="11" t="str">
        <f>AF194</f>
      </c>
      <c r="D194" s="11" t="str">
        <f>AL194</f>
      </c>
      <c r="E194" s="11" t="str">
        <f>AM194</f>
      </c>
      <c r="F194" s="11" t="str">
        <f>AN194</f>
      </c>
      <c r="G194" s="7" t="str">
        <f>AM194/AL194-1</f>
      </c>
      <c r="H194" s="7" t="str">
        <f>AM194/AF194-1</f>
      </c>
      <c r="I194" s="7" t="str">
        <f>AN194/AM194</f>
      </c>
      <c r="J194" s="7" t="str">
        <f>AM194/Sum(AM$1:AM$458)</f>
      </c>
      <c r="K194" s="7" t="str">
        <f>AN194/Sum(AN1:AN$458)</f>
      </c>
      <c r="O194" t="s">
        <v>288</v>
      </c>
      <c r="P194" t="n">
        <v>2058</v>
      </c>
      <c r="Q194" s="11"/>
      <c r="R194" s="11"/>
      <c r="S194" s="11"/>
      <c r="T194" s="11"/>
      <c r="U194" s="11"/>
      <c r="V194" s="11"/>
      <c r="W194" s="11" t="n">
        <v>2298.53358380918</v>
      </c>
      <c r="X194" s="11" t="n">
        <v>26505113.1116759</v>
      </c>
      <c r="Y194" s="11" t="n">
        <v>31933986.7218112</v>
      </c>
      <c r="Z194" s="11" t="n">
        <v>19481091.5809292</v>
      </c>
      <c r="AA194" s="11" t="n">
        <v>1530035.21878526</v>
      </c>
      <c r="AB194" s="11" t="n">
        <v>2291193.94798476</v>
      </c>
      <c r="AC194" s="11" t="n">
        <v>474805.134280947</v>
      </c>
      <c r="AD194" s="11" t="n">
        <v>393538.274104729</v>
      </c>
      <c r="AE194" s="11" t="n">
        <v>-26629.6819072499</v>
      </c>
      <c r="AF194" s="11" t="n">
        <v>-557185.824284789</v>
      </c>
      <c r="AG194" s="11" t="n">
        <v>-20669.126688083</v>
      </c>
      <c r="AH194" s="11"/>
      <c r="AI194" s="11" t="n">
        <v>-22638.3954456166</v>
      </c>
      <c r="AJ194" s="11"/>
      <c r="AK194" s="11"/>
      <c r="AL194" s="11"/>
      <c r="AM194" s="11"/>
      <c r="AN194" s="11"/>
      <c r="AO194" s="11"/>
    </row>
    <row r="195">
      <c r="A195" t="str">
        <f>O195</f>
      </c>
      <c r="B195" t="str">
        <f>P195</f>
      </c>
      <c r="C195" s="11" t="str">
        <f>AF195</f>
      </c>
      <c r="D195" s="11" t="str">
        <f>AL195</f>
      </c>
      <c r="E195" s="11" t="str">
        <f>AM195</f>
      </c>
      <c r="F195" s="11" t="str">
        <f>AN195</f>
      </c>
      <c r="G195" s="7" t="str">
        <f>AM195/AL195-1</f>
      </c>
      <c r="H195" s="7" t="str">
        <f>AM195/AF195-1</f>
      </c>
      <c r="I195" s="7" t="str">
        <f>AN195/AM195</f>
      </c>
      <c r="J195" s="7" t="str">
        <f>AM195/Sum(AM$1:AM$458)</f>
      </c>
      <c r="K195" s="7" t="str">
        <f>AN195/Sum(AN1:AN$458)</f>
      </c>
      <c r="O195" t="s">
        <v>289</v>
      </c>
      <c r="P195" t="n">
        <v>2059</v>
      </c>
      <c r="Q195" s="11"/>
      <c r="R195" s="11"/>
      <c r="S195" s="11"/>
      <c r="T195" s="11" t="n">
        <v>5201157.38813085</v>
      </c>
      <c r="U195" s="11"/>
      <c r="V195" s="11"/>
      <c r="W195" s="11" t="n">
        <v>1854504.15237292</v>
      </c>
      <c r="X195" s="11"/>
      <c r="Y195" s="11" t="n">
        <v>0</v>
      </c>
      <c r="Z195" s="11"/>
      <c r="AA195" s="11" t="n">
        <v>-69573.7735361564</v>
      </c>
      <c r="AB195" s="11"/>
      <c r="AC195" s="11"/>
      <c r="AD195" s="11" t="n">
        <v>-25868.0105521846</v>
      </c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</row>
    <row r="196">
      <c r="A196" t="str">
        <f>O196</f>
      </c>
      <c r="B196" t="str">
        <f>P196</f>
      </c>
      <c r="C196" s="11" t="str">
        <f>AF196</f>
      </c>
      <c r="D196" s="11" t="str">
        <f>AL196</f>
      </c>
      <c r="E196" s="11" t="str">
        <f>AM196</f>
      </c>
      <c r="F196" s="11" t="str">
        <f>AN196</f>
      </c>
      <c r="G196" s="7" t="str">
        <f>AM196/AL196-1</f>
      </c>
      <c r="H196" s="7" t="str">
        <f>AM196/AF196-1</f>
      </c>
      <c r="I196" s="7" t="str">
        <f>AN196/AM196</f>
      </c>
      <c r="J196" s="7" t="str">
        <f>AM196/Sum(AM$1:AM$458)</f>
      </c>
      <c r="K196" s="7" t="str">
        <f>AN196/Sum(AN1:AN$458)</f>
      </c>
      <c r="O196" t="s">
        <v>290</v>
      </c>
      <c r="P196" t="n">
        <v>425</v>
      </c>
      <c r="Q196" s="11" t="n">
        <v>105856.169940677</v>
      </c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</row>
    <row r="197">
      <c r="A197" t="str">
        <f>O197</f>
      </c>
      <c r="B197" t="str">
        <f>P197</f>
      </c>
      <c r="C197" s="11" t="str">
        <f>AF197</f>
      </c>
      <c r="D197" s="11" t="str">
        <f>AL197</f>
      </c>
      <c r="E197" s="11" t="str">
        <f>AM197</f>
      </c>
      <c r="F197" s="11" t="str">
        <f>AN197</f>
      </c>
      <c r="G197" s="7" t="str">
        <f>AM197/AL197-1</f>
      </c>
      <c r="H197" s="7" t="str">
        <f>AM197/AF197-1</f>
      </c>
      <c r="I197" s="7" t="str">
        <f>AN197/AM197</f>
      </c>
      <c r="J197" s="7" t="str">
        <f>AM197/Sum(AM$1:AM$458)</f>
      </c>
      <c r="K197" s="7" t="str">
        <f>AN197/Sum(AN1:AN$458)</f>
      </c>
      <c r="O197" t="s">
        <v>291</v>
      </c>
      <c r="P197" t="n">
        <v>538</v>
      </c>
      <c r="Q197" s="11" t="n">
        <v>63175.0449459746</v>
      </c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</row>
    <row r="198">
      <c r="A198" t="str">
        <f>O198</f>
      </c>
      <c r="B198" t="str">
        <f>P198</f>
      </c>
      <c r="C198" s="11" t="str">
        <f>AF198</f>
      </c>
      <c r="D198" s="11" t="str">
        <f>AL198</f>
      </c>
      <c r="E198" s="11" t="str">
        <f>AM198</f>
      </c>
      <c r="F198" s="11" t="str">
        <f>AN198</f>
      </c>
      <c r="G198" s="7" t="str">
        <f>AM198/AL198-1</f>
      </c>
      <c r="H198" s="7" t="str">
        <f>AM198/AF198-1</f>
      </c>
      <c r="I198" s="7" t="str">
        <f>AN198/AM198</f>
      </c>
      <c r="J198" s="7" t="str">
        <f>AM198/Sum(AM$1:AM$458)</f>
      </c>
      <c r="K198" s="7" t="str">
        <f>AN198/Sum(AN1:AN$458)</f>
      </c>
      <c r="O198" t="s">
        <v>292</v>
      </c>
      <c r="P198" t="n">
        <v>160</v>
      </c>
      <c r="Q198" s="11" t="n">
        <v>1763643.67290534</v>
      </c>
      <c r="R198" s="11" t="n">
        <v>12348205.5269978</v>
      </c>
      <c r="S198" s="11" t="n">
        <v>20419458.6514203</v>
      </c>
      <c r="T198" s="11" t="n">
        <v>48653584.2951222</v>
      </c>
      <c r="U198" s="11" t="n">
        <v>672926.72342144</v>
      </c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</row>
    <row r="199">
      <c r="A199" t="str">
        <f>O199</f>
      </c>
      <c r="B199" t="str">
        <f>P199</f>
      </c>
      <c r="C199" s="11" t="str">
        <f>AF199</f>
      </c>
      <c r="D199" s="11" t="str">
        <f>AL199</f>
      </c>
      <c r="E199" s="11" t="str">
        <f>AM199</f>
      </c>
      <c r="F199" s="11" t="str">
        <f>AN199</f>
      </c>
      <c r="G199" s="7" t="str">
        <f>AM199/AL199-1</f>
      </c>
      <c r="H199" s="7" t="str">
        <f>AM199/AF199-1</f>
      </c>
      <c r="I199" s="7" t="str">
        <f>AN199/AM199</f>
      </c>
      <c r="J199" s="7" t="str">
        <f>AM199/Sum(AM$1:AM$458)</f>
      </c>
      <c r="K199" s="7" t="str">
        <f>AN199/Sum(AN1:AN$458)</f>
      </c>
      <c r="O199" t="s">
        <v>293</v>
      </c>
      <c r="P199" t="n">
        <v>1910</v>
      </c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 t="n">
        <v>-14863.5542512006</v>
      </c>
      <c r="AG199" s="11"/>
      <c r="AH199" s="11"/>
      <c r="AI199" s="11"/>
      <c r="AJ199" s="11"/>
      <c r="AK199" s="11"/>
      <c r="AL199" s="11"/>
      <c r="AM199" s="11"/>
      <c r="AN199" s="11"/>
      <c r="AO199" s="11"/>
    </row>
    <row r="200">
      <c r="A200" t="str">
        <f>O200</f>
      </c>
      <c r="B200" t="str">
        <f>P200</f>
      </c>
      <c r="C200" s="11" t="str">
        <f>AF200</f>
      </c>
      <c r="D200" s="11" t="str">
        <f>AL200</f>
      </c>
      <c r="E200" s="11" t="str">
        <f>AM200</f>
      </c>
      <c r="F200" s="11" t="str">
        <f>AN200</f>
      </c>
      <c r="G200" s="7" t="str">
        <f>AM200/AL200-1</f>
      </c>
      <c r="H200" s="7" t="str">
        <f>AM200/AF200-1</f>
      </c>
      <c r="I200" s="7" t="str">
        <f>AN200/AM200</f>
      </c>
      <c r="J200" s="7" t="str">
        <f>AM200/Sum(AM$1:AM$458)</f>
      </c>
      <c r="K200" s="7" t="str">
        <f>AN200/Sum(AN1:AN$458)</f>
      </c>
      <c r="O200" t="s">
        <v>294</v>
      </c>
      <c r="P200" t="n">
        <v>488</v>
      </c>
      <c r="Q200" s="11" t="n">
        <v>1395729.0147325</v>
      </c>
      <c r="R200" s="11" t="n">
        <v>1369665.0338348</v>
      </c>
      <c r="S200" s="11" t="n">
        <v>2316245.44505219</v>
      </c>
      <c r="T200" s="11" t="n">
        <v>889990.160758727</v>
      </c>
      <c r="U200" s="11"/>
      <c r="V200" s="11"/>
      <c r="W200" s="11"/>
      <c r="X200" s="11"/>
      <c r="Y200" s="11"/>
      <c r="Z200" s="11"/>
      <c r="AA200" s="11" t="n">
        <v>-33403.1353929984</v>
      </c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</row>
    <row r="201">
      <c r="A201" t="str">
        <f>O201</f>
      </c>
      <c r="B201" t="str">
        <f>P201</f>
      </c>
      <c r="C201" s="11" t="str">
        <f>AF201</f>
      </c>
      <c r="D201" s="11" t="str">
        <f>AL201</f>
      </c>
      <c r="E201" s="11" t="str">
        <f>AM201</f>
      </c>
      <c r="F201" s="11" t="str">
        <f>AN201</f>
      </c>
      <c r="G201" s="7" t="str">
        <f>AM201/AL201-1</f>
      </c>
      <c r="H201" s="7" t="str">
        <f>AM201/AF201-1</f>
      </c>
      <c r="I201" s="7" t="str">
        <f>AN201/AM201</f>
      </c>
      <c r="J201" s="7" t="str">
        <f>AM201/Sum(AM$1:AM$458)</f>
      </c>
      <c r="K201" s="7" t="str">
        <f>AN201/Sum(AN1:AN$458)</f>
      </c>
      <c r="O201" t="s">
        <v>295</v>
      </c>
      <c r="P201" t="n">
        <v>2232</v>
      </c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 t="n">
        <v>942432.995252825</v>
      </c>
      <c r="AM201" s="11" t="n">
        <v>0</v>
      </c>
      <c r="AN201" s="11" t="n">
        <v>86583.7118521149</v>
      </c>
      <c r="AO201" s="11"/>
    </row>
    <row r="202">
      <c r="A202" t="str">
        <f>O202</f>
      </c>
      <c r="B202" t="str">
        <f>P202</f>
      </c>
      <c r="C202" s="11" t="str">
        <f>AF202</f>
      </c>
      <c r="D202" s="11" t="str">
        <f>AL202</f>
      </c>
      <c r="E202" s="11" t="str">
        <f>AM202</f>
      </c>
      <c r="F202" s="11" t="str">
        <f>AN202</f>
      </c>
      <c r="G202" s="7" t="str">
        <f>AM202/AL202-1</f>
      </c>
      <c r="H202" s="7" t="str">
        <f>AM202/AF202-1</f>
      </c>
      <c r="I202" s="7" t="str">
        <f>AN202/AM202</f>
      </c>
      <c r="J202" s="7" t="str">
        <f>AM202/Sum(AM$1:AM$458)</f>
      </c>
      <c r="K202" s="7" t="str">
        <f>AN202/Sum(AN1:AN$458)</f>
      </c>
      <c r="O202" t="s">
        <v>296</v>
      </c>
      <c r="P202" t="n">
        <v>2253</v>
      </c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 t="n">
        <v>298766.797099527</v>
      </c>
      <c r="AK202" s="11" t="n">
        <v>383927.502366426</v>
      </c>
      <c r="AL202" s="11" t="n">
        <v>0</v>
      </c>
      <c r="AM202" s="11"/>
      <c r="AN202" s="11"/>
      <c r="AO202" s="11"/>
    </row>
    <row r="203">
      <c r="A203" t="str">
        <f>O203</f>
      </c>
      <c r="B203" t="str">
        <f>P203</f>
      </c>
      <c r="C203" s="11" t="str">
        <f>AF203</f>
      </c>
      <c r="D203" s="11" t="str">
        <f>AL203</f>
      </c>
      <c r="E203" s="11" t="str">
        <f>AM203</f>
      </c>
      <c r="F203" s="11" t="str">
        <f>AN203</f>
      </c>
      <c r="G203" s="7" t="str">
        <f>AM203/AL203-1</f>
      </c>
      <c r="H203" s="7" t="str">
        <f>AM203/AF203-1</f>
      </c>
      <c r="I203" s="7" t="str">
        <f>AN203/AM203</f>
      </c>
      <c r="J203" s="7" t="str">
        <f>AM203/Sum(AM$1:AM$458)</f>
      </c>
      <c r="K203" s="7" t="str">
        <f>AN203/Sum(AN1:AN$458)</f>
      </c>
      <c r="O203" t="s">
        <v>297</v>
      </c>
      <c r="P203" t="n">
        <v>669</v>
      </c>
      <c r="Q203" s="11"/>
      <c r="R203" s="11"/>
      <c r="S203" s="11"/>
      <c r="T203" s="11"/>
      <c r="U203" s="11"/>
      <c r="V203" s="11"/>
      <c r="W203" s="11"/>
      <c r="X203" s="11" t="n">
        <v>176669.420560988</v>
      </c>
      <c r="Y203" s="11" t="n">
        <v>729525.578980371</v>
      </c>
      <c r="Z203" s="11" t="n">
        <v>3012238.25639837</v>
      </c>
      <c r="AA203" s="11" t="n">
        <v>2781378.55351164</v>
      </c>
      <c r="AB203" s="11" t="n">
        <v>-648.885743083967</v>
      </c>
      <c r="AC203" s="11" t="n">
        <v>-418.175750920212</v>
      </c>
      <c r="AD203" s="11" t="n">
        <v>-3785.44367896134</v>
      </c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</row>
    <row r="204">
      <c r="A204" t="str">
        <f>O204</f>
      </c>
      <c r="B204" t="str">
        <f>P204</f>
      </c>
      <c r="C204" s="11" t="str">
        <f>AF204</f>
      </c>
      <c r="D204" s="11" t="str">
        <f>AL204</f>
      </c>
      <c r="E204" s="11" t="str">
        <f>AM204</f>
      </c>
      <c r="F204" s="11" t="str">
        <f>AN204</f>
      </c>
      <c r="G204" s="7" t="str">
        <f>AM204/AL204-1</f>
      </c>
      <c r="H204" s="7" t="str">
        <f>AM204/AF204-1</f>
      </c>
      <c r="I204" s="7" t="str">
        <f>AN204/AM204</f>
      </c>
      <c r="J204" s="7" t="str">
        <f>AM204/Sum(AM$1:AM$458)</f>
      </c>
      <c r="K204" s="7" t="str">
        <f>AN204/Sum(AN1:AN$458)</f>
      </c>
      <c r="O204" t="s">
        <v>298</v>
      </c>
      <c r="P204" t="n">
        <v>489</v>
      </c>
      <c r="Q204" s="11"/>
      <c r="R204" s="11" t="n">
        <v>3755682.81407182</v>
      </c>
      <c r="S204" s="11" t="n">
        <v>43231303.1100826</v>
      </c>
      <c r="T204" s="11" t="n">
        <v>46940939.3419815</v>
      </c>
      <c r="U204" s="11" t="n">
        <v>2680375.27615983</v>
      </c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</row>
    <row r="205">
      <c r="A205" t="str">
        <f>O205</f>
      </c>
      <c r="B205" t="str">
        <f>P205</f>
      </c>
      <c r="C205" s="11" t="str">
        <f>AF205</f>
      </c>
      <c r="D205" s="11" t="str">
        <f>AL205</f>
      </c>
      <c r="E205" s="11" t="str">
        <f>AM205</f>
      </c>
      <c r="F205" s="11" t="str">
        <f>AN205</f>
      </c>
      <c r="G205" s="7" t="str">
        <f>AM205/AL205-1</f>
      </c>
      <c r="H205" s="7" t="str">
        <f>AM205/AF205-1</f>
      </c>
      <c r="I205" s="7" t="str">
        <f>AN205/AM205</f>
      </c>
      <c r="J205" s="7" t="str">
        <f>AM205/Sum(AM$1:AM$458)</f>
      </c>
      <c r="K205" s="7" t="str">
        <f>AN205/Sum(AN1:AN$458)</f>
      </c>
      <c r="O205" t="s">
        <v>299</v>
      </c>
      <c r="P205" t="n">
        <v>2152</v>
      </c>
      <c r="Q205" s="11"/>
      <c r="R205" s="11"/>
      <c r="S205" s="11"/>
      <c r="T205" s="11" t="n">
        <v>410753.671057601</v>
      </c>
      <c r="U205" s="11" t="n">
        <v>417648.495991057</v>
      </c>
      <c r="V205" s="11" t="n">
        <v>413061.371827427</v>
      </c>
      <c r="W205" s="11" t="n">
        <v>407863.878995629</v>
      </c>
      <c r="X205" s="11" t="n">
        <v>163298.049327698</v>
      </c>
      <c r="Y205" s="11" t="n">
        <v>232222.175642208</v>
      </c>
      <c r="Z205" s="11" t="n">
        <v>0</v>
      </c>
      <c r="AA205" s="11"/>
      <c r="AB205" s="11" t="n">
        <v>-0.0641191445735145</v>
      </c>
      <c r="AC205" s="11" t="n">
        <v>-1239.23935076355</v>
      </c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</row>
    <row r="206">
      <c r="A206" t="str">
        <f>O206</f>
      </c>
      <c r="B206" t="str">
        <f>P206</f>
      </c>
      <c r="C206" s="11" t="str">
        <f>AF206</f>
      </c>
      <c r="D206" s="11" t="str">
        <f>AL206</f>
      </c>
      <c r="E206" s="11" t="str">
        <f>AM206</f>
      </c>
      <c r="F206" s="11" t="str">
        <f>AN206</f>
      </c>
      <c r="G206" s="7" t="str">
        <f>AM206/AL206-1</f>
      </c>
      <c r="H206" s="7" t="str">
        <f>AM206/AF206-1</f>
      </c>
      <c r="I206" s="7" t="str">
        <f>AN206/AM206</f>
      </c>
      <c r="J206" s="7" t="str">
        <f>AM206/Sum(AM$1:AM$458)</f>
      </c>
      <c r="K206" s="7" t="str">
        <f>AN206/Sum(AN1:AN$458)</f>
      </c>
      <c r="O206" t="s">
        <v>300</v>
      </c>
      <c r="P206" t="n">
        <v>1991</v>
      </c>
      <c r="Q206" s="11"/>
      <c r="R206" s="11"/>
      <c r="S206" s="11"/>
      <c r="T206" s="11"/>
      <c r="U206" s="11"/>
      <c r="V206" s="11"/>
      <c r="W206" s="11"/>
      <c r="X206" s="11"/>
      <c r="Y206" s="11"/>
      <c r="Z206" s="11" t="n">
        <v>1251968.929671</v>
      </c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</row>
    <row r="207">
      <c r="A207" t="str">
        <f>O207</f>
      </c>
      <c r="B207" t="str">
        <f>P207</f>
      </c>
      <c r="C207" s="11" t="str">
        <f>AF207</f>
      </c>
      <c r="D207" s="11" t="str">
        <f>AL207</f>
      </c>
      <c r="E207" s="11" t="str">
        <f>AM207</f>
      </c>
      <c r="F207" s="11" t="str">
        <f>AN207</f>
      </c>
      <c r="G207" s="7" t="str">
        <f>AM207/AL207-1</f>
      </c>
      <c r="H207" s="7" t="str">
        <f>AM207/AF207-1</f>
      </c>
      <c r="I207" s="7" t="str">
        <f>AN207/AM207</f>
      </c>
      <c r="J207" s="7" t="str">
        <f>AM207/Sum(AM$1:AM$458)</f>
      </c>
      <c r="K207" s="7" t="str">
        <f>AN207/Sum(AN1:AN$458)</f>
      </c>
      <c r="O207" t="s">
        <v>301</v>
      </c>
      <c r="P207" t="n">
        <v>1992</v>
      </c>
      <c r="Q207" s="11"/>
      <c r="R207" s="11"/>
      <c r="S207" s="11"/>
      <c r="T207" s="11"/>
      <c r="U207" s="11"/>
      <c r="V207" s="11"/>
      <c r="W207" s="11"/>
      <c r="X207" s="11"/>
      <c r="Y207" s="11"/>
      <c r="Z207" s="11" t="n">
        <v>27561.3037381549</v>
      </c>
      <c r="AA207" s="11"/>
      <c r="AB207" s="11"/>
      <c r="AC207" s="11"/>
      <c r="AD207" s="11"/>
      <c r="AE207" s="11"/>
      <c r="AF207" s="11"/>
      <c r="AG207" s="11"/>
      <c r="AH207" s="11" t="n">
        <v>28263131.7040033</v>
      </c>
      <c r="AI207" s="11" t="n">
        <v>24958719.419406</v>
      </c>
      <c r="AJ207" s="11" t="n">
        <v>29174462.2883917</v>
      </c>
      <c r="AK207" s="11" t="n">
        <v>15722061.466055</v>
      </c>
      <c r="AL207" s="11" t="n">
        <v>20831868.8019707</v>
      </c>
      <c r="AM207" s="11" t="n">
        <v>7975361.625</v>
      </c>
      <c r="AN207" s="11"/>
      <c r="AO207" s="11"/>
    </row>
    <row r="208">
      <c r="A208" t="str">
        <f>O208</f>
      </c>
      <c r="B208" t="str">
        <f>P208</f>
      </c>
      <c r="C208" s="11" t="str">
        <f>AF208</f>
      </c>
      <c r="D208" s="11" t="str">
        <f>AL208</f>
      </c>
      <c r="E208" s="11" t="str">
        <f>AM208</f>
      </c>
      <c r="F208" s="11" t="str">
        <f>AN208</f>
      </c>
      <c r="G208" s="7" t="str">
        <f>AM208/AL208-1</f>
      </c>
      <c r="H208" s="7" t="str">
        <f>AM208/AF208-1</f>
      </c>
      <c r="I208" s="7" t="str">
        <f>AN208/AM208</f>
      </c>
      <c r="J208" s="7" t="str">
        <f>AM208/Sum(AM$1:AM$458)</f>
      </c>
      <c r="K208" s="7" t="str">
        <f>AN208/Sum(AN1:AN$458)</f>
      </c>
      <c r="O208" t="s">
        <v>302</v>
      </c>
      <c r="P208" t="n">
        <v>1972</v>
      </c>
      <c r="Q208" s="11"/>
      <c r="R208" s="11"/>
      <c r="S208" s="11"/>
      <c r="T208" s="11"/>
      <c r="U208" s="11" t="n">
        <v>1602747.07682422</v>
      </c>
      <c r="V208" s="11" t="n">
        <v>12447400.2061883</v>
      </c>
      <c r="W208" s="11" t="n">
        <v>238858.744520404</v>
      </c>
      <c r="X208" s="11" t="n">
        <v>2255424.80693301</v>
      </c>
      <c r="Y208" s="11" t="n">
        <v>803663.903422282</v>
      </c>
      <c r="Z208" s="11" t="n">
        <v>40156899.303742</v>
      </c>
      <c r="AA208" s="11" t="n">
        <v>95120807.9131115</v>
      </c>
      <c r="AB208" s="11" t="n">
        <v>134576267.818773</v>
      </c>
      <c r="AC208" s="11" t="n">
        <v>93323081.6092034</v>
      </c>
      <c r="AD208" s="11" t="n">
        <v>1938924.90473559</v>
      </c>
      <c r="AE208" s="11" t="n">
        <v>-216978.773091185</v>
      </c>
      <c r="AF208" s="11" t="n">
        <v>-1144165.04921962</v>
      </c>
      <c r="AG208" s="11" t="n">
        <v>-798014.014902689</v>
      </c>
      <c r="AH208" s="11"/>
      <c r="AI208" s="11" t="n">
        <v>-94751.6142029532</v>
      </c>
      <c r="AJ208" s="11" t="n">
        <v>0</v>
      </c>
      <c r="AK208" s="11"/>
      <c r="AL208" s="11"/>
      <c r="AM208" s="11"/>
      <c r="AN208" s="11"/>
      <c r="AO208" s="11"/>
    </row>
    <row r="209">
      <c r="A209" t="str">
        <f>O209</f>
      </c>
      <c r="B209" t="str">
        <f>P209</f>
      </c>
      <c r="C209" s="11" t="str">
        <f>AF209</f>
      </c>
      <c r="D209" s="11" t="str">
        <f>AL209</f>
      </c>
      <c r="E209" s="11" t="str">
        <f>AM209</f>
      </c>
      <c r="F209" s="11" t="str">
        <f>AN209</f>
      </c>
      <c r="G209" s="7" t="str">
        <f>AM209/AL209-1</f>
      </c>
      <c r="H209" s="7" t="str">
        <f>AM209/AF209-1</f>
      </c>
      <c r="I209" s="7" t="str">
        <f>AN209/AM209</f>
      </c>
      <c r="J209" s="7" t="str">
        <f>AM209/Sum(AM$1:AM$458)</f>
      </c>
      <c r="K209" s="7" t="str">
        <f>AN209/Sum(AN1:AN$458)</f>
      </c>
      <c r="O209" t="s">
        <v>303</v>
      </c>
      <c r="P209" t="n">
        <v>1962</v>
      </c>
      <c r="Q209" s="11"/>
      <c r="R209" s="11"/>
      <c r="S209" s="11"/>
      <c r="T209" s="11"/>
      <c r="U209" s="11"/>
      <c r="V209" s="11"/>
      <c r="W209" s="11" t="n">
        <v>49215.7425083132</v>
      </c>
      <c r="X209" s="11"/>
      <c r="Y209" s="11" t="n">
        <v>134309.73286096</v>
      </c>
      <c r="Z209" s="11" t="n">
        <v>2487533.56828575</v>
      </c>
      <c r="AA209" s="11" t="n">
        <v>436837.371296574</v>
      </c>
      <c r="AB209" s="11" t="n">
        <v>1673996.06555439</v>
      </c>
      <c r="AC209" s="11" t="n">
        <v>10076154.7540471</v>
      </c>
      <c r="AD209" s="11" t="n">
        <v>56886.7720458091</v>
      </c>
      <c r="AE209" s="11" t="n">
        <v>-708.60495583078</v>
      </c>
      <c r="AF209" s="11" t="n">
        <v>-21280.5987350549</v>
      </c>
      <c r="AG209" s="11" t="n">
        <v>-18996.7420269727</v>
      </c>
      <c r="AH209" s="11"/>
      <c r="AI209" s="11"/>
      <c r="AJ209" s="11"/>
      <c r="AK209" s="11"/>
      <c r="AL209" s="11"/>
      <c r="AM209" s="11"/>
      <c r="AN209" s="11"/>
      <c r="AO209" s="11"/>
    </row>
    <row r="210">
      <c r="A210" t="str">
        <f>O210</f>
      </c>
      <c r="B210" t="str">
        <f>P210</f>
      </c>
      <c r="C210" s="11" t="str">
        <f>AF210</f>
      </c>
      <c r="D210" s="11" t="str">
        <f>AL210</f>
      </c>
      <c r="E210" s="11" t="str">
        <f>AM210</f>
      </c>
      <c r="F210" s="11" t="str">
        <f>AN210</f>
      </c>
      <c r="G210" s="7" t="str">
        <f>AM210/AL210-1</f>
      </c>
      <c r="H210" s="7" t="str">
        <f>AM210/AF210-1</f>
      </c>
      <c r="I210" s="7" t="str">
        <f>AN210/AM210</f>
      </c>
      <c r="J210" s="7" t="str">
        <f>AM210/Sum(AM$1:AM$458)</f>
      </c>
      <c r="K210" s="7" t="str">
        <f>AN210/Sum(AN1:AN$458)</f>
      </c>
      <c r="O210" t="s">
        <v>304</v>
      </c>
      <c r="P210" t="n">
        <v>633</v>
      </c>
      <c r="Q210" s="11"/>
      <c r="R210" s="11"/>
      <c r="S210" s="11"/>
      <c r="T210" s="11"/>
      <c r="U210" s="11"/>
      <c r="V210" s="11"/>
      <c r="W210" s="11"/>
      <c r="X210" s="11" t="n">
        <v>0</v>
      </c>
      <c r="Y210" s="11"/>
      <c r="Z210" s="11"/>
      <c r="AA210" s="11"/>
      <c r="AB210" s="11"/>
      <c r="AC210" s="11"/>
      <c r="AD210" s="11"/>
      <c r="AE210" s="11" t="n">
        <v>181724.997147467</v>
      </c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</row>
    <row r="211">
      <c r="A211" t="str">
        <f>O211</f>
      </c>
      <c r="B211" t="str">
        <f>P211</f>
      </c>
      <c r="C211" s="11" t="str">
        <f>AF211</f>
      </c>
      <c r="D211" s="11" t="str">
        <f>AL211</f>
      </c>
      <c r="E211" s="11" t="str">
        <f>AM211</f>
      </c>
      <c r="F211" s="11" t="str">
        <f>AN211</f>
      </c>
      <c r="G211" s="7" t="str">
        <f>AM211/AL211-1</f>
      </c>
      <c r="H211" s="7" t="str">
        <f>AM211/AF211-1</f>
      </c>
      <c r="I211" s="7" t="str">
        <f>AN211/AM211</f>
      </c>
      <c r="J211" s="7" t="str">
        <f>AM211/Sum(AM$1:AM$458)</f>
      </c>
      <c r="K211" s="7" t="str">
        <f>AN211/Sum(AN1:AN$458)</f>
      </c>
      <c r="O211" t="s">
        <v>305</v>
      </c>
      <c r="P211" t="n">
        <v>725</v>
      </c>
      <c r="Q211" s="11"/>
      <c r="R211" s="11" t="n">
        <v>77681.2842723472</v>
      </c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</row>
    <row r="212">
      <c r="A212" t="str">
        <f>O212</f>
      </c>
      <c r="B212" t="str">
        <f>P212</f>
      </c>
      <c r="C212" s="11" t="str">
        <f>AF212</f>
      </c>
      <c r="D212" s="11" t="str">
        <f>AL212</f>
      </c>
      <c r="E212" s="11" t="str">
        <f>AM212</f>
      </c>
      <c r="F212" s="11" t="str">
        <f>AN212</f>
      </c>
      <c r="G212" s="7" t="str">
        <f>AM212/AL212-1</f>
      </c>
      <c r="H212" s="7" t="str">
        <f>AM212/AF212-1</f>
      </c>
      <c r="I212" s="7" t="str">
        <f>AN212/AM212</f>
      </c>
      <c r="J212" s="7" t="str">
        <f>AM212/Sum(AM$1:AM$458)</f>
      </c>
      <c r="K212" s="7" t="str">
        <f>AN212/Sum(AN1:AN$458)</f>
      </c>
      <c r="O212" t="s">
        <v>306</v>
      </c>
      <c r="P212" t="n">
        <v>718</v>
      </c>
      <c r="Q212" s="11" t="n">
        <v>1476531.67452146</v>
      </c>
      <c r="R212" s="11" t="n">
        <v>189278.32705041</v>
      </c>
      <c r="S212" s="11" t="n">
        <v>13666.0993956809</v>
      </c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</row>
    <row r="213">
      <c r="A213" t="str">
        <f>O213</f>
      </c>
      <c r="B213" t="str">
        <f>P213</f>
      </c>
      <c r="C213" s="11" t="str">
        <f>AF213</f>
      </c>
      <c r="D213" s="11" t="str">
        <f>AL213</f>
      </c>
      <c r="E213" s="11" t="str">
        <f>AM213</f>
      </c>
      <c r="F213" s="11" t="str">
        <f>AN213</f>
      </c>
      <c r="G213" s="7" t="str">
        <f>AM213/AL213-1</f>
      </c>
      <c r="H213" s="7" t="str">
        <f>AM213/AF213-1</f>
      </c>
      <c r="I213" s="7" t="str">
        <f>AN213/AM213</f>
      </c>
      <c r="J213" s="7" t="str">
        <f>AM213/Sum(AM$1:AM$458)</f>
      </c>
      <c r="K213" s="7" t="str">
        <f>AN213/Sum(AN1:AN$458)</f>
      </c>
      <c r="O213" t="s">
        <v>307</v>
      </c>
      <c r="P213" t="n">
        <v>1031</v>
      </c>
      <c r="Q213" s="11" t="n">
        <v>1136666.09001261</v>
      </c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</row>
    <row r="214">
      <c r="A214" t="str">
        <f>O214</f>
      </c>
      <c r="B214" t="str">
        <f>P214</f>
      </c>
      <c r="C214" s="11" t="str">
        <f>AF214</f>
      </c>
      <c r="D214" s="11" t="str">
        <f>AL214</f>
      </c>
      <c r="E214" s="11" t="str">
        <f>AM214</f>
      </c>
      <c r="F214" s="11" t="str">
        <f>AN214</f>
      </c>
      <c r="G214" s="7" t="str">
        <f>AM214/AL214-1</f>
      </c>
      <c r="H214" s="7" t="str">
        <f>AM214/AF214-1</f>
      </c>
      <c r="I214" s="7" t="str">
        <f>AN214/AM214</f>
      </c>
      <c r="J214" s="7" t="str">
        <f>AM214/Sum(AM$1:AM$458)</f>
      </c>
      <c r="K214" s="7" t="str">
        <f>AN214/Sum(AN1:AN$458)</f>
      </c>
      <c r="O214" t="s">
        <v>308</v>
      </c>
      <c r="P214" t="n">
        <v>775</v>
      </c>
      <c r="Q214" s="11"/>
      <c r="R214" s="11"/>
      <c r="S214" s="11" t="n">
        <v>1102888.38647994</v>
      </c>
      <c r="T214" s="11" t="n">
        <v>883807.948630898</v>
      </c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</row>
    <row r="215">
      <c r="A215" t="str">
        <f>O215</f>
      </c>
      <c r="B215" t="str">
        <f>P215</f>
      </c>
      <c r="C215" s="11" t="str">
        <f>AF215</f>
      </c>
      <c r="D215" s="11" t="str">
        <f>AL215</f>
      </c>
      <c r="E215" s="11" t="str">
        <f>AM215</f>
      </c>
      <c r="F215" s="11" t="str">
        <f>AN215</f>
      </c>
      <c r="G215" s="7" t="str">
        <f>AM215/AL215-1</f>
      </c>
      <c r="H215" s="7" t="str">
        <f>AM215/AF215-1</f>
      </c>
      <c r="I215" s="7" t="str">
        <f>AN215/AM215</f>
      </c>
      <c r="J215" s="7" t="str">
        <f>AM215/Sum(AM$1:AM$458)</f>
      </c>
      <c r="K215" s="7" t="str">
        <f>AN215/Sum(AN1:AN$458)</f>
      </c>
      <c r="O215" t="s">
        <v>309</v>
      </c>
      <c r="P215" t="n">
        <v>2153</v>
      </c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 t="n">
        <v>89219.2518910056</v>
      </c>
      <c r="AH215" s="11" t="n">
        <v>-17836.0826444966</v>
      </c>
      <c r="AI215" s="11" t="n">
        <v>-13339.5817360204</v>
      </c>
      <c r="AJ215" s="11"/>
      <c r="AK215" s="11"/>
      <c r="AL215" s="11"/>
      <c r="AM215" s="11"/>
      <c r="AN215" s="11"/>
      <c r="AO215" s="11"/>
    </row>
    <row r="216">
      <c r="A216" t="str">
        <f>O216</f>
      </c>
      <c r="B216" t="str">
        <f>P216</f>
      </c>
      <c r="C216" s="11" t="str">
        <f>AF216</f>
      </c>
      <c r="D216" s="11" t="str">
        <f>AL216</f>
      </c>
      <c r="E216" s="11" t="str">
        <f>AM216</f>
      </c>
      <c r="F216" s="11" t="str">
        <f>AN216</f>
      </c>
      <c r="G216" s="7" t="str">
        <f>AM216/AL216-1</f>
      </c>
      <c r="H216" s="7" t="str">
        <f>AM216/AF216-1</f>
      </c>
      <c r="I216" s="7" t="str">
        <f>AN216/AM216</f>
      </c>
      <c r="J216" s="7" t="str">
        <f>AM216/Sum(AM$1:AM$458)</f>
      </c>
      <c r="K216" s="7" t="str">
        <f>AN216/Sum(AN1:AN$458)</f>
      </c>
      <c r="O216" t="s">
        <v>310</v>
      </c>
      <c r="P216" t="n">
        <v>970</v>
      </c>
      <c r="Q216" s="11" t="n">
        <v>7938668.244524</v>
      </c>
      <c r="R216" s="11" t="n">
        <v>577856.693420384</v>
      </c>
      <c r="S216" s="11" t="n">
        <v>97709.5047474375</v>
      </c>
      <c r="T216" s="11" t="n">
        <v>186014.945635726</v>
      </c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</row>
    <row r="217">
      <c r="A217" t="str">
        <f>O217</f>
      </c>
      <c r="B217" t="str">
        <f>P217</f>
      </c>
      <c r="C217" s="11" t="str">
        <f>AF217</f>
      </c>
      <c r="D217" s="11" t="str">
        <f>AL217</f>
      </c>
      <c r="E217" s="11" t="str">
        <f>AM217</f>
      </c>
      <c r="F217" s="11" t="str">
        <f>AN217</f>
      </c>
      <c r="G217" s="7" t="str">
        <f>AM217/AL217-1</f>
      </c>
      <c r="H217" s="7" t="str">
        <f>AM217/AF217-1</f>
      </c>
      <c r="I217" s="7" t="str">
        <f>AN217/AM217</f>
      </c>
      <c r="J217" s="7" t="str">
        <f>AM217/Sum(AM$1:AM$458)</f>
      </c>
      <c r="K217" s="7" t="str">
        <f>AN217/Sum(AN1:AN$458)</f>
      </c>
      <c r="O217" t="s">
        <v>73</v>
      </c>
      <c r="P217" t="n">
        <v>2035</v>
      </c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 t="n">
        <v>11983533.1106014</v>
      </c>
      <c r="AG217" s="11" t="n">
        <v>44232541.9669755</v>
      </c>
      <c r="AH217" s="11" t="n">
        <v>56378328.4734794</v>
      </c>
      <c r="AI217" s="11" t="n">
        <v>154982016.450676</v>
      </c>
      <c r="AJ217" s="11" t="n">
        <v>224980063.874196</v>
      </c>
      <c r="AK217" s="11" t="n">
        <v>170978922.464249</v>
      </c>
      <c r="AL217" s="11" t="n">
        <v>156854274.431823</v>
      </c>
      <c r="AM217" s="11" t="n">
        <v>129773135.4073</v>
      </c>
      <c r="AN217" s="11" t="n">
        <v>77480372.085599</v>
      </c>
      <c r="AO217" s="11"/>
    </row>
    <row r="218">
      <c r="A218" t="str">
        <f>O218</f>
      </c>
      <c r="B218" t="str">
        <f>P218</f>
      </c>
      <c r="C218" s="11" t="str">
        <f>AF218</f>
      </c>
      <c r="D218" s="11" t="str">
        <f>AL218</f>
      </c>
      <c r="E218" s="11" t="str">
        <f>AM218</f>
      </c>
      <c r="F218" s="11" t="str">
        <f>AN218</f>
      </c>
      <c r="G218" s="7" t="str">
        <f>AM218/AL218-1</f>
      </c>
      <c r="H218" s="7" t="str">
        <f>AM218/AF218-1</f>
      </c>
      <c r="I218" s="7" t="str">
        <f>AN218/AM218</f>
      </c>
      <c r="J218" s="7" t="str">
        <f>AM218/Sum(AM$1:AM$458)</f>
      </c>
      <c r="K218" s="7" t="str">
        <f>AN218/Sum(AN1:AN$458)</f>
      </c>
      <c r="O218" t="s">
        <v>311</v>
      </c>
      <c r="P218" t="n">
        <v>1012</v>
      </c>
      <c r="Q218" s="11" t="n">
        <v>10678868.8538901</v>
      </c>
      <c r="R218" s="11" t="n">
        <v>1946807.13011086</v>
      </c>
      <c r="S218" s="11" t="n">
        <v>20852271.7841107</v>
      </c>
      <c r="T218" s="11" t="n">
        <v>11494216.5641739</v>
      </c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</row>
    <row r="219">
      <c r="A219" t="str">
        <f>O219</f>
      </c>
      <c r="B219" t="str">
        <f>P219</f>
      </c>
      <c r="C219" s="11" t="str">
        <f>AF219</f>
      </c>
      <c r="D219" s="11" t="str">
        <f>AL219</f>
      </c>
      <c r="E219" s="11" t="str">
        <f>AM219</f>
      </c>
      <c r="F219" s="11" t="str">
        <f>AN219</f>
      </c>
      <c r="G219" s="7" t="str">
        <f>AM219/AL219-1</f>
      </c>
      <c r="H219" s="7" t="str">
        <f>AM219/AF219-1</f>
      </c>
      <c r="I219" s="7" t="str">
        <f>AN219/AM219</f>
      </c>
      <c r="J219" s="7" t="str">
        <f>AM219/Sum(AM$1:AM$458)</f>
      </c>
      <c r="K219" s="7" t="str">
        <f>AN219/Sum(AN1:AN$458)</f>
      </c>
      <c r="O219" t="s">
        <v>312</v>
      </c>
      <c r="P219" t="n">
        <v>1344</v>
      </c>
      <c r="Q219" s="11"/>
      <c r="R219" s="11"/>
      <c r="S219" s="11"/>
      <c r="T219" s="11"/>
      <c r="U219" s="11"/>
      <c r="V219" s="11" t="n">
        <v>533430.413915164</v>
      </c>
      <c r="W219" s="11" t="n">
        <v>761151.566723623</v>
      </c>
      <c r="X219" s="11" t="n">
        <v>942229.651968236</v>
      </c>
      <c r="Y219" s="11" t="n">
        <v>329018.951806482</v>
      </c>
      <c r="Z219" s="11" t="n">
        <v>85774.3896577158</v>
      </c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 t="n">
        <v>1098716</v>
      </c>
      <c r="AN219" s="11" t="n">
        <v>416352.411386243</v>
      </c>
      <c r="AO219" s="11"/>
    </row>
    <row r="220">
      <c r="A220" t="str">
        <f>O220</f>
      </c>
      <c r="B220" t="str">
        <f>P220</f>
      </c>
      <c r="C220" s="11" t="str">
        <f>AF220</f>
      </c>
      <c r="D220" s="11" t="str">
        <f>AL220</f>
      </c>
      <c r="E220" s="11" t="str">
        <f>AM220</f>
      </c>
      <c r="F220" s="11" t="str">
        <f>AN220</f>
      </c>
      <c r="G220" s="7" t="str">
        <f>AM220/AL220-1</f>
      </c>
      <c r="H220" s="7" t="str">
        <f>AM220/AF220-1</f>
      </c>
      <c r="I220" s="7" t="str">
        <f>AN220/AM220</f>
      </c>
      <c r="J220" s="7" t="str">
        <f>AM220/Sum(AM$1:AM$458)</f>
      </c>
      <c r="K220" s="7" t="str">
        <f>AN220/Sum(AN1:AN$458)</f>
      </c>
      <c r="O220" t="s">
        <v>313</v>
      </c>
      <c r="P220" t="n">
        <v>1989</v>
      </c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 t="n">
        <v>25471350.9823356</v>
      </c>
      <c r="AC220" s="11" t="n">
        <v>18933505.4674701</v>
      </c>
      <c r="AD220" s="11" t="n">
        <v>23026954.3290079</v>
      </c>
      <c r="AE220" s="11" t="n">
        <v>20486703.3630892</v>
      </c>
      <c r="AF220" s="11" t="n">
        <v>32847436.2643069</v>
      </c>
      <c r="AG220" s="11" t="n">
        <v>17632375.7698289</v>
      </c>
      <c r="AH220" s="11" t="n">
        <v>3009690.77106024</v>
      </c>
      <c r="AI220" s="11" t="n">
        <v>3148607.41797425</v>
      </c>
      <c r="AJ220" s="11" t="n">
        <v>-189685.702452217</v>
      </c>
      <c r="AK220" s="11"/>
      <c r="AL220" s="11" t="n">
        <v>0</v>
      </c>
      <c r="AM220" s="11" t="n">
        <v>0</v>
      </c>
      <c r="AN220" s="11"/>
      <c r="AO220" s="11"/>
    </row>
    <row r="221">
      <c r="A221" t="str">
        <f>O221</f>
      </c>
      <c r="B221" t="str">
        <f>P221</f>
      </c>
      <c r="C221" s="11" t="str">
        <f>AF221</f>
      </c>
      <c r="D221" s="11" t="str">
        <f>AL221</f>
      </c>
      <c r="E221" s="11" t="str">
        <f>AM221</f>
      </c>
      <c r="F221" s="11" t="str">
        <f>AN221</f>
      </c>
      <c r="G221" s="7" t="str">
        <f>AM221/AL221-1</f>
      </c>
      <c r="H221" s="7" t="str">
        <f>AM221/AF221-1</f>
      </c>
      <c r="I221" s="7" t="str">
        <f>AN221/AM221</f>
      </c>
      <c r="J221" s="7" t="str">
        <f>AM221/Sum(AM$1:AM$458)</f>
      </c>
      <c r="K221" s="7" t="str">
        <f>AN221/Sum(AN1:AN$458)</f>
      </c>
      <c r="O221" t="s">
        <v>314</v>
      </c>
      <c r="P221" t="n">
        <v>1341</v>
      </c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 t="n">
        <v>1665912.85808214</v>
      </c>
      <c r="AD221" s="11" t="n">
        <v>957372.220138071</v>
      </c>
      <c r="AE221" s="11" t="n">
        <v>0</v>
      </c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</row>
    <row r="222">
      <c r="A222" t="str">
        <f>O222</f>
      </c>
      <c r="B222" t="str">
        <f>P222</f>
      </c>
      <c r="C222" s="11" t="str">
        <f>AF222</f>
      </c>
      <c r="D222" s="11" t="str">
        <f>AL222</f>
      </c>
      <c r="E222" s="11" t="str">
        <f>AM222</f>
      </c>
      <c r="F222" s="11" t="str">
        <f>AN222</f>
      </c>
      <c r="G222" s="7" t="str">
        <f>AM222/AL222-1</f>
      </c>
      <c r="H222" s="7" t="str">
        <f>AM222/AF222-1</f>
      </c>
      <c r="I222" s="7" t="str">
        <f>AN222/AM222</f>
      </c>
      <c r="J222" s="7" t="str">
        <f>AM222/Sum(AM$1:AM$458)</f>
      </c>
      <c r="K222" s="7" t="str">
        <f>AN222/Sum(AN1:AN$458)</f>
      </c>
      <c r="O222" t="s">
        <v>74</v>
      </c>
      <c r="P222" t="n">
        <v>1843</v>
      </c>
      <c r="Q222" s="11"/>
      <c r="R222" s="11"/>
      <c r="S222" s="11"/>
      <c r="T222" s="11"/>
      <c r="U222" s="11" t="n">
        <v>206243365.749227</v>
      </c>
      <c r="V222" s="11" t="n">
        <v>197898902.63085</v>
      </c>
      <c r="W222" s="11" t="n">
        <v>123255821.090479</v>
      </c>
      <c r="X222" s="11" t="n">
        <v>44020381.4670362</v>
      </c>
      <c r="Y222" s="11" t="n">
        <v>56990160.2688995</v>
      </c>
      <c r="Z222" s="11" t="n">
        <v>95601735.4254562</v>
      </c>
      <c r="AA222" s="11" t="n">
        <v>128651820.027657</v>
      </c>
      <c r="AB222" s="11" t="n">
        <v>89311428.7350826</v>
      </c>
      <c r="AC222" s="11" t="n">
        <v>73774112.8676035</v>
      </c>
      <c r="AD222" s="11" t="n">
        <v>50746646.6246489</v>
      </c>
      <c r="AE222" s="11" t="n">
        <v>142087902.806911</v>
      </c>
      <c r="AF222" s="11" t="n">
        <v>144644819.598432</v>
      </c>
      <c r="AG222" s="11" t="n">
        <v>181739503.304695</v>
      </c>
      <c r="AH222" s="11" t="n">
        <v>122037299.727268</v>
      </c>
      <c r="AI222" s="11" t="n">
        <v>136717832.280993</v>
      </c>
      <c r="AJ222" s="11" t="n">
        <v>117337398.63944</v>
      </c>
      <c r="AK222" s="11" t="n">
        <v>167097619.213551</v>
      </c>
      <c r="AL222" s="11" t="n">
        <v>146677990.19625</v>
      </c>
      <c r="AM222" s="11" t="n">
        <v>180727480.8613</v>
      </c>
      <c r="AN222" s="11" t="n">
        <v>89446842.6399369</v>
      </c>
      <c r="AO222" s="11"/>
    </row>
    <row r="223">
      <c r="A223" t="str">
        <f>O223</f>
      </c>
      <c r="B223" t="str">
        <f>P223</f>
      </c>
      <c r="C223" s="11" t="str">
        <f>AF223</f>
      </c>
      <c r="D223" s="11" t="str">
        <f>AL223</f>
      </c>
      <c r="E223" s="11" t="str">
        <f>AM223</f>
      </c>
      <c r="F223" s="11" t="str">
        <f>AN223</f>
      </c>
      <c r="G223" s="7" t="str">
        <f>AM223/AL223-1</f>
      </c>
      <c r="H223" s="7" t="str">
        <f>AM223/AF223-1</f>
      </c>
      <c r="I223" s="7" t="str">
        <f>AN223/AM223</f>
      </c>
      <c r="J223" s="7" t="str">
        <f>AM223/Sum(AM$1:AM$458)</f>
      </c>
      <c r="K223" s="7" t="str">
        <f>AN223/Sum(AN1:AN$458)</f>
      </c>
      <c r="O223" t="s">
        <v>315</v>
      </c>
      <c r="P223" t="n">
        <v>1816</v>
      </c>
      <c r="Q223" s="11"/>
      <c r="R223" s="11"/>
      <c r="S223" s="11"/>
      <c r="T223" s="11"/>
      <c r="U223" s="11" t="n">
        <v>163436.791239342</v>
      </c>
      <c r="V223" s="11" t="n">
        <v>50355337.343682</v>
      </c>
      <c r="W223" s="11" t="n">
        <v>65458314.3492845</v>
      </c>
      <c r="X223" s="11" t="n">
        <v>82788473.1226461</v>
      </c>
      <c r="Y223" s="11" t="n">
        <v>106433595.4073</v>
      </c>
      <c r="Z223" s="11" t="n">
        <v>113586598.629418</v>
      </c>
      <c r="AA223" s="11" t="n">
        <v>69786494.8280257</v>
      </c>
      <c r="AB223" s="11" t="n">
        <v>32505815.6025657</v>
      </c>
      <c r="AC223" s="11" t="n">
        <v>39258374.4827658</v>
      </c>
      <c r="AD223" s="11" t="n">
        <v>27782208.4589816</v>
      </c>
      <c r="AE223" s="11" t="n">
        <v>11763655.8738308</v>
      </c>
      <c r="AF223" s="11" t="n">
        <v>98603.5741157791</v>
      </c>
      <c r="AG223" s="11" t="n">
        <v>148967.44596963</v>
      </c>
      <c r="AH223" s="11" t="n">
        <v>-694102.388735843</v>
      </c>
      <c r="AI223" s="11" t="n">
        <v>-12574.6723191606</v>
      </c>
      <c r="AJ223" s="11" t="n">
        <v>-203959.866274749</v>
      </c>
      <c r="AK223" s="11" t="n">
        <v>-496943.81362597</v>
      </c>
      <c r="AL223" s="11"/>
      <c r="AM223" s="11" t="n">
        <v>-50155.9587</v>
      </c>
      <c r="AN223" s="11"/>
      <c r="AO223" s="11"/>
    </row>
    <row r="224">
      <c r="A224" t="str">
        <f>O224</f>
      </c>
      <c r="B224" t="str">
        <f>P224</f>
      </c>
      <c r="C224" s="11" t="str">
        <f>AF224</f>
      </c>
      <c r="D224" s="11" t="str">
        <f>AL224</f>
      </c>
      <c r="E224" s="11" t="str">
        <f>AM224</f>
      </c>
      <c r="F224" s="11" t="str">
        <f>AN224</f>
      </c>
      <c r="G224" s="7" t="str">
        <f>AM224/AL224-1</f>
      </c>
      <c r="H224" s="7" t="str">
        <f>AM224/AF224-1</f>
      </c>
      <c r="I224" s="7" t="str">
        <f>AN224/AM224</f>
      </c>
      <c r="J224" s="7" t="str">
        <f>AM224/Sum(AM$1:AM$458)</f>
      </c>
      <c r="K224" s="7" t="str">
        <f>AN224/Sum(AN1:AN$458)</f>
      </c>
      <c r="O224" t="s">
        <v>316</v>
      </c>
      <c r="P224" t="n">
        <v>449</v>
      </c>
      <c r="Q224" s="11"/>
      <c r="R224" s="11"/>
      <c r="S224" s="11" t="n">
        <v>5671897.13895969</v>
      </c>
      <c r="T224" s="11" t="n">
        <v>8498638.40168425</v>
      </c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</row>
    <row r="225">
      <c r="A225" t="str">
        <f>O225</f>
      </c>
      <c r="B225" t="str">
        <f>P225</f>
      </c>
      <c r="C225" s="11" t="str">
        <f>AF225</f>
      </c>
      <c r="D225" s="11" t="str">
        <f>AL225</f>
      </c>
      <c r="E225" s="11" t="str">
        <f>AM225</f>
      </c>
      <c r="F225" s="11" t="str">
        <f>AN225</f>
      </c>
      <c r="G225" s="7" t="str">
        <f>AM225/AL225-1</f>
      </c>
      <c r="H225" s="7" t="str">
        <f>AM225/AF225-1</f>
      </c>
      <c r="I225" s="7" t="str">
        <f>AN225/AM225</f>
      </c>
      <c r="J225" s="7" t="str">
        <f>AM225/Sum(AM$1:AM$458)</f>
      </c>
      <c r="K225" s="7" t="str">
        <f>AN225/Sum(AN1:AN$458)</f>
      </c>
      <c r="O225" t="s">
        <v>317</v>
      </c>
      <c r="P225" t="n">
        <v>1958</v>
      </c>
      <c r="Q225" s="11"/>
      <c r="R225" s="11"/>
      <c r="S225" s="11"/>
      <c r="T225" s="11"/>
      <c r="U225" s="11" t="n">
        <v>140905.941847739</v>
      </c>
      <c r="V225" s="11" t="n">
        <v>205595.197664141</v>
      </c>
      <c r="W225" s="11" t="n">
        <v>14148378.8015503</v>
      </c>
      <c r="X225" s="11" t="n">
        <v>3966897.06095873</v>
      </c>
      <c r="Y225" s="11" t="n">
        <v>152642.834069592</v>
      </c>
      <c r="Z225" s="11" t="n">
        <v>83299.2057490778</v>
      </c>
      <c r="AA225" s="11" t="n">
        <v>85802.7312149989</v>
      </c>
      <c r="AB225" s="11" t="n">
        <v>-68983.3781774295</v>
      </c>
      <c r="AC225" s="11" t="n">
        <v>-75508.6855457329</v>
      </c>
      <c r="AD225" s="11" t="n">
        <v>28426.9630591487</v>
      </c>
      <c r="AE225" s="11" t="n">
        <v>-18698.821602139</v>
      </c>
      <c r="AF225" s="11"/>
      <c r="AG225" s="11" t="n">
        <v>0</v>
      </c>
      <c r="AH225" s="11"/>
      <c r="AI225" s="11"/>
      <c r="AJ225" s="11" t="n">
        <v>0</v>
      </c>
      <c r="AK225" s="11"/>
      <c r="AL225" s="11"/>
      <c r="AM225" s="11" t="n">
        <v>0</v>
      </c>
      <c r="AN225" s="11"/>
      <c r="AO225" s="11"/>
    </row>
    <row r="226">
      <c r="A226" t="str">
        <f>O226</f>
      </c>
      <c r="B226" t="str">
        <f>P226</f>
      </c>
      <c r="C226" s="11" t="str">
        <f>AF226</f>
      </c>
      <c r="D226" s="11" t="str">
        <f>AL226</f>
      </c>
      <c r="E226" s="11" t="str">
        <f>AM226</f>
      </c>
      <c r="F226" s="11" t="str">
        <f>AN226</f>
      </c>
      <c r="G226" s="7" t="str">
        <f>AM226/AL226-1</f>
      </c>
      <c r="H226" s="7" t="str">
        <f>AM226/AF226-1</f>
      </c>
      <c r="I226" s="7" t="str">
        <f>AN226/AM226</f>
      </c>
      <c r="J226" s="7" t="str">
        <f>AM226/Sum(AM$1:AM$458)</f>
      </c>
      <c r="K226" s="7" t="str">
        <f>AN226/Sum(AN1:AN$458)</f>
      </c>
      <c r="O226" t="s">
        <v>318</v>
      </c>
      <c r="P226" t="n">
        <v>1649</v>
      </c>
      <c r="Q226" s="11" t="n">
        <v>47260.1039557483</v>
      </c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</row>
    <row r="227">
      <c r="A227" t="str">
        <f>O227</f>
      </c>
      <c r="B227" t="str">
        <f>P227</f>
      </c>
      <c r="C227" s="11" t="str">
        <f>AF227</f>
      </c>
      <c r="D227" s="11" t="str">
        <f>AL227</f>
      </c>
      <c r="E227" s="11" t="str">
        <f>AM227</f>
      </c>
      <c r="F227" s="11" t="str">
        <f>AN227</f>
      </c>
      <c r="G227" s="7" t="str">
        <f>AM227/AL227-1</f>
      </c>
      <c r="H227" s="7" t="str">
        <f>AM227/AF227-1</f>
      </c>
      <c r="I227" s="7" t="str">
        <f>AN227/AM227</f>
      </c>
      <c r="J227" s="7" t="str">
        <f>AM227/Sum(AM$1:AM$458)</f>
      </c>
      <c r="K227" s="7" t="str">
        <f>AN227/Sum(AN1:AN$458)</f>
      </c>
      <c r="O227" t="s">
        <v>319</v>
      </c>
      <c r="P227" t="n">
        <v>2180</v>
      </c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 t="n">
        <v>175305.900332287</v>
      </c>
      <c r="AI227" s="11"/>
      <c r="AJ227" s="11"/>
      <c r="AK227" s="11"/>
      <c r="AL227" s="11" t="n">
        <v>332548.442021456</v>
      </c>
      <c r="AM227" s="11" t="n">
        <v>-94472.4688</v>
      </c>
      <c r="AN227" s="11" t="n">
        <v>135302003.92658</v>
      </c>
      <c r="AO227" s="11"/>
    </row>
    <row r="228">
      <c r="A228" t="str">
        <f>O228</f>
      </c>
      <c r="B228" t="str">
        <f>P228</f>
      </c>
      <c r="C228" s="11" t="str">
        <f>AF228</f>
      </c>
      <c r="D228" s="11" t="str">
        <f>AL228</f>
      </c>
      <c r="E228" s="11" t="str">
        <f>AM228</f>
      </c>
      <c r="F228" s="11" t="str">
        <f>AN228</f>
      </c>
      <c r="G228" s="7" t="str">
        <f>AM228/AL228-1</f>
      </c>
      <c r="H228" s="7" t="str">
        <f>AM228/AF228-1</f>
      </c>
      <c r="I228" s="7" t="str">
        <f>AN228/AM228</f>
      </c>
      <c r="J228" s="7" t="str">
        <f>AM228/Sum(AM$1:AM$458)</f>
      </c>
      <c r="K228" s="7" t="str">
        <f>AN228/Sum(AN1:AN$458)</f>
      </c>
      <c r="O228" t="s">
        <v>320</v>
      </c>
      <c r="P228" t="n">
        <v>672</v>
      </c>
      <c r="Q228" s="11"/>
      <c r="R228" s="11"/>
      <c r="S228" s="11"/>
      <c r="T228" s="11"/>
      <c r="U228" s="11"/>
      <c r="V228" s="11"/>
      <c r="W228" s="11"/>
      <c r="X228" s="11"/>
      <c r="Y228" s="11"/>
      <c r="Z228" s="11" t="n">
        <v>11245.7609356412</v>
      </c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</row>
    <row r="229">
      <c r="A229" t="str">
        <f>O229</f>
      </c>
      <c r="B229" t="str">
        <f>P229</f>
      </c>
      <c r="C229" s="11" t="str">
        <f>AF229</f>
      </c>
      <c r="D229" s="11" t="str">
        <f>AL229</f>
      </c>
      <c r="E229" s="11" t="str">
        <f>AM229</f>
      </c>
      <c r="F229" s="11" t="str">
        <f>AN229</f>
      </c>
      <c r="G229" s="7" t="str">
        <f>AM229/AL229-1</f>
      </c>
      <c r="H229" s="7" t="str">
        <f>AM229/AF229-1</f>
      </c>
      <c r="I229" s="7" t="str">
        <f>AN229/AM229</f>
      </c>
      <c r="J229" s="7" t="str">
        <f>AM229/Sum(AM$1:AM$458)</f>
      </c>
      <c r="K229" s="7" t="str">
        <f>AN229/Sum(AN1:AN$458)</f>
      </c>
      <c r="O229" t="s">
        <v>321</v>
      </c>
      <c r="P229" t="n">
        <v>1993</v>
      </c>
      <c r="Q229" s="11"/>
      <c r="R229" s="11"/>
      <c r="S229" s="11"/>
      <c r="T229" s="11"/>
      <c r="U229" s="11"/>
      <c r="V229" s="11"/>
      <c r="W229" s="11"/>
      <c r="X229" s="11"/>
      <c r="Y229" s="11" t="n">
        <v>22213337.8589485</v>
      </c>
      <c r="Z229" s="11" t="n">
        <v>28590402.757777</v>
      </c>
      <c r="AA229" s="11" t="n">
        <v>65442826.8909509</v>
      </c>
      <c r="AB229" s="11" t="n">
        <v>9962205.067564</v>
      </c>
      <c r="AC229" s="11" t="n">
        <v>6409233.10536595</v>
      </c>
      <c r="AD229" s="11" t="n">
        <v>0</v>
      </c>
      <c r="AE229" s="11"/>
      <c r="AF229" s="11" t="n">
        <v>-166050.573622365</v>
      </c>
      <c r="AG229" s="11" t="n">
        <v>-869625.847433005</v>
      </c>
      <c r="AH229" s="11" t="n">
        <v>-20026.3168105078</v>
      </c>
      <c r="AI229" s="11" t="n">
        <v>0</v>
      </c>
      <c r="AJ229" s="11" t="n">
        <v>-1596790.70642872</v>
      </c>
      <c r="AK229" s="11"/>
      <c r="AL229" s="11"/>
      <c r="AM229" s="11"/>
      <c r="AN229" s="11"/>
      <c r="AO229" s="11"/>
    </row>
    <row r="230">
      <c r="A230" t="str">
        <f>O230</f>
      </c>
      <c r="B230" t="str">
        <f>P230</f>
      </c>
      <c r="C230" s="11" t="str">
        <f>AF230</f>
      </c>
      <c r="D230" s="11" t="str">
        <f>AL230</f>
      </c>
      <c r="E230" s="11" t="str">
        <f>AM230</f>
      </c>
      <c r="F230" s="11" t="str">
        <f>AN230</f>
      </c>
      <c r="G230" s="7" t="str">
        <f>AM230/AL230-1</f>
      </c>
      <c r="H230" s="7" t="str">
        <f>AM230/AF230-1</f>
      </c>
      <c r="I230" s="7" t="str">
        <f>AN230/AM230</f>
      </c>
      <c r="J230" s="7" t="str">
        <f>AM230/Sum(AM$1:AM$458)</f>
      </c>
      <c r="K230" s="7" t="str">
        <f>AN230/Sum(AN1:AN$458)</f>
      </c>
      <c r="O230" t="s">
        <v>322</v>
      </c>
      <c r="P230" t="n">
        <v>2067</v>
      </c>
      <c r="Q230" s="11"/>
      <c r="R230" s="11"/>
      <c r="S230" s="11"/>
      <c r="T230" s="11" t="n">
        <v>23168227.7658973</v>
      </c>
      <c r="U230" s="11"/>
      <c r="V230" s="11"/>
      <c r="W230" s="11"/>
      <c r="X230" s="11"/>
      <c r="Y230" s="11"/>
      <c r="Z230" s="11"/>
      <c r="AA230" s="11" t="n">
        <v>-30984.7844914031</v>
      </c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</row>
    <row r="231">
      <c r="A231" t="str">
        <f>O231</f>
      </c>
      <c r="B231" t="str">
        <f>P231</f>
      </c>
      <c r="C231" s="11" t="str">
        <f>AF231</f>
      </c>
      <c r="D231" s="11" t="str">
        <f>AL231</f>
      </c>
      <c r="E231" s="11" t="str">
        <f>AM231</f>
      </c>
      <c r="F231" s="11" t="str">
        <f>AN231</f>
      </c>
      <c r="G231" s="7" t="str">
        <f>AM231/AL231-1</f>
      </c>
      <c r="H231" s="7" t="str">
        <f>AM231/AF231-1</f>
      </c>
      <c r="I231" s="7" t="str">
        <f>AN231/AM231</f>
      </c>
      <c r="J231" s="7" t="str">
        <f>AM231/Sum(AM$1:AM$458)</f>
      </c>
      <c r="K231" s="7" t="str">
        <f>AN231/Sum(AN1:AN$458)</f>
      </c>
      <c r="O231" t="s">
        <v>323</v>
      </c>
      <c r="P231" t="n">
        <v>2072</v>
      </c>
      <c r="Q231" s="11" t="n">
        <v>98083768.3969245</v>
      </c>
      <c r="R231" s="11" t="n">
        <v>-6268818.4346654</v>
      </c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</row>
    <row r="232">
      <c r="A232" t="str">
        <f>O232</f>
      </c>
      <c r="B232" t="str">
        <f>P232</f>
      </c>
      <c r="C232" s="11" t="str">
        <f>AF232</f>
      </c>
      <c r="D232" s="11" t="str">
        <f>AL232</f>
      </c>
      <c r="E232" s="11" t="str">
        <f>AM232</f>
      </c>
      <c r="F232" s="11" t="str">
        <f>AN232</f>
      </c>
      <c r="G232" s="7" t="str">
        <f>AM232/AL232-1</f>
      </c>
      <c r="H232" s="7" t="str">
        <f>AM232/AF232-1</f>
      </c>
      <c r="I232" s="7" t="str">
        <f>AN232/AM232</f>
      </c>
      <c r="J232" s="7" t="str">
        <f>AM232/Sum(AM$1:AM$458)</f>
      </c>
      <c r="K232" s="7" t="str">
        <f>AN232/Sum(AN1:AN$458)</f>
      </c>
      <c r="O232" t="s">
        <v>324</v>
      </c>
      <c r="P232" t="n">
        <v>1739</v>
      </c>
      <c r="Q232" s="11" t="n">
        <v>7028411.17492545</v>
      </c>
      <c r="R232" s="11" t="n">
        <v>19749253.4463238</v>
      </c>
      <c r="S232" s="11" t="n">
        <v>24165294.5656987</v>
      </c>
      <c r="T232" s="11" t="n">
        <v>19927457.9198444</v>
      </c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</row>
    <row r="233">
      <c r="A233" t="str">
        <f>O233</f>
      </c>
      <c r="B233" t="str">
        <f>P233</f>
      </c>
      <c r="C233" s="11" t="str">
        <f>AF233</f>
      </c>
      <c r="D233" s="11" t="str">
        <f>AL233</f>
      </c>
      <c r="E233" s="11" t="str">
        <f>AM233</f>
      </c>
      <c r="F233" s="11" t="str">
        <f>AN233</f>
      </c>
      <c r="G233" s="7" t="str">
        <f>AM233/AL233-1</f>
      </c>
      <c r="H233" s="7" t="str">
        <f>AM233/AF233-1</f>
      </c>
      <c r="I233" s="7" t="str">
        <f>AN233/AM233</f>
      </c>
      <c r="J233" s="7" t="str">
        <f>AM233/Sum(AM$1:AM$458)</f>
      </c>
      <c r="K233" s="7" t="str">
        <f>AN233/Sum(AN1:AN$458)</f>
      </c>
      <c r="O233" t="s">
        <v>325</v>
      </c>
      <c r="P233" t="n">
        <v>490</v>
      </c>
      <c r="Q233" s="11"/>
      <c r="R233" s="11"/>
      <c r="S233" s="11"/>
      <c r="T233" s="11" t="n">
        <v>7820210.33625882</v>
      </c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</row>
    <row r="234">
      <c r="A234" t="str">
        <f>O234</f>
      </c>
      <c r="B234" t="str">
        <f>P234</f>
      </c>
      <c r="C234" s="11" t="str">
        <f>AF234</f>
      </c>
      <c r="D234" s="11" t="str">
        <f>AL234</f>
      </c>
      <c r="E234" s="11" t="str">
        <f>AM234</f>
      </c>
      <c r="F234" s="11" t="str">
        <f>AN234</f>
      </c>
      <c r="G234" s="7" t="str">
        <f>AM234/AL234-1</f>
      </c>
      <c r="H234" s="7" t="str">
        <f>AM234/AF234-1</f>
      </c>
      <c r="I234" s="7" t="str">
        <f>AN234/AM234</f>
      </c>
      <c r="J234" s="7" t="str">
        <f>AM234/Sum(AM$1:AM$458)</f>
      </c>
      <c r="K234" s="7" t="str">
        <f>AN234/Sum(AN1:AN$458)</f>
      </c>
      <c r="O234" t="s">
        <v>326</v>
      </c>
      <c r="P234" t="n">
        <v>591</v>
      </c>
      <c r="Q234" s="11" t="n">
        <v>1053562.63063278</v>
      </c>
      <c r="R234" s="11" t="n">
        <v>57420.1678887466</v>
      </c>
      <c r="S234" s="11"/>
      <c r="T234" s="11" t="n">
        <v>8140975.25824153</v>
      </c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</row>
    <row r="235">
      <c r="A235" t="str">
        <f>O235</f>
      </c>
      <c r="B235" t="str">
        <f>P235</f>
      </c>
      <c r="C235" s="11" t="str">
        <f>AF235</f>
      </c>
      <c r="D235" s="11" t="str">
        <f>AL235</f>
      </c>
      <c r="E235" s="11" t="str">
        <f>AM235</f>
      </c>
      <c r="F235" s="11" t="str">
        <f>AN235</f>
      </c>
      <c r="G235" s="7" t="str">
        <f>AM235/AL235-1</f>
      </c>
      <c r="H235" s="7" t="str">
        <f>AM235/AF235-1</f>
      </c>
      <c r="I235" s="7" t="str">
        <f>AN235/AM235</f>
      </c>
      <c r="J235" s="7" t="str">
        <f>AM235/Sum(AM$1:AM$458)</f>
      </c>
      <c r="K235" s="7" t="str">
        <f>AN235/Sum(AN1:AN$458)</f>
      </c>
      <c r="O235" t="s">
        <v>327</v>
      </c>
      <c r="P235" t="n">
        <v>1315</v>
      </c>
      <c r="Q235" s="11"/>
      <c r="R235" s="11"/>
      <c r="S235" s="11"/>
      <c r="T235" s="11"/>
      <c r="U235" s="11"/>
      <c r="V235" s="11"/>
      <c r="W235" s="11" t="n">
        <v>44740313.0668453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/>
      <c r="AC235" s="11" t="n">
        <v>0</v>
      </c>
      <c r="AD235" s="11" t="n">
        <v>0</v>
      </c>
      <c r="AE235" s="11"/>
      <c r="AF235" s="11"/>
      <c r="AG235" s="11" t="n">
        <v>0</v>
      </c>
      <c r="AH235" s="11" t="n">
        <v>0</v>
      </c>
      <c r="AI235" s="11"/>
      <c r="AJ235" s="11"/>
      <c r="AK235" s="11"/>
      <c r="AL235" s="11"/>
      <c r="AM235" s="11"/>
      <c r="AN235" s="11"/>
      <c r="AO235" s="11"/>
    </row>
    <row r="236">
      <c r="A236" t="str">
        <f>O236</f>
      </c>
      <c r="B236" t="str">
        <f>P236</f>
      </c>
      <c r="C236" s="11" t="str">
        <f>AF236</f>
      </c>
      <c r="D236" s="11" t="str">
        <f>AL236</f>
      </c>
      <c r="E236" s="11" t="str">
        <f>AM236</f>
      </c>
      <c r="F236" s="11" t="str">
        <f>AN236</f>
      </c>
      <c r="G236" s="7" t="str">
        <f>AM236/AL236-1</f>
      </c>
      <c r="H236" s="7" t="str">
        <f>AM236/AF236-1</f>
      </c>
      <c r="I236" s="7" t="str">
        <f>AN236/AM236</f>
      </c>
      <c r="J236" s="7" t="str">
        <f>AM236/Sum(AM$1:AM$458)</f>
      </c>
      <c r="K236" s="7" t="str">
        <f>AN236/Sum(AN1:AN$458)</f>
      </c>
      <c r="O236" t="s">
        <v>328</v>
      </c>
      <c r="P236" t="n">
        <v>542</v>
      </c>
      <c r="Q236" s="11"/>
      <c r="R236" s="11"/>
      <c r="S236" s="11"/>
      <c r="T236" s="11" t="n">
        <v>92966.3291828</v>
      </c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</row>
    <row r="237">
      <c r="A237" t="str">
        <f>O237</f>
      </c>
      <c r="B237" t="str">
        <f>P237</f>
      </c>
      <c r="C237" s="11" t="str">
        <f>AF237</f>
      </c>
      <c r="D237" s="11" t="str">
        <f>AL237</f>
      </c>
      <c r="E237" s="11" t="str">
        <f>AM237</f>
      </c>
      <c r="F237" s="11" t="str">
        <f>AN237</f>
      </c>
      <c r="G237" s="7" t="str">
        <f>AM237/AL237-1</f>
      </c>
      <c r="H237" s="7" t="str">
        <f>AM237/AF237-1</f>
      </c>
      <c r="I237" s="7" t="str">
        <f>AN237/AM237</f>
      </c>
      <c r="J237" s="7" t="str">
        <f>AM237/Sum(AM$1:AM$458)</f>
      </c>
      <c r="K237" s="7" t="str">
        <f>AN237/Sum(AN1:AN$458)</f>
      </c>
      <c r="O237" t="s">
        <v>329</v>
      </c>
      <c r="P237" t="n">
        <v>462</v>
      </c>
      <c r="Q237" s="11"/>
      <c r="R237" s="11"/>
      <c r="S237" s="11" t="n">
        <v>40648.8808729486</v>
      </c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</row>
    <row r="238">
      <c r="A238" t="str">
        <f>O238</f>
      </c>
      <c r="B238" t="str">
        <f>P238</f>
      </c>
      <c r="C238" s="11" t="str">
        <f>AF238</f>
      </c>
      <c r="D238" s="11" t="str">
        <f>AL238</f>
      </c>
      <c r="E238" s="11" t="str">
        <f>AM238</f>
      </c>
      <c r="F238" s="11" t="str">
        <f>AN238</f>
      </c>
      <c r="G238" s="7" t="str">
        <f>AM238/AL238-1</f>
      </c>
      <c r="H238" s="7" t="str">
        <f>AM238/AF238-1</f>
      </c>
      <c r="I238" s="7" t="str">
        <f>AN238/AM238</f>
      </c>
      <c r="J238" s="7" t="str">
        <f>AM238/Sum(AM$1:AM$458)</f>
      </c>
      <c r="K238" s="7" t="str">
        <f>AN238/Sum(AN1:AN$458)</f>
      </c>
      <c r="O238" t="s">
        <v>330</v>
      </c>
      <c r="P238" t="n">
        <v>406</v>
      </c>
      <c r="Q238" s="11"/>
      <c r="R238" s="11"/>
      <c r="S238" s="11" t="n">
        <v>79319.2832652042</v>
      </c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</row>
    <row r="239">
      <c r="A239" t="str">
        <f>O239</f>
      </c>
      <c r="B239" t="str">
        <f>P239</f>
      </c>
      <c r="C239" s="11" t="str">
        <f>AF239</f>
      </c>
      <c r="D239" s="11" t="str">
        <f>AL239</f>
      </c>
      <c r="E239" s="11" t="str">
        <f>AM239</f>
      </c>
      <c r="F239" s="11" t="str">
        <f>AN239</f>
      </c>
      <c r="G239" s="7" t="str">
        <f>AM239/AL239-1</f>
      </c>
      <c r="H239" s="7" t="str">
        <f>AM239/AF239-1</f>
      </c>
      <c r="I239" s="7" t="str">
        <f>AN239/AM239</f>
      </c>
      <c r="J239" s="7" t="str">
        <f>AM239/Sum(AM$1:AM$458)</f>
      </c>
      <c r="K239" s="7" t="str">
        <f>AN239/Sum(AN1:AN$458)</f>
      </c>
      <c r="O239" t="s">
        <v>331</v>
      </c>
      <c r="P239" t="n">
        <v>1995</v>
      </c>
      <c r="Q239" s="11"/>
      <c r="R239" s="11"/>
      <c r="S239" s="11"/>
      <c r="T239" s="11"/>
      <c r="U239" s="11"/>
      <c r="V239" s="11"/>
      <c r="W239" s="11"/>
      <c r="X239" s="11" t="n">
        <v>2667447.20958335</v>
      </c>
      <c r="Y239" s="11" t="n">
        <v>16677637.5864197</v>
      </c>
      <c r="Z239" s="11" t="n">
        <v>12515225.038751</v>
      </c>
      <c r="AA239" s="11" t="n">
        <v>-837029.265670184</v>
      </c>
      <c r="AB239" s="11" t="n">
        <v>0</v>
      </c>
      <c r="AC239" s="11" t="n">
        <v>1402824.45248696</v>
      </c>
      <c r="AD239" s="11" t="n">
        <v>1703532.47525269</v>
      </c>
      <c r="AE239" s="11" t="n">
        <v>2981047.02545272</v>
      </c>
      <c r="AF239" s="11" t="n">
        <v>749221.309043874</v>
      </c>
      <c r="AG239" s="11"/>
      <c r="AH239" s="11"/>
      <c r="AI239" s="11"/>
      <c r="AJ239" s="11"/>
      <c r="AK239" s="11"/>
      <c r="AL239" s="11"/>
      <c r="AM239" s="11"/>
      <c r="AN239" s="11"/>
      <c r="AO239" s="11"/>
    </row>
    <row r="240">
      <c r="A240" t="str">
        <f>O240</f>
      </c>
      <c r="B240" t="str">
        <f>P240</f>
      </c>
      <c r="C240" s="11" t="str">
        <f>AF240</f>
      </c>
      <c r="D240" s="11" t="str">
        <f>AL240</f>
      </c>
      <c r="E240" s="11" t="str">
        <f>AM240</f>
      </c>
      <c r="F240" s="11" t="str">
        <f>AN240</f>
      </c>
      <c r="G240" s="7" t="str">
        <f>AM240/AL240-1</f>
      </c>
      <c r="H240" s="7" t="str">
        <f>AM240/AF240-1</f>
      </c>
      <c r="I240" s="7" t="str">
        <f>AN240/AM240</f>
      </c>
      <c r="J240" s="7" t="str">
        <f>AM240/Sum(AM$1:AM$458)</f>
      </c>
      <c r="K240" s="7" t="str">
        <f>AN240/Sum(AN1:AN$458)</f>
      </c>
      <c r="O240" t="s">
        <v>332</v>
      </c>
      <c r="P240" t="n">
        <v>1381</v>
      </c>
      <c r="Q240" s="11"/>
      <c r="R240" s="11"/>
      <c r="S240" s="11"/>
      <c r="T240" s="11"/>
      <c r="U240" s="11"/>
      <c r="V240" s="11"/>
      <c r="W240" s="11"/>
      <c r="X240" s="11" t="n">
        <v>1341569.54906239</v>
      </c>
      <c r="Y240" s="11"/>
      <c r="Z240" s="11"/>
      <c r="AA240" s="11"/>
      <c r="AB240" s="11"/>
      <c r="AC240" s="11" t="n">
        <v>60840.5608883916</v>
      </c>
      <c r="AD240" s="11" t="n">
        <v>23707362.4940459</v>
      </c>
      <c r="AE240" s="11" t="n">
        <v>58255643.1608454</v>
      </c>
      <c r="AF240" s="11" t="n">
        <v>46303202.4803846</v>
      </c>
      <c r="AG240" s="11" t="n">
        <v>37047349.4183162</v>
      </c>
      <c r="AH240" s="11" t="n">
        <v>84342662.5637851</v>
      </c>
      <c r="AI240" s="11" t="n">
        <v>33329552.0950697</v>
      </c>
      <c r="AJ240" s="11" t="n">
        <v>49065844.4503882</v>
      </c>
      <c r="AK240" s="11" t="n">
        <v>34938912.3627267</v>
      </c>
      <c r="AL240" s="11" t="n">
        <v>28275349.1125623</v>
      </c>
      <c r="AM240" s="11" t="n">
        <v>5349167.7793</v>
      </c>
      <c r="AN240" s="11" t="n">
        <v>5230928.22201836</v>
      </c>
      <c r="AO240" s="11"/>
    </row>
    <row r="241">
      <c r="A241" t="str">
        <f>O241</f>
      </c>
      <c r="B241" t="str">
        <f>P241</f>
      </c>
      <c r="C241" s="11" t="str">
        <f>AF241</f>
      </c>
      <c r="D241" s="11" t="str">
        <f>AL241</f>
      </c>
      <c r="E241" s="11" t="str">
        <f>AM241</f>
      </c>
      <c r="F241" s="11" t="str">
        <f>AN241</f>
      </c>
      <c r="G241" s="7" t="str">
        <f>AM241/AL241-1</f>
      </c>
      <c r="H241" s="7" t="str">
        <f>AM241/AF241-1</f>
      </c>
      <c r="I241" s="7" t="str">
        <f>AN241/AM241</f>
      </c>
      <c r="J241" s="7" t="str">
        <f>AM241/Sum(AM$1:AM$458)</f>
      </c>
      <c r="K241" s="7" t="str">
        <f>AN241/Sum(AN1:AN$458)</f>
      </c>
      <c r="O241" t="s">
        <v>333</v>
      </c>
      <c r="P241" t="n">
        <v>2182</v>
      </c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 t="n">
        <v>233856.694128273</v>
      </c>
      <c r="AI241" s="11" t="n">
        <v>572531.836660993</v>
      </c>
      <c r="AJ241" s="11" t="n">
        <v>596173.703859399</v>
      </c>
      <c r="AK241" s="11"/>
      <c r="AL241" s="11"/>
      <c r="AM241" s="11"/>
      <c r="AN241" s="11"/>
      <c r="AO241" s="11"/>
    </row>
    <row r="242">
      <c r="A242" t="str">
        <f>O242</f>
      </c>
      <c r="B242" t="str">
        <f>P242</f>
      </c>
      <c r="C242" s="11" t="str">
        <f>AF242</f>
      </c>
      <c r="D242" s="11" t="str">
        <f>AL242</f>
      </c>
      <c r="E242" s="11" t="str">
        <f>AM242</f>
      </c>
      <c r="F242" s="11" t="str">
        <f>AN242</f>
      </c>
      <c r="G242" s="7" t="str">
        <f>AM242/AL242-1</f>
      </c>
      <c r="H242" s="7" t="str">
        <f>AM242/AF242-1</f>
      </c>
      <c r="I242" s="7" t="str">
        <f>AN242/AM242</f>
      </c>
      <c r="J242" s="7" t="str">
        <f>AM242/Sum(AM$1:AM$458)</f>
      </c>
      <c r="K242" s="7" t="str">
        <f>AN242/Sum(AN1:AN$458)</f>
      </c>
      <c r="O242" t="s">
        <v>334</v>
      </c>
      <c r="P242" t="n">
        <v>537</v>
      </c>
      <c r="Q242" s="11"/>
      <c r="R242" s="11" t="n">
        <v>4397012.45516637</v>
      </c>
      <c r="S242" s="11" t="n">
        <v>537388.299418343</v>
      </c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</row>
    <row r="243">
      <c r="A243" t="str">
        <f>O243</f>
      </c>
      <c r="B243" t="str">
        <f>P243</f>
      </c>
      <c r="C243" s="11" t="str">
        <f>AF243</f>
      </c>
      <c r="D243" s="11" t="str">
        <f>AL243</f>
      </c>
      <c r="E243" s="11" t="str">
        <f>AM243</f>
      </c>
      <c r="F243" s="11" t="str">
        <f>AN243</f>
      </c>
      <c r="G243" s="7" t="str">
        <f>AM243/AL243-1</f>
      </c>
      <c r="H243" s="7" t="str">
        <f>AM243/AF243-1</f>
      </c>
      <c r="I243" s="7" t="str">
        <f>AN243/AM243</f>
      </c>
      <c r="J243" s="7" t="str">
        <f>AM243/Sum(AM$1:AM$458)</f>
      </c>
      <c r="K243" s="7" t="str">
        <f>AN243/Sum(AN1:AN$458)</f>
      </c>
      <c r="O243" t="s">
        <v>335</v>
      </c>
      <c r="P243" t="n">
        <v>1996</v>
      </c>
      <c r="Q243" s="11"/>
      <c r="R243" s="11"/>
      <c r="S243" s="11"/>
      <c r="T243" s="11"/>
      <c r="U243" s="11"/>
      <c r="V243" s="11"/>
      <c r="W243" s="11"/>
      <c r="X243" s="11"/>
      <c r="Y243" s="11" t="n">
        <v>615018.735316723</v>
      </c>
      <c r="Z243" s="11" t="n">
        <v>42229.5954415414</v>
      </c>
      <c r="AA243" s="11" t="n">
        <v>91881.7997106062</v>
      </c>
      <c r="AB243" s="11" t="n">
        <v>23410.8740383111</v>
      </c>
      <c r="AC243" s="11" t="n">
        <v>0</v>
      </c>
      <c r="AD243" s="11" t="n">
        <v>247762.136530333</v>
      </c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</row>
    <row r="244">
      <c r="A244" t="str">
        <f>O244</f>
      </c>
      <c r="B244" t="str">
        <f>P244</f>
      </c>
      <c r="C244" s="11" t="str">
        <f>AF244</f>
      </c>
      <c r="D244" s="11" t="str">
        <f>AL244</f>
      </c>
      <c r="E244" s="11" t="str">
        <f>AM244</f>
      </c>
      <c r="F244" s="11" t="str">
        <f>AN244</f>
      </c>
      <c r="G244" s="7" t="str">
        <f>AM244/AL244-1</f>
      </c>
      <c r="H244" s="7" t="str">
        <f>AM244/AF244-1</f>
      </c>
      <c r="I244" s="7" t="str">
        <f>AN244/AM244</f>
      </c>
      <c r="J244" s="7" t="str">
        <f>AM244/Sum(AM$1:AM$458)</f>
      </c>
      <c r="K244" s="7" t="str">
        <f>AN244/Sum(AN1:AN$458)</f>
      </c>
      <c r="O244" t="s">
        <v>336</v>
      </c>
      <c r="P244" t="n">
        <v>2101</v>
      </c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 t="n">
        <v>220704.166903877</v>
      </c>
      <c r="AG244" s="11" t="n">
        <v>171581.167873441</v>
      </c>
      <c r="AH244" s="11"/>
      <c r="AI244" s="11" t="n">
        <v>6051405.36115732</v>
      </c>
      <c r="AJ244" s="11" t="n">
        <v>8926472.53018318</v>
      </c>
      <c r="AK244" s="11" t="n">
        <v>10059091.3614016</v>
      </c>
      <c r="AL244" s="11" t="n">
        <v>27245709.2482821</v>
      </c>
      <c r="AM244" s="11" t="n">
        <v>27127956.6501</v>
      </c>
      <c r="AN244" s="11" t="n">
        <v>33757319.5850139</v>
      </c>
      <c r="AO244" s="11"/>
    </row>
    <row r="245">
      <c r="A245" t="str">
        <f>O245</f>
      </c>
      <c r="B245" t="str">
        <f>P245</f>
      </c>
      <c r="C245" s="11" t="str">
        <f>AF245</f>
      </c>
      <c r="D245" s="11" t="str">
        <f>AL245</f>
      </c>
      <c r="E245" s="11" t="str">
        <f>AM245</f>
      </c>
      <c r="F245" s="11" t="str">
        <f>AN245</f>
      </c>
      <c r="G245" s="7" t="str">
        <f>AM245/AL245-1</f>
      </c>
      <c r="H245" s="7" t="str">
        <f>AM245/AF245-1</f>
      </c>
      <c r="I245" s="7" t="str">
        <f>AN245/AM245</f>
      </c>
      <c r="J245" s="7" t="str">
        <f>AM245/Sum(AM$1:AM$458)</f>
      </c>
      <c r="K245" s="7" t="str">
        <f>AN245/Sum(AN1:AN$458)</f>
      </c>
      <c r="O245" t="s">
        <v>337</v>
      </c>
      <c r="P245" t="n">
        <v>1517</v>
      </c>
      <c r="Q245" s="11"/>
      <c r="R245" s="11" t="n">
        <v>105859.758420608</v>
      </c>
      <c r="S245" s="11" t="n">
        <v>5054923.99911744</v>
      </c>
      <c r="T245" s="11" t="n">
        <v>1976625.56338284</v>
      </c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</row>
    <row r="246">
      <c r="A246" t="str">
        <f>O246</f>
      </c>
      <c r="B246" t="str">
        <f>P246</f>
      </c>
      <c r="C246" s="11" t="str">
        <f>AF246</f>
      </c>
      <c r="D246" s="11" t="str">
        <f>AL246</f>
      </c>
      <c r="E246" s="11" t="str">
        <f>AM246</f>
      </c>
      <c r="F246" s="11" t="str">
        <f>AN246</f>
      </c>
      <c r="G246" s="7" t="str">
        <f>AM246/AL246-1</f>
      </c>
      <c r="H246" s="7" t="str">
        <f>AM246/AF246-1</f>
      </c>
      <c r="I246" s="7" t="str">
        <f>AN246/AM246</f>
      </c>
      <c r="J246" s="7" t="str">
        <f>AM246/Sum(AM$1:AM$458)</f>
      </c>
      <c r="K246" s="7" t="str">
        <f>AN246/Sum(AN1:AN$458)</f>
      </c>
      <c r="O246" t="s">
        <v>338</v>
      </c>
      <c r="P246" t="n">
        <v>469</v>
      </c>
      <c r="Q246" s="11" t="n">
        <v>6991769.64885678</v>
      </c>
      <c r="R246" s="11" t="n">
        <v>15950767.3675406</v>
      </c>
      <c r="S246" s="11" t="n">
        <v>26923838.6587946</v>
      </c>
      <c r="T246" s="11" t="n">
        <v>31030524.9931491</v>
      </c>
      <c r="U246" s="11"/>
      <c r="V246" s="11"/>
      <c r="W246" s="11"/>
      <c r="X246" s="11"/>
      <c r="Y246" s="11"/>
      <c r="Z246" s="11"/>
      <c r="AA246" s="11" t="n">
        <v>-20881.9308041809</v>
      </c>
      <c r="AB246" s="11" t="n">
        <v>-152431.724777508</v>
      </c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</row>
    <row r="247">
      <c r="A247" t="str">
        <f>O247</f>
      </c>
      <c r="B247" t="str">
        <f>P247</f>
      </c>
      <c r="C247" s="11" t="str">
        <f>AF247</f>
      </c>
      <c r="D247" s="11" t="str">
        <f>AL247</f>
      </c>
      <c r="E247" s="11" t="str">
        <f>AM247</f>
      </c>
      <c r="F247" s="11" t="str">
        <f>AN247</f>
      </c>
      <c r="G247" s="7" t="str">
        <f>AM247/AL247-1</f>
      </c>
      <c r="H247" s="7" t="str">
        <f>AM247/AF247-1</f>
      </c>
      <c r="I247" s="7" t="str">
        <f>AN247/AM247</f>
      </c>
      <c r="J247" s="7" t="str">
        <f>AM247/Sum(AM$1:AM$458)</f>
      </c>
      <c r="K247" s="7" t="str">
        <f>AN247/Sum(AN1:AN$458)</f>
      </c>
      <c r="O247" t="s">
        <v>339</v>
      </c>
      <c r="P247" t="n">
        <v>1967</v>
      </c>
      <c r="Q247" s="11"/>
      <c r="R247" s="11"/>
      <c r="S247" s="11"/>
      <c r="T247" s="11"/>
      <c r="U247" s="11" t="n">
        <v>6434686.82796149</v>
      </c>
      <c r="V247" s="11" t="n">
        <v>1912842.48562271</v>
      </c>
      <c r="W247" s="11" t="n">
        <v>4058772.69281983</v>
      </c>
      <c r="X247" s="11" t="n">
        <v>3115726.47479271</v>
      </c>
      <c r="Y247" s="11" t="n">
        <v>3336015.43438176</v>
      </c>
      <c r="Z247" s="11" t="n">
        <v>9616348.14670371</v>
      </c>
      <c r="AA247" s="11" t="n">
        <v>12296586.3430417</v>
      </c>
      <c r="AB247" s="11" t="n">
        <v>11925744.6071301</v>
      </c>
      <c r="AC247" s="11" t="n">
        <v>1596915.77910909</v>
      </c>
      <c r="AD247" s="11" t="n">
        <v>5193757.37820661</v>
      </c>
      <c r="AE247" s="11" t="n">
        <v>5738842.53223878</v>
      </c>
      <c r="AF247" s="11" t="n">
        <v>1587699.14895741</v>
      </c>
      <c r="AG247" s="11"/>
      <c r="AH247" s="11"/>
      <c r="AI247" s="11"/>
      <c r="AJ247" s="11"/>
      <c r="AK247" s="11"/>
      <c r="AL247" s="11"/>
      <c r="AM247" s="11"/>
      <c r="AN247" s="11"/>
      <c r="AO247" s="11"/>
    </row>
    <row r="248">
      <c r="A248" t="str">
        <f>O248</f>
      </c>
      <c r="B248" t="str">
        <f>P248</f>
      </c>
      <c r="C248" s="11" t="str">
        <f>AF248</f>
      </c>
      <c r="D248" s="11" t="str">
        <f>AL248</f>
      </c>
      <c r="E248" s="11" t="str">
        <f>AM248</f>
      </c>
      <c r="F248" s="11" t="str">
        <f>AN248</f>
      </c>
      <c r="G248" s="7" t="str">
        <f>AM248/AL248-1</f>
      </c>
      <c r="H248" s="7" t="str">
        <f>AM248/AF248-1</f>
      </c>
      <c r="I248" s="7" t="str">
        <f>AN248/AM248</f>
      </c>
      <c r="J248" s="7" t="str">
        <f>AM248/Sum(AM$1:AM$458)</f>
      </c>
      <c r="K248" s="7" t="str">
        <f>AN248/Sum(AN1:AN$458)</f>
      </c>
      <c r="O248" t="s">
        <v>340</v>
      </c>
      <c r="P248" t="n">
        <v>1982</v>
      </c>
      <c r="Q248" s="11"/>
      <c r="R248" s="11"/>
      <c r="S248" s="11"/>
      <c r="T248" s="11"/>
      <c r="U248" s="11" t="n">
        <v>12891795.9047463</v>
      </c>
      <c r="V248" s="11" t="n">
        <v>10791693.1958069</v>
      </c>
      <c r="W248" s="11" t="n">
        <v>18425373.2941226</v>
      </c>
      <c r="X248" s="11" t="n">
        <v>19100657.9637016</v>
      </c>
      <c r="Y248" s="11" t="n">
        <v>19024844.9628342</v>
      </c>
      <c r="Z248" s="11" t="n">
        <v>25968759.4802227</v>
      </c>
      <c r="AA248" s="11" t="n">
        <v>9859375.91347409</v>
      </c>
      <c r="AB248" s="11" t="n">
        <v>2081503.96803699</v>
      </c>
      <c r="AC248" s="11" t="n">
        <v>1598189.16777946</v>
      </c>
      <c r="AD248" s="11" t="n">
        <v>374710.694127829</v>
      </c>
      <c r="AE248" s="11" t="n">
        <v>-29116.7630118113</v>
      </c>
      <c r="AF248" s="11" t="n">
        <v>-1419.70212381767</v>
      </c>
      <c r="AG248" s="11"/>
      <c r="AH248" s="11"/>
      <c r="AI248" s="11"/>
      <c r="AJ248" s="11"/>
      <c r="AK248" s="11"/>
      <c r="AL248" s="11"/>
      <c r="AM248" s="11"/>
      <c r="AN248" s="11"/>
      <c r="AO248" s="11"/>
    </row>
    <row r="249">
      <c r="A249" t="str">
        <f>O249</f>
      </c>
      <c r="B249" t="str">
        <f>P249</f>
      </c>
      <c r="C249" s="11" t="str">
        <f>AF249</f>
      </c>
      <c r="D249" s="11" t="str">
        <f>AL249</f>
      </c>
      <c r="E249" s="11" t="str">
        <f>AM249</f>
      </c>
      <c r="F249" s="11" t="str">
        <f>AN249</f>
      </c>
      <c r="G249" s="7" t="str">
        <f>AM249/AL249-1</f>
      </c>
      <c r="H249" s="7" t="str">
        <f>AM249/AF249-1</f>
      </c>
      <c r="I249" s="7" t="str">
        <f>AN249/AM249</f>
      </c>
      <c r="J249" s="7" t="str">
        <f>AM249/Sum(AM$1:AM$458)</f>
      </c>
      <c r="K249" s="7" t="str">
        <f>AN249/Sum(AN1:AN$458)</f>
      </c>
      <c r="O249" t="s">
        <v>341</v>
      </c>
      <c r="P249" t="n">
        <v>1931</v>
      </c>
      <c r="Q249" s="11"/>
      <c r="R249" s="11" t="n">
        <v>2701312.86860041</v>
      </c>
      <c r="S249" s="11" t="n">
        <v>762290.365393559</v>
      </c>
      <c r="T249" s="11" t="n">
        <v>5858411.71988209</v>
      </c>
      <c r="U249" s="11" t="n">
        <v>6140513.99104463</v>
      </c>
      <c r="V249" s="11" t="n">
        <v>9744239.05727742</v>
      </c>
      <c r="W249" s="11" t="n">
        <v>1547687.66857355</v>
      </c>
      <c r="X249" s="11" t="n">
        <v>168797.094540427</v>
      </c>
      <c r="Y249" s="11" t="n">
        <v>-307124.352912988</v>
      </c>
      <c r="Z249" s="11" t="n">
        <v>-550586.32278294</v>
      </c>
      <c r="AA249" s="11" t="n">
        <v>-251703.012575141</v>
      </c>
      <c r="AB249" s="11" t="n">
        <v>-2432.94964552635</v>
      </c>
      <c r="AC249" s="11" t="n">
        <v>-350772.977733072</v>
      </c>
      <c r="AD249" s="11" t="n">
        <v>-15185.0581293585</v>
      </c>
      <c r="AE249" s="11" t="n">
        <v>-23210.5489547112</v>
      </c>
      <c r="AF249" s="11" t="n">
        <v>-811280.949141667</v>
      </c>
      <c r="AG249" s="11" t="n">
        <v>-44218.2508272076</v>
      </c>
      <c r="AH249" s="11"/>
      <c r="AI249" s="11"/>
      <c r="AJ249" s="11"/>
      <c r="AK249" s="11"/>
      <c r="AL249" s="11"/>
      <c r="AM249" s="11"/>
      <c r="AN249" s="11"/>
      <c r="AO249" s="11"/>
    </row>
    <row r="250">
      <c r="A250" t="str">
        <f>O250</f>
      </c>
      <c r="B250" t="str">
        <f>P250</f>
      </c>
      <c r="C250" s="11" t="str">
        <f>AF250</f>
      </c>
      <c r="D250" s="11" t="str">
        <f>AL250</f>
      </c>
      <c r="E250" s="11" t="str">
        <f>AM250</f>
      </c>
      <c r="F250" s="11" t="str">
        <f>AN250</f>
      </c>
      <c r="G250" s="7" t="str">
        <f>AM250/AL250-1</f>
      </c>
      <c r="H250" s="7" t="str">
        <f>AM250/AF250-1</f>
      </c>
      <c r="I250" s="7" t="str">
        <f>AN250/AM250</f>
      </c>
      <c r="J250" s="7" t="str">
        <f>AM250/Sum(AM$1:AM$458)</f>
      </c>
      <c r="K250" s="7" t="str">
        <f>AN250/Sum(AN1:AN$458)</f>
      </c>
      <c r="O250" t="s">
        <v>342</v>
      </c>
      <c r="P250" t="n">
        <v>1968</v>
      </c>
      <c r="Q250" s="11"/>
      <c r="R250" s="11"/>
      <c r="S250" s="11"/>
      <c r="T250" s="11"/>
      <c r="U250" s="11" t="n">
        <v>27357304.8064548</v>
      </c>
      <c r="V250" s="11" t="n">
        <v>40536093.2061475</v>
      </c>
      <c r="W250" s="11" t="n">
        <v>7038657.90245878</v>
      </c>
      <c r="X250" s="11"/>
      <c r="Y250" s="11" t="n">
        <v>20314854.3495447</v>
      </c>
      <c r="Z250" s="11" t="n">
        <v>593737.005716057</v>
      </c>
      <c r="AA250" s="11" t="n">
        <v>0</v>
      </c>
      <c r="AB250" s="11" t="n">
        <v>-23069.914075127</v>
      </c>
      <c r="AC250" s="11"/>
      <c r="AD250" s="11"/>
      <c r="AE250" s="11" t="n">
        <v>59268.9666442609</v>
      </c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</row>
    <row r="251">
      <c r="A251" t="str">
        <f>O251</f>
      </c>
      <c r="B251" t="str">
        <f>P251</f>
      </c>
      <c r="C251" s="11" t="str">
        <f>AF251</f>
      </c>
      <c r="D251" s="11" t="str">
        <f>AL251</f>
      </c>
      <c r="E251" s="11" t="str">
        <f>AM251</f>
      </c>
      <c r="F251" s="11" t="str">
        <f>AN251</f>
      </c>
      <c r="G251" s="7" t="str">
        <f>AM251/AL251-1</f>
      </c>
      <c r="H251" s="7" t="str">
        <f>AM251/AF251-1</f>
      </c>
      <c r="I251" s="7" t="str">
        <f>AN251/AM251</f>
      </c>
      <c r="J251" s="7" t="str">
        <f>AM251/Sum(AM$1:AM$458)</f>
      </c>
      <c r="K251" s="7" t="str">
        <f>AN251/Sum(AN1:AN$458)</f>
      </c>
      <c r="O251" t="s">
        <v>343</v>
      </c>
      <c r="P251" t="n">
        <v>1959</v>
      </c>
      <c r="Q251" s="11"/>
      <c r="R251" s="11"/>
      <c r="S251" s="11"/>
      <c r="T251" s="11"/>
      <c r="U251" s="11" t="n">
        <v>3493932.75775321</v>
      </c>
      <c r="V251" s="11" t="n">
        <v>743342.139150635</v>
      </c>
      <c r="W251" s="11" t="n">
        <v>59417.9320223373</v>
      </c>
      <c r="X251" s="11"/>
      <c r="Y251" s="11"/>
      <c r="Z251" s="11" t="n">
        <v>-122914.421942642</v>
      </c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</row>
    <row r="252">
      <c r="A252" t="str">
        <f>O252</f>
      </c>
      <c r="B252" t="str">
        <f>P252</f>
      </c>
      <c r="C252" s="11" t="str">
        <f>AF252</f>
      </c>
      <c r="D252" s="11" t="str">
        <f>AL252</f>
      </c>
      <c r="E252" s="11" t="str">
        <f>AM252</f>
      </c>
      <c r="F252" s="11" t="str">
        <f>AN252</f>
      </c>
      <c r="G252" s="7" t="str">
        <f>AM252/AL252-1</f>
      </c>
      <c r="H252" s="7" t="str">
        <f>AM252/AF252-1</f>
      </c>
      <c r="I252" s="7" t="str">
        <f>AN252/AM252</f>
      </c>
      <c r="J252" s="7" t="str">
        <f>AM252/Sum(AM$1:AM$458)</f>
      </c>
      <c r="K252" s="7" t="str">
        <f>AN252/Sum(AN1:AN$458)</f>
      </c>
      <c r="O252" t="s">
        <v>344</v>
      </c>
      <c r="P252" t="n">
        <v>1960</v>
      </c>
      <c r="Q252" s="11"/>
      <c r="R252" s="11"/>
      <c r="S252" s="11"/>
      <c r="T252" s="11"/>
      <c r="U252" s="11" t="n">
        <v>138433.751203464</v>
      </c>
      <c r="V252" s="11" t="n">
        <v>62512696.3482103</v>
      </c>
      <c r="W252" s="11" t="n">
        <v>29535435.1143998</v>
      </c>
      <c r="X252" s="11" t="n">
        <v>52210765.3738539</v>
      </c>
      <c r="Y252" s="11" t="n">
        <v>25003344.528573</v>
      </c>
      <c r="Z252" s="11" t="n">
        <v>29381571.0064553</v>
      </c>
      <c r="AA252" s="11" t="n">
        <v>29646794.1714326</v>
      </c>
      <c r="AB252" s="11" t="n">
        <v>23399194.656491</v>
      </c>
      <c r="AC252" s="11" t="n">
        <v>22199249.7623285</v>
      </c>
      <c r="AD252" s="11" t="n">
        <v>12874311.4511369</v>
      </c>
      <c r="AE252" s="11" t="n">
        <v>12601650.0965797</v>
      </c>
      <c r="AF252" s="11" t="n">
        <v>-75915.0884151664</v>
      </c>
      <c r="AG252" s="11" t="n">
        <v>-118712.982337595</v>
      </c>
      <c r="AH252" s="11" t="n">
        <v>-18097.2103913925</v>
      </c>
      <c r="AI252" s="11"/>
      <c r="AJ252" s="11"/>
      <c r="AK252" s="11"/>
      <c r="AL252" s="11" t="n">
        <v>0</v>
      </c>
      <c r="AM252" s="11"/>
      <c r="AN252" s="11"/>
      <c r="AO252" s="11"/>
    </row>
    <row r="253">
      <c r="A253" t="str">
        <f>O253</f>
      </c>
      <c r="B253" t="str">
        <f>P253</f>
      </c>
      <c r="C253" s="11" t="str">
        <f>AF253</f>
      </c>
      <c r="D253" s="11" t="str">
        <f>AL253</f>
      </c>
      <c r="E253" s="11" t="str">
        <f>AM253</f>
      </c>
      <c r="F253" s="11" t="str">
        <f>AN253</f>
      </c>
      <c r="G253" s="7" t="str">
        <f>AM253/AL253-1</f>
      </c>
      <c r="H253" s="7" t="str">
        <f>AM253/AF253-1</f>
      </c>
      <c r="I253" s="7" t="str">
        <f>AN253/AM253</f>
      </c>
      <c r="J253" s="7" t="str">
        <f>AM253/Sum(AM$1:AM$458)</f>
      </c>
      <c r="K253" s="7" t="str">
        <f>AN253/Sum(AN1:AN$458)</f>
      </c>
      <c r="O253" t="s">
        <v>345</v>
      </c>
      <c r="P253" t="n">
        <v>1950</v>
      </c>
      <c r="Q253" s="11"/>
      <c r="R253" s="11"/>
      <c r="S253" s="11"/>
      <c r="T253" s="11"/>
      <c r="U253" s="11" t="n">
        <v>1427839.03093697</v>
      </c>
      <c r="V253" s="11" t="n">
        <v>480346.697517799</v>
      </c>
      <c r="W253" s="11"/>
      <c r="X253" s="11" t="n">
        <v>15269.7269276944</v>
      </c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</row>
    <row r="254">
      <c r="A254" t="str">
        <f>O254</f>
      </c>
      <c r="B254" t="str">
        <f>P254</f>
      </c>
      <c r="C254" s="11" t="str">
        <f>AF254</f>
      </c>
      <c r="D254" s="11" t="str">
        <f>AL254</f>
      </c>
      <c r="E254" s="11" t="str">
        <f>AM254</f>
      </c>
      <c r="F254" s="11" t="str">
        <f>AN254</f>
      </c>
      <c r="G254" s="7" t="str">
        <f>AM254/AL254-1</f>
      </c>
      <c r="H254" s="7" t="str">
        <f>AM254/AF254-1</f>
      </c>
      <c r="I254" s="7" t="str">
        <f>AN254/AM254</f>
      </c>
      <c r="J254" s="7" t="str">
        <f>AM254/Sum(AM$1:AM$458)</f>
      </c>
      <c r="K254" s="7" t="str">
        <f>AN254/Sum(AN1:AN$458)</f>
      </c>
      <c r="O254" t="s">
        <v>346</v>
      </c>
      <c r="P254" t="n">
        <v>1970</v>
      </c>
      <c r="Q254" s="11"/>
      <c r="R254" s="11"/>
      <c r="S254" s="11"/>
      <c r="T254" s="11"/>
      <c r="U254" s="11" t="n">
        <v>15073178.4049239</v>
      </c>
      <c r="V254" s="11" t="n">
        <v>4439824.34516151</v>
      </c>
      <c r="W254" s="11" t="n">
        <v>13924277.3696681</v>
      </c>
      <c r="X254" s="11" t="n">
        <v>32314753.4420966</v>
      </c>
      <c r="Y254" s="11" t="n">
        <v>41582518.3122275</v>
      </c>
      <c r="Z254" s="11" t="n">
        <v>48312048.049446</v>
      </c>
      <c r="AA254" s="11" t="n">
        <v>74333666.8849588</v>
      </c>
      <c r="AB254" s="11" t="n">
        <v>54603213.6102333</v>
      </c>
      <c r="AC254" s="11" t="n">
        <v>21257164.7110351</v>
      </c>
      <c r="AD254" s="11" t="n">
        <v>0</v>
      </c>
      <c r="AE254" s="11" t="n">
        <v>-14666.477488587</v>
      </c>
      <c r="AF254" s="11" t="n">
        <v>-1505937.63908494</v>
      </c>
      <c r="AG254" s="11" t="n">
        <v>-164851.997442515</v>
      </c>
      <c r="AH254" s="11" t="n">
        <v>-16048.2158072801</v>
      </c>
      <c r="AI254" s="11"/>
      <c r="AJ254" s="11"/>
      <c r="AK254" s="11"/>
      <c r="AL254" s="11"/>
      <c r="AM254" s="11"/>
      <c r="AN254" s="11"/>
      <c r="AO254" s="11"/>
    </row>
    <row r="255">
      <c r="A255" t="str">
        <f>O255</f>
      </c>
      <c r="B255" t="str">
        <f>P255</f>
      </c>
      <c r="C255" s="11" t="str">
        <f>AF255</f>
      </c>
      <c r="D255" s="11" t="str">
        <f>AL255</f>
      </c>
      <c r="E255" s="11" t="str">
        <f>AM255</f>
      </c>
      <c r="F255" s="11" t="str">
        <f>AN255</f>
      </c>
      <c r="G255" s="7" t="str">
        <f>AM255/AL255-1</f>
      </c>
      <c r="H255" s="7" t="str">
        <f>AM255/AF255-1</f>
      </c>
      <c r="I255" s="7" t="str">
        <f>AN255/AM255</f>
      </c>
      <c r="J255" s="7" t="str">
        <f>AM255/Sum(AM$1:AM$458)</f>
      </c>
      <c r="K255" s="7" t="str">
        <f>AN255/Sum(AN1:AN$458)</f>
      </c>
      <c r="O255" t="s">
        <v>347</v>
      </c>
      <c r="P255" t="n">
        <v>2251</v>
      </c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 t="n">
        <v>578495.500603641</v>
      </c>
      <c r="AK255" s="11"/>
      <c r="AL255" s="11"/>
      <c r="AM255" s="11"/>
      <c r="AN255" s="11"/>
      <c r="AO255" s="11"/>
    </row>
    <row r="256">
      <c r="A256" t="str">
        <f>O256</f>
      </c>
      <c r="B256" t="str">
        <f>P256</f>
      </c>
      <c r="C256" s="11" t="str">
        <f>AF256</f>
      </c>
      <c r="D256" s="11" t="str">
        <f>AL256</f>
      </c>
      <c r="E256" s="11" t="str">
        <f>AM256</f>
      </c>
      <c r="F256" s="11" t="str">
        <f>AN256</f>
      </c>
      <c r="G256" s="7" t="str">
        <f>AM256/AL256-1</f>
      </c>
      <c r="H256" s="7" t="str">
        <f>AM256/AF256-1</f>
      </c>
      <c r="I256" s="7" t="str">
        <f>AN256/AM256</f>
      </c>
      <c r="J256" s="7" t="str">
        <f>AM256/Sum(AM$1:AM$458)</f>
      </c>
      <c r="K256" s="7" t="str">
        <f>AN256/Sum(AN1:AN$458)</f>
      </c>
      <c r="O256" t="s">
        <v>83</v>
      </c>
      <c r="P256" t="n">
        <v>2237</v>
      </c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 t="n">
        <v>297445252.803271</v>
      </c>
      <c r="AK256" s="11" t="n">
        <v>538691933.667574</v>
      </c>
      <c r="AL256" s="11" t="n">
        <v>523083958.134435</v>
      </c>
      <c r="AM256" s="11" t="n">
        <v>678232070.75</v>
      </c>
      <c r="AN256" s="11" t="n">
        <v>135729964.295349</v>
      </c>
      <c r="AO256" s="11"/>
    </row>
    <row r="257">
      <c r="A257" t="str">
        <f>O257</f>
      </c>
      <c r="B257" t="str">
        <f>P257</f>
      </c>
      <c r="C257" s="11" t="str">
        <f>AF257</f>
      </c>
      <c r="D257" s="11" t="str">
        <f>AL257</f>
      </c>
      <c r="E257" s="11" t="str">
        <f>AM257</f>
      </c>
      <c r="F257" s="11" t="str">
        <f>AN257</f>
      </c>
      <c r="G257" s="7" t="str">
        <f>AM257/AL257-1</f>
      </c>
      <c r="H257" s="7" t="str">
        <f>AM257/AF257-1</f>
      </c>
      <c r="I257" s="7" t="str">
        <f>AN257/AM257</f>
      </c>
      <c r="J257" s="7" t="str">
        <f>AM257/Sum(AM$1:AM$458)</f>
      </c>
      <c r="K257" s="7" t="str">
        <f>AN257/Sum(AN1:AN$458)</f>
      </c>
      <c r="O257" t="s">
        <v>348</v>
      </c>
      <c r="P257" t="n">
        <v>2239</v>
      </c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 t="n">
        <v>412714.260154054</v>
      </c>
      <c r="AK257" s="11" t="n">
        <v>335301.203593936</v>
      </c>
      <c r="AL257" s="11" t="n">
        <v>180893.737218485</v>
      </c>
      <c r="AM257" s="11" t="n">
        <v>221021.3103</v>
      </c>
      <c r="AN257" s="11" t="n">
        <v>61156.3203541655</v>
      </c>
      <c r="AO257" s="11"/>
    </row>
    <row r="258">
      <c r="A258" t="str">
        <f>O258</f>
      </c>
      <c r="B258" t="str">
        <f>P258</f>
      </c>
      <c r="C258" s="11" t="str">
        <f>AF258</f>
      </c>
      <c r="D258" s="11" t="str">
        <f>AL258</f>
      </c>
      <c r="E258" s="11" t="str">
        <f>AM258</f>
      </c>
      <c r="F258" s="11" t="str">
        <f>AN258</f>
      </c>
      <c r="G258" s="7" t="str">
        <f>AM258/AL258-1</f>
      </c>
      <c r="H258" s="7" t="str">
        <f>AM258/AF258-1</f>
      </c>
      <c r="I258" s="7" t="str">
        <f>AN258/AM258</f>
      </c>
      <c r="J258" s="7" t="str">
        <f>AM258/Sum(AM$1:AM$458)</f>
      </c>
      <c r="K258" s="7" t="str">
        <f>AN258/Sum(AN1:AN$458)</f>
      </c>
      <c r="O258" t="s">
        <v>349</v>
      </c>
      <c r="P258" t="n">
        <v>543</v>
      </c>
      <c r="Q258" s="11"/>
      <c r="R258" s="11"/>
      <c r="S258" s="11" t="n">
        <v>39299.3535576251</v>
      </c>
      <c r="T258" s="11" t="n">
        <v>73953.3982685954</v>
      </c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</row>
    <row r="259">
      <c r="A259" t="str">
        <f>O259</f>
      </c>
      <c r="B259" t="str">
        <f>P259</f>
      </c>
      <c r="C259" s="11" t="str">
        <f>AF259</f>
      </c>
      <c r="D259" s="11" t="str">
        <f>AL259</f>
      </c>
      <c r="E259" s="11" t="str">
        <f>AM259</f>
      </c>
      <c r="F259" s="11" t="str">
        <f>AN259</f>
      </c>
      <c r="G259" s="7" t="str">
        <f>AM259/AL259-1</f>
      </c>
      <c r="H259" s="7" t="str">
        <f>AM259/AF259-1</f>
      </c>
      <c r="I259" s="7" t="str">
        <f>AN259/AM259</f>
      </c>
      <c r="J259" s="7" t="str">
        <f>AM259/Sum(AM$1:AM$458)</f>
      </c>
      <c r="K259" s="7" t="str">
        <f>AN259/Sum(AN1:AN$458)</f>
      </c>
      <c r="O259" t="s">
        <v>350</v>
      </c>
      <c r="P259" t="n">
        <v>1940</v>
      </c>
      <c r="Q259" s="11" t="n">
        <v>40480797.961246</v>
      </c>
      <c r="R259" s="11" t="n">
        <v>45588228.0377228</v>
      </c>
      <c r="S259" s="11" t="n">
        <v>57498254.3072164</v>
      </c>
      <c r="T259" s="11" t="n">
        <v>29524215.3698504</v>
      </c>
      <c r="U259" s="11" t="n">
        <v>15861371.3890045</v>
      </c>
      <c r="V259" s="11" t="n">
        <v>1941006.74528461</v>
      </c>
      <c r="W259" s="11"/>
      <c r="X259" s="11"/>
      <c r="Y259" s="11"/>
      <c r="Z259" s="11" t="n">
        <v>-624070.417643804</v>
      </c>
      <c r="AA259" s="11" t="n">
        <v>-212720.647567173</v>
      </c>
      <c r="AB259" s="11" t="n">
        <v>-7733.79448540245</v>
      </c>
      <c r="AC259" s="11" t="n">
        <v>-424604.674247575</v>
      </c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</row>
    <row r="260">
      <c r="A260" t="str">
        <f>O260</f>
      </c>
      <c r="B260" t="str">
        <f>P260</f>
      </c>
      <c r="C260" s="11" t="str">
        <f>AF260</f>
      </c>
      <c r="D260" s="11" t="str">
        <f>AL260</f>
      </c>
      <c r="E260" s="11" t="str">
        <f>AM260</f>
      </c>
      <c r="F260" s="11" t="str">
        <f>AN260</f>
      </c>
      <c r="G260" s="7" t="str">
        <f>AM260/AL260-1</f>
      </c>
      <c r="H260" s="7" t="str">
        <f>AM260/AF260-1</f>
      </c>
      <c r="I260" s="7" t="str">
        <f>AN260/AM260</f>
      </c>
      <c r="J260" s="7" t="str">
        <f>AM260/Sum(AM$1:AM$458)</f>
      </c>
      <c r="K260" s="7" t="str">
        <f>AN260/Sum(AN1:AN$458)</f>
      </c>
      <c r="O260" t="s">
        <v>351</v>
      </c>
      <c r="P260" t="n">
        <v>1873</v>
      </c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 t="n">
        <v>4592.20634039444</v>
      </c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</row>
    <row r="261">
      <c r="A261" t="str">
        <f>O261</f>
      </c>
      <c r="B261" t="str">
        <f>P261</f>
      </c>
      <c r="C261" s="11" t="str">
        <f>AF261</f>
      </c>
      <c r="D261" s="11" t="str">
        <f>AL261</f>
      </c>
      <c r="E261" s="11" t="str">
        <f>AM261</f>
      </c>
      <c r="F261" s="11" t="str">
        <f>AN261</f>
      </c>
      <c r="G261" s="7" t="str">
        <f>AM261/AL261-1</f>
      </c>
      <c r="H261" s="7" t="str">
        <f>AM261/AF261-1</f>
      </c>
      <c r="I261" s="7" t="str">
        <f>AN261/AM261</f>
      </c>
      <c r="J261" s="7" t="str">
        <f>AM261/Sum(AM$1:AM$458)</f>
      </c>
      <c r="K261" s="7" t="str">
        <f>AN261/Sum(AN1:AN$458)</f>
      </c>
      <c r="O261" t="s">
        <v>352</v>
      </c>
      <c r="P261" t="n">
        <v>739</v>
      </c>
      <c r="Q261" s="11" t="n">
        <v>1933221.00454881</v>
      </c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</row>
    <row r="262">
      <c r="A262" t="str">
        <f>O262</f>
      </c>
      <c r="B262" t="str">
        <f>P262</f>
      </c>
      <c r="C262" s="11" t="str">
        <f>AF262</f>
      </c>
      <c r="D262" s="11" t="str">
        <f>AL262</f>
      </c>
      <c r="E262" s="11" t="str">
        <f>AM262</f>
      </c>
      <c r="F262" s="11" t="str">
        <f>AN262</f>
      </c>
      <c r="G262" s="7" t="str">
        <f>AM262/AL262-1</f>
      </c>
      <c r="H262" s="7" t="str">
        <f>AM262/AF262-1</f>
      </c>
      <c r="I262" s="7" t="str">
        <f>AN262/AM262</f>
      </c>
      <c r="J262" s="7" t="str">
        <f>AM262/Sum(AM$1:AM$458)</f>
      </c>
      <c r="K262" s="7" t="str">
        <f>AN262/Sum(AN1:AN$458)</f>
      </c>
      <c r="O262" t="s">
        <v>353</v>
      </c>
      <c r="P262" t="n">
        <v>1841</v>
      </c>
      <c r="Q262" s="11"/>
      <c r="R262" s="11"/>
      <c r="S262" s="11"/>
      <c r="T262" s="11"/>
      <c r="U262" s="11" t="n">
        <v>4288089.04646253</v>
      </c>
      <c r="V262" s="11" t="n">
        <v>25004450.3182712</v>
      </c>
      <c r="W262" s="11" t="n">
        <v>14058723.4085687</v>
      </c>
      <c r="X262" s="11" t="n">
        <v>875864.650838812</v>
      </c>
      <c r="Y262" s="11" t="n">
        <v>-111281.489633288</v>
      </c>
      <c r="Z262" s="11" t="n">
        <v>-124723.787429986</v>
      </c>
      <c r="AA262" s="11" t="n">
        <v>-29524.0830966517</v>
      </c>
      <c r="AB262" s="11" t="n">
        <v>74145482.5572902</v>
      </c>
      <c r="AC262" s="11" t="n">
        <v>24958486.4959896</v>
      </c>
      <c r="AD262" s="11" t="n">
        <v>-6178640.94407437</v>
      </c>
      <c r="AE262" s="11" t="n">
        <v>642182.340210086</v>
      </c>
      <c r="AF262" s="11" t="n">
        <v>453827.779268984</v>
      </c>
      <c r="AG262" s="11" t="n">
        <v>-5809465.19287185</v>
      </c>
      <c r="AH262" s="11" t="n">
        <v>-18120.9704313765</v>
      </c>
      <c r="AI262" s="11" t="n">
        <v>-916560.222529957</v>
      </c>
      <c r="AJ262" s="11"/>
      <c r="AK262" s="11"/>
      <c r="AL262" s="11"/>
      <c r="AM262" s="11"/>
      <c r="AN262" s="11"/>
      <c r="AO262" s="11"/>
    </row>
    <row r="263">
      <c r="A263" t="str">
        <f>O263</f>
      </c>
      <c r="B263" t="str">
        <f>P263</f>
      </c>
      <c r="C263" s="11" t="str">
        <f>AF263</f>
      </c>
      <c r="D263" s="11" t="str">
        <f>AL263</f>
      </c>
      <c r="E263" s="11" t="str">
        <f>AM263</f>
      </c>
      <c r="F263" s="11" t="str">
        <f>AN263</f>
      </c>
      <c r="G263" s="7" t="str">
        <f>AM263/AL263-1</f>
      </c>
      <c r="H263" s="7" t="str">
        <f>AM263/AF263-1</f>
      </c>
      <c r="I263" s="7" t="str">
        <f>AN263/AM263</f>
      </c>
      <c r="J263" s="7" t="str">
        <f>AM263/Sum(AM$1:AM$458)</f>
      </c>
      <c r="K263" s="7" t="str">
        <f>AN263/Sum(AN1:AN$458)</f>
      </c>
      <c r="O263" t="s">
        <v>354</v>
      </c>
      <c r="P263" t="n">
        <v>88</v>
      </c>
      <c r="Q263" s="11"/>
      <c r="R263" s="11"/>
      <c r="S263" s="11"/>
      <c r="T263" s="11"/>
      <c r="U263" s="11"/>
      <c r="V263" s="11"/>
      <c r="W263" s="11"/>
      <c r="X263" s="11"/>
      <c r="Y263" s="11" t="n">
        <v>71813.5586662127</v>
      </c>
      <c r="Z263" s="11"/>
      <c r="AA263" s="11" t="n">
        <v>25796.9423335198</v>
      </c>
      <c r="AB263" s="11"/>
      <c r="AC263" s="11"/>
      <c r="AD263" s="11"/>
      <c r="AE263" s="11"/>
      <c r="AF263" s="11"/>
      <c r="AG263" s="11" t="n">
        <v>535053.095280889</v>
      </c>
      <c r="AH263" s="11" t="n">
        <v>25127.5638176367</v>
      </c>
      <c r="AI263" s="11" t="n">
        <v>147849.562144713</v>
      </c>
      <c r="AJ263" s="11" t="n">
        <v>11874155.1852839</v>
      </c>
      <c r="AK263" s="11" t="n">
        <v>99500357.5398505</v>
      </c>
      <c r="AL263" s="11" t="n">
        <v>129896652.322837</v>
      </c>
      <c r="AM263" s="11" t="n">
        <v>81260620.8818</v>
      </c>
      <c r="AN263" s="11" t="n">
        <v>83467809.6847827</v>
      </c>
      <c r="AO263" s="11"/>
    </row>
    <row r="264">
      <c r="A264" t="str">
        <f>O264</f>
      </c>
      <c r="B264" t="str">
        <f>P264</f>
      </c>
      <c r="C264" s="11" t="str">
        <f>AF264</f>
      </c>
      <c r="D264" s="11" t="str">
        <f>AL264</f>
      </c>
      <c r="E264" s="11" t="str">
        <f>AM264</f>
      </c>
      <c r="F264" s="11" t="str">
        <f>AN264</f>
      </c>
      <c r="G264" s="7" t="str">
        <f>AM264/AL264-1</f>
      </c>
      <c r="H264" s="7" t="str">
        <f>AM264/AF264-1</f>
      </c>
      <c r="I264" s="7" t="str">
        <f>AN264/AM264</f>
      </c>
      <c r="J264" s="7" t="str">
        <f>AM264/Sum(AM$1:AM$458)</f>
      </c>
      <c r="K264" s="7" t="str">
        <f>AN264/Sum(AN1:AN$458)</f>
      </c>
      <c r="O264" t="s">
        <v>75</v>
      </c>
      <c r="P264" t="n">
        <v>698</v>
      </c>
      <c r="Q264" s="11"/>
      <c r="R264" s="11"/>
      <c r="S264" s="11"/>
      <c r="T264" s="11"/>
      <c r="U264" s="11" t="n">
        <v>93249427.5993608</v>
      </c>
      <c r="V264" s="11" t="n">
        <v>190543356.305157</v>
      </c>
      <c r="W264" s="11" t="n">
        <v>269368647.989753</v>
      </c>
      <c r="X264" s="11" t="n">
        <v>795732824.65565</v>
      </c>
      <c r="Y264" s="11" t="n">
        <v>687942546.816424</v>
      </c>
      <c r="Z264" s="11" t="n">
        <v>576157920.187493</v>
      </c>
      <c r="AA264" s="11" t="n">
        <v>231155977.575077</v>
      </c>
      <c r="AB264" s="11" t="n">
        <v>136266984.549124</v>
      </c>
      <c r="AC264" s="11" t="n">
        <v>131441795.521979</v>
      </c>
      <c r="AD264" s="11" t="n">
        <v>394870.525205973</v>
      </c>
      <c r="AE264" s="11" t="n">
        <v>2688353.73761271</v>
      </c>
      <c r="AF264" s="11" t="n">
        <v>-438148.410559733</v>
      </c>
      <c r="AG264" s="11" t="n">
        <v>-6711.99988850211</v>
      </c>
      <c r="AH264" s="11" t="n">
        <v>-413321.209194189</v>
      </c>
      <c r="AI264" s="11" t="n">
        <v>-380168.855800648</v>
      </c>
      <c r="AJ264" s="11" t="n">
        <v>-30314.422201011</v>
      </c>
      <c r="AK264" s="11" t="n">
        <v>-81.3781455595936</v>
      </c>
      <c r="AL264" s="11" t="n">
        <v>-36.7193360097003</v>
      </c>
      <c r="AM264" s="11"/>
      <c r="AN264" s="11" t="n">
        <v>0</v>
      </c>
      <c r="AO264" s="11"/>
    </row>
    <row r="265">
      <c r="A265" t="str">
        <f>O265</f>
      </c>
      <c r="B265" t="str">
        <f>P265</f>
      </c>
      <c r="C265" s="11" t="str">
        <f>AF265</f>
      </c>
      <c r="D265" s="11" t="str">
        <f>AL265</f>
      </c>
      <c r="E265" s="11" t="str">
        <f>AM265</f>
      </c>
      <c r="F265" s="11" t="str">
        <f>AN265</f>
      </c>
      <c r="G265" s="7" t="str">
        <f>AM265/AL265-1</f>
      </c>
      <c r="H265" s="7" t="str">
        <f>AM265/AF265-1</f>
      </c>
      <c r="I265" s="7" t="str">
        <f>AN265/AM265</f>
      </c>
      <c r="J265" s="7" t="str">
        <f>AM265/Sum(AM$1:AM$458)</f>
      </c>
      <c r="K265" s="7" t="str">
        <f>AN265/Sum(AN1:AN$458)</f>
      </c>
      <c r="O265" t="s">
        <v>355</v>
      </c>
      <c r="P265" t="n">
        <v>477</v>
      </c>
      <c r="Q265" s="11" t="n">
        <v>740573.099771799</v>
      </c>
      <c r="R265" s="11" t="n">
        <v>613469.817328526</v>
      </c>
      <c r="S265" s="11" t="n">
        <v>157333764.631289</v>
      </c>
      <c r="T265" s="11" t="n">
        <v>74387190.85145</v>
      </c>
      <c r="U265" s="11"/>
      <c r="V265" s="11"/>
      <c r="W265" s="11"/>
      <c r="X265" s="11"/>
      <c r="Y265" s="11" t="n">
        <v>-666507.885826042</v>
      </c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</row>
    <row r="266">
      <c r="A266" t="str">
        <f>O266</f>
      </c>
      <c r="B266" t="str">
        <f>P266</f>
      </c>
      <c r="C266" s="11" t="str">
        <f>AF266</f>
      </c>
      <c r="D266" s="11" t="str">
        <f>AL266</f>
      </c>
      <c r="E266" s="11" t="str">
        <f>AM266</f>
      </c>
      <c r="F266" s="11" t="str">
        <f>AN266</f>
      </c>
      <c r="G266" s="7" t="str">
        <f>AM266/AL266-1</f>
      </c>
      <c r="H266" s="7" t="str">
        <f>AM266/AF266-1</f>
      </c>
      <c r="I266" s="7" t="str">
        <f>AN266/AM266</f>
      </c>
      <c r="J266" s="7" t="str">
        <f>AM266/Sum(AM$1:AM$458)</f>
      </c>
      <c r="K266" s="7" t="str">
        <f>AN266/Sum(AN1:AN$458)</f>
      </c>
      <c r="O266" t="s">
        <v>356</v>
      </c>
      <c r="P266" t="n">
        <v>593</v>
      </c>
      <c r="Q266" s="11"/>
      <c r="R266" s="11" t="n">
        <v>3424281.68411106</v>
      </c>
      <c r="S266" s="11"/>
      <c r="T266" s="11" t="n">
        <v>439389.641061587</v>
      </c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</row>
    <row r="267">
      <c r="A267" t="str">
        <f>O267</f>
      </c>
      <c r="B267" t="str">
        <f>P267</f>
      </c>
      <c r="C267" s="11" t="str">
        <f>AF267</f>
      </c>
      <c r="D267" s="11" t="str">
        <f>AL267</f>
      </c>
      <c r="E267" s="11" t="str">
        <f>AM267</f>
      </c>
      <c r="F267" s="11" t="str">
        <f>AN267</f>
      </c>
      <c r="G267" s="7" t="str">
        <f>AM267/AL267-1</f>
      </c>
      <c r="H267" s="7" t="str">
        <f>AM267/AF267-1</f>
      </c>
      <c r="I267" s="7" t="str">
        <f>AN267/AM267</f>
      </c>
      <c r="J267" s="7" t="str">
        <f>AM267/Sum(AM$1:AM$458)</f>
      </c>
      <c r="K267" s="7" t="str">
        <f>AN267/Sum(AN1:AN$458)</f>
      </c>
      <c r="O267" t="s">
        <v>357</v>
      </c>
      <c r="P267" t="n">
        <v>1197</v>
      </c>
      <c r="Q267" s="11"/>
      <c r="R267" s="11"/>
      <c r="S267" s="11" t="n">
        <v>212481.445183551</v>
      </c>
      <c r="T267" s="11" t="n">
        <v>165424.842044099</v>
      </c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</row>
    <row r="268">
      <c r="A268" t="str">
        <f>O268</f>
      </c>
      <c r="B268" t="str">
        <f>P268</f>
      </c>
      <c r="C268" s="11" t="str">
        <f>AF268</f>
      </c>
      <c r="D268" s="11" t="str">
        <f>AL268</f>
      </c>
      <c r="E268" s="11" t="str">
        <f>AM268</f>
      </c>
      <c r="F268" s="11" t="str">
        <f>AN268</f>
      </c>
      <c r="G268" s="7" t="str">
        <f>AM268/AL268-1</f>
      </c>
      <c r="H268" s="7" t="str">
        <f>AM268/AF268-1</f>
      </c>
      <c r="I268" s="7" t="str">
        <f>AN268/AM268</f>
      </c>
      <c r="J268" s="7" t="str">
        <f>AM268/Sum(AM$1:AM$458)</f>
      </c>
      <c r="K268" s="7" t="str">
        <f>AN268/Sum(AN1:AN$458)</f>
      </c>
      <c r="O268" t="s">
        <v>358</v>
      </c>
      <c r="P268" t="n">
        <v>2081</v>
      </c>
      <c r="Q268" s="11" t="n">
        <v>3484489.88825239</v>
      </c>
      <c r="R268" s="11"/>
      <c r="S268" s="11"/>
      <c r="T268" s="11" t="n">
        <v>-105149.416676514</v>
      </c>
      <c r="U268" s="11"/>
      <c r="V268" s="11" t="n">
        <v>350467.391079028</v>
      </c>
      <c r="W268" s="11"/>
      <c r="X268" s="11"/>
      <c r="Y268" s="11"/>
      <c r="Z268" s="11"/>
      <c r="AA268" s="11"/>
      <c r="AB268" s="11"/>
      <c r="AC268" s="11"/>
      <c r="AD268" s="11" t="n">
        <v>-33028.9545173797</v>
      </c>
      <c r="AE268" s="11"/>
      <c r="AF268" s="11"/>
      <c r="AG268" s="11"/>
      <c r="AH268" s="11"/>
      <c r="AI268" s="11"/>
      <c r="AJ268" s="11" t="n">
        <v>-258479.052873347</v>
      </c>
      <c r="AK268" s="11"/>
      <c r="AL268" s="11"/>
      <c r="AM268" s="11"/>
      <c r="AN268" s="11"/>
      <c r="AO268" s="11"/>
    </row>
    <row r="269">
      <c r="A269" t="str">
        <f>O269</f>
      </c>
      <c r="B269" t="str">
        <f>P269</f>
      </c>
      <c r="C269" s="11" t="str">
        <f>AF269</f>
      </c>
      <c r="D269" s="11" t="str">
        <f>AL269</f>
      </c>
      <c r="E269" s="11" t="str">
        <f>AM269</f>
      </c>
      <c r="F269" s="11" t="str">
        <f>AN269</f>
      </c>
      <c r="G269" s="7" t="str">
        <f>AM269/AL269-1</f>
      </c>
      <c r="H269" s="7" t="str">
        <f>AM269/AF269-1</f>
      </c>
      <c r="I269" s="7" t="str">
        <f>AN269/AM269</f>
      </c>
      <c r="J269" s="7" t="str">
        <f>AM269/Sum(AM$1:AM$458)</f>
      </c>
      <c r="K269" s="7" t="str">
        <f>AN269/Sum(AN1:AN$458)</f>
      </c>
      <c r="O269" t="s">
        <v>359</v>
      </c>
      <c r="P269" t="n">
        <v>1937</v>
      </c>
      <c r="Q269" s="11" t="n">
        <v>1665365.27689808</v>
      </c>
      <c r="R269" s="11"/>
      <c r="S269" s="11" t="n">
        <v>1570284.51547063</v>
      </c>
      <c r="T269" s="11" t="n">
        <v>-55722.1964205915</v>
      </c>
      <c r="U269" s="11"/>
      <c r="V269" s="11"/>
      <c r="W269" s="11"/>
      <c r="X269" s="11"/>
      <c r="Y269" s="11"/>
      <c r="Z269" s="11"/>
      <c r="AA269" s="11"/>
      <c r="AB269" s="11"/>
      <c r="AC269" s="11" t="n">
        <v>-17.9324319965785</v>
      </c>
      <c r="AD269" s="11"/>
      <c r="AE269" s="11" t="n">
        <v>-2183.75722588585</v>
      </c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</row>
    <row r="270">
      <c r="A270" t="str">
        <f>O270</f>
      </c>
      <c r="B270" t="str">
        <f>P270</f>
      </c>
      <c r="C270" s="11" t="str">
        <f>AF270</f>
      </c>
      <c r="D270" s="11" t="str">
        <f>AL270</f>
      </c>
      <c r="E270" s="11" t="str">
        <f>AM270</f>
      </c>
      <c r="F270" s="11" t="str">
        <f>AN270</f>
      </c>
      <c r="G270" s="7" t="str">
        <f>AM270/AL270-1</f>
      </c>
      <c r="H270" s="7" t="str">
        <f>AM270/AF270-1</f>
      </c>
      <c r="I270" s="7" t="str">
        <f>AN270/AM270</f>
      </c>
      <c r="J270" s="7" t="str">
        <f>AM270/Sum(AM$1:AM$458)</f>
      </c>
      <c r="K270" s="7" t="str">
        <f>AN270/Sum(AN1:AN$458)</f>
      </c>
      <c r="O270" t="s">
        <v>360</v>
      </c>
      <c r="P270" t="n">
        <v>2082</v>
      </c>
      <c r="Q270" s="11"/>
      <c r="R270" s="11"/>
      <c r="S270" s="11"/>
      <c r="T270" s="11" t="n">
        <v>3804657.07913911</v>
      </c>
      <c r="U270" s="11"/>
      <c r="V270" s="11"/>
      <c r="W270" s="11"/>
      <c r="X270" s="11" t="n">
        <v>544326.777566861</v>
      </c>
      <c r="Y270" s="11" t="n">
        <v>389647.175132762</v>
      </c>
      <c r="Z270" s="11"/>
      <c r="AA270" s="11"/>
      <c r="AB270" s="11"/>
      <c r="AC270" s="11"/>
      <c r="AD270" s="11" t="n">
        <v>-24733.3791503518</v>
      </c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</row>
    <row r="271">
      <c r="A271" t="str">
        <f>O271</f>
      </c>
      <c r="B271" t="str">
        <f>P271</f>
      </c>
      <c r="C271" s="11" t="str">
        <f>AF271</f>
      </c>
      <c r="D271" s="11" t="str">
        <f>AL271</f>
      </c>
      <c r="E271" s="11" t="str">
        <f>AM271</f>
      </c>
      <c r="F271" s="11" t="str">
        <f>AN271</f>
      </c>
      <c r="G271" s="7" t="str">
        <f>AM271/AL271-1</f>
      </c>
      <c r="H271" s="7" t="str">
        <f>AM271/AF271-1</f>
      </c>
      <c r="I271" s="7" t="str">
        <f>AN271/AM271</f>
      </c>
      <c r="J271" s="7" t="str">
        <f>AM271/Sum(AM$1:AM$458)</f>
      </c>
      <c r="K271" s="7" t="str">
        <f>AN271/Sum(AN1:AN$458)</f>
      </c>
      <c r="O271" t="s">
        <v>361</v>
      </c>
      <c r="P271" t="n">
        <v>2187</v>
      </c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 t="n">
        <v>4744642.27372192</v>
      </c>
      <c r="AJ271" s="11"/>
      <c r="AK271" s="11" t="n">
        <v>7839718.32953724</v>
      </c>
      <c r="AL271" s="11"/>
      <c r="AM271" s="11" t="n">
        <v>38103.6016</v>
      </c>
      <c r="AN271" s="11"/>
      <c r="AO271" s="11"/>
    </row>
    <row r="272">
      <c r="A272" t="str">
        <f>O272</f>
      </c>
      <c r="B272" t="str">
        <f>P272</f>
      </c>
      <c r="C272" s="11" t="str">
        <f>AF272</f>
      </c>
      <c r="D272" s="11" t="str">
        <f>AL272</f>
      </c>
      <c r="E272" s="11" t="str">
        <f>AM272</f>
      </c>
      <c r="F272" s="11" t="str">
        <f>AN272</f>
      </c>
      <c r="G272" s="7" t="str">
        <f>AM272/AL272-1</f>
      </c>
      <c r="H272" s="7" t="str">
        <f>AM272/AF272-1</f>
      </c>
      <c r="I272" s="7" t="str">
        <f>AN272/AM272</f>
      </c>
      <c r="J272" s="7" t="str">
        <f>AM272/Sum(AM$1:AM$458)</f>
      </c>
      <c r="K272" s="7" t="str">
        <f>AN272/Sum(AN1:AN$458)</f>
      </c>
      <c r="O272" t="s">
        <v>362</v>
      </c>
      <c r="P272" t="n">
        <v>2151</v>
      </c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 t="n">
        <v>0</v>
      </c>
      <c r="AH272" s="11"/>
      <c r="AI272" s="11"/>
      <c r="AJ272" s="11"/>
      <c r="AK272" s="11"/>
      <c r="AL272" s="11"/>
      <c r="AM272" s="11"/>
      <c r="AN272" s="11"/>
      <c r="AO272" s="11"/>
    </row>
    <row r="273">
      <c r="A273" t="str">
        <f>O273</f>
      </c>
      <c r="B273" t="str">
        <f>P273</f>
      </c>
      <c r="C273" s="11" t="str">
        <f>AF273</f>
      </c>
      <c r="D273" s="11" t="str">
        <f>AL273</f>
      </c>
      <c r="E273" s="11" t="str">
        <f>AM273</f>
      </c>
      <c r="F273" s="11" t="str">
        <f>AN273</f>
      </c>
      <c r="G273" s="7" t="str">
        <f>AM273/AL273-1</f>
      </c>
      <c r="H273" s="7" t="str">
        <f>AM273/AF273-1</f>
      </c>
      <c r="I273" s="7" t="str">
        <f>AN273/AM273</f>
      </c>
      <c r="J273" s="7" t="str">
        <f>AM273/Sum(AM$1:AM$458)</f>
      </c>
      <c r="K273" s="7" t="str">
        <f>AN273/Sum(AN1:AN$458)</f>
      </c>
      <c r="O273" t="s">
        <v>363</v>
      </c>
      <c r="P273" t="n">
        <v>1939</v>
      </c>
      <c r="Q273" s="11" t="n">
        <v>1140810.43759027</v>
      </c>
      <c r="R273" s="11" t="n">
        <v>17037917.2879771</v>
      </c>
      <c r="S273" s="11" t="n">
        <v>12438000.0323855</v>
      </c>
      <c r="T273" s="11" t="n">
        <v>12886255.0745188</v>
      </c>
      <c r="U273" s="11" t="n">
        <v>21040191.3195913</v>
      </c>
      <c r="V273" s="11" t="n">
        <v>40191863.8470537</v>
      </c>
      <c r="W273" s="11"/>
      <c r="X273" s="11"/>
      <c r="Y273" s="11"/>
      <c r="Z273" s="11"/>
      <c r="AA273" s="11"/>
      <c r="AB273" s="11"/>
      <c r="AC273" s="11"/>
      <c r="AD273" s="11"/>
      <c r="AE273" s="11" t="n">
        <v>-928083.475818437</v>
      </c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</row>
    <row r="274">
      <c r="A274" t="str">
        <f>O274</f>
      </c>
      <c r="B274" t="str">
        <f>P274</f>
      </c>
      <c r="C274" s="11" t="str">
        <f>AF274</f>
      </c>
      <c r="D274" s="11" t="str">
        <f>AL274</f>
      </c>
      <c r="E274" s="11" t="str">
        <f>AM274</f>
      </c>
      <c r="F274" s="11" t="str">
        <f>AN274</f>
      </c>
      <c r="G274" s="7" t="str">
        <f>AM274/AL274-1</f>
      </c>
      <c r="H274" s="7" t="str">
        <f>AM274/AF274-1</f>
      </c>
      <c r="I274" s="7" t="str">
        <f>AN274/AM274</f>
      </c>
      <c r="J274" s="7" t="str">
        <f>AM274/Sum(AM$1:AM$458)</f>
      </c>
      <c r="K274" s="7" t="str">
        <f>AN274/Sum(AN1:AN$458)</f>
      </c>
      <c r="O274" t="s">
        <v>364</v>
      </c>
      <c r="P274" t="n">
        <v>1983</v>
      </c>
      <c r="Q274" s="11"/>
      <c r="R274" s="11"/>
      <c r="S274" s="11"/>
      <c r="T274" s="11"/>
      <c r="U274" s="11"/>
      <c r="V274" s="11"/>
      <c r="W274" s="11"/>
      <c r="X274" s="11"/>
      <c r="Y274" s="11" t="n">
        <v>499880.914369532</v>
      </c>
      <c r="Z274" s="11" t="n">
        <v>58872.0693096446</v>
      </c>
      <c r="AA274" s="11" t="n">
        <v>5790.21587140112</v>
      </c>
      <c r="AB274" s="11"/>
      <c r="AC274" s="11" t="n">
        <v>33797.8239134814</v>
      </c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</row>
    <row r="275">
      <c r="A275" t="str">
        <f>O275</f>
      </c>
      <c r="B275" t="str">
        <f>P275</f>
      </c>
      <c r="C275" s="11" t="str">
        <f>AF275</f>
      </c>
      <c r="D275" s="11" t="str">
        <f>AL275</f>
      </c>
      <c r="E275" s="11" t="str">
        <f>AM275</f>
      </c>
      <c r="F275" s="11" t="str">
        <f>AN275</f>
      </c>
      <c r="G275" s="7" t="str">
        <f>AM275/AL275-1</f>
      </c>
      <c r="H275" s="7" t="str">
        <f>AM275/AF275-1</f>
      </c>
      <c r="I275" s="7" t="str">
        <f>AN275/AM275</f>
      </c>
      <c r="J275" s="7" t="str">
        <f>AM275/Sum(AM$1:AM$458)</f>
      </c>
      <c r="K275" s="7" t="str">
        <f>AN275/Sum(AN1:AN$458)</f>
      </c>
      <c r="O275" t="s">
        <v>365</v>
      </c>
      <c r="P275" t="n">
        <v>1997</v>
      </c>
      <c r="Q275" s="11"/>
      <c r="R275" s="11"/>
      <c r="S275" s="11"/>
      <c r="T275" s="11"/>
      <c r="U275" s="11"/>
      <c r="V275" s="11"/>
      <c r="W275" s="11"/>
      <c r="X275" s="11" t="n">
        <v>69439794.3602292</v>
      </c>
      <c r="Y275" s="11" t="n">
        <v>82337539.9523989</v>
      </c>
      <c r="Z275" s="11" t="n">
        <v>81247756.4508203</v>
      </c>
      <c r="AA275" s="11" t="n">
        <v>78982047.0005742</v>
      </c>
      <c r="AB275" s="11" t="n">
        <v>86427484.7109471</v>
      </c>
      <c r="AC275" s="11" t="n">
        <v>82485125.9937709</v>
      </c>
      <c r="AD275" s="11" t="n">
        <v>102049094.807852</v>
      </c>
      <c r="AE275" s="11" t="n">
        <v>67159211.0955006</v>
      </c>
      <c r="AF275" s="11" t="n">
        <v>2716015.20203356</v>
      </c>
      <c r="AG275" s="11" t="n">
        <v>2464202.81663418</v>
      </c>
      <c r="AH275" s="11" t="n">
        <v>858319.767584948</v>
      </c>
      <c r="AI275" s="11" t="n">
        <v>-431329.339632615</v>
      </c>
      <c r="AJ275" s="11" t="n">
        <v>1283885.74777873</v>
      </c>
      <c r="AK275" s="11" t="n">
        <v>-157925.933296751</v>
      </c>
      <c r="AL275" s="11" t="n">
        <v>-89959.368525624</v>
      </c>
      <c r="AM275" s="11" t="n">
        <v>-64975.697</v>
      </c>
      <c r="AN275" s="11" t="n">
        <v>15391.215346577</v>
      </c>
      <c r="AO275" s="11"/>
    </row>
    <row r="276">
      <c r="A276" t="str">
        <f>O276</f>
      </c>
      <c r="B276" t="str">
        <f>P276</f>
      </c>
      <c r="C276" s="11" t="str">
        <f>AF276</f>
      </c>
      <c r="D276" s="11" t="str">
        <f>AL276</f>
      </c>
      <c r="E276" s="11" t="str">
        <f>AM276</f>
      </c>
      <c r="F276" s="11" t="str">
        <f>AN276</f>
      </c>
      <c r="G276" s="7" t="str">
        <f>AM276/AL276-1</f>
      </c>
      <c r="H276" s="7" t="str">
        <f>AM276/AF276-1</f>
      </c>
      <c r="I276" s="7" t="str">
        <f>AN276/AM276</f>
      </c>
      <c r="J276" s="7" t="str">
        <f>AM276/Sum(AM$1:AM$458)</f>
      </c>
      <c r="K276" s="7" t="str">
        <f>AN276/Sum(AN1:AN$458)</f>
      </c>
      <c r="O276" t="s">
        <v>366</v>
      </c>
      <c r="P276" t="n">
        <v>1949</v>
      </c>
      <c r="Q276" s="11"/>
      <c r="R276" s="11"/>
      <c r="S276" s="11"/>
      <c r="T276" s="11"/>
      <c r="U276" s="11" t="n">
        <v>3856876.22647319</v>
      </c>
      <c r="V276" s="11" t="n">
        <v>33517.3313122283</v>
      </c>
      <c r="W276" s="11" t="n">
        <v>223870.739643011</v>
      </c>
      <c r="X276" s="11" t="n">
        <v>6032340.64898906</v>
      </c>
      <c r="Y276" s="11" t="n">
        <v>884837.540255793</v>
      </c>
      <c r="Z276" s="11" t="n">
        <v>1606871.88978517</v>
      </c>
      <c r="AA276" s="11" t="n">
        <v>2647732.30885393</v>
      </c>
      <c r="AB276" s="11" t="n">
        <v>2629824.39237194</v>
      </c>
      <c r="AC276" s="11" t="n">
        <v>7053179.99241891</v>
      </c>
      <c r="AD276" s="11" t="n">
        <v>362865.854119347</v>
      </c>
      <c r="AE276" s="11" t="n">
        <v>1882029.91638212</v>
      </c>
      <c r="AF276" s="11" t="n">
        <v>0</v>
      </c>
      <c r="AG276" s="11"/>
      <c r="AH276" s="11"/>
      <c r="AI276" s="11" t="n">
        <v>0</v>
      </c>
      <c r="AJ276" s="11"/>
      <c r="AK276" s="11"/>
      <c r="AL276" s="11"/>
      <c r="AM276" s="11"/>
      <c r="AN276" s="11"/>
      <c r="AO276" s="11"/>
    </row>
    <row r="277">
      <c r="A277" t="str">
        <f>O277</f>
      </c>
      <c r="B277" t="str">
        <f>P277</f>
      </c>
      <c r="C277" s="11" t="str">
        <f>AF277</f>
      </c>
      <c r="D277" s="11" t="str">
        <f>AL277</f>
      </c>
      <c r="E277" s="11" t="str">
        <f>AM277</f>
      </c>
      <c r="F277" s="11" t="str">
        <f>AN277</f>
      </c>
      <c r="G277" s="7" t="str">
        <f>AM277/AL277-1</f>
      </c>
      <c r="H277" s="7" t="str">
        <f>AM277/AF277-1</f>
      </c>
      <c r="I277" s="7" t="str">
        <f>AN277/AM277</f>
      </c>
      <c r="J277" s="7" t="str">
        <f>AM277/Sum(AM$1:AM$458)</f>
      </c>
      <c r="K277" s="7" t="str">
        <f>AN277/Sum(AN1:AN$458)</f>
      </c>
      <c r="O277" t="s">
        <v>367</v>
      </c>
      <c r="P277" t="n">
        <v>1975</v>
      </c>
      <c r="Q277" s="11"/>
      <c r="R277" s="11"/>
      <c r="S277" s="11"/>
      <c r="T277" s="11"/>
      <c r="U277" s="11" t="n">
        <v>2305020.2799213</v>
      </c>
      <c r="V277" s="11" t="n">
        <v>8651154.24171024</v>
      </c>
      <c r="W277" s="11" t="n">
        <v>4601063.03682914</v>
      </c>
      <c r="X277" s="11" t="n">
        <v>27823053.2816879</v>
      </c>
      <c r="Y277" s="11" t="n">
        <v>16034112.2052509</v>
      </c>
      <c r="Z277" s="11" t="n">
        <v>9721921.80283283</v>
      </c>
      <c r="AA277" s="11" t="n">
        <v>8635341.14798712</v>
      </c>
      <c r="AB277" s="11" t="n">
        <v>13067430.3377329</v>
      </c>
      <c r="AC277" s="11" t="n">
        <v>10462125.0290061</v>
      </c>
      <c r="AD277" s="11" t="n">
        <v>41213780.4149007</v>
      </c>
      <c r="AE277" s="11" t="n">
        <v>59764434.2897442</v>
      </c>
      <c r="AF277" s="11" t="n">
        <v>41167658.1376621</v>
      </c>
      <c r="AG277" s="11" t="n">
        <v>62147228.8020958</v>
      </c>
      <c r="AH277" s="11" t="n">
        <v>67464669.8739146</v>
      </c>
      <c r="AI277" s="11" t="n">
        <v>26806388.972906</v>
      </c>
      <c r="AJ277" s="11" t="n">
        <v>28109958.8306674</v>
      </c>
      <c r="AK277" s="11" t="n">
        <v>21721275.4548502</v>
      </c>
      <c r="AL277" s="11" t="n">
        <v>8860186.3230854</v>
      </c>
      <c r="AM277" s="11" t="n">
        <v>1</v>
      </c>
      <c r="AN277" s="11"/>
      <c r="AO277" s="11"/>
    </row>
    <row r="278">
      <c r="A278" t="str">
        <f>O278</f>
      </c>
      <c r="B278" t="str">
        <f>P278</f>
      </c>
      <c r="C278" s="11" t="str">
        <f>AF278</f>
      </c>
      <c r="D278" s="11" t="str">
        <f>AL278</f>
      </c>
      <c r="E278" s="11" t="str">
        <f>AM278</f>
      </c>
      <c r="F278" s="11" t="str">
        <f>AN278</f>
      </c>
      <c r="G278" s="7" t="str">
        <f>AM278/AL278-1</f>
      </c>
      <c r="H278" s="7" t="str">
        <f>AM278/AF278-1</f>
      </c>
      <c r="I278" s="7" t="str">
        <f>AN278/AM278</f>
      </c>
      <c r="J278" s="7" t="str">
        <f>AM278/Sum(AM$1:AM$458)</f>
      </c>
      <c r="K278" s="7" t="str">
        <f>AN278/Sum(AN1:AN$458)</f>
      </c>
      <c r="O278" t="s">
        <v>368</v>
      </c>
      <c r="P278" t="n">
        <v>2083</v>
      </c>
      <c r="Q278" s="11"/>
      <c r="R278" s="11"/>
      <c r="S278" s="11" t="n">
        <v>6000456.56885115</v>
      </c>
      <c r="T278" s="11" t="n">
        <v>24293878.0014297</v>
      </c>
      <c r="U278" s="11" t="n">
        <v>19875506.905065</v>
      </c>
      <c r="V278" s="11" t="n">
        <v>10722384.4161066</v>
      </c>
      <c r="W278" s="11" t="n">
        <v>-363122.167794</v>
      </c>
      <c r="X278" s="11"/>
      <c r="Y278" s="11"/>
      <c r="Z278" s="11" t="n">
        <v>-261.268790897402</v>
      </c>
      <c r="AA278" s="11" t="n">
        <v>0</v>
      </c>
      <c r="AB278" s="11"/>
      <c r="AC278" s="11"/>
      <c r="AD278" s="11"/>
      <c r="AE278" s="11"/>
      <c r="AF278" s="11" t="n">
        <v>0</v>
      </c>
      <c r="AG278" s="11"/>
      <c r="AH278" s="11"/>
      <c r="AI278" s="11"/>
      <c r="AJ278" s="11"/>
      <c r="AK278" s="11"/>
      <c r="AL278" s="11"/>
      <c r="AM278" s="11"/>
      <c r="AN278" s="11"/>
      <c r="AO278" s="11"/>
    </row>
    <row r="279">
      <c r="A279" t="str">
        <f>O279</f>
      </c>
      <c r="B279" t="str">
        <f>P279</f>
      </c>
      <c r="C279" s="11" t="str">
        <f>AF279</f>
      </c>
      <c r="D279" s="11" t="str">
        <f>AL279</f>
      </c>
      <c r="E279" s="11" t="str">
        <f>AM279</f>
      </c>
      <c r="F279" s="11" t="str">
        <f>AN279</f>
      </c>
      <c r="G279" s="7" t="str">
        <f>AM279/AL279-1</f>
      </c>
      <c r="H279" s="7" t="str">
        <f>AM279/AF279-1</f>
      </c>
      <c r="I279" s="7" t="str">
        <f>AN279/AM279</f>
      </c>
      <c r="J279" s="7" t="str">
        <f>AM279/Sum(AM$1:AM$458)</f>
      </c>
      <c r="K279" s="7" t="str">
        <f>AN279/Sum(AN1:AN$458)</f>
      </c>
      <c r="O279" t="s">
        <v>369</v>
      </c>
      <c r="P279" t="n">
        <v>1941</v>
      </c>
      <c r="Q279" s="11"/>
      <c r="R279" s="11"/>
      <c r="S279" s="11"/>
      <c r="T279" s="11" t="n">
        <v>17361256.2567126</v>
      </c>
      <c r="U279" s="11" t="n">
        <v>5492023.57803484</v>
      </c>
      <c r="V279" s="11" t="n">
        <v>1914520.01239123</v>
      </c>
      <c r="W279" s="11" t="n">
        <v>31142.054164091</v>
      </c>
      <c r="X279" s="11"/>
      <c r="Y279" s="11"/>
      <c r="Z279" s="11"/>
      <c r="AA279" s="11" t="n">
        <v>-461424.710061776</v>
      </c>
      <c r="AB279" s="11"/>
      <c r="AC279" s="11" t="n">
        <v>-75557.9999855835</v>
      </c>
      <c r="AD279" s="11"/>
      <c r="AE279" s="11" t="n">
        <v>0</v>
      </c>
      <c r="AF279" s="11" t="n">
        <v>0</v>
      </c>
      <c r="AG279" s="11"/>
      <c r="AH279" s="11"/>
      <c r="AI279" s="11"/>
      <c r="AJ279" s="11"/>
      <c r="AK279" s="11"/>
      <c r="AL279" s="11"/>
      <c r="AM279" s="11"/>
      <c r="AN279" s="11"/>
      <c r="AO279" s="11"/>
    </row>
    <row r="280">
      <c r="A280" t="str">
        <f>O280</f>
      </c>
      <c r="B280" t="str">
        <f>P280</f>
      </c>
      <c r="C280" s="11" t="str">
        <f>AF280</f>
      </c>
      <c r="D280" s="11" t="str">
        <f>AL280</f>
      </c>
      <c r="E280" s="11" t="str">
        <f>AM280</f>
      </c>
      <c r="F280" s="11" t="str">
        <f>AN280</f>
      </c>
      <c r="G280" s="7" t="str">
        <f>AM280/AL280-1</f>
      </c>
      <c r="H280" s="7" t="str">
        <f>AM280/AF280-1</f>
      </c>
      <c r="I280" s="7" t="str">
        <f>AN280/AM280</f>
      </c>
      <c r="J280" s="7" t="str">
        <f>AM280/Sum(AM$1:AM$458)</f>
      </c>
      <c r="K280" s="7" t="str">
        <f>AN280/Sum(AN1:AN$458)</f>
      </c>
      <c r="O280" t="s">
        <v>370</v>
      </c>
      <c r="P280" t="n">
        <v>1345</v>
      </c>
      <c r="Q280" s="11"/>
      <c r="R280" s="11"/>
      <c r="S280" s="11"/>
      <c r="T280" s="11"/>
      <c r="U280" s="11" t="n">
        <v>5244276.45844559</v>
      </c>
      <c r="V280" s="11" t="n">
        <v>33259833.8405694</v>
      </c>
      <c r="W280" s="11" t="n">
        <v>47896050.0769935</v>
      </c>
      <c r="X280" s="11" t="n">
        <v>39072283.8698002</v>
      </c>
      <c r="Y280" s="11" t="n">
        <v>57374686.0558236</v>
      </c>
      <c r="Z280" s="11" t="n">
        <v>36343927.1843629</v>
      </c>
      <c r="AA280" s="11" t="n">
        <v>7490640.86919058</v>
      </c>
      <c r="AB280" s="11" t="n">
        <v>4485448.81261546</v>
      </c>
      <c r="AC280" s="11" t="n">
        <v>21282.1699959394</v>
      </c>
      <c r="AD280" s="11" t="n">
        <v>357245.539974737</v>
      </c>
      <c r="AE280" s="11"/>
      <c r="AF280" s="11"/>
      <c r="AG280" s="11" t="n">
        <v>-4586.14315290349</v>
      </c>
      <c r="AH280" s="11"/>
      <c r="AI280" s="11" t="n">
        <v>-6922.57581629752</v>
      </c>
      <c r="AJ280" s="11"/>
      <c r="AK280" s="11"/>
      <c r="AL280" s="11"/>
      <c r="AM280" s="11"/>
      <c r="AN280" s="11"/>
      <c r="AO280" s="11"/>
    </row>
    <row r="281">
      <c r="A281" t="str">
        <f>O281</f>
      </c>
      <c r="B281" t="str">
        <f>P281</f>
      </c>
      <c r="C281" s="11" t="str">
        <f>AF281</f>
      </c>
      <c r="D281" s="11" t="str">
        <f>AL281</f>
      </c>
      <c r="E281" s="11" t="str">
        <f>AM281</f>
      </c>
      <c r="F281" s="11" t="str">
        <f>AN281</f>
      </c>
      <c r="G281" s="7" t="str">
        <f>AM281/AL281-1</f>
      </c>
      <c r="H281" s="7" t="str">
        <f>AM281/AF281-1</f>
      </c>
      <c r="I281" s="7" t="str">
        <f>AN281/AM281</f>
      </c>
      <c r="J281" s="7" t="str">
        <f>AM281/Sum(AM$1:AM$458)</f>
      </c>
      <c r="K281" s="7" t="str">
        <f>AN281/Sum(AN1:AN$458)</f>
      </c>
      <c r="O281" t="s">
        <v>371</v>
      </c>
      <c r="P281" t="n">
        <v>1352</v>
      </c>
      <c r="Q281" s="11"/>
      <c r="R281" s="11"/>
      <c r="S281" s="11"/>
      <c r="T281" s="11"/>
      <c r="U281" s="11"/>
      <c r="V281" s="11" t="n">
        <v>-1160743.13702469</v>
      </c>
      <c r="W281" s="11" t="n">
        <v>9923173.54225661</v>
      </c>
      <c r="X281" s="11" t="n">
        <v>7077641.58491976</v>
      </c>
      <c r="Y281" s="11" t="n">
        <v>7146376.88146162</v>
      </c>
      <c r="Z281" s="11" t="n">
        <v>7525889.86663644</v>
      </c>
      <c r="AA281" s="11" t="n">
        <v>3003592.61937012</v>
      </c>
      <c r="AB281" s="11" t="n">
        <v>4778802.05922634</v>
      </c>
      <c r="AC281" s="11" t="n">
        <v>0</v>
      </c>
      <c r="AD281" s="11" t="n">
        <v>-1995545.55798843</v>
      </c>
      <c r="AE281" s="11"/>
      <c r="AF281" s="11"/>
      <c r="AG281" s="11"/>
      <c r="AH281" s="11"/>
      <c r="AI281" s="11"/>
      <c r="AJ281" s="11"/>
      <c r="AK281" s="11" t="n">
        <v>31692.4938737111</v>
      </c>
      <c r="AL281" s="11"/>
      <c r="AM281" s="11"/>
      <c r="AN281" s="11"/>
      <c r="AO281" s="11"/>
    </row>
    <row r="282">
      <c r="A282" t="str">
        <f>O282</f>
      </c>
      <c r="B282" t="str">
        <f>P282</f>
      </c>
      <c r="C282" s="11" t="str">
        <f>AF282</f>
      </c>
      <c r="D282" s="11" t="str">
        <f>AL282</f>
      </c>
      <c r="E282" s="11" t="str">
        <f>AM282</f>
      </c>
      <c r="F282" s="11" t="str">
        <f>AN282</f>
      </c>
      <c r="G282" s="7" t="str">
        <f>AM282/AL282-1</f>
      </c>
      <c r="H282" s="7" t="str">
        <f>AM282/AF282-1</f>
      </c>
      <c r="I282" s="7" t="str">
        <f>AN282/AM282</f>
      </c>
      <c r="J282" s="7" t="str">
        <f>AM282/Sum(AM$1:AM$458)</f>
      </c>
      <c r="K282" s="7" t="str">
        <f>AN282/Sum(AN1:AN$458)</f>
      </c>
      <c r="O282" t="s">
        <v>372</v>
      </c>
      <c r="P282" t="n">
        <v>2178</v>
      </c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 t="n">
        <v>24652857.5059771</v>
      </c>
      <c r="AK282" s="11"/>
      <c r="AL282" s="11"/>
      <c r="AM282" s="11"/>
      <c r="AN282" s="11" t="n">
        <v>-285424.165046019</v>
      </c>
      <c r="AO282" s="11"/>
    </row>
    <row r="283">
      <c r="A283" t="str">
        <f>O283</f>
      </c>
      <c r="B283" t="str">
        <f>P283</f>
      </c>
      <c r="C283" s="11" t="str">
        <f>AF283</f>
      </c>
      <c r="D283" s="11" t="str">
        <f>AL283</f>
      </c>
      <c r="E283" s="11" t="str">
        <f>AM283</f>
      </c>
      <c r="F283" s="11" t="str">
        <f>AN283</f>
      </c>
      <c r="G283" s="7" t="str">
        <f>AM283/AL283-1</f>
      </c>
      <c r="H283" s="7" t="str">
        <f>AM283/AF283-1</f>
      </c>
      <c r="I283" s="7" t="str">
        <f>AN283/AM283</f>
      </c>
      <c r="J283" s="7" t="str">
        <f>AM283/Sum(AM$1:AM$458)</f>
      </c>
      <c r="K283" s="7" t="str">
        <f>AN283/Sum(AN1:AN$458)</f>
      </c>
      <c r="O283" t="s">
        <v>76</v>
      </c>
      <c r="P283" t="n">
        <v>1346</v>
      </c>
      <c r="Q283" s="11"/>
      <c r="R283" s="11"/>
      <c r="S283" s="11"/>
      <c r="T283" s="11"/>
      <c r="U283" s="11" t="n">
        <v>124948.263609599</v>
      </c>
      <c r="V283" s="11" t="n">
        <v>119874098.064632</v>
      </c>
      <c r="W283" s="11" t="n">
        <v>197641646.170885</v>
      </c>
      <c r="X283" s="11" t="n">
        <v>193786762.385778</v>
      </c>
      <c r="Y283" s="11" t="n">
        <v>193913160.840053</v>
      </c>
      <c r="Z283" s="11" t="n">
        <v>180019560.408417</v>
      </c>
      <c r="AA283" s="11" t="n">
        <v>185478811.851549</v>
      </c>
      <c r="AB283" s="11" t="n">
        <v>163992761.661454</v>
      </c>
      <c r="AC283" s="11" t="n">
        <v>137321065.224718</v>
      </c>
      <c r="AD283" s="11" t="n">
        <v>122841224.344488</v>
      </c>
      <c r="AE283" s="11" t="n">
        <v>127178774.472776</v>
      </c>
      <c r="AF283" s="11" t="n">
        <v>398283482.377688</v>
      </c>
      <c r="AG283" s="11" t="n">
        <v>288614030.200936</v>
      </c>
      <c r="AH283" s="11" t="n">
        <v>158041532.969931</v>
      </c>
      <c r="AI283" s="11" t="n">
        <v>420350787.506304</v>
      </c>
      <c r="AJ283" s="11" t="n">
        <v>229360911.627923</v>
      </c>
      <c r="AK283" s="11" t="n">
        <v>141448617.757107</v>
      </c>
      <c r="AL283" s="11" t="n">
        <v>106450050.228288</v>
      </c>
      <c r="AM283" s="11" t="n">
        <v>86439797.669</v>
      </c>
      <c r="AN283" s="11" t="n">
        <v>2813014.37076859</v>
      </c>
      <c r="AO283" s="11"/>
    </row>
    <row r="284">
      <c r="A284" t="str">
        <f>O284</f>
      </c>
      <c r="B284" t="str">
        <f>P284</f>
      </c>
      <c r="C284" s="11" t="str">
        <f>AF284</f>
      </c>
      <c r="D284" s="11" t="str">
        <f>AL284</f>
      </c>
      <c r="E284" s="11" t="str">
        <f>AM284</f>
      </c>
      <c r="F284" s="11" t="str">
        <f>AN284</f>
      </c>
      <c r="G284" s="7" t="str">
        <f>AM284/AL284-1</f>
      </c>
      <c r="H284" s="7" t="str">
        <f>AM284/AF284-1</f>
      </c>
      <c r="I284" s="7" t="str">
        <f>AN284/AM284</f>
      </c>
      <c r="J284" s="7" t="str">
        <f>AM284/Sum(AM$1:AM$458)</f>
      </c>
      <c r="K284" s="7" t="str">
        <f>AN284/Sum(AN1:AN$458)</f>
      </c>
      <c r="O284" t="s">
        <v>373</v>
      </c>
      <c r="P284" t="n">
        <v>1969</v>
      </c>
      <c r="Q284" s="11"/>
      <c r="R284" s="11"/>
      <c r="S284" s="11"/>
      <c r="T284" s="11"/>
      <c r="U284" s="11" t="n">
        <v>-2741162.6064059</v>
      </c>
      <c r="V284" s="11" t="n">
        <v>32856384.3217753</v>
      </c>
      <c r="W284" s="11" t="n">
        <v>144175.658857909</v>
      </c>
      <c r="X284" s="11"/>
      <c r="Y284" s="11" t="n">
        <v>7771175.68835811</v>
      </c>
      <c r="Z284" s="11" t="n">
        <v>-1761376.4318182</v>
      </c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</row>
    <row r="285">
      <c r="A285" t="str">
        <f>O285</f>
      </c>
      <c r="B285" t="str">
        <f>P285</f>
      </c>
      <c r="C285" s="11" t="str">
        <f>AF285</f>
      </c>
      <c r="D285" s="11" t="str">
        <f>AL285</f>
      </c>
      <c r="E285" s="11" t="str">
        <f>AM285</f>
      </c>
      <c r="F285" s="11" t="str">
        <f>AN285</f>
      </c>
      <c r="G285" s="7" t="str">
        <f>AM285/AL285-1</f>
      </c>
      <c r="H285" s="7" t="str">
        <f>AM285/AF285-1</f>
      </c>
      <c r="I285" s="7" t="str">
        <f>AN285/AM285</f>
      </c>
      <c r="J285" s="7" t="str">
        <f>AM285/Sum(AM$1:AM$458)</f>
      </c>
      <c r="K285" s="7" t="str">
        <f>AN285/Sum(AN1:AN$458)</f>
      </c>
      <c r="O285" t="s">
        <v>374</v>
      </c>
      <c r="P285" t="n">
        <v>1998</v>
      </c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 t="n">
        <v>189244.521610343</v>
      </c>
      <c r="AB285" s="11" t="n">
        <v>0</v>
      </c>
      <c r="AC285" s="11"/>
      <c r="AD285" s="11"/>
      <c r="AE285" s="11"/>
      <c r="AF285" s="11" t="n">
        <v>18647.811325324</v>
      </c>
      <c r="AG285" s="11" t="n">
        <v>929.593229302766</v>
      </c>
      <c r="AH285" s="11"/>
      <c r="AI285" s="11"/>
      <c r="AJ285" s="11"/>
      <c r="AK285" s="11"/>
      <c r="AL285" s="11"/>
      <c r="AM285" s="11"/>
      <c r="AN285" s="11"/>
      <c r="AO285" s="11"/>
    </row>
    <row r="286">
      <c r="A286" t="str">
        <f>O286</f>
      </c>
      <c r="B286" t="str">
        <f>P286</f>
      </c>
      <c r="C286" s="11" t="str">
        <f>AF286</f>
      </c>
      <c r="D286" s="11" t="str">
        <f>AL286</f>
      </c>
      <c r="E286" s="11" t="str">
        <f>AM286</f>
      </c>
      <c r="F286" s="11" t="str">
        <f>AN286</f>
      </c>
      <c r="G286" s="7" t="str">
        <f>AM286/AL286-1</f>
      </c>
      <c r="H286" s="7" t="str">
        <f>AM286/AF286-1</f>
      </c>
      <c r="I286" s="7" t="str">
        <f>AN286/AM286</f>
      </c>
      <c r="J286" s="7" t="str">
        <f>AM286/Sum(AM$1:AM$458)</f>
      </c>
      <c r="K286" s="7" t="str">
        <f>AN286/Sum(AN1:AN$458)</f>
      </c>
      <c r="O286" t="s">
        <v>375</v>
      </c>
      <c r="P286" t="n">
        <v>1990</v>
      </c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 t="n">
        <v>4948616.83470121</v>
      </c>
      <c r="AC286" s="11" t="n">
        <v>4787374.68611255</v>
      </c>
      <c r="AD286" s="11" t="n">
        <v>4070724.65742628</v>
      </c>
      <c r="AE286" s="11" t="n">
        <v>4516822.78609934</v>
      </c>
      <c r="AF286" s="11" t="n">
        <v>5637338.7950866</v>
      </c>
      <c r="AG286" s="11" t="n">
        <v>2476922.83333164</v>
      </c>
      <c r="AH286" s="11" t="n">
        <v>22707078.3877447</v>
      </c>
      <c r="AI286" s="11" t="n">
        <v>51713641.5557782</v>
      </c>
      <c r="AJ286" s="11" t="n">
        <v>229236.216798261</v>
      </c>
      <c r="AK286" s="11" t="n">
        <v>-2930645.40371736</v>
      </c>
      <c r="AL286" s="11" t="n">
        <v>-1462876.60501565</v>
      </c>
      <c r="AM286" s="11" t="n">
        <v>81391.1172</v>
      </c>
      <c r="AN286" s="11" t="n">
        <v>3483243.0677464</v>
      </c>
      <c r="AO286" s="11"/>
    </row>
    <row r="287">
      <c r="A287" t="str">
        <f>O287</f>
      </c>
      <c r="B287" t="str">
        <f>P287</f>
      </c>
      <c r="C287" s="11" t="str">
        <f>AF287</f>
      </c>
      <c r="D287" s="11" t="str">
        <f>AL287</f>
      </c>
      <c r="E287" s="11" t="str">
        <f>AM287</f>
      </c>
      <c r="F287" s="11" t="str">
        <f>AN287</f>
      </c>
      <c r="G287" s="7" t="str">
        <f>AM287/AL287-1</f>
      </c>
      <c r="H287" s="7" t="str">
        <f>AM287/AF287-1</f>
      </c>
      <c r="I287" s="7" t="str">
        <f>AN287/AM287</f>
      </c>
      <c r="J287" s="7" t="str">
        <f>AM287/Sum(AM$1:AM$458)</f>
      </c>
      <c r="K287" s="7" t="str">
        <f>AN287/Sum(AN1:AN$458)</f>
      </c>
      <c r="O287" t="s">
        <v>376</v>
      </c>
      <c r="P287" t="n">
        <v>2084</v>
      </c>
      <c r="Q287" s="11"/>
      <c r="R287" s="11"/>
      <c r="S287" s="11"/>
      <c r="T287" s="11" t="n">
        <v>970002.340249962</v>
      </c>
      <c r="U287" s="11" t="n">
        <v>982243.587383647</v>
      </c>
      <c r="V287" s="11"/>
      <c r="W287" s="11" t="n">
        <v>235504.619175174</v>
      </c>
      <c r="X287" s="11" t="n">
        <v>0</v>
      </c>
      <c r="Y287" s="11"/>
      <c r="Z287" s="11"/>
      <c r="AA287" s="11"/>
      <c r="AB287" s="11"/>
      <c r="AC287" s="11"/>
      <c r="AD287" s="11" t="n">
        <v>-25751.3184693532</v>
      </c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</row>
    <row r="288">
      <c r="A288" t="str">
        <f>O288</f>
      </c>
      <c r="B288" t="str">
        <f>P288</f>
      </c>
      <c r="C288" s="11" t="str">
        <f>AF288</f>
      </c>
      <c r="D288" s="11" t="str">
        <f>AL288</f>
      </c>
      <c r="E288" s="11" t="str">
        <f>AM288</f>
      </c>
      <c r="F288" s="11" t="str">
        <f>AN288</f>
      </c>
      <c r="G288" s="7" t="str">
        <f>AM288/AL288-1</f>
      </c>
      <c r="H288" s="7" t="str">
        <f>AM288/AF288-1</f>
      </c>
      <c r="I288" s="7" t="str">
        <f>AN288/AM288</f>
      </c>
      <c r="J288" s="7" t="str">
        <f>AM288/Sum(AM$1:AM$458)</f>
      </c>
      <c r="K288" s="7" t="str">
        <f>AN288/Sum(AN1:AN$458)</f>
      </c>
      <c r="O288" t="s">
        <v>377</v>
      </c>
      <c r="P288" t="n">
        <v>1986</v>
      </c>
      <c r="Q288" s="11"/>
      <c r="R288" s="11"/>
      <c r="S288" s="11"/>
      <c r="T288" s="11"/>
      <c r="U288" s="11"/>
      <c r="V288" s="11"/>
      <c r="W288" s="11"/>
      <c r="X288" s="11"/>
      <c r="Y288" s="11" t="n">
        <v>14844.6641186897</v>
      </c>
      <c r="Z288" s="11"/>
      <c r="AA288" s="11" t="n">
        <v>402946.278608701</v>
      </c>
      <c r="AB288" s="11" t="n">
        <v>1023194.63440329</v>
      </c>
      <c r="AC288" s="11"/>
      <c r="AD288" s="11" t="n">
        <v>-457493.709878123</v>
      </c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</row>
    <row r="289">
      <c r="A289" t="str">
        <f>O289</f>
      </c>
      <c r="B289" t="str">
        <f>P289</f>
      </c>
      <c r="C289" s="11" t="str">
        <f>AF289</f>
      </c>
      <c r="D289" s="11" t="str">
        <f>AL289</f>
      </c>
      <c r="E289" s="11" t="str">
        <f>AM289</f>
      </c>
      <c r="F289" s="11" t="str">
        <f>AN289</f>
      </c>
      <c r="G289" s="7" t="str">
        <f>AM289/AL289-1</f>
      </c>
      <c r="H289" s="7" t="str">
        <f>AM289/AF289-1</f>
      </c>
      <c r="I289" s="7" t="str">
        <f>AN289/AM289</f>
      </c>
      <c r="J289" s="7" t="str">
        <f>AM289/Sum(AM$1:AM$458)</f>
      </c>
      <c r="K289" s="7" t="str">
        <f>AN289/Sum(AN1:AN$458)</f>
      </c>
      <c r="O289" t="s">
        <v>378</v>
      </c>
      <c r="P289" t="n">
        <v>2085</v>
      </c>
      <c r="Q289" s="11"/>
      <c r="R289" s="11"/>
      <c r="S289" s="11" t="n">
        <v>2811088.69230643</v>
      </c>
      <c r="T289" s="11" t="n">
        <v>1764604.7927105</v>
      </c>
      <c r="U289" s="11" t="n">
        <v>221634.41997417</v>
      </c>
      <c r="V289" s="11"/>
      <c r="W289" s="11"/>
      <c r="X289" s="11"/>
      <c r="Y289" s="11"/>
      <c r="Z289" s="11"/>
      <c r="AA289" s="11"/>
      <c r="AB289" s="11"/>
      <c r="AC289" s="11"/>
      <c r="AD289" s="11" t="n">
        <v>-67097.4900605175</v>
      </c>
      <c r="AE289" s="11"/>
      <c r="AF289" s="11"/>
      <c r="AG289" s="11"/>
      <c r="AH289" s="11" t="n">
        <v>-14534.9046533188</v>
      </c>
      <c r="AI289" s="11"/>
      <c r="AJ289" s="11"/>
      <c r="AK289" s="11"/>
      <c r="AL289" s="11"/>
      <c r="AM289" s="11"/>
      <c r="AN289" s="11"/>
      <c r="AO289" s="11"/>
    </row>
    <row r="290">
      <c r="A290" t="str">
        <f>O290</f>
      </c>
      <c r="B290" t="str">
        <f>P290</f>
      </c>
      <c r="C290" s="11" t="str">
        <f>AF290</f>
      </c>
      <c r="D290" s="11" t="str">
        <f>AL290</f>
      </c>
      <c r="E290" s="11" t="str">
        <f>AM290</f>
      </c>
      <c r="F290" s="11" t="str">
        <f>AN290</f>
      </c>
      <c r="G290" s="7" t="str">
        <f>AM290/AL290-1</f>
      </c>
      <c r="H290" s="7" t="str">
        <f>AM290/AF290-1</f>
      </c>
      <c r="I290" s="7" t="str">
        <f>AN290/AM290</f>
      </c>
      <c r="J290" s="7" t="str">
        <f>AM290/Sum(AM$1:AM$458)</f>
      </c>
      <c r="K290" s="7" t="str">
        <f>AN290/Sum(AN1:AN$458)</f>
      </c>
      <c r="O290" t="s">
        <v>379</v>
      </c>
      <c r="P290" t="n">
        <v>1943</v>
      </c>
      <c r="Q290" s="11"/>
      <c r="R290" s="11"/>
      <c r="S290" s="11"/>
      <c r="T290" s="11" t="n">
        <v>18014804.6136315</v>
      </c>
      <c r="U290" s="11" t="n">
        <v>19829094.5750513</v>
      </c>
      <c r="V290" s="11" t="n">
        <v>0</v>
      </c>
      <c r="W290" s="11" t="n">
        <v>0</v>
      </c>
      <c r="X290" s="11" t="n">
        <v>264805.45156767</v>
      </c>
      <c r="Y290" s="11" t="n">
        <v>0</v>
      </c>
      <c r="Z290" s="11"/>
      <c r="AA290" s="11"/>
      <c r="AB290" s="11"/>
      <c r="AC290" s="11"/>
      <c r="AD290" s="11"/>
      <c r="AE290" s="11" t="n">
        <v>-607.39994039556</v>
      </c>
      <c r="AF290" s="11" t="n">
        <v>0</v>
      </c>
      <c r="AG290" s="11"/>
      <c r="AH290" s="11"/>
      <c r="AI290" s="11"/>
      <c r="AJ290" s="11"/>
      <c r="AK290" s="11"/>
      <c r="AL290" s="11"/>
      <c r="AM290" s="11"/>
      <c r="AN290" s="11"/>
      <c r="AO290" s="11"/>
    </row>
    <row r="291">
      <c r="A291" t="str">
        <f>O291</f>
      </c>
      <c r="B291" t="str">
        <f>P291</f>
      </c>
      <c r="C291" s="11" t="str">
        <f>AF291</f>
      </c>
      <c r="D291" s="11" t="str">
        <f>AL291</f>
      </c>
      <c r="E291" s="11" t="str">
        <f>AM291</f>
      </c>
      <c r="F291" s="11" t="str">
        <f>AN291</f>
      </c>
      <c r="G291" s="7" t="str">
        <f>AM291/AL291-1</f>
      </c>
      <c r="H291" s="7" t="str">
        <f>AM291/AF291-1</f>
      </c>
      <c r="I291" s="7" t="str">
        <f>AN291/AM291</f>
      </c>
      <c r="J291" s="7" t="str">
        <f>AM291/Sum(AM$1:AM$458)</f>
      </c>
      <c r="K291" s="7" t="str">
        <f>AN291/Sum(AN1:AN$458)</f>
      </c>
      <c r="O291" t="s">
        <v>380</v>
      </c>
      <c r="P291" t="n">
        <v>2086</v>
      </c>
      <c r="Q291" s="11" t="n">
        <v>42309786.6045541</v>
      </c>
      <c r="R291" s="11" t="n">
        <v>14722956.9655024</v>
      </c>
      <c r="S291" s="11" t="n">
        <v>6205423.21233292</v>
      </c>
      <c r="T291" s="11" t="n">
        <v>4087862.43382412</v>
      </c>
      <c r="U291" s="11" t="n">
        <v>558780.534696757</v>
      </c>
      <c r="V291" s="11" t="n">
        <v>1376253.35521053</v>
      </c>
      <c r="W291" s="11"/>
      <c r="X291" s="11"/>
      <c r="Y291" s="11" t="n">
        <v>0</v>
      </c>
      <c r="Z291" s="11"/>
      <c r="AA291" s="11"/>
      <c r="AB291" s="11" t="n">
        <v>-84366.2772996988</v>
      </c>
      <c r="AC291" s="11"/>
      <c r="AD291" s="11"/>
      <c r="AE291" s="11"/>
      <c r="AF291" s="11" t="n">
        <v>0</v>
      </c>
      <c r="AG291" s="11"/>
      <c r="AH291" s="11"/>
      <c r="AI291" s="11"/>
      <c r="AJ291" s="11" t="n">
        <v>0</v>
      </c>
      <c r="AK291" s="11"/>
      <c r="AL291" s="11"/>
      <c r="AM291" s="11"/>
      <c r="AN291" s="11"/>
      <c r="AO291" s="11"/>
    </row>
    <row r="292">
      <c r="A292" t="str">
        <f>O292</f>
      </c>
      <c r="B292" t="str">
        <f>P292</f>
      </c>
      <c r="C292" s="11" t="str">
        <f>AF292</f>
      </c>
      <c r="D292" s="11" t="str">
        <f>AL292</f>
      </c>
      <c r="E292" s="11" t="str">
        <f>AM292</f>
      </c>
      <c r="F292" s="11" t="str">
        <f>AN292</f>
      </c>
      <c r="G292" s="7" t="str">
        <f>AM292/AL292-1</f>
      </c>
      <c r="H292" s="7" t="str">
        <f>AM292/AF292-1</f>
      </c>
      <c r="I292" s="7" t="str">
        <f>AN292/AM292</f>
      </c>
      <c r="J292" s="7" t="str">
        <f>AM292/Sum(AM$1:AM$458)</f>
      </c>
      <c r="K292" s="7" t="str">
        <f>AN292/Sum(AN1:AN$458)</f>
      </c>
      <c r="O292" t="s">
        <v>381</v>
      </c>
      <c r="P292" t="n">
        <v>2087</v>
      </c>
      <c r="Q292" s="11" t="n">
        <v>52076595.2341102</v>
      </c>
      <c r="R292" s="11" t="n">
        <v>32189900.7111911</v>
      </c>
      <c r="S292" s="11" t="n">
        <v>52332344.4983818</v>
      </c>
      <c r="T292" s="11" t="n">
        <v>22824999.9430084</v>
      </c>
      <c r="U292" s="11" t="n">
        <v>7611745.5830231</v>
      </c>
      <c r="V292" s="11" t="n">
        <v>7227833.41211574</v>
      </c>
      <c r="W292" s="11"/>
      <c r="X292" s="11"/>
      <c r="Y292" s="11"/>
      <c r="Z292" s="11"/>
      <c r="AA292" s="11" t="n">
        <v>-213565.353850604</v>
      </c>
      <c r="AB292" s="11" t="n">
        <v>-666336.28918358</v>
      </c>
      <c r="AC292" s="11"/>
      <c r="AD292" s="11"/>
      <c r="AE292" s="11"/>
      <c r="AF292" s="11" t="n">
        <v>0</v>
      </c>
      <c r="AG292" s="11"/>
      <c r="AH292" s="11"/>
      <c r="AI292" s="11"/>
      <c r="AJ292" s="11"/>
      <c r="AK292" s="11"/>
      <c r="AL292" s="11" t="n">
        <v>0</v>
      </c>
      <c r="AM292" s="11"/>
      <c r="AN292" s="11"/>
      <c r="AO292" s="11"/>
    </row>
    <row r="293">
      <c r="A293" t="str">
        <f>O293</f>
      </c>
      <c r="B293" t="str">
        <f>P293</f>
      </c>
      <c r="C293" s="11" t="str">
        <f>AF293</f>
      </c>
      <c r="D293" s="11" t="str">
        <f>AL293</f>
      </c>
      <c r="E293" s="11" t="str">
        <f>AM293</f>
      </c>
      <c r="F293" s="11" t="str">
        <f>AN293</f>
      </c>
      <c r="G293" s="7" t="str">
        <f>AM293/AL293-1</f>
      </c>
      <c r="H293" s="7" t="str">
        <f>AM293/AF293-1</f>
      </c>
      <c r="I293" s="7" t="str">
        <f>AN293/AM293</f>
      </c>
      <c r="J293" s="7" t="str">
        <f>AM293/Sum(AM$1:AM$458)</f>
      </c>
      <c r="K293" s="7" t="str">
        <f>AN293/Sum(AN1:AN$458)</f>
      </c>
      <c r="O293" t="s">
        <v>382</v>
      </c>
      <c r="P293" t="n">
        <v>1944</v>
      </c>
      <c r="Q293" s="11" t="n">
        <v>19866588.5234985</v>
      </c>
      <c r="R293" s="11" t="n">
        <v>9912653.38709392</v>
      </c>
      <c r="S293" s="11" t="n">
        <v>-366923.898013149</v>
      </c>
      <c r="T293" s="11"/>
      <c r="U293" s="11" t="n">
        <v>-666212.241731753</v>
      </c>
      <c r="V293" s="11"/>
      <c r="W293" s="11"/>
      <c r="X293" s="11"/>
      <c r="Y293" s="11"/>
      <c r="Z293" s="11"/>
      <c r="AA293" s="11"/>
      <c r="AB293" s="11"/>
      <c r="AC293" s="11"/>
      <c r="AD293" s="11" t="n">
        <v>-72722.9363813005</v>
      </c>
      <c r="AE293" s="11" t="n">
        <v>-362931.946421031</v>
      </c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</row>
    <row r="294">
      <c r="A294" t="str">
        <f>O294</f>
      </c>
      <c r="B294" t="str">
        <f>P294</f>
      </c>
      <c r="C294" s="11" t="str">
        <f>AF294</f>
      </c>
      <c r="D294" s="11" t="str">
        <f>AL294</f>
      </c>
      <c r="E294" s="11" t="str">
        <f>AM294</f>
      </c>
      <c r="F294" s="11" t="str">
        <f>AN294</f>
      </c>
      <c r="G294" s="7" t="str">
        <f>AM294/AL294-1</f>
      </c>
      <c r="H294" s="7" t="str">
        <f>AM294/AF294-1</f>
      </c>
      <c r="I294" s="7" t="str">
        <f>AN294/AM294</f>
      </c>
      <c r="J294" s="7" t="str">
        <f>AM294/Sum(AM$1:AM$458)</f>
      </c>
      <c r="K294" s="7" t="str">
        <f>AN294/Sum(AN1:AN$458)</f>
      </c>
      <c r="O294" t="s">
        <v>383</v>
      </c>
      <c r="P294" t="n">
        <v>1981</v>
      </c>
      <c r="Q294" s="11"/>
      <c r="R294" s="11"/>
      <c r="S294" s="11"/>
      <c r="T294" s="11"/>
      <c r="U294" s="11"/>
      <c r="V294" s="11"/>
      <c r="W294" s="11"/>
      <c r="X294" s="11" t="n">
        <v>5679758.70908419</v>
      </c>
      <c r="Y294" s="11" t="n">
        <v>2195066.61540368</v>
      </c>
      <c r="Z294" s="11" t="n">
        <v>0</v>
      </c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</row>
    <row r="295">
      <c r="A295" t="str">
        <f>O295</f>
      </c>
      <c r="B295" t="str">
        <f>P295</f>
      </c>
      <c r="C295" s="11" t="str">
        <f>AF295</f>
      </c>
      <c r="D295" s="11" t="str">
        <f>AL295</f>
      </c>
      <c r="E295" s="11" t="str">
        <f>AM295</f>
      </c>
      <c r="F295" s="11" t="str">
        <f>AN295</f>
      </c>
      <c r="G295" s="7" t="str">
        <f>AM295/AL295-1</f>
      </c>
      <c r="H295" s="7" t="str">
        <f>AM295/AF295-1</f>
      </c>
      <c r="I295" s="7" t="str">
        <f>AN295/AM295</f>
      </c>
      <c r="J295" s="7" t="str">
        <f>AM295/Sum(AM$1:AM$458)</f>
      </c>
      <c r="K295" s="7" t="str">
        <f>AN295/Sum(AN1:AN$458)</f>
      </c>
      <c r="O295" t="s">
        <v>384</v>
      </c>
      <c r="P295" t="n">
        <v>2088</v>
      </c>
      <c r="Q295" s="11"/>
      <c r="R295" s="11"/>
      <c r="S295" s="11"/>
      <c r="T295" s="11" t="n">
        <v>383131.053546838</v>
      </c>
      <c r="U295" s="11" t="n">
        <v>-3718.69832171426</v>
      </c>
      <c r="V295" s="11"/>
      <c r="W295" s="11"/>
      <c r="X295" s="11"/>
      <c r="Y295" s="11"/>
      <c r="Z295" s="11"/>
      <c r="AA295" s="11"/>
      <c r="AB295" s="11"/>
      <c r="AC295" s="11"/>
      <c r="AD295" s="11" t="n">
        <v>-159214.944935602</v>
      </c>
      <c r="AE295" s="11"/>
      <c r="AF295" s="11"/>
      <c r="AG295" s="11" t="n">
        <v>0</v>
      </c>
      <c r="AH295" s="11" t="n">
        <v>0</v>
      </c>
      <c r="AI295" s="11"/>
      <c r="AJ295" s="11"/>
      <c r="AK295" s="11"/>
      <c r="AL295" s="11"/>
      <c r="AM295" s="11"/>
      <c r="AN295" s="11"/>
      <c r="AO295" s="11"/>
    </row>
    <row r="296">
      <c r="A296" t="str">
        <f>O296</f>
      </c>
      <c r="B296" t="str">
        <f>P296</f>
      </c>
      <c r="C296" s="11" t="str">
        <f>AF296</f>
      </c>
      <c r="D296" s="11" t="str">
        <f>AL296</f>
      </c>
      <c r="E296" s="11" t="str">
        <f>AM296</f>
      </c>
      <c r="F296" s="11" t="str">
        <f>AN296</f>
      </c>
      <c r="G296" s="7" t="str">
        <f>AM296/AL296-1</f>
      </c>
      <c r="H296" s="7" t="str">
        <f>AM296/AF296-1</f>
      </c>
      <c r="I296" s="7" t="str">
        <f>AN296/AM296</f>
      </c>
      <c r="J296" s="7" t="str">
        <f>AM296/Sum(AM$1:AM$458)</f>
      </c>
      <c r="K296" s="7" t="str">
        <f>AN296/Sum(AN1:AN$458)</f>
      </c>
      <c r="O296" t="s">
        <v>385</v>
      </c>
      <c r="P296" t="n">
        <v>2089</v>
      </c>
      <c r="Q296" s="11"/>
      <c r="R296" s="11"/>
      <c r="S296" s="11"/>
      <c r="T296" s="11" t="n">
        <v>5866037.0069138</v>
      </c>
      <c r="U296" s="11"/>
      <c r="V296" s="11"/>
      <c r="W296" s="11"/>
      <c r="X296" s="11" t="n">
        <v>838893.200032568</v>
      </c>
      <c r="Y296" s="11" t="n">
        <v>-7689.38164065718</v>
      </c>
      <c r="Z296" s="11" t="n">
        <v>-9653.90716009411</v>
      </c>
      <c r="AA296" s="11" t="n">
        <v>-6699.26419530128</v>
      </c>
      <c r="AB296" s="11" t="n">
        <v>-20378.269200666</v>
      </c>
      <c r="AC296" s="11"/>
      <c r="AD296" s="11" t="n">
        <v>-10528.9129374777</v>
      </c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</row>
    <row r="297">
      <c r="A297" t="str">
        <f>O297</f>
      </c>
      <c r="B297" t="str">
        <f>P297</f>
      </c>
      <c r="C297" s="11" t="str">
        <f>AF297</f>
      </c>
      <c r="D297" s="11" t="str">
        <f>AL297</f>
      </c>
      <c r="E297" s="11" t="str">
        <f>AM297</f>
      </c>
      <c r="F297" s="11" t="str">
        <f>AN297</f>
      </c>
      <c r="G297" s="7" t="str">
        <f>AM297/AL297-1</f>
      </c>
      <c r="H297" s="7" t="str">
        <f>AM297/AF297-1</f>
      </c>
      <c r="I297" s="7" t="str">
        <f>AN297/AM297</f>
      </c>
      <c r="J297" s="7" t="str">
        <f>AM297/Sum(AM$1:AM$458)</f>
      </c>
      <c r="K297" s="7" t="str">
        <f>AN297/Sum(AN1:AN$458)</f>
      </c>
      <c r="O297" t="s">
        <v>386</v>
      </c>
      <c r="P297" t="n">
        <v>2090</v>
      </c>
      <c r="Q297" s="11"/>
      <c r="R297" s="11"/>
      <c r="S297" s="11"/>
      <c r="T297" s="11" t="n">
        <v>14324080.3553357</v>
      </c>
      <c r="U297" s="11" t="n">
        <v>5467974.01224865</v>
      </c>
      <c r="V297" s="11" t="n">
        <v>5611521.93409632</v>
      </c>
      <c r="W297" s="11" t="n">
        <v>699067.391669459</v>
      </c>
      <c r="X297" s="11" t="n">
        <v>1645043.97490841</v>
      </c>
      <c r="Y297" s="11" t="n">
        <v>0</v>
      </c>
      <c r="Z297" s="11"/>
      <c r="AA297" s="11" t="n">
        <v>-421955.440489776</v>
      </c>
      <c r="AB297" s="11"/>
      <c r="AC297" s="11" t="n">
        <v>-295935.499943535</v>
      </c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</row>
    <row r="298">
      <c r="A298" t="str">
        <f>O298</f>
      </c>
      <c r="B298" t="str">
        <f>P298</f>
      </c>
      <c r="C298" s="11" t="str">
        <f>AF298</f>
      </c>
      <c r="D298" s="11" t="str">
        <f>AL298</f>
      </c>
      <c r="E298" s="11" t="str">
        <f>AM298</f>
      </c>
      <c r="F298" s="11" t="str">
        <f>AN298</f>
      </c>
      <c r="G298" s="7" t="str">
        <f>AM298/AL298-1</f>
      </c>
      <c r="H298" s="7" t="str">
        <f>AM298/AF298-1</f>
      </c>
      <c r="I298" s="7" t="str">
        <f>AN298/AM298</f>
      </c>
      <c r="J298" s="7" t="str">
        <f>AM298/Sum(AM$1:AM$458)</f>
      </c>
      <c r="K298" s="7" t="str">
        <f>AN298/Sum(AN1:AN$458)</f>
      </c>
      <c r="O298" t="s">
        <v>387</v>
      </c>
      <c r="P298" t="n">
        <v>2091</v>
      </c>
      <c r="Q298" s="11" t="n">
        <v>22873313.4989544</v>
      </c>
      <c r="R298" s="11" t="n">
        <v>630583.866818224</v>
      </c>
      <c r="S298" s="11" t="n">
        <v>56765100.6869207</v>
      </c>
      <c r="T298" s="11" t="n">
        <v>39187576.745832</v>
      </c>
      <c r="U298" s="11" t="n">
        <v>50177986.5702929</v>
      </c>
      <c r="V298" s="11" t="n">
        <v>43017088.8886773</v>
      </c>
      <c r="W298" s="11" t="n">
        <v>25698613.5221654</v>
      </c>
      <c r="X298" s="11" t="n">
        <v>882356.768818332</v>
      </c>
      <c r="Y298" s="11" t="n">
        <v>0</v>
      </c>
      <c r="Z298" s="11" t="n">
        <v>-1401021.7257912</v>
      </c>
      <c r="AA298" s="11" t="n">
        <v>-11127.7594425957</v>
      </c>
      <c r="AB298" s="11"/>
      <c r="AC298" s="11" t="n">
        <v>-244476.527350694</v>
      </c>
      <c r="AD298" s="11" t="n">
        <v>-109823.623441307</v>
      </c>
      <c r="AE298" s="11"/>
      <c r="AF298" s="11"/>
      <c r="AG298" s="11"/>
      <c r="AH298" s="11"/>
      <c r="AI298" s="11"/>
      <c r="AJ298" s="11"/>
      <c r="AK298" s="11"/>
      <c r="AL298" s="11"/>
      <c r="AM298" s="11" t="n">
        <v>0</v>
      </c>
      <c r="AN298" s="11"/>
      <c r="AO298" s="11"/>
    </row>
    <row r="299">
      <c r="A299" t="str">
        <f>O299</f>
      </c>
      <c r="B299" t="str">
        <f>P299</f>
      </c>
      <c r="C299" s="11" t="str">
        <f>AF299</f>
      </c>
      <c r="D299" s="11" t="str">
        <f>AL299</f>
      </c>
      <c r="E299" s="11" t="str">
        <f>AM299</f>
      </c>
      <c r="F299" s="11" t="str">
        <f>AN299</f>
      </c>
      <c r="G299" s="7" t="str">
        <f>AM299/AL299-1</f>
      </c>
      <c r="H299" s="7" t="str">
        <f>AM299/AF299-1</f>
      </c>
      <c r="I299" s="7" t="str">
        <f>AN299/AM299</f>
      </c>
      <c r="J299" s="7" t="str">
        <f>AM299/Sum(AM$1:AM$458)</f>
      </c>
      <c r="K299" s="7" t="str">
        <f>AN299/Sum(AN1:AN$458)</f>
      </c>
      <c r="O299" t="s">
        <v>388</v>
      </c>
      <c r="P299" t="n">
        <v>2092</v>
      </c>
      <c r="Q299" s="11" t="n">
        <v>790495.926849567</v>
      </c>
      <c r="R299" s="11" t="n">
        <v>58871.4468573633</v>
      </c>
      <c r="S299" s="11" t="n">
        <v>179491.791835545</v>
      </c>
      <c r="T299" s="11" t="n">
        <v>251213.892665875</v>
      </c>
      <c r="U299" s="11" t="n">
        <v>-198382.143108155</v>
      </c>
      <c r="V299" s="11"/>
      <c r="W299" s="11"/>
      <c r="X299" s="11"/>
      <c r="Y299" s="11"/>
      <c r="Z299" s="11"/>
      <c r="AA299" s="11"/>
      <c r="AB299" s="11"/>
      <c r="AC299" s="11"/>
      <c r="AD299" s="11" t="n">
        <v>-148.499208418712</v>
      </c>
      <c r="AE299" s="11"/>
      <c r="AF299" s="11" t="n">
        <v>-55569.1103792391</v>
      </c>
      <c r="AG299" s="11" t="n">
        <v>0</v>
      </c>
      <c r="AH299" s="11"/>
      <c r="AI299" s="11"/>
      <c r="AJ299" s="11"/>
      <c r="AK299" s="11"/>
      <c r="AL299" s="11"/>
      <c r="AM299" s="11"/>
      <c r="AN299" s="11"/>
      <c r="AO299" s="11"/>
    </row>
    <row r="300">
      <c r="A300" t="str">
        <f>O300</f>
      </c>
      <c r="B300" t="str">
        <f>P300</f>
      </c>
      <c r="C300" s="11" t="str">
        <f>AF300</f>
      </c>
      <c r="D300" s="11" t="str">
        <f>AL300</f>
      </c>
      <c r="E300" s="11" t="str">
        <f>AM300</f>
      </c>
      <c r="F300" s="11" t="str">
        <f>AN300</f>
      </c>
      <c r="G300" s="7" t="str">
        <f>AM300/AL300-1</f>
      </c>
      <c r="H300" s="7" t="str">
        <f>AM300/AF300-1</f>
      </c>
      <c r="I300" s="7" t="str">
        <f>AN300/AM300</f>
      </c>
      <c r="J300" s="7" t="str">
        <f>AM300/Sum(AM$1:AM$458)</f>
      </c>
      <c r="K300" s="7" t="str">
        <f>AN300/Sum(AN1:AN$458)</f>
      </c>
      <c r="O300" t="s">
        <v>389</v>
      </c>
      <c r="P300" t="n">
        <v>2093</v>
      </c>
      <c r="Q300" s="11"/>
      <c r="R300" s="11"/>
      <c r="S300" s="11"/>
      <c r="T300" s="11" t="n">
        <v>1493417.95097895</v>
      </c>
      <c r="U300" s="11"/>
      <c r="V300" s="11"/>
      <c r="W300" s="11"/>
      <c r="X300" s="11" t="n">
        <v>1333650.95526573</v>
      </c>
      <c r="Y300" s="11"/>
      <c r="Z300" s="11"/>
      <c r="AA300" s="11"/>
      <c r="AB300" s="11"/>
      <c r="AC300" s="11"/>
      <c r="AD300" s="11"/>
      <c r="AE300" s="11"/>
      <c r="AF300" s="11" t="n">
        <v>0</v>
      </c>
      <c r="AG300" s="11"/>
      <c r="AH300" s="11"/>
      <c r="AI300" s="11"/>
      <c r="AJ300" s="11"/>
      <c r="AK300" s="11"/>
      <c r="AL300" s="11"/>
      <c r="AM300" s="11"/>
      <c r="AN300" s="11"/>
      <c r="AO300" s="11"/>
    </row>
    <row r="301">
      <c r="A301" t="str">
        <f>O301</f>
      </c>
      <c r="B301" t="str">
        <f>P301</f>
      </c>
      <c r="C301" s="11" t="str">
        <f>AF301</f>
      </c>
      <c r="D301" s="11" t="str">
        <f>AL301</f>
      </c>
      <c r="E301" s="11" t="str">
        <f>AM301</f>
      </c>
      <c r="F301" s="11" t="str">
        <f>AN301</f>
      </c>
      <c r="G301" s="7" t="str">
        <f>AM301/AL301-1</f>
      </c>
      <c r="H301" s="7" t="str">
        <f>AM301/AF301-1</f>
      </c>
      <c r="I301" s="7" t="str">
        <f>AN301/AM301</f>
      </c>
      <c r="J301" s="7" t="str">
        <f>AM301/Sum(AM$1:AM$458)</f>
      </c>
      <c r="K301" s="7" t="str">
        <f>AN301/Sum(AN1:AN$458)</f>
      </c>
      <c r="O301" t="s">
        <v>390</v>
      </c>
      <c r="P301" t="n">
        <v>555</v>
      </c>
      <c r="Q301" s="11"/>
      <c r="R301" s="11" t="n">
        <v>925807.136054791</v>
      </c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</row>
    <row r="302">
      <c r="A302" t="str">
        <f>O302</f>
      </c>
      <c r="B302" t="str">
        <f>P302</f>
      </c>
      <c r="C302" s="11" t="str">
        <f>AF302</f>
      </c>
      <c r="D302" s="11" t="str">
        <f>AL302</f>
      </c>
      <c r="E302" s="11" t="str">
        <f>AM302</f>
      </c>
      <c r="F302" s="11" t="str">
        <f>AN302</f>
      </c>
      <c r="G302" s="7" t="str">
        <f>AM302/AL302-1</f>
      </c>
      <c r="H302" s="7" t="str">
        <f>AM302/AF302-1</f>
      </c>
      <c r="I302" s="7" t="str">
        <f>AN302/AM302</f>
      </c>
      <c r="J302" s="7" t="str">
        <f>AM302/Sum(AM$1:AM$458)</f>
      </c>
      <c r="K302" s="7" t="str">
        <f>AN302/Sum(AN1:AN$458)</f>
      </c>
      <c r="O302" t="s">
        <v>391</v>
      </c>
      <c r="P302" t="n">
        <v>478</v>
      </c>
      <c r="Q302" s="11"/>
      <c r="R302" s="11" t="n">
        <v>235193.95415859</v>
      </c>
      <c r="S302" s="11" t="n">
        <v>1832126.97989187</v>
      </c>
      <c r="T302" s="11" t="n">
        <v>8804494.08939072</v>
      </c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</row>
    <row r="303">
      <c r="A303" t="str">
        <f>O303</f>
      </c>
      <c r="B303" t="str">
        <f>P303</f>
      </c>
      <c r="C303" s="11" t="str">
        <f>AF303</f>
      </c>
      <c r="D303" s="11" t="str">
        <f>AL303</f>
      </c>
      <c r="E303" s="11" t="str">
        <f>AM303</f>
      </c>
      <c r="F303" s="11" t="str">
        <f>AN303</f>
      </c>
      <c r="G303" s="7" t="str">
        <f>AM303/AL303-1</f>
      </c>
      <c r="H303" s="7" t="str">
        <f>AM303/AF303-1</f>
      </c>
      <c r="I303" s="7" t="str">
        <f>AN303/AM303</f>
      </c>
      <c r="J303" s="7" t="str">
        <f>AM303/Sum(AM$1:AM$458)</f>
      </c>
      <c r="K303" s="7" t="str">
        <f>AN303/Sum(AN1:AN$458)</f>
      </c>
      <c r="O303" t="s">
        <v>392</v>
      </c>
      <c r="P303" t="n">
        <v>475</v>
      </c>
      <c r="Q303" s="11"/>
      <c r="R303" s="11"/>
      <c r="S303" s="11"/>
      <c r="T303" s="11" t="n">
        <v>1072346.3705505</v>
      </c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</row>
    <row r="304">
      <c r="A304" t="str">
        <f>O304</f>
      </c>
      <c r="B304" t="str">
        <f>P304</f>
      </c>
      <c r="C304" s="11" t="str">
        <f>AF304</f>
      </c>
      <c r="D304" s="11" t="str">
        <f>AL304</f>
      </c>
      <c r="E304" s="11" t="str">
        <f>AM304</f>
      </c>
      <c r="F304" s="11" t="str">
        <f>AN304</f>
      </c>
      <c r="G304" s="7" t="str">
        <f>AM304/AL304-1</f>
      </c>
      <c r="H304" s="7" t="str">
        <f>AM304/AF304-1</f>
      </c>
      <c r="I304" s="7" t="str">
        <f>AN304/AM304</f>
      </c>
      <c r="J304" s="7" t="str">
        <f>AM304/Sum(AM$1:AM$458)</f>
      </c>
      <c r="K304" s="7" t="str">
        <f>AN304/Sum(AN1:AN$458)</f>
      </c>
      <c r="O304" t="s">
        <v>393</v>
      </c>
      <c r="P304" t="n">
        <v>1945</v>
      </c>
      <c r="Q304" s="11" t="n">
        <v>613977.418912285</v>
      </c>
      <c r="R304" s="11" t="n">
        <v>2091245.66946243</v>
      </c>
      <c r="S304" s="11" t="n">
        <v>27483870.7531321</v>
      </c>
      <c r="T304" s="11" t="n">
        <v>34359899.9430682</v>
      </c>
      <c r="U304" s="11" t="n">
        <v>12480815.793163</v>
      </c>
      <c r="V304" s="11" t="n">
        <v>18539517.6792648</v>
      </c>
      <c r="W304" s="11" t="n">
        <v>4067332.07396343</v>
      </c>
      <c r="X304" s="11" t="n">
        <v>247729.920555398</v>
      </c>
      <c r="Y304" s="11"/>
      <c r="Z304" s="11"/>
      <c r="AA304" s="11" t="n">
        <v>-2.51179721488707</v>
      </c>
      <c r="AB304" s="11" t="n">
        <v>-5351513.32677756</v>
      </c>
      <c r="AC304" s="11" t="n">
        <v>-7773786.08781676</v>
      </c>
      <c r="AD304" s="11"/>
      <c r="AE304" s="11" t="n">
        <v>-157324.518880371</v>
      </c>
      <c r="AF304" s="11"/>
      <c r="AG304" s="11" t="n">
        <v>0</v>
      </c>
      <c r="AH304" s="11" t="n">
        <v>0</v>
      </c>
      <c r="AI304" s="11" t="n">
        <v>0</v>
      </c>
      <c r="AJ304" s="11"/>
      <c r="AK304" s="11" t="n">
        <v>0</v>
      </c>
      <c r="AL304" s="11" t="n">
        <v>322583.316579735</v>
      </c>
      <c r="AM304" s="11"/>
      <c r="AN304" s="11"/>
      <c r="AO304" s="11"/>
    </row>
    <row r="305">
      <c r="A305" t="str">
        <f>O305</f>
      </c>
      <c r="B305" t="str">
        <f>P305</f>
      </c>
      <c r="C305" s="11" t="str">
        <f>AF305</f>
      </c>
      <c r="D305" s="11" t="str">
        <f>AL305</f>
      </c>
      <c r="E305" s="11" t="str">
        <f>AM305</f>
      </c>
      <c r="F305" s="11" t="str">
        <f>AN305</f>
      </c>
      <c r="G305" s="7" t="str">
        <f>AM305/AL305-1</f>
      </c>
      <c r="H305" s="7" t="str">
        <f>AM305/AF305-1</f>
      </c>
      <c r="I305" s="7" t="str">
        <f>AN305/AM305</f>
      </c>
      <c r="J305" s="7" t="str">
        <f>AM305/Sum(AM$1:AM$458)</f>
      </c>
      <c r="K305" s="7" t="str">
        <f>AN305/Sum(AN1:AN$458)</f>
      </c>
      <c r="O305" t="s">
        <v>394</v>
      </c>
      <c r="P305" t="n">
        <v>2094</v>
      </c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 t="n">
        <v>-149915.887071396</v>
      </c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</row>
    <row r="306">
      <c r="A306" t="str">
        <f>O306</f>
      </c>
      <c r="B306" t="str">
        <f>P306</f>
      </c>
      <c r="C306" s="11" t="str">
        <f>AF306</f>
      </c>
      <c r="D306" s="11" t="str">
        <f>AL306</f>
      </c>
      <c r="E306" s="11" t="str">
        <f>AM306</f>
      </c>
      <c r="F306" s="11" t="str">
        <f>AN306</f>
      </c>
      <c r="G306" s="7" t="str">
        <f>AM306/AL306-1</f>
      </c>
      <c r="H306" s="7" t="str">
        <f>AM306/AF306-1</f>
      </c>
      <c r="I306" s="7" t="str">
        <f>AN306/AM306</f>
      </c>
      <c r="J306" s="7" t="str">
        <f>AM306/Sum(AM$1:AM$458)</f>
      </c>
      <c r="K306" s="7" t="str">
        <f>AN306/Sum(AN1:AN$458)</f>
      </c>
      <c r="O306" t="s">
        <v>395</v>
      </c>
      <c r="P306" t="n">
        <v>1618</v>
      </c>
      <c r="Q306" s="11"/>
      <c r="R306" s="11"/>
      <c r="S306" s="11"/>
      <c r="T306" s="11" t="n">
        <v>58698.2526901629</v>
      </c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</row>
    <row r="307">
      <c r="A307" t="str">
        <f>O307</f>
      </c>
      <c r="B307" t="str">
        <f>P307</f>
      </c>
      <c r="C307" s="11" t="str">
        <f>AF307</f>
      </c>
      <c r="D307" s="11" t="str">
        <f>AL307</f>
      </c>
      <c r="E307" s="11" t="str">
        <f>AM307</f>
      </c>
      <c r="F307" s="11" t="str">
        <f>AN307</f>
      </c>
      <c r="G307" s="7" t="str">
        <f>AM307/AL307-1</f>
      </c>
      <c r="H307" s="7" t="str">
        <f>AM307/AF307-1</f>
      </c>
      <c r="I307" s="7" t="str">
        <f>AN307/AM307</f>
      </c>
      <c r="J307" s="7" t="str">
        <f>AM307/Sum(AM$1:AM$458)</f>
      </c>
      <c r="K307" s="7" t="str">
        <f>AN307/Sum(AN1:AN$458)</f>
      </c>
      <c r="O307" t="s">
        <v>396</v>
      </c>
      <c r="P307" t="n">
        <v>1964</v>
      </c>
      <c r="Q307" s="11"/>
      <c r="R307" s="11"/>
      <c r="S307" s="11"/>
      <c r="T307" s="11"/>
      <c r="U307" s="11" t="n">
        <v>26538315.050353</v>
      </c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</row>
    <row r="308">
      <c r="A308" t="str">
        <f>O308</f>
      </c>
      <c r="B308" t="str">
        <f>P308</f>
      </c>
      <c r="C308" s="11" t="str">
        <f>AF308</f>
      </c>
      <c r="D308" s="11" t="str">
        <f>AL308</f>
      </c>
      <c r="E308" s="11" t="str">
        <f>AM308</f>
      </c>
      <c r="F308" s="11" t="str">
        <f>AN308</f>
      </c>
      <c r="G308" s="7" t="str">
        <f>AM308/AL308-1</f>
      </c>
      <c r="H308" s="7" t="str">
        <f>AM308/AF308-1</f>
      </c>
      <c r="I308" s="7" t="str">
        <f>AN308/AM308</f>
      </c>
      <c r="J308" s="7" t="str">
        <f>AM308/Sum(AM$1:AM$458)</f>
      </c>
      <c r="K308" s="7" t="str">
        <f>AN308/Sum(AN1:AN$458)</f>
      </c>
      <c r="O308" t="s">
        <v>397</v>
      </c>
      <c r="P308" t="n">
        <v>2095</v>
      </c>
      <c r="Q308" s="11"/>
      <c r="R308" s="11"/>
      <c r="S308" s="11" t="n">
        <v>6799660.93227145</v>
      </c>
      <c r="T308" s="11" t="n">
        <v>10171751.9407209</v>
      </c>
      <c r="U308" s="11" t="n">
        <v>13726636.2551518</v>
      </c>
      <c r="V308" s="11" t="n">
        <v>2433632.258931</v>
      </c>
      <c r="W308" s="11" t="n">
        <v>-581705.161686423</v>
      </c>
      <c r="X308" s="11"/>
      <c r="Y308" s="11"/>
      <c r="Z308" s="11"/>
      <c r="AA308" s="11"/>
      <c r="AB308" s="11"/>
      <c r="AC308" s="11" t="n">
        <v>-146433.096219401</v>
      </c>
      <c r="AD308" s="11"/>
      <c r="AE308" s="11"/>
      <c r="AF308" s="11"/>
      <c r="AG308" s="11"/>
      <c r="AH308" s="11" t="n">
        <v>0</v>
      </c>
      <c r="AI308" s="11" t="n">
        <v>-337875.696833364</v>
      </c>
      <c r="AJ308" s="11" t="n">
        <v>-331382.781902674</v>
      </c>
      <c r="AK308" s="11"/>
      <c r="AL308" s="11"/>
      <c r="AM308" s="11"/>
      <c r="AN308" s="11"/>
      <c r="AO308" s="11"/>
    </row>
    <row r="309">
      <c r="A309" t="str">
        <f>O309</f>
      </c>
      <c r="B309" t="str">
        <f>P309</f>
      </c>
      <c r="C309" s="11" t="str">
        <f>AF309</f>
      </c>
      <c r="D309" s="11" t="str">
        <f>AL309</f>
      </c>
      <c r="E309" s="11" t="str">
        <f>AM309</f>
      </c>
      <c r="F309" s="11" t="str">
        <f>AN309</f>
      </c>
      <c r="G309" s="7" t="str">
        <f>AM309/AL309-1</f>
      </c>
      <c r="H309" s="7" t="str">
        <f>AM309/AF309-1</f>
      </c>
      <c r="I309" s="7" t="str">
        <f>AN309/AM309</f>
      </c>
      <c r="J309" s="7" t="str">
        <f>AM309/Sum(AM$1:AM$458)</f>
      </c>
      <c r="K309" s="7" t="str">
        <f>AN309/Sum(AN1:AN$458)</f>
      </c>
      <c r="O309" t="s">
        <v>398</v>
      </c>
      <c r="P309" t="n">
        <v>440</v>
      </c>
      <c r="Q309" s="11" t="n">
        <v>1767608.67444747</v>
      </c>
      <c r="R309" s="11" t="n">
        <v>9885743.20456606</v>
      </c>
      <c r="S309" s="11" t="n">
        <v>51939478.3060044</v>
      </c>
      <c r="T309" s="11" t="n">
        <v>-7096409.9843887</v>
      </c>
      <c r="U309" s="11"/>
      <c r="V309" s="11"/>
      <c r="W309" s="11"/>
      <c r="X309" s="11"/>
      <c r="Y309" s="11"/>
      <c r="Z309" s="11"/>
      <c r="AA309" s="11" t="n">
        <v>-288042.117611616</v>
      </c>
      <c r="AB309" s="11"/>
      <c r="AC309" s="11"/>
      <c r="AD309" s="11"/>
      <c r="AE309" s="11"/>
      <c r="AF309" s="11"/>
      <c r="AG309" s="11" t="n">
        <v>0</v>
      </c>
      <c r="AH309" s="11"/>
      <c r="AI309" s="11"/>
      <c r="AJ309" s="11"/>
      <c r="AK309" s="11"/>
      <c r="AL309" s="11"/>
      <c r="AM309" s="11"/>
      <c r="AN309" s="11"/>
      <c r="AO309" s="11"/>
    </row>
    <row r="310">
      <c r="A310" t="str">
        <f>O310</f>
      </c>
      <c r="B310" t="str">
        <f>P310</f>
      </c>
      <c r="C310" s="11" t="str">
        <f>AF310</f>
      </c>
      <c r="D310" s="11" t="str">
        <f>AL310</f>
      </c>
      <c r="E310" s="11" t="str">
        <f>AM310</f>
      </c>
      <c r="F310" s="11" t="str">
        <f>AN310</f>
      </c>
      <c r="G310" s="7" t="str">
        <f>AM310/AL310-1</f>
      </c>
      <c r="H310" s="7" t="str">
        <f>AM310/AF310-1</f>
      </c>
      <c r="I310" s="7" t="str">
        <f>AN310/AM310</f>
      </c>
      <c r="J310" s="7" t="str">
        <f>AM310/Sum(AM$1:AM$458)</f>
      </c>
      <c r="K310" s="7" t="str">
        <f>AN310/Sum(AN1:AN$458)</f>
      </c>
      <c r="O310" t="s">
        <v>399</v>
      </c>
      <c r="P310" t="n">
        <v>1947</v>
      </c>
      <c r="Q310" s="11"/>
      <c r="R310" s="11"/>
      <c r="S310" s="11"/>
      <c r="T310" s="11"/>
      <c r="U310" s="11"/>
      <c r="V310" s="11"/>
      <c r="W310" s="11"/>
      <c r="X310" s="11"/>
      <c r="Y310" s="11"/>
      <c r="Z310" s="11" t="n">
        <v>-15835.2719368091</v>
      </c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</row>
    <row r="311">
      <c r="A311" t="str">
        <f>O311</f>
      </c>
      <c r="B311" t="str">
        <f>P311</f>
      </c>
      <c r="C311" s="11" t="str">
        <f>AF311</f>
      </c>
      <c r="D311" s="11" t="str">
        <f>AL311</f>
      </c>
      <c r="E311" s="11" t="str">
        <f>AM311</f>
      </c>
      <c r="F311" s="11" t="str">
        <f>AN311</f>
      </c>
      <c r="G311" s="7" t="str">
        <f>AM311/AL311-1</f>
      </c>
      <c r="H311" s="7" t="str">
        <f>AM311/AF311-1</f>
      </c>
      <c r="I311" s="7" t="str">
        <f>AN311/AM311</f>
      </c>
      <c r="J311" s="7" t="str">
        <f>AM311/Sum(AM$1:AM$458)</f>
      </c>
      <c r="K311" s="7" t="str">
        <f>AN311/Sum(AN1:AN$458)</f>
      </c>
      <c r="O311" t="s">
        <v>400</v>
      </c>
      <c r="P311" t="n">
        <v>1948</v>
      </c>
      <c r="Q311" s="11"/>
      <c r="R311" s="11"/>
      <c r="S311" s="11" t="n">
        <v>126265412.667664</v>
      </c>
      <c r="T311" s="11" t="n">
        <v>97749740.0057508</v>
      </c>
      <c r="U311" s="11" t="n">
        <v>38237289.3961689</v>
      </c>
      <c r="V311" s="11" t="n">
        <v>28985488.416098</v>
      </c>
      <c r="W311" s="11" t="n">
        <v>26039752.816761</v>
      </c>
      <c r="X311" s="11" t="n">
        <v>10620535.3024928</v>
      </c>
      <c r="Y311" s="11" t="n">
        <v>3797102.09062982</v>
      </c>
      <c r="Z311" s="11" t="n">
        <v>762679.068339641</v>
      </c>
      <c r="AA311" s="11" t="n">
        <v>-829866.381925148</v>
      </c>
      <c r="AB311" s="11" t="n">
        <v>-474977.362255115</v>
      </c>
      <c r="AC311" s="11" t="n">
        <v>-25108.0733778394</v>
      </c>
      <c r="AD311" s="11"/>
      <c r="AE311" s="11" t="n">
        <v>0</v>
      </c>
      <c r="AF311" s="11" t="n">
        <v>-18740.1687879888</v>
      </c>
      <c r="AG311" s="11"/>
      <c r="AH311" s="11"/>
      <c r="AI311" s="11"/>
      <c r="AJ311" s="11"/>
      <c r="AK311" s="11"/>
      <c r="AL311" s="11"/>
      <c r="AM311" s="11"/>
      <c r="AN311" s="11" t="n">
        <v>0</v>
      </c>
      <c r="AO311" s="11"/>
    </row>
    <row r="312">
      <c r="A312" t="str">
        <f>O312</f>
      </c>
      <c r="B312" t="str">
        <f>P312</f>
      </c>
      <c r="C312" s="11" t="str">
        <f>AF312</f>
      </c>
      <c r="D312" s="11" t="str">
        <f>AL312</f>
      </c>
      <c r="E312" s="11" t="str">
        <f>AM312</f>
      </c>
      <c r="F312" s="11" t="str">
        <f>AN312</f>
      </c>
      <c r="G312" s="7" t="str">
        <f>AM312/AL312-1</f>
      </c>
      <c r="H312" s="7" t="str">
        <f>AM312/AF312-1</f>
      </c>
      <c r="I312" s="7" t="str">
        <f>AN312/AM312</f>
      </c>
      <c r="J312" s="7" t="str">
        <f>AM312/Sum(AM$1:AM$458)</f>
      </c>
      <c r="K312" s="7" t="str">
        <f>AN312/Sum(AN1:AN$458)</f>
      </c>
      <c r="O312" t="s">
        <v>401</v>
      </c>
      <c r="P312" t="n">
        <v>1773</v>
      </c>
      <c r="Q312" s="11" t="n">
        <v>5360992.30513411</v>
      </c>
      <c r="R312" s="11" t="n">
        <v>10467349.5611478</v>
      </c>
      <c r="S312" s="11" t="n">
        <v>5703263.94300446</v>
      </c>
      <c r="T312" s="11" t="n">
        <v>7722009.62239298</v>
      </c>
      <c r="U312" s="11"/>
      <c r="V312" s="11"/>
      <c r="W312" s="11"/>
      <c r="X312" s="11"/>
      <c r="Y312" s="11"/>
      <c r="Z312" s="11" t="n">
        <v>-535963.995463601</v>
      </c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</row>
    <row r="313">
      <c r="A313" t="str">
        <f>O313</f>
      </c>
      <c r="B313" t="str">
        <f>P313</f>
      </c>
      <c r="C313" s="11" t="str">
        <f>AF313</f>
      </c>
      <c r="D313" s="11" t="str">
        <f>AL313</f>
      </c>
      <c r="E313" s="11" t="str">
        <f>AM313</f>
      </c>
      <c r="F313" s="11" t="str">
        <f>AN313</f>
      </c>
      <c r="G313" s="7" t="str">
        <f>AM313/AL313-1</f>
      </c>
      <c r="H313" s="7" t="str">
        <f>AM313/AF313-1</f>
      </c>
      <c r="I313" s="7" t="str">
        <f>AN313/AM313</f>
      </c>
      <c r="J313" s="7" t="str">
        <f>AM313/Sum(AM$1:AM$458)</f>
      </c>
      <c r="K313" s="7" t="str">
        <f>AN313/Sum(AN1:AN$458)</f>
      </c>
      <c r="O313" t="s">
        <v>402</v>
      </c>
      <c r="P313" t="n">
        <v>1861</v>
      </c>
      <c r="Q313" s="11"/>
      <c r="R313" s="11"/>
      <c r="S313" s="11"/>
      <c r="T313" s="11"/>
      <c r="U313" s="11"/>
      <c r="V313" s="11"/>
      <c r="W313" s="11"/>
      <c r="X313" s="11"/>
      <c r="Y313" s="11" t="n">
        <v>0</v>
      </c>
      <c r="Z313" s="11"/>
      <c r="AA313" s="11"/>
      <c r="AB313" s="11"/>
      <c r="AC313" s="11"/>
      <c r="AD313" s="11" t="n">
        <v>1574637.9448504</v>
      </c>
      <c r="AE313" s="11" t="n">
        <v>1367320.44920614</v>
      </c>
      <c r="AF313" s="11" t="n">
        <v>425003.603140491</v>
      </c>
      <c r="AG313" s="11"/>
      <c r="AH313" s="11" t="n">
        <v>-507755.019510782</v>
      </c>
      <c r="AI313" s="11"/>
      <c r="AJ313" s="11"/>
      <c r="AK313" s="11"/>
      <c r="AL313" s="11"/>
      <c r="AM313" s="11"/>
      <c r="AN313" s="11"/>
      <c r="AO313" s="11"/>
    </row>
    <row r="314">
      <c r="A314" t="str">
        <f>O314</f>
      </c>
      <c r="B314" t="str">
        <f>P314</f>
      </c>
      <c r="C314" s="11" t="str">
        <f>AF314</f>
      </c>
      <c r="D314" s="11" t="str">
        <f>AL314</f>
      </c>
      <c r="E314" s="11" t="str">
        <f>AM314</f>
      </c>
      <c r="F314" s="11" t="str">
        <f>AN314</f>
      </c>
      <c r="G314" s="7" t="str">
        <f>AM314/AL314-1</f>
      </c>
      <c r="H314" s="7" t="str">
        <f>AM314/AF314-1</f>
      </c>
      <c r="I314" s="7" t="str">
        <f>AN314/AM314</f>
      </c>
      <c r="J314" s="7" t="str">
        <f>AM314/Sum(AM$1:AM$458)</f>
      </c>
      <c r="K314" s="7" t="str">
        <f>AN314/Sum(AN1:AN$458)</f>
      </c>
      <c r="O314" t="s">
        <v>403</v>
      </c>
      <c r="P314" t="n">
        <v>1349</v>
      </c>
      <c r="Q314" s="11"/>
      <c r="R314" s="11"/>
      <c r="S314" s="11"/>
      <c r="T314" s="11"/>
      <c r="U314" s="11" t="n">
        <v>17275956.1424157</v>
      </c>
      <c r="V314" s="11" t="n">
        <v>92454078.4048842</v>
      </c>
      <c r="W314" s="11" t="n">
        <v>42266437.5527818</v>
      </c>
      <c r="X314" s="11" t="n">
        <v>36362206.6636604</v>
      </c>
      <c r="Y314" s="11" t="n">
        <v>43343557.2154517</v>
      </c>
      <c r="Z314" s="11" t="n">
        <v>27676568.5366345</v>
      </c>
      <c r="AA314" s="11" t="n">
        <v>22506216.6800533</v>
      </c>
      <c r="AB314" s="11" t="n">
        <v>21413058.0008791</v>
      </c>
      <c r="AC314" s="11" t="n">
        <v>22524209.9790267</v>
      </c>
      <c r="AD314" s="11" t="n">
        <v>24909360.2501373</v>
      </c>
      <c r="AE314" s="11" t="n">
        <v>6740367.3043258</v>
      </c>
      <c r="AF314" s="11" t="n">
        <v>12403524.4506139</v>
      </c>
      <c r="AG314" s="11" t="n">
        <v>1143962.11020632</v>
      </c>
      <c r="AH314" s="11" t="n">
        <v>-2368.48922060587</v>
      </c>
      <c r="AI314" s="11"/>
      <c r="AJ314" s="11" t="n">
        <v>-46424.7046705465</v>
      </c>
      <c r="AK314" s="11"/>
      <c r="AL314" s="11"/>
      <c r="AM314" s="11"/>
      <c r="AN314" s="11"/>
      <c r="AO314" s="11"/>
    </row>
    <row r="315">
      <c r="A315" t="str">
        <f>O315</f>
      </c>
      <c r="B315" t="str">
        <f>P315</f>
      </c>
      <c r="C315" s="11" t="str">
        <f>AF315</f>
      </c>
      <c r="D315" s="11" t="str">
        <f>AL315</f>
      </c>
      <c r="E315" s="11" t="str">
        <f>AM315</f>
      </c>
      <c r="F315" s="11" t="str">
        <f>AN315</f>
      </c>
      <c r="G315" s="7" t="str">
        <f>AM315/AL315-1</f>
      </c>
      <c r="H315" s="7" t="str">
        <f>AM315/AF315-1</f>
      </c>
      <c r="I315" s="7" t="str">
        <f>AN315/AM315</f>
      </c>
      <c r="J315" s="7" t="str">
        <f>AM315/Sum(AM$1:AM$458)</f>
      </c>
      <c r="K315" s="7" t="str">
        <f>AN315/Sum(AN1:AN$458)</f>
      </c>
      <c r="O315" t="s">
        <v>404</v>
      </c>
      <c r="P315" t="n">
        <v>2097</v>
      </c>
      <c r="Q315" s="11"/>
      <c r="R315" s="11"/>
      <c r="S315" s="11"/>
      <c r="T315" s="11" t="n">
        <v>5910310.60591847</v>
      </c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</row>
    <row r="316">
      <c r="A316" t="str">
        <f>O316</f>
      </c>
      <c r="B316" t="str">
        <f>P316</f>
      </c>
      <c r="C316" s="11" t="str">
        <f>AF316</f>
      </c>
      <c r="D316" s="11" t="str">
        <f>AL316</f>
      </c>
      <c r="E316" s="11" t="str">
        <f>AM316</f>
      </c>
      <c r="F316" s="11" t="str">
        <f>AN316</f>
      </c>
      <c r="G316" s="7" t="str">
        <f>AM316/AL316-1</f>
      </c>
      <c r="H316" s="7" t="str">
        <f>AM316/AF316-1</f>
      </c>
      <c r="I316" s="7" t="str">
        <f>AN316/AM316</f>
      </c>
      <c r="J316" s="7" t="str">
        <f>AM316/Sum(AM$1:AM$458)</f>
      </c>
      <c r="K316" s="7" t="str">
        <f>AN316/Sum(AN1:AN$458)</f>
      </c>
      <c r="O316" t="s">
        <v>405</v>
      </c>
      <c r="P316" t="n">
        <v>1803</v>
      </c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 t="n">
        <v>11658546.9817589</v>
      </c>
      <c r="AH316" s="11" t="n">
        <v>5391674.10701623</v>
      </c>
      <c r="AI316" s="11" t="n">
        <v>8599355.55528051</v>
      </c>
      <c r="AJ316" s="11" t="n">
        <v>79574063.1035073</v>
      </c>
      <c r="AK316" s="11" t="n">
        <v>137799788.937938</v>
      </c>
      <c r="AL316" s="11" t="n">
        <v>101628577.402162</v>
      </c>
      <c r="AM316" s="11" t="n">
        <v>37182257.9687</v>
      </c>
      <c r="AN316" s="11" t="n">
        <v>9846520.40172969</v>
      </c>
      <c r="AO316" s="11"/>
    </row>
    <row r="317">
      <c r="A317" t="str">
        <f>O317</f>
      </c>
      <c r="B317" t="str">
        <f>P317</f>
      </c>
      <c r="C317" s="11" t="str">
        <f>AF317</f>
      </c>
      <c r="D317" s="11" t="str">
        <f>AL317</f>
      </c>
      <c r="E317" s="11" t="str">
        <f>AM317</f>
      </c>
      <c r="F317" s="11" t="str">
        <f>AN317</f>
      </c>
      <c r="G317" s="7" t="str">
        <f>AM317/AL317-1</f>
      </c>
      <c r="H317" s="7" t="str">
        <f>AM317/AF317-1</f>
      </c>
      <c r="I317" s="7" t="str">
        <f>AN317/AM317</f>
      </c>
      <c r="J317" s="7" t="str">
        <f>AM317/Sum(AM$1:AM$458)</f>
      </c>
      <c r="K317" s="7" t="str">
        <f>AN317/Sum(AN1:AN$458)</f>
      </c>
      <c r="O317" t="s">
        <v>406</v>
      </c>
      <c r="P317" t="n">
        <v>1729</v>
      </c>
      <c r="Q317" s="11"/>
      <c r="R317" s="11"/>
      <c r="S317" s="11"/>
      <c r="T317" s="11" t="n">
        <v>24651.1327561985</v>
      </c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 t="n">
        <v>0</v>
      </c>
      <c r="AH317" s="11"/>
      <c r="AI317" s="11" t="n">
        <v>0</v>
      </c>
      <c r="AJ317" s="11"/>
      <c r="AK317" s="11"/>
      <c r="AL317" s="11"/>
      <c r="AM317" s="11"/>
      <c r="AN317" s="11"/>
      <c r="AO317" s="11"/>
    </row>
    <row r="318">
      <c r="A318" t="str">
        <f>O318</f>
      </c>
      <c r="B318" t="str">
        <f>P318</f>
      </c>
      <c r="C318" s="11" t="str">
        <f>AF318</f>
      </c>
      <c r="D318" s="11" t="str">
        <f>AL318</f>
      </c>
      <c r="E318" s="11" t="str">
        <f>AM318</f>
      </c>
      <c r="F318" s="11" t="str">
        <f>AN318</f>
      </c>
      <c r="G318" s="7" t="str">
        <f>AM318/AL318-1</f>
      </c>
      <c r="H318" s="7" t="str">
        <f>AM318/AF318-1</f>
      </c>
      <c r="I318" s="7" t="str">
        <f>AN318/AM318</f>
      </c>
      <c r="J318" s="7" t="str">
        <f>AM318/Sum(AM$1:AM$458)</f>
      </c>
      <c r="K318" s="7" t="str">
        <f>AN318/Sum(AN1:AN$458)</f>
      </c>
      <c r="O318" t="s">
        <v>407</v>
      </c>
      <c r="P318" t="n">
        <v>1973</v>
      </c>
      <c r="Q318" s="11"/>
      <c r="R318" s="11"/>
      <c r="S318" s="11"/>
      <c r="T318" s="11"/>
      <c r="U318" s="11"/>
      <c r="V318" s="11"/>
      <c r="W318" s="11"/>
      <c r="X318" s="11"/>
      <c r="Y318" s="11" t="n">
        <v>9872.31480485534</v>
      </c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</row>
    <row r="319">
      <c r="A319" t="str">
        <f>O319</f>
      </c>
      <c r="B319" t="str">
        <f>P319</f>
      </c>
      <c r="C319" s="11" t="str">
        <f>AF319</f>
      </c>
      <c r="D319" s="11" t="str">
        <f>AL319</f>
      </c>
      <c r="E319" s="11" t="str">
        <f>AM319</f>
      </c>
      <c r="F319" s="11" t="str">
        <f>AN319</f>
      </c>
      <c r="G319" s="7" t="str">
        <f>AM319/AL319-1</f>
      </c>
      <c r="H319" s="7" t="str">
        <f>AM319/AF319-1</f>
      </c>
      <c r="I319" s="7" t="str">
        <f>AN319/AM319</f>
      </c>
      <c r="J319" s="7" t="str">
        <f>AM319/Sum(AM$1:AM$458)</f>
      </c>
      <c r="K319" s="7" t="str">
        <f>AN319/Sum(AN1:AN$458)</f>
      </c>
      <c r="O319" t="s">
        <v>408</v>
      </c>
      <c r="P319" t="n">
        <v>544</v>
      </c>
      <c r="Q319" s="11"/>
      <c r="R319" s="11"/>
      <c r="S319" s="11"/>
      <c r="T319" s="11" t="n">
        <v>8326.25266612279</v>
      </c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</row>
    <row r="320">
      <c r="A320" t="str">
        <f>O320</f>
      </c>
      <c r="B320" t="str">
        <f>P320</f>
      </c>
      <c r="C320" s="11" t="str">
        <f>AF320</f>
      </c>
      <c r="D320" s="11" t="str">
        <f>AL320</f>
      </c>
      <c r="E320" s="11" t="str">
        <f>AM320</f>
      </c>
      <c r="F320" s="11" t="str">
        <f>AN320</f>
      </c>
      <c r="G320" s="7" t="str">
        <f>AM320/AL320-1</f>
      </c>
      <c r="H320" s="7" t="str">
        <f>AM320/AF320-1</f>
      </c>
      <c r="I320" s="7" t="str">
        <f>AN320/AM320</f>
      </c>
      <c r="J320" s="7" t="str">
        <f>AM320/Sum(AM$1:AM$458)</f>
      </c>
      <c r="K320" s="7" t="str">
        <f>AN320/Sum(AN1:AN$458)</f>
      </c>
      <c r="O320" t="s">
        <v>409</v>
      </c>
      <c r="P320" t="n">
        <v>1974</v>
      </c>
      <c r="Q320" s="11"/>
      <c r="R320" s="11"/>
      <c r="S320" s="11"/>
      <c r="T320" s="11"/>
      <c r="U320" s="11"/>
      <c r="V320" s="11"/>
      <c r="W320" s="11"/>
      <c r="X320" s="11"/>
      <c r="Y320" s="11"/>
      <c r="Z320" s="11" t="n">
        <v>4136138.39023717</v>
      </c>
      <c r="AA320" s="11"/>
      <c r="AB320" s="11" t="n">
        <v>31246.9911370069</v>
      </c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</row>
    <row r="321">
      <c r="A321" t="str">
        <f>O321</f>
      </c>
      <c r="B321" t="str">
        <f>P321</f>
      </c>
      <c r="C321" s="11" t="str">
        <f>AF321</f>
      </c>
      <c r="D321" s="11" t="str">
        <f>AL321</f>
      </c>
      <c r="E321" s="11" t="str">
        <f>AM321</f>
      </c>
      <c r="F321" s="11" t="str">
        <f>AN321</f>
      </c>
      <c r="G321" s="7" t="str">
        <f>AM321/AL321-1</f>
      </c>
      <c r="H321" s="7" t="str">
        <f>AM321/AF321-1</f>
      </c>
      <c r="I321" s="7" t="str">
        <f>AN321/AM321</f>
      </c>
      <c r="J321" s="7" t="str">
        <f>AM321/Sum(AM$1:AM$458)</f>
      </c>
      <c r="K321" s="7" t="str">
        <f>AN321/Sum(AN1:AN$458)</f>
      </c>
      <c r="O321" t="s">
        <v>410</v>
      </c>
      <c r="P321" t="n">
        <v>545</v>
      </c>
      <c r="Q321" s="11"/>
      <c r="R321" s="11"/>
      <c r="S321" s="11"/>
      <c r="T321" s="11" t="n">
        <v>116177.434711787</v>
      </c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</row>
    <row r="322">
      <c r="A322" t="str">
        <f>O322</f>
      </c>
      <c r="B322" t="str">
        <f>P322</f>
      </c>
      <c r="C322" s="11" t="str">
        <f>AF322</f>
      </c>
      <c r="D322" s="11" t="str">
        <f>AL322</f>
      </c>
      <c r="E322" s="11" t="str">
        <f>AM322</f>
      </c>
      <c r="F322" s="11" t="str">
        <f>AN322</f>
      </c>
      <c r="G322" s="7" t="str">
        <f>AM322/AL322-1</f>
      </c>
      <c r="H322" s="7" t="str">
        <f>AM322/AF322-1</f>
      </c>
      <c r="I322" s="7" t="str">
        <f>AN322/AM322</f>
      </c>
      <c r="J322" s="7" t="str">
        <f>AM322/Sum(AM$1:AM$458)</f>
      </c>
      <c r="K322" s="7" t="str">
        <f>AN322/Sum(AN1:AN$458)</f>
      </c>
      <c r="O322" t="s">
        <v>411</v>
      </c>
      <c r="P322" t="n">
        <v>492</v>
      </c>
      <c r="Q322" s="11"/>
      <c r="R322" s="11"/>
      <c r="S322" s="11" t="n">
        <v>1353995.19804637</v>
      </c>
      <c r="T322" s="11" t="n">
        <v>6224215.20771398</v>
      </c>
      <c r="U322" s="11"/>
      <c r="V322" s="11"/>
      <c r="W322" s="11"/>
      <c r="X322" s="11"/>
      <c r="Y322" s="11"/>
      <c r="Z322" s="11"/>
      <c r="AA322" s="11" t="n">
        <v>0</v>
      </c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</row>
    <row r="323">
      <c r="A323" t="str">
        <f>O323</f>
      </c>
      <c r="B323" t="str">
        <f>P323</f>
      </c>
      <c r="C323" s="11" t="str">
        <f>AF323</f>
      </c>
      <c r="D323" s="11" t="str">
        <f>AL323</f>
      </c>
      <c r="E323" s="11" t="str">
        <f>AM323</f>
      </c>
      <c r="F323" s="11" t="str">
        <f>AN323</f>
      </c>
      <c r="G323" s="7" t="str">
        <f>AM323/AL323-1</f>
      </c>
      <c r="H323" s="7" t="str">
        <f>AM323/AF323-1</f>
      </c>
      <c r="I323" s="7" t="str">
        <f>AN323/AM323</f>
      </c>
      <c r="J323" s="7" t="str">
        <f>AM323/Sum(AM$1:AM$458)</f>
      </c>
      <c r="K323" s="7" t="str">
        <f>AN323/Sum(AN1:AN$458)</f>
      </c>
      <c r="O323" t="s">
        <v>412</v>
      </c>
      <c r="P323" t="n">
        <v>2183</v>
      </c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 t="n">
        <v>5174001.76445987</v>
      </c>
      <c r="AI323" s="11"/>
      <c r="AJ323" s="11"/>
      <c r="AK323" s="11"/>
      <c r="AL323" s="11"/>
      <c r="AM323" s="11"/>
      <c r="AN323" s="11"/>
      <c r="AO323" s="11"/>
    </row>
    <row r="324">
      <c r="A324" t="str">
        <f>O324</f>
      </c>
      <c r="B324" t="str">
        <f>P324</f>
      </c>
      <c r="C324" s="11" t="str">
        <f>AF324</f>
      </c>
      <c r="D324" s="11" t="str">
        <f>AL324</f>
      </c>
      <c r="E324" s="11" t="str">
        <f>AM324</f>
      </c>
      <c r="F324" s="11" t="str">
        <f>AN324</f>
      </c>
      <c r="G324" s="7" t="str">
        <f>AM324/AL324-1</f>
      </c>
      <c r="H324" s="7" t="str">
        <f>AM324/AF324-1</f>
      </c>
      <c r="I324" s="7" t="str">
        <f>AN324/AM324</f>
      </c>
      <c r="J324" s="7" t="str">
        <f>AM324/Sum(AM$1:AM$458)</f>
      </c>
      <c r="K324" s="7" t="str">
        <f>AN324/Sum(AN1:AN$458)</f>
      </c>
      <c r="O324" t="s">
        <v>413</v>
      </c>
      <c r="P324" t="n">
        <v>1963</v>
      </c>
      <c r="Q324" s="11"/>
      <c r="R324" s="11"/>
      <c r="S324" s="11"/>
      <c r="T324" s="11"/>
      <c r="U324" s="11"/>
      <c r="V324" s="11"/>
      <c r="W324" s="11"/>
      <c r="X324" s="11"/>
      <c r="Y324" s="11" t="n">
        <v>-11.9971419448688</v>
      </c>
      <c r="Z324" s="11" t="n">
        <v>92267.7789667824</v>
      </c>
      <c r="AA324" s="11" t="n">
        <v>693281.017934916</v>
      </c>
      <c r="AB324" s="11"/>
      <c r="AC324" s="11"/>
      <c r="AD324" s="11" t="n">
        <v>421752.344602841</v>
      </c>
      <c r="AE324" s="11" t="n">
        <v>565969.21302667</v>
      </c>
      <c r="AF324" s="11" t="n">
        <v>-61345.7458180805</v>
      </c>
      <c r="AG324" s="11"/>
      <c r="AH324" s="11"/>
      <c r="AI324" s="11" t="n">
        <v>-16718.6917548414</v>
      </c>
      <c r="AJ324" s="11"/>
      <c r="AK324" s="11"/>
      <c r="AL324" s="11"/>
      <c r="AM324" s="11"/>
      <c r="AN324" s="11"/>
      <c r="AO324" s="11"/>
    </row>
    <row r="325">
      <c r="A325" t="str">
        <f>O325</f>
      </c>
      <c r="B325" t="str">
        <f>P325</f>
      </c>
      <c r="C325" s="11" t="str">
        <f>AF325</f>
      </c>
      <c r="D325" s="11" t="str">
        <f>AL325</f>
      </c>
      <c r="E325" s="11" t="str">
        <f>AM325</f>
      </c>
      <c r="F325" s="11" t="str">
        <f>AN325</f>
      </c>
      <c r="G325" s="7" t="str">
        <f>AM325/AL325-1</f>
      </c>
      <c r="H325" s="7" t="str">
        <f>AM325/AF325-1</f>
      </c>
      <c r="I325" s="7" t="str">
        <f>AN325/AM325</f>
      </c>
      <c r="J325" s="7" t="str">
        <f>AM325/Sum(AM$1:AM$458)</f>
      </c>
      <c r="K325" s="7" t="str">
        <f>AN325/Sum(AN1:AN$458)</f>
      </c>
      <c r="O325" t="s">
        <v>414</v>
      </c>
      <c r="P325" t="n">
        <v>2235</v>
      </c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 t="n">
        <v>447990.039210272</v>
      </c>
      <c r="AK325" s="11" t="n">
        <v>0</v>
      </c>
      <c r="AL325" s="11"/>
      <c r="AM325" s="11"/>
      <c r="AN325" s="11" t="n">
        <v>429104.919289634</v>
      </c>
      <c r="AO325" s="11"/>
    </row>
    <row r="326">
      <c r="A326" t="str">
        <f>O326</f>
      </c>
      <c r="B326" t="str">
        <f>P326</f>
      </c>
      <c r="C326" s="11" t="str">
        <f>AF326</f>
      </c>
      <c r="D326" s="11" t="str">
        <f>AL326</f>
      </c>
      <c r="E326" s="11" t="str">
        <f>AM326</f>
      </c>
      <c r="F326" s="11" t="str">
        <f>AN326</f>
      </c>
      <c r="G326" s="7" t="str">
        <f>AM326/AL326-1</f>
      </c>
      <c r="H326" s="7" t="str">
        <f>AM326/AF326-1</f>
      </c>
      <c r="I326" s="7" t="str">
        <f>AN326/AM326</f>
      </c>
      <c r="J326" s="7" t="str">
        <f>AM326/Sum(AM$1:AM$458)</f>
      </c>
      <c r="K326" s="7" t="str">
        <f>AN326/Sum(AN1:AN$458)</f>
      </c>
      <c r="O326" t="s">
        <v>415</v>
      </c>
      <c r="P326" t="n">
        <v>2254</v>
      </c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 t="n">
        <v>212916.545901326</v>
      </c>
      <c r="AM326" s="11"/>
      <c r="AN326" s="11"/>
      <c r="AO326" s="11"/>
    </row>
    <row r="327">
      <c r="A327" t="str">
        <f>O327</f>
      </c>
      <c r="B327" t="str">
        <f>P327</f>
      </c>
      <c r="C327" s="11" t="str">
        <f>AF327</f>
      </c>
      <c r="D327" s="11" t="str">
        <f>AL327</f>
      </c>
      <c r="E327" s="11" t="str">
        <f>AM327</f>
      </c>
      <c r="F327" s="11" t="str">
        <f>AN327</f>
      </c>
      <c r="G327" s="7" t="str">
        <f>AM327/AL327-1</f>
      </c>
      <c r="H327" s="7" t="str">
        <f>AM327/AF327-1</f>
      </c>
      <c r="I327" s="7" t="str">
        <f>AN327/AM327</f>
      </c>
      <c r="J327" s="7" t="str">
        <f>AM327/Sum(AM$1:AM$458)</f>
      </c>
      <c r="K327" s="7" t="str">
        <f>AN327/Sum(AN1:AN$458)</f>
      </c>
      <c r="O327" t="s">
        <v>416</v>
      </c>
      <c r="P327" t="n">
        <v>1954</v>
      </c>
      <c r="Q327" s="11"/>
      <c r="R327" s="11"/>
      <c r="S327" s="11"/>
      <c r="T327" s="11"/>
      <c r="U327" s="11" t="n">
        <v>9043389.40014793</v>
      </c>
      <c r="V327" s="11" t="n">
        <v>35849392.3570001</v>
      </c>
      <c r="W327" s="11" t="n">
        <v>18522070.169239</v>
      </c>
      <c r="X327" s="11" t="n">
        <v>214319.142948344</v>
      </c>
      <c r="Y327" s="11" t="n">
        <v>236497.499540346</v>
      </c>
      <c r="Z327" s="11" t="n">
        <v>-83249.8386290118</v>
      </c>
      <c r="AA327" s="11" t="n">
        <v>1170281.71795579</v>
      </c>
      <c r="AB327" s="11" t="n">
        <v>9489539.58262086</v>
      </c>
      <c r="AC327" s="11" t="n">
        <v>11018931.7121102</v>
      </c>
      <c r="AD327" s="11" t="n">
        <v>5718776.49033793</v>
      </c>
      <c r="AE327" s="11" t="n">
        <v>2683677.69466088</v>
      </c>
      <c r="AF327" s="11" t="n">
        <v>2402104.25611687</v>
      </c>
      <c r="AG327" s="11" t="n">
        <v>1992316.45230223</v>
      </c>
      <c r="AH327" s="11" t="n">
        <v>2043988.92504612</v>
      </c>
      <c r="AI327" s="11" t="n">
        <v>566102.018494264</v>
      </c>
      <c r="AJ327" s="11"/>
      <c r="AK327" s="11"/>
      <c r="AL327" s="11"/>
      <c r="AM327" s="11"/>
      <c r="AN327" s="11"/>
      <c r="AO327" s="11"/>
    </row>
    <row r="328">
      <c r="A328" t="str">
        <f>O328</f>
      </c>
      <c r="B328" t="str">
        <f>P328</f>
      </c>
      <c r="C328" s="11" t="str">
        <f>AF328</f>
      </c>
      <c r="D328" s="11" t="str">
        <f>AL328</f>
      </c>
      <c r="E328" s="11" t="str">
        <f>AM328</f>
      </c>
      <c r="F328" s="11" t="str">
        <f>AN328</f>
      </c>
      <c r="G328" s="7" t="str">
        <f>AM328/AL328-1</f>
      </c>
      <c r="H328" s="7" t="str">
        <f>AM328/AF328-1</f>
      </c>
      <c r="I328" s="7" t="str">
        <f>AN328/AM328</f>
      </c>
      <c r="J328" s="7" t="str">
        <f>AM328/Sum(AM$1:AM$458)</f>
      </c>
      <c r="K328" s="7" t="str">
        <f>AN328/Sum(AN1:AN$458)</f>
      </c>
      <c r="O328" t="s">
        <v>417</v>
      </c>
      <c r="P328" t="n">
        <v>1988</v>
      </c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 t="n">
        <v>15156708.6217594</v>
      </c>
      <c r="AC328" s="11" t="n">
        <v>12542747.6311068</v>
      </c>
      <c r="AD328" s="11" t="n">
        <v>9255248.91679579</v>
      </c>
      <c r="AE328" s="11" t="n">
        <v>9935981.9437247</v>
      </c>
      <c r="AF328" s="11" t="n">
        <v>9790697.89957444</v>
      </c>
      <c r="AG328" s="11" t="n">
        <v>9734879.10239399</v>
      </c>
      <c r="AH328" s="11" t="n">
        <v>8757963.97366976</v>
      </c>
      <c r="AI328" s="11" t="n">
        <v>7990611.78249931</v>
      </c>
      <c r="AJ328" s="11" t="n">
        <v>6840028.95606018</v>
      </c>
      <c r="AK328" s="11" t="n">
        <v>8669713.97512674</v>
      </c>
      <c r="AL328" s="11" t="n">
        <v>1324627.23650696</v>
      </c>
      <c r="AM328" s="11" t="n">
        <v>99621.803</v>
      </c>
      <c r="AN328" s="11" t="n">
        <v>-445474.79691794</v>
      </c>
      <c r="AO328" s="11"/>
    </row>
    <row r="329">
      <c r="A329" t="str">
        <f>O329</f>
      </c>
      <c r="B329" t="str">
        <f>P329</f>
      </c>
      <c r="C329" s="11" t="str">
        <f>AF329</f>
      </c>
      <c r="D329" s="11" t="str">
        <f>AL329</f>
      </c>
      <c r="E329" s="11" t="str">
        <f>AM329</f>
      </c>
      <c r="F329" s="11" t="str">
        <f>AN329</f>
      </c>
      <c r="G329" s="7" t="str">
        <f>AM329/AL329-1</f>
      </c>
      <c r="H329" s="7" t="str">
        <f>AM329/AF329-1</f>
      </c>
      <c r="I329" s="7" t="str">
        <f>AN329/AM329</f>
      </c>
      <c r="J329" s="7" t="str">
        <f>AM329/Sum(AM$1:AM$458)</f>
      </c>
      <c r="K329" s="7" t="str">
        <f>AN329/Sum(AN1:AN$458)</f>
      </c>
      <c r="O329" t="s">
        <v>418</v>
      </c>
      <c r="P329" t="n">
        <v>1646</v>
      </c>
      <c r="Q329" s="11" t="n">
        <v>39371500.7225464</v>
      </c>
      <c r="R329" s="11" t="n">
        <v>58967456.848523</v>
      </c>
      <c r="S329" s="11" t="n">
        <v>29568351.5761602</v>
      </c>
      <c r="T329" s="11" t="n">
        <v>5201858.35376526</v>
      </c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</row>
    <row r="330">
      <c r="A330" t="str">
        <f>O330</f>
      </c>
      <c r="B330" t="str">
        <f>P330</f>
      </c>
      <c r="C330" s="11" t="str">
        <f>AF330</f>
      </c>
      <c r="D330" s="11" t="str">
        <f>AL330</f>
      </c>
      <c r="E330" s="11" t="str">
        <f>AM330</f>
      </c>
      <c r="F330" s="11" t="str">
        <f>AN330</f>
      </c>
      <c r="G330" s="7" t="str">
        <f>AM330/AL330-1</f>
      </c>
      <c r="H330" s="7" t="str">
        <f>AM330/AF330-1</f>
      </c>
      <c r="I330" s="7" t="str">
        <f>AN330/AM330</f>
      </c>
      <c r="J330" s="7" t="str">
        <f>AM330/Sum(AM$1:AM$458)</f>
      </c>
      <c r="K330" s="7" t="str">
        <f>AN330/Sum(AN1:AN$458)</f>
      </c>
      <c r="O330" t="s">
        <v>419</v>
      </c>
      <c r="P330" t="n">
        <v>1643</v>
      </c>
      <c r="Q330" s="11" t="n">
        <v>2899047.87774908</v>
      </c>
      <c r="R330" s="11" t="n">
        <v>1848254.24580181</v>
      </c>
      <c r="S330" s="11" t="n">
        <v>2419663.652229</v>
      </c>
      <c r="T330" s="11" t="n">
        <v>3646411.03949437</v>
      </c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</row>
    <row r="331">
      <c r="A331" t="str">
        <f>O331</f>
      </c>
      <c r="B331" t="str">
        <f>P331</f>
      </c>
      <c r="C331" s="11" t="str">
        <f>AF331</f>
      </c>
      <c r="D331" s="11" t="str">
        <f>AL331</f>
      </c>
      <c r="E331" s="11" t="str">
        <f>AM331</f>
      </c>
      <c r="F331" s="11" t="str">
        <f>AN331</f>
      </c>
      <c r="G331" s="7" t="str">
        <f>AM331/AL331-1</f>
      </c>
      <c r="H331" s="7" t="str">
        <f>AM331/AF331-1</f>
      </c>
      <c r="I331" s="7" t="str">
        <f>AN331/AM331</f>
      </c>
      <c r="J331" s="7" t="str">
        <f>AM331/Sum(AM$1:AM$458)</f>
      </c>
      <c r="K331" s="7" t="str">
        <f>AN331/Sum(AN1:AN$458)</f>
      </c>
      <c r="O331" t="s">
        <v>420</v>
      </c>
      <c r="P331" t="n">
        <v>649</v>
      </c>
      <c r="Q331" s="11"/>
      <c r="R331" s="11"/>
      <c r="S331" s="11"/>
      <c r="T331" s="11"/>
      <c r="U331" s="11" t="n">
        <v>8125556.64265503</v>
      </c>
      <c r="V331" s="11" t="n">
        <v>742038.518950999</v>
      </c>
      <c r="W331" s="11" t="n">
        <v>12402.8536629995</v>
      </c>
      <c r="X331" s="11" t="n">
        <v>9733360.42356984</v>
      </c>
      <c r="Y331" s="11" t="n">
        <v>4865325.67826099</v>
      </c>
      <c r="Z331" s="11" t="n">
        <v>12536274.8613819</v>
      </c>
      <c r="AA331" s="11" t="n">
        <v>15611645.4305136</v>
      </c>
      <c r="AB331" s="11" t="n">
        <v>4411897.83189846</v>
      </c>
      <c r="AC331" s="11" t="n">
        <v>36794435.7874845</v>
      </c>
      <c r="AD331" s="11" t="n">
        <v>17968558.1223632</v>
      </c>
      <c r="AE331" s="11" t="n">
        <v>1156356.32512239</v>
      </c>
      <c r="AF331" s="11" t="n">
        <v>-146565.488042789</v>
      </c>
      <c r="AG331" s="11"/>
      <c r="AH331" s="11" t="n">
        <v>-15697.1192271885</v>
      </c>
      <c r="AI331" s="11"/>
      <c r="AJ331" s="11" t="n">
        <v>159787.451013899</v>
      </c>
      <c r="AK331" s="11" t="n">
        <v>4526467.31289675</v>
      </c>
      <c r="AL331" s="11" t="n">
        <v>4057933.27381507</v>
      </c>
      <c r="AM331" s="11" t="n">
        <v>62611.3984</v>
      </c>
      <c r="AN331" s="11"/>
      <c r="AO331" s="11"/>
    </row>
    <row r="332">
      <c r="A332" t="str">
        <f>O332</f>
      </c>
      <c r="B332" t="str">
        <f>P332</f>
      </c>
      <c r="C332" s="11" t="str">
        <f>AF332</f>
      </c>
      <c r="D332" s="11" t="str">
        <f>AL332</f>
      </c>
      <c r="E332" s="11" t="str">
        <f>AM332</f>
      </c>
      <c r="F332" s="11" t="str">
        <f>AN332</f>
      </c>
      <c r="G332" s="7" t="str">
        <f>AM332/AL332-1</f>
      </c>
      <c r="H332" s="7" t="str">
        <f>AM332/AF332-1</f>
      </c>
      <c r="I332" s="7" t="str">
        <f>AN332/AM332</f>
      </c>
      <c r="J332" s="7" t="str">
        <f>AM332/Sum(AM$1:AM$458)</f>
      </c>
      <c r="K332" s="7" t="str">
        <f>AN332/Sum(AN1:AN$458)</f>
      </c>
      <c r="O332" t="s">
        <v>421</v>
      </c>
      <c r="P332" t="n">
        <v>1337</v>
      </c>
      <c r="Q332" s="11"/>
      <c r="R332" s="11"/>
      <c r="S332" s="11"/>
      <c r="T332" s="11"/>
      <c r="U332" s="11"/>
      <c r="V332" s="11" t="n">
        <v>1243299.97504946</v>
      </c>
      <c r="W332" s="11"/>
      <c r="X332" s="11"/>
      <c r="Y332" s="11"/>
      <c r="Z332" s="11"/>
      <c r="AA332" s="11" t="n">
        <v>588702.472239156</v>
      </c>
      <c r="AB332" s="11" t="n">
        <v>403100.711551819</v>
      </c>
      <c r="AC332" s="11" t="n">
        <v>8912.06609829958</v>
      </c>
      <c r="AD332" s="11"/>
      <c r="AE332" s="11"/>
      <c r="AF332" s="11" t="n">
        <v>0</v>
      </c>
      <c r="AG332" s="11" t="n">
        <v>-224712.366172788</v>
      </c>
      <c r="AH332" s="11"/>
      <c r="AI332" s="11"/>
      <c r="AJ332" s="11"/>
      <c r="AK332" s="11"/>
      <c r="AL332" s="11"/>
      <c r="AM332" s="11"/>
      <c r="AN332" s="11"/>
      <c r="AO332" s="11"/>
    </row>
    <row r="333">
      <c r="A333" t="str">
        <f>O333</f>
      </c>
      <c r="B333" t="str">
        <f>P333</f>
      </c>
      <c r="C333" s="11" t="str">
        <f>AF333</f>
      </c>
      <c r="D333" s="11" t="str">
        <f>AL333</f>
      </c>
      <c r="E333" s="11" t="str">
        <f>AM333</f>
      </c>
      <c r="F333" s="11" t="str">
        <f>AN333</f>
      </c>
      <c r="G333" s="7" t="str">
        <f>AM333/AL333-1</f>
      </c>
      <c r="H333" s="7" t="str">
        <f>AM333/AF333-1</f>
      </c>
      <c r="I333" s="7" t="str">
        <f>AN333/AM333</f>
      </c>
      <c r="J333" s="7" t="str">
        <f>AM333/Sum(AM$1:AM$458)</f>
      </c>
      <c r="K333" s="7" t="str">
        <f>AN333/Sum(AN1:AN$458)</f>
      </c>
      <c r="O333" t="s">
        <v>422</v>
      </c>
      <c r="P333" t="n">
        <v>483</v>
      </c>
      <c r="Q333" s="11" t="n">
        <v>28023790.720174</v>
      </c>
      <c r="R333" s="11" t="n">
        <v>29023290.4530036</v>
      </c>
      <c r="S333" s="11" t="n">
        <v>15770725.291591</v>
      </c>
      <c r="T333" s="11" t="n">
        <v>3015560.25458535</v>
      </c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</row>
    <row r="334">
      <c r="A334" t="str">
        <f>O334</f>
      </c>
      <c r="B334" t="str">
        <f>P334</f>
      </c>
      <c r="C334" s="11" t="str">
        <f>AF334</f>
      </c>
      <c r="D334" s="11" t="str">
        <f>AL334</f>
      </c>
      <c r="E334" s="11" t="str">
        <f>AM334</f>
      </c>
      <c r="F334" s="11" t="str">
        <f>AN334</f>
      </c>
      <c r="G334" s="7" t="str">
        <f>AM334/AL334-1</f>
      </c>
      <c r="H334" s="7" t="str">
        <f>AM334/AF334-1</f>
      </c>
      <c r="I334" s="7" t="str">
        <f>AN334/AM334</f>
      </c>
      <c r="J334" s="7" t="str">
        <f>AM334/Sum(AM$1:AM$458)</f>
      </c>
      <c r="K334" s="7" t="str">
        <f>AN334/Sum(AN1:AN$458)</f>
      </c>
      <c r="O334" t="s">
        <v>423</v>
      </c>
      <c r="P334" t="n">
        <v>2191</v>
      </c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 t="n">
        <v>125772.416200308</v>
      </c>
      <c r="AJ334" s="11" t="n">
        <v>147406.642501748</v>
      </c>
      <c r="AK334" s="11" t="n">
        <v>0</v>
      </c>
      <c r="AL334" s="11"/>
      <c r="AM334" s="11"/>
      <c r="AN334" s="11"/>
      <c r="AO334" s="11"/>
    </row>
    <row r="335">
      <c r="A335" t="str">
        <f>O335</f>
      </c>
      <c r="B335" t="str">
        <f>P335</f>
      </c>
      <c r="C335" s="11" t="str">
        <f>AF335</f>
      </c>
      <c r="D335" s="11" t="str">
        <f>AL335</f>
      </c>
      <c r="E335" s="11" t="str">
        <f>AM335</f>
      </c>
      <c r="F335" s="11" t="str">
        <f>AN335</f>
      </c>
      <c r="G335" s="7" t="str">
        <f>AM335/AL335-1</f>
      </c>
      <c r="H335" s="7" t="str">
        <f>AM335/AF335-1</f>
      </c>
      <c r="I335" s="7" t="str">
        <f>AN335/AM335</f>
      </c>
      <c r="J335" s="7" t="str">
        <f>AM335/Sum(AM$1:AM$458)</f>
      </c>
      <c r="K335" s="7" t="str">
        <f>AN335/Sum(AN1:AN$458)</f>
      </c>
      <c r="O335" t="s">
        <v>424</v>
      </c>
      <c r="P335" t="n">
        <v>66</v>
      </c>
      <c r="Q335" s="11"/>
      <c r="R335" s="11"/>
      <c r="S335" s="11"/>
      <c r="T335" s="11"/>
      <c r="U335" s="11" t="n">
        <v>0</v>
      </c>
      <c r="V335" s="11"/>
      <c r="W335" s="11"/>
      <c r="X335" s="11" t="n">
        <v>0</v>
      </c>
      <c r="Y335" s="11"/>
      <c r="Z335" s="11" t="n">
        <v>32722.6513495143</v>
      </c>
      <c r="AA335" s="11"/>
      <c r="AB335" s="11"/>
      <c r="AC335" s="11" t="n">
        <v>92241.2063824004</v>
      </c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</row>
    <row r="336">
      <c r="A336" t="str">
        <f>O336</f>
      </c>
      <c r="B336" t="str">
        <f>P336</f>
      </c>
      <c r="C336" s="11" t="str">
        <f>AF336</f>
      </c>
      <c r="D336" s="11" t="str">
        <f>AL336</f>
      </c>
      <c r="E336" s="11" t="str">
        <f>AM336</f>
      </c>
      <c r="F336" s="11" t="str">
        <f>AN336</f>
      </c>
      <c r="G336" s="7" t="str">
        <f>AM336/AL336-1</f>
      </c>
      <c r="H336" s="7" t="str">
        <f>AM336/AF336-1</f>
      </c>
      <c r="I336" s="7" t="str">
        <f>AN336/AM336</f>
      </c>
      <c r="J336" s="7" t="str">
        <f>AM336/Sum(AM$1:AM$458)</f>
      </c>
      <c r="K336" s="7" t="str">
        <f>AN336/Sum(AN1:AN$458)</f>
      </c>
      <c r="O336" t="s">
        <v>425</v>
      </c>
      <c r="P336" t="n">
        <v>67</v>
      </c>
      <c r="Q336" s="11"/>
      <c r="R336" s="11"/>
      <c r="S336" s="11"/>
      <c r="T336" s="11"/>
      <c r="U336" s="11"/>
      <c r="V336" s="11"/>
      <c r="W336" s="11" t="n">
        <v>2253503.30849372</v>
      </c>
      <c r="X336" s="11"/>
      <c r="Y336" s="11" t="n">
        <v>67269.1100811103</v>
      </c>
      <c r="Z336" s="11" t="n">
        <v>230669.550544164</v>
      </c>
      <c r="AA336" s="11" t="n">
        <v>5325643.36974357</v>
      </c>
      <c r="AB336" s="11" t="n">
        <v>16679219.4639573</v>
      </c>
      <c r="AC336" s="11" t="n">
        <v>19472577.3043846</v>
      </c>
      <c r="AD336" s="11" t="n">
        <v>10991601.9307464</v>
      </c>
      <c r="AE336" s="11" t="n">
        <v>6044237.34068354</v>
      </c>
      <c r="AF336" s="11" t="n">
        <v>6616963.60654424</v>
      </c>
      <c r="AG336" s="11" t="n">
        <v>5682516.75504242</v>
      </c>
      <c r="AH336" s="11" t="n">
        <v>3478740.37595898</v>
      </c>
      <c r="AI336" s="11" t="n">
        <v>5057637.86010038</v>
      </c>
      <c r="AJ336" s="11" t="n">
        <v>550681.675923345</v>
      </c>
      <c r="AK336" s="11" t="n">
        <v>1209122.52128474</v>
      </c>
      <c r="AL336" s="11" t="n">
        <v>872071.398779243</v>
      </c>
      <c r="AM336" s="11" t="n">
        <v>214638.8437</v>
      </c>
      <c r="AN336" s="11" t="n">
        <v>228958.332305814</v>
      </c>
      <c r="AO336" s="11"/>
    </row>
    <row r="337">
      <c r="A337" t="str">
        <f>O337</f>
      </c>
      <c r="B337" t="str">
        <f>P337</f>
      </c>
      <c r="C337" s="11" t="str">
        <f>AF337</f>
      </c>
      <c r="D337" s="11" t="str">
        <f>AL337</f>
      </c>
      <c r="E337" s="11" t="str">
        <f>AM337</f>
      </c>
      <c r="F337" s="11" t="str">
        <f>AN337</f>
      </c>
      <c r="G337" s="7" t="str">
        <f>AM337/AL337-1</f>
      </c>
      <c r="H337" s="7" t="str">
        <f>AM337/AF337-1</f>
      </c>
      <c r="I337" s="7" t="str">
        <f>AN337/AM337</f>
      </c>
      <c r="J337" s="7" t="str">
        <f>AM337/Sum(AM$1:AM$458)</f>
      </c>
      <c r="K337" s="7" t="str">
        <f>AN337/Sum(AN1:AN$458)</f>
      </c>
      <c r="O337" t="s">
        <v>426</v>
      </c>
      <c r="P337" t="n">
        <v>68</v>
      </c>
      <c r="Q337" s="11"/>
      <c r="R337" s="11"/>
      <c r="S337" s="11"/>
      <c r="T337" s="11"/>
      <c r="U337" s="11"/>
      <c r="V337" s="11"/>
      <c r="W337" s="11"/>
      <c r="X337" s="11" t="n">
        <v>11457392.8160427</v>
      </c>
      <c r="Y337" s="11" t="n">
        <v>1212312.52654476</v>
      </c>
      <c r="Z337" s="11" t="n">
        <v>0</v>
      </c>
      <c r="AA337" s="11"/>
      <c r="AB337" s="11" t="n">
        <v>672357.197146548</v>
      </c>
      <c r="AC337" s="11" t="n">
        <v>4871488.65300935</v>
      </c>
      <c r="AD337" s="11" t="n">
        <v>-5004953.85469337</v>
      </c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</row>
    <row r="338">
      <c r="A338" t="str">
        <f>O338</f>
      </c>
      <c r="B338" t="str">
        <f>P338</f>
      </c>
      <c r="C338" s="11" t="str">
        <f>AF338</f>
      </c>
      <c r="D338" s="11" t="str">
        <f>AL338</f>
      </c>
      <c r="E338" s="11" t="str">
        <f>AM338</f>
      </c>
      <c r="F338" s="11" t="str">
        <f>AN338</f>
      </c>
      <c r="G338" s="7" t="str">
        <f>AM338/AL338-1</f>
      </c>
      <c r="H338" s="7" t="str">
        <f>AM338/AF338-1</f>
      </c>
      <c r="I338" s="7" t="str">
        <f>AN338/AM338</f>
      </c>
      <c r="J338" s="7" t="str">
        <f>AM338/Sum(AM$1:AM$458)</f>
      </c>
      <c r="K338" s="7" t="str">
        <f>AN338/Sum(AN1:AN$458)</f>
      </c>
      <c r="O338" t="s">
        <v>427</v>
      </c>
      <c r="P338" t="n">
        <v>1374</v>
      </c>
      <c r="Q338" s="11"/>
      <c r="R338" s="11"/>
      <c r="S338" s="11"/>
      <c r="T338" s="11" t="n">
        <v>35461702.1086473</v>
      </c>
      <c r="U338" s="11" t="n">
        <v>108487600.186381</v>
      </c>
      <c r="V338" s="11" t="n">
        <v>98387367.9647301</v>
      </c>
      <c r="W338" s="11" t="n">
        <v>73941301.7578574</v>
      </c>
      <c r="X338" s="11" t="n">
        <v>24254938.8470911</v>
      </c>
      <c r="Y338" s="11" t="n">
        <v>1007431.38483605</v>
      </c>
      <c r="Z338" s="11" t="n">
        <v>11116926.2193759</v>
      </c>
      <c r="AA338" s="11" t="n">
        <v>-2441146.57383724</v>
      </c>
      <c r="AB338" s="11" t="n">
        <v>2.41087983596415</v>
      </c>
      <c r="AC338" s="11" t="n">
        <v>-182772.283365127</v>
      </c>
      <c r="AD338" s="11"/>
      <c r="AE338" s="11"/>
      <c r="AF338" s="11"/>
      <c r="AG338" s="11"/>
      <c r="AH338" s="11"/>
      <c r="AI338" s="11" t="n">
        <v>-885145.935415868</v>
      </c>
      <c r="AJ338" s="11"/>
      <c r="AK338" s="11"/>
      <c r="AL338" s="11"/>
      <c r="AM338" s="11"/>
      <c r="AN338" s="11"/>
      <c r="AO338" s="11"/>
    </row>
    <row r="339">
      <c r="A339" t="str">
        <f>O339</f>
      </c>
      <c r="B339" t="str">
        <f>P339</f>
      </c>
      <c r="C339" s="11" t="str">
        <f>AF339</f>
      </c>
      <c r="D339" s="11" t="str">
        <f>AL339</f>
      </c>
      <c r="E339" s="11" t="str">
        <f>AM339</f>
      </c>
      <c r="F339" s="11" t="str">
        <f>AN339</f>
      </c>
      <c r="G339" s="7" t="str">
        <f>AM339/AL339-1</f>
      </c>
      <c r="H339" s="7" t="str">
        <f>AM339/AF339-1</f>
      </c>
      <c r="I339" s="7" t="str">
        <f>AN339/AM339</f>
      </c>
      <c r="J339" s="7" t="str">
        <f>AM339/Sum(AM$1:AM$458)</f>
      </c>
      <c r="K339" s="7" t="str">
        <f>AN339/Sum(AN1:AN$458)</f>
      </c>
      <c r="O339" t="s">
        <v>428</v>
      </c>
      <c r="P339" t="n">
        <v>1356</v>
      </c>
      <c r="Q339" s="11"/>
      <c r="R339" s="11"/>
      <c r="S339" s="11"/>
      <c r="T339" s="11"/>
      <c r="U339" s="11" t="n">
        <v>15958662.9494558</v>
      </c>
      <c r="V339" s="11" t="n">
        <v>126896157.2659</v>
      </c>
      <c r="W339" s="11" t="n">
        <v>189070523.14184</v>
      </c>
      <c r="X339" s="11" t="n">
        <v>373936133.369374</v>
      </c>
      <c r="Y339" s="11" t="n">
        <v>496735788.75425</v>
      </c>
      <c r="Z339" s="11" t="n">
        <v>263370889.333667</v>
      </c>
      <c r="AA339" s="11" t="n">
        <v>399222225.027891</v>
      </c>
      <c r="AB339" s="11" t="n">
        <v>232901613.846553</v>
      </c>
      <c r="AC339" s="11" t="n">
        <v>247615088.998458</v>
      </c>
      <c r="AD339" s="11" t="n">
        <v>447566287.530635</v>
      </c>
      <c r="AE339" s="11" t="n">
        <v>154934106.569415</v>
      </c>
      <c r="AF339" s="11" t="n">
        <v>3755277.06024959</v>
      </c>
      <c r="AG339" s="11" t="n">
        <v>-2026931.30939849</v>
      </c>
      <c r="AH339" s="11" t="n">
        <v>-214492.890782254</v>
      </c>
      <c r="AI339" s="11" t="n">
        <v>-2133477.50057347</v>
      </c>
      <c r="AJ339" s="11" t="n">
        <v>-2120347.12015399</v>
      </c>
      <c r="AK339" s="11" t="n">
        <v>-424639.042499456</v>
      </c>
      <c r="AL339" s="11" t="n">
        <v>0</v>
      </c>
      <c r="AM339" s="11"/>
      <c r="AN339" s="11"/>
      <c r="AO339" s="11"/>
    </row>
    <row r="340">
      <c r="A340" t="str">
        <f>O340</f>
      </c>
      <c r="B340" t="str">
        <f>P340</f>
      </c>
      <c r="C340" s="11" t="str">
        <f>AF340</f>
      </c>
      <c r="D340" s="11" t="str">
        <f>AL340</f>
      </c>
      <c r="E340" s="11" t="str">
        <f>AM340</f>
      </c>
      <c r="F340" s="11" t="str">
        <f>AN340</f>
      </c>
      <c r="G340" s="7" t="str">
        <f>AM340/AL340-1</f>
      </c>
      <c r="H340" s="7" t="str">
        <f>AM340/AF340-1</f>
      </c>
      <c r="I340" s="7" t="str">
        <f>AN340/AM340</f>
      </c>
      <c r="J340" s="7" t="str">
        <f>AM340/Sum(AM$1:AM$458)</f>
      </c>
      <c r="K340" s="7" t="str">
        <f>AN340/Sum(AN1:AN$458)</f>
      </c>
      <c r="O340" t="s">
        <v>429</v>
      </c>
      <c r="P340" t="n">
        <v>1378</v>
      </c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 t="n">
        <v>6884814.26681565</v>
      </c>
      <c r="AG340" s="11" t="n">
        <v>17972658.0453144</v>
      </c>
      <c r="AH340" s="11" t="n">
        <v>57884900.4112017</v>
      </c>
      <c r="AI340" s="11" t="n">
        <v>366307163.705616</v>
      </c>
      <c r="AJ340" s="11" t="n">
        <v>164475123.911777</v>
      </c>
      <c r="AK340" s="11" t="n">
        <v>237040183.185974</v>
      </c>
      <c r="AL340" s="11" t="n">
        <v>314664460.729459</v>
      </c>
      <c r="AM340" s="11" t="n">
        <v>248790564</v>
      </c>
      <c r="AN340" s="11" t="n">
        <v>8164926.16886625</v>
      </c>
      <c r="AO340" s="11"/>
    </row>
    <row r="341">
      <c r="A341" t="str">
        <f>O341</f>
      </c>
      <c r="B341" t="str">
        <f>P341</f>
      </c>
      <c r="C341" s="11" t="str">
        <f>AF341</f>
      </c>
      <c r="D341" s="11" t="str">
        <f>AL341</f>
      </c>
      <c r="E341" s="11" t="str">
        <f>AM341</f>
      </c>
      <c r="F341" s="11" t="str">
        <f>AN341</f>
      </c>
      <c r="G341" s="7" t="str">
        <f>AM341/AL341-1</f>
      </c>
      <c r="H341" s="7" t="str">
        <f>AM341/AF341-1</f>
      </c>
      <c r="I341" s="7" t="str">
        <f>AN341/AM341</f>
      </c>
      <c r="J341" s="7" t="str">
        <f>AM341/Sum(AM$1:AM$458)</f>
      </c>
      <c r="K341" s="7" t="str">
        <f>AN341/Sum(AN1:AN$458)</f>
      </c>
      <c r="O341" t="s">
        <v>430</v>
      </c>
      <c r="P341" t="n">
        <v>689</v>
      </c>
      <c r="Q341" s="11"/>
      <c r="R341" s="11"/>
      <c r="S341" s="11"/>
      <c r="T341" s="11"/>
      <c r="U341" s="11" t="n">
        <v>99074656.9593766</v>
      </c>
      <c r="V341" s="11" t="n">
        <v>81758703.414903</v>
      </c>
      <c r="W341" s="11" t="n">
        <v>110945718.290871</v>
      </c>
      <c r="X341" s="11" t="n">
        <v>29401268.2006953</v>
      </c>
      <c r="Y341" s="11" t="n">
        <v>68826247.4524552</v>
      </c>
      <c r="Z341" s="11" t="n">
        <v>77771617.0804062</v>
      </c>
      <c r="AA341" s="11" t="n">
        <v>115605237.931711</v>
      </c>
      <c r="AB341" s="11" t="n">
        <v>92533804.1246899</v>
      </c>
      <c r="AC341" s="11" t="n">
        <v>44652167.3817333</v>
      </c>
      <c r="AD341" s="11" t="n">
        <v>39937948.8241875</v>
      </c>
      <c r="AE341" s="11" t="n">
        <v>26731802.3415822</v>
      </c>
      <c r="AF341" s="11" t="n">
        <v>7666638.20709437</v>
      </c>
      <c r="AG341" s="11" t="n">
        <v>3890452.11539465</v>
      </c>
      <c r="AH341" s="11" t="n">
        <v>3818000.96352403</v>
      </c>
      <c r="AI341" s="11" t="n">
        <v>272290.909778464</v>
      </c>
      <c r="AJ341" s="11" t="n">
        <v>692761.85685577</v>
      </c>
      <c r="AK341" s="11" t="n">
        <v>-94722.2368929333</v>
      </c>
      <c r="AL341" s="11" t="n">
        <v>93382.7036675076</v>
      </c>
      <c r="AM341" s="11" t="n">
        <v>-64499.0186</v>
      </c>
      <c r="AN341" s="11" t="n">
        <v>-288535.514972136</v>
      </c>
      <c r="AO341" s="11"/>
    </row>
    <row r="342">
      <c r="A342" t="str">
        <f>O342</f>
      </c>
      <c r="B342" t="str">
        <f>P342</f>
      </c>
      <c r="C342" s="11" t="str">
        <f>AF342</f>
      </c>
      <c r="D342" s="11" t="str">
        <f>AL342</f>
      </c>
      <c r="E342" s="11" t="str">
        <f>AM342</f>
      </c>
      <c r="F342" s="11" t="str">
        <f>AN342</f>
      </c>
      <c r="G342" s="7" t="str">
        <f>AM342/AL342-1</f>
      </c>
      <c r="H342" s="7" t="str">
        <f>AM342/AF342-1</f>
      </c>
      <c r="I342" s="7" t="str">
        <f>AN342/AM342</f>
      </c>
      <c r="J342" s="7" t="str">
        <f>AM342/Sum(AM$1:AM$458)</f>
      </c>
      <c r="K342" s="7" t="str">
        <f>AN342/Sum(AN1:AN$458)</f>
      </c>
      <c r="O342" t="s">
        <v>431</v>
      </c>
      <c r="P342" t="n">
        <v>2241</v>
      </c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 t="n">
        <v>1916270.67287135</v>
      </c>
      <c r="AK342" s="11" t="n">
        <v>22180187.7050865</v>
      </c>
      <c r="AL342" s="11" t="n">
        <v>36056955.7844532</v>
      </c>
      <c r="AM342" s="11" t="n">
        <v>66104298.0156</v>
      </c>
      <c r="AN342" s="11" t="n">
        <v>43091269.3846918</v>
      </c>
      <c r="AO342" s="11"/>
    </row>
    <row r="343">
      <c r="A343" t="str">
        <f>O343</f>
      </c>
      <c r="B343" t="str">
        <f>P343</f>
      </c>
      <c r="C343" s="11" t="str">
        <f>AF343</f>
      </c>
      <c r="D343" s="11" t="str">
        <f>AL343</f>
      </c>
      <c r="E343" s="11" t="str">
        <f>AM343</f>
      </c>
      <c r="F343" s="11" t="str">
        <f>AN343</f>
      </c>
      <c r="G343" s="7" t="str">
        <f>AM343/AL343-1</f>
      </c>
      <c r="H343" s="7" t="str">
        <f>AM343/AF343-1</f>
      </c>
      <c r="I343" s="7" t="str">
        <f>AN343/AM343</f>
      </c>
      <c r="J343" s="7" t="str">
        <f>AM343/Sum(AM$1:AM$458)</f>
      </c>
      <c r="K343" s="7" t="str">
        <f>AN343/Sum(AN1:AN$458)</f>
      </c>
      <c r="O343" t="s">
        <v>432</v>
      </c>
      <c r="P343" t="n">
        <v>2001</v>
      </c>
      <c r="Q343" s="11"/>
      <c r="R343" s="11"/>
      <c r="S343" s="11"/>
      <c r="T343" s="11"/>
      <c r="U343" s="11"/>
      <c r="V343" s="11"/>
      <c r="W343" s="11"/>
      <c r="X343" s="11"/>
      <c r="Y343" s="11"/>
      <c r="Z343" s="11" t="n">
        <v>9870.65284061098</v>
      </c>
      <c r="AA343" s="11"/>
      <c r="AB343" s="11"/>
      <c r="AC343" s="11"/>
      <c r="AD343" s="11"/>
      <c r="AE343" s="11"/>
      <c r="AF343" s="11"/>
      <c r="AG343" s="11"/>
      <c r="AH343" s="11" t="n">
        <v>4102138.92695312</v>
      </c>
      <c r="AI343" s="11" t="n">
        <v>4980913.63834221</v>
      </c>
      <c r="AJ343" s="11" t="n">
        <v>8892473.48118763</v>
      </c>
      <c r="AK343" s="11" t="n">
        <v>7565349.51895834</v>
      </c>
      <c r="AL343" s="11" t="n">
        <v>7573924.74545951</v>
      </c>
      <c r="AM343" s="11" t="n">
        <v>6353747</v>
      </c>
      <c r="AN343" s="11" t="n">
        <v>305179.266934773</v>
      </c>
      <c r="AO343" s="11"/>
    </row>
    <row r="344">
      <c r="A344" t="str">
        <f>O344</f>
      </c>
      <c r="B344" t="str">
        <f>P344</f>
      </c>
      <c r="C344" s="11" t="str">
        <f>AF344</f>
      </c>
      <c r="D344" s="11" t="str">
        <f>AL344</f>
      </c>
      <c r="E344" s="11" t="str">
        <f>AM344</f>
      </c>
      <c r="F344" s="11" t="str">
        <f>AN344</f>
      </c>
      <c r="G344" s="7" t="str">
        <f>AM344/AL344-1</f>
      </c>
      <c r="H344" s="7" t="str">
        <f>AM344/AF344-1</f>
      </c>
      <c r="I344" s="7" t="str">
        <f>AN344/AM344</f>
      </c>
      <c r="J344" s="7" t="str">
        <f>AM344/Sum(AM$1:AM$458)</f>
      </c>
      <c r="K344" s="7" t="str">
        <f>AN344/Sum(AN1:AN$458)</f>
      </c>
      <c r="O344" t="s">
        <v>433</v>
      </c>
      <c r="P344" t="n">
        <v>2245</v>
      </c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 t="n">
        <v>1087766.01417533</v>
      </c>
      <c r="AK344" s="11" t="n">
        <v>4359347.84679274</v>
      </c>
      <c r="AL344" s="11" t="n">
        <v>3585672.04045274</v>
      </c>
      <c r="AM344" s="11" t="n">
        <v>3342892.9844</v>
      </c>
      <c r="AN344" s="11" t="n">
        <v>-906356.328817409</v>
      </c>
      <c r="AO344" s="11"/>
    </row>
    <row r="345">
      <c r="A345" t="str">
        <f>O345</f>
      </c>
      <c r="B345" t="str">
        <f>P345</f>
      </c>
      <c r="C345" s="11" t="str">
        <f>AF345</f>
      </c>
      <c r="D345" s="11" t="str">
        <f>AL345</f>
      </c>
      <c r="E345" s="11" t="str">
        <f>AM345</f>
      </c>
      <c r="F345" s="11" t="str">
        <f>AN345</f>
      </c>
      <c r="G345" s="7" t="str">
        <f>AM345/AL345-1</f>
      </c>
      <c r="H345" s="7" t="str">
        <f>AM345/AF345-1</f>
      </c>
      <c r="I345" s="7" t="str">
        <f>AN345/AM345</f>
      </c>
      <c r="J345" s="7" t="str">
        <f>AM345/Sum(AM$1:AM$458)</f>
      </c>
      <c r="K345" s="7" t="str">
        <f>AN345/Sum(AN1:AN$458)</f>
      </c>
      <c r="O345" t="s">
        <v>434</v>
      </c>
      <c r="P345" t="n">
        <v>776</v>
      </c>
      <c r="Q345" s="11" t="n">
        <v>71092.1221898435</v>
      </c>
      <c r="R345" s="11" t="n">
        <v>330355.262617069</v>
      </c>
      <c r="S345" s="11" t="n">
        <v>44773.5581450995</v>
      </c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</row>
    <row r="346">
      <c r="A346" t="str">
        <f>O346</f>
      </c>
      <c r="B346" t="str">
        <f>P346</f>
      </c>
      <c r="C346" s="11" t="str">
        <f>AF346</f>
      </c>
      <c r="D346" s="11" t="str">
        <f>AL346</f>
      </c>
      <c r="E346" s="11" t="str">
        <f>AM346</f>
      </c>
      <c r="F346" s="11" t="str">
        <f>AN346</f>
      </c>
      <c r="G346" s="7" t="str">
        <f>AM346/AL346-1</f>
      </c>
      <c r="H346" s="7" t="str">
        <f>AM346/AF346-1</f>
      </c>
      <c r="I346" s="7" t="str">
        <f>AN346/AM346</f>
      </c>
      <c r="J346" s="7" t="str">
        <f>AM346/Sum(AM$1:AM$458)</f>
      </c>
      <c r="K346" s="7" t="str">
        <f>AN346/Sum(AN1:AN$458)</f>
      </c>
      <c r="O346" t="s">
        <v>435</v>
      </c>
      <c r="P346" t="n">
        <v>1016</v>
      </c>
      <c r="Q346" s="11" t="n">
        <v>62179.7552353168</v>
      </c>
      <c r="R346" s="11"/>
      <c r="S346" s="11" t="n">
        <v>180248.086199829</v>
      </c>
      <c r="T346" s="11" t="n">
        <v>2052530.99855944</v>
      </c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</row>
    <row r="347">
      <c r="A347" t="str">
        <f>O347</f>
      </c>
      <c r="B347" t="str">
        <f>P347</f>
      </c>
      <c r="C347" s="11" t="str">
        <f>AF347</f>
      </c>
      <c r="D347" s="11" t="str">
        <f>AL347</f>
      </c>
      <c r="E347" s="11" t="str">
        <f>AM347</f>
      </c>
      <c r="F347" s="11" t="str">
        <f>AN347</f>
      </c>
      <c r="G347" s="7" t="str">
        <f>AM347/AL347-1</f>
      </c>
      <c r="H347" s="7" t="str">
        <f>AM347/AF347-1</f>
      </c>
      <c r="I347" s="7" t="str">
        <f>AN347/AM347</f>
      </c>
      <c r="J347" s="7" t="str">
        <f>AM347/Sum(AM$1:AM$458)</f>
      </c>
      <c r="K347" s="7" t="str">
        <f>AN347/Sum(AN1:AN$458)</f>
      </c>
      <c r="O347" t="s">
        <v>436</v>
      </c>
      <c r="P347" t="n">
        <v>692</v>
      </c>
      <c r="Q347" s="11"/>
      <c r="R347" s="11"/>
      <c r="S347" s="11"/>
      <c r="T347" s="11"/>
      <c r="U347" s="11" t="n">
        <v>686623.433079978</v>
      </c>
      <c r="V347" s="11" t="n">
        <v>17305641.8821369</v>
      </c>
      <c r="W347" s="11" t="n">
        <v>33303409.7536329</v>
      </c>
      <c r="X347" s="11" t="n">
        <v>23706295.2607035</v>
      </c>
      <c r="Y347" s="11" t="n">
        <v>4119298.54281341</v>
      </c>
      <c r="Z347" s="11" t="n">
        <v>362491.931714512</v>
      </c>
      <c r="AA347" s="11" t="n">
        <v>36354226.7103451</v>
      </c>
      <c r="AB347" s="11" t="n">
        <v>-2305561.57623637</v>
      </c>
      <c r="AC347" s="11" t="n">
        <v>-823494.442374127</v>
      </c>
      <c r="AD347" s="11" t="n">
        <v>-1014318.69856115</v>
      </c>
      <c r="AE347" s="11" t="n">
        <v>-658532.433859908</v>
      </c>
      <c r="AF347" s="11" t="n">
        <v>-126822.389057169</v>
      </c>
      <c r="AG347" s="11" t="n">
        <v>0</v>
      </c>
      <c r="AH347" s="11"/>
      <c r="AI347" s="11"/>
      <c r="AJ347" s="11"/>
      <c r="AK347" s="11"/>
      <c r="AL347" s="11" t="n">
        <v>0</v>
      </c>
      <c r="AM347" s="11"/>
      <c r="AN347" s="11"/>
      <c r="AO347" s="11"/>
    </row>
    <row r="348">
      <c r="A348" t="str">
        <f>O348</f>
      </c>
      <c r="B348" t="str">
        <f>P348</f>
      </c>
      <c r="C348" s="11" t="str">
        <f>AF348</f>
      </c>
      <c r="D348" s="11" t="str">
        <f>AL348</f>
      </c>
      <c r="E348" s="11" t="str">
        <f>AM348</f>
      </c>
      <c r="F348" s="11" t="str">
        <f>AN348</f>
      </c>
      <c r="G348" s="7" t="str">
        <f>AM348/AL348-1</f>
      </c>
      <c r="H348" s="7" t="str">
        <f>AM348/AF348-1</f>
      </c>
      <c r="I348" s="7" t="str">
        <f>AN348/AM348</f>
      </c>
      <c r="J348" s="7" t="str">
        <f>AM348/Sum(AM$1:AM$458)</f>
      </c>
      <c r="K348" s="7" t="str">
        <f>AN348/Sum(AN1:AN$458)</f>
      </c>
      <c r="O348" t="s">
        <v>437</v>
      </c>
      <c r="P348" t="n">
        <v>1627</v>
      </c>
      <c r="Q348" s="11" t="n">
        <v>61476528.1199153</v>
      </c>
      <c r="R348" s="11" t="n">
        <v>48864928.8480198</v>
      </c>
      <c r="S348" s="11" t="n">
        <v>63722583.3256905</v>
      </c>
      <c r="T348" s="11" t="n">
        <v>43078460.2171952</v>
      </c>
      <c r="U348" s="11"/>
      <c r="V348" s="11"/>
      <c r="W348" s="11"/>
      <c r="X348" s="11"/>
      <c r="Y348" s="11"/>
      <c r="Z348" s="11"/>
      <c r="AA348" s="11"/>
      <c r="AB348" s="11" t="n">
        <v>-81128.6712459765</v>
      </c>
      <c r="AC348" s="11"/>
      <c r="AD348" s="11"/>
      <c r="AE348" s="11"/>
      <c r="AF348" s="11"/>
      <c r="AG348" s="11"/>
      <c r="AH348" s="11" t="n">
        <v>-139594.60114166</v>
      </c>
      <c r="AI348" s="11"/>
      <c r="AJ348" s="11"/>
      <c r="AK348" s="11"/>
      <c r="AL348" s="11"/>
      <c r="AM348" s="11"/>
      <c r="AN348" s="11"/>
      <c r="AO348" s="11"/>
    </row>
    <row r="349">
      <c r="A349" t="str">
        <f>O349</f>
      </c>
      <c r="B349" t="str">
        <f>P349</f>
      </c>
      <c r="C349" s="11" t="str">
        <f>AF349</f>
      </c>
      <c r="D349" s="11" t="str">
        <f>AL349</f>
      </c>
      <c r="E349" s="11" t="str">
        <f>AM349</f>
      </c>
      <c r="F349" s="11" t="str">
        <f>AN349</f>
      </c>
      <c r="G349" s="7" t="str">
        <f>AM349/AL349-1</f>
      </c>
      <c r="H349" s="7" t="str">
        <f>AM349/AF349-1</f>
      </c>
      <c r="I349" s="7" t="str">
        <f>AN349/AM349</f>
      </c>
      <c r="J349" s="7" t="str">
        <f>AM349/Sum(AM$1:AM$458)</f>
      </c>
      <c r="K349" s="7" t="str">
        <f>AN349/Sum(AN1:AN$458)</f>
      </c>
      <c r="O349" t="s">
        <v>438</v>
      </c>
      <c r="P349" t="n">
        <v>82</v>
      </c>
      <c r="Q349" s="11"/>
      <c r="R349" s="11"/>
      <c r="S349" s="11"/>
      <c r="T349" s="11"/>
      <c r="U349" s="11"/>
      <c r="V349" s="11"/>
      <c r="W349" s="11"/>
      <c r="X349" s="11" t="n">
        <v>4943079.91693073</v>
      </c>
      <c r="Y349" s="11" t="n">
        <v>1444143.96447163</v>
      </c>
      <c r="Z349" s="11" t="n">
        <v>-224486.093400184</v>
      </c>
      <c r="AA349" s="11" t="n">
        <v>163920.932825703</v>
      </c>
      <c r="AB349" s="11" t="n">
        <v>-10553.0494096319</v>
      </c>
      <c r="AC349" s="11"/>
      <c r="AD349" s="11" t="n">
        <v>2826947.32674088</v>
      </c>
      <c r="AE349" s="11" t="n">
        <v>858808.800468828</v>
      </c>
      <c r="AF349" s="11" t="n">
        <v>-1082082.27861511</v>
      </c>
      <c r="AG349" s="11"/>
      <c r="AH349" s="11" t="n">
        <v>-908337.32707716</v>
      </c>
      <c r="AI349" s="11"/>
      <c r="AJ349" s="11"/>
      <c r="AK349" s="11"/>
      <c r="AL349" s="11"/>
      <c r="AM349" s="11"/>
      <c r="AN349" s="11"/>
      <c r="AO349" s="11"/>
    </row>
    <row r="350">
      <c r="A350" t="str">
        <f>O350</f>
      </c>
      <c r="B350" t="str">
        <f>P350</f>
      </c>
      <c r="C350" s="11" t="str">
        <f>AF350</f>
      </c>
      <c r="D350" s="11" t="str">
        <f>AL350</f>
      </c>
      <c r="E350" s="11" t="str">
        <f>AM350</f>
      </c>
      <c r="F350" s="11" t="str">
        <f>AN350</f>
      </c>
      <c r="G350" s="7" t="str">
        <f>AM350/AL350-1</f>
      </c>
      <c r="H350" s="7" t="str">
        <f>AM350/AF350-1</f>
      </c>
      <c r="I350" s="7" t="str">
        <f>AN350/AM350</f>
      </c>
      <c r="J350" s="7" t="str">
        <f>AM350/Sum(AM$1:AM$458)</f>
      </c>
      <c r="K350" s="7" t="str">
        <f>AN350/Sum(AN1:AN$458)</f>
      </c>
      <c r="O350" t="s">
        <v>439</v>
      </c>
      <c r="P350" t="n">
        <v>2002</v>
      </c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 t="n">
        <v>2000653.34985306</v>
      </c>
      <c r="AB350" s="11" t="n">
        <v>-519694.44301213</v>
      </c>
      <c r="AC350" s="11" t="n">
        <v>-286841.307582771</v>
      </c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</row>
    <row r="351">
      <c r="A351" t="str">
        <f>O351</f>
      </c>
      <c r="B351" t="str">
        <f>P351</f>
      </c>
      <c r="C351" s="11" t="str">
        <f>AF351</f>
      </c>
      <c r="D351" s="11" t="str">
        <f>AL351</f>
      </c>
      <c r="E351" s="11" t="str">
        <f>AM351</f>
      </c>
      <c r="F351" s="11" t="str">
        <f>AN351</f>
      </c>
      <c r="G351" s="7" t="str">
        <f>AM351/AL351-1</f>
      </c>
      <c r="H351" s="7" t="str">
        <f>AM351/AF351-1</f>
      </c>
      <c r="I351" s="7" t="str">
        <f>AN351/AM351</f>
      </c>
      <c r="J351" s="7" t="str">
        <f>AM351/Sum(AM$1:AM$458)</f>
      </c>
      <c r="K351" s="7" t="str">
        <f>AN351/Sum(AN1:AN$458)</f>
      </c>
      <c r="O351" t="s">
        <v>440</v>
      </c>
      <c r="P351" t="n">
        <v>479</v>
      </c>
      <c r="Q351" s="11"/>
      <c r="R351" s="11"/>
      <c r="S351" s="11"/>
      <c r="T351" s="11" t="n">
        <v>4749573.9927072</v>
      </c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</row>
    <row r="352">
      <c r="A352" t="str">
        <f>O352</f>
      </c>
      <c r="B352" t="str">
        <f>P352</f>
      </c>
      <c r="C352" s="11" t="str">
        <f>AF352</f>
      </c>
      <c r="D352" s="11" t="str">
        <f>AL352</f>
      </c>
      <c r="E352" s="11" t="str">
        <f>AM352</f>
      </c>
      <c r="F352" s="11" t="str">
        <f>AN352</f>
      </c>
      <c r="G352" s="7" t="str">
        <f>AM352/AL352-1</f>
      </c>
      <c r="H352" s="7" t="str">
        <f>AM352/AF352-1</f>
      </c>
      <c r="I352" s="7" t="str">
        <f>AN352/AM352</f>
      </c>
      <c r="J352" s="7" t="str">
        <f>AM352/Sum(AM$1:AM$458)</f>
      </c>
      <c r="K352" s="7" t="str">
        <f>AN352/Sum(AN1:AN$458)</f>
      </c>
      <c r="O352" t="s">
        <v>441</v>
      </c>
      <c r="P352" t="n">
        <v>944</v>
      </c>
      <c r="Q352" s="11" t="n">
        <v>9351351.11466873</v>
      </c>
      <c r="R352" s="11" t="n">
        <v>8142264.99038982</v>
      </c>
      <c r="S352" s="11" t="n">
        <v>76322.0591931969</v>
      </c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</row>
    <row r="353">
      <c r="A353" t="str">
        <f>O353</f>
      </c>
      <c r="B353" t="str">
        <f>P353</f>
      </c>
      <c r="C353" s="11" t="str">
        <f>AF353</f>
      </c>
      <c r="D353" s="11" t="str">
        <f>AL353</f>
      </c>
      <c r="E353" s="11" t="str">
        <f>AM353</f>
      </c>
      <c r="F353" s="11" t="str">
        <f>AN353</f>
      </c>
      <c r="G353" s="7" t="str">
        <f>AM353/AL353-1</f>
      </c>
      <c r="H353" s="7" t="str">
        <f>AM353/AF353-1</f>
      </c>
      <c r="I353" s="7" t="str">
        <f>AN353/AM353</f>
      </c>
      <c r="J353" s="7" t="str">
        <f>AM353/Sum(AM$1:AM$458)</f>
      </c>
      <c r="K353" s="7" t="str">
        <f>AN353/Sum(AN1:AN$458)</f>
      </c>
      <c r="O353" t="s">
        <v>442</v>
      </c>
      <c r="P353" t="n">
        <v>2098</v>
      </c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 t="n">
        <v>15492066.381329</v>
      </c>
      <c r="AG353" s="11" t="n">
        <v>28134934.8620472</v>
      </c>
      <c r="AH353" s="11" t="n">
        <v>28156639.9708935</v>
      </c>
      <c r="AI353" s="11" t="n">
        <v>12661163.2474976</v>
      </c>
      <c r="AJ353" s="11" t="n">
        <v>-1181590.06426188</v>
      </c>
      <c r="AK353" s="11" t="n">
        <v>-324981.660297063</v>
      </c>
      <c r="AL353" s="11" t="n">
        <v>-548215.603870931</v>
      </c>
      <c r="AM353" s="11" t="n">
        <v>-1261225.79</v>
      </c>
      <c r="AN353" s="11" t="n">
        <v>-191910.716814591</v>
      </c>
      <c r="AO353" s="11"/>
    </row>
    <row r="354">
      <c r="A354" t="str">
        <f>O354</f>
      </c>
      <c r="B354" t="str">
        <f>P354</f>
      </c>
      <c r="C354" s="11" t="str">
        <f>AF354</f>
      </c>
      <c r="D354" s="11" t="str">
        <f>AL354</f>
      </c>
      <c r="E354" s="11" t="str">
        <f>AM354</f>
      </c>
      <c r="F354" s="11" t="str">
        <f>AN354</f>
      </c>
      <c r="G354" s="7" t="str">
        <f>AM354/AL354-1</f>
      </c>
      <c r="H354" s="7" t="str">
        <f>AM354/AF354-1</f>
      </c>
      <c r="I354" s="7" t="str">
        <f>AN354/AM354</f>
      </c>
      <c r="J354" s="7" t="str">
        <f>AM354/Sum(AM$1:AM$458)</f>
      </c>
      <c r="K354" s="7" t="str">
        <f>AN354/Sum(AN1:AN$458)</f>
      </c>
      <c r="O354" t="s">
        <v>443</v>
      </c>
      <c r="P354" t="n">
        <v>1776</v>
      </c>
      <c r="Q354" s="11" t="n">
        <v>6153410.9507429</v>
      </c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</row>
    <row r="355">
      <c r="A355" t="str">
        <f>O355</f>
      </c>
      <c r="B355" t="str">
        <f>P355</f>
      </c>
      <c r="C355" s="11" t="str">
        <f>AF355</f>
      </c>
      <c r="D355" s="11" t="str">
        <f>AL355</f>
      </c>
      <c r="E355" s="11" t="str">
        <f>AM355</f>
      </c>
      <c r="F355" s="11" t="str">
        <f>AN355</f>
      </c>
      <c r="G355" s="7" t="str">
        <f>AM355/AL355-1</f>
      </c>
      <c r="H355" s="7" t="str">
        <f>AM355/AF355-1</f>
      </c>
      <c r="I355" s="7" t="str">
        <f>AN355/AM355</f>
      </c>
      <c r="J355" s="7" t="str">
        <f>AM355/Sum(AM$1:AM$458)</f>
      </c>
      <c r="K355" s="7" t="str">
        <f>AN355/Sum(AN1:AN$458)</f>
      </c>
      <c r="O355" t="s">
        <v>444</v>
      </c>
      <c r="P355" t="n">
        <v>981</v>
      </c>
      <c r="Q355" s="11" t="n">
        <v>10796721.8194503</v>
      </c>
      <c r="R355" s="11" t="n">
        <v>8286771.36125841</v>
      </c>
      <c r="S355" s="11" t="n">
        <v>16665542.6558741</v>
      </c>
      <c r="T355" s="11" t="n">
        <v>37931773.9542114</v>
      </c>
      <c r="U355" s="11"/>
      <c r="V355" s="11"/>
      <c r="W355" s="11"/>
      <c r="X355" s="11"/>
      <c r="Y355" s="11"/>
      <c r="Z355" s="11" t="n">
        <v>33258.0298852832</v>
      </c>
      <c r="AA355" s="11" t="n">
        <v>-8504.26522201801</v>
      </c>
      <c r="AB355" s="11" t="n">
        <v>0</v>
      </c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</row>
    <row r="356">
      <c r="A356" t="str">
        <f>O356</f>
      </c>
      <c r="B356" t="str">
        <f>P356</f>
      </c>
      <c r="C356" s="11" t="str">
        <f>AF356</f>
      </c>
      <c r="D356" s="11" t="str">
        <f>AL356</f>
      </c>
      <c r="E356" s="11" t="str">
        <f>AM356</f>
      </c>
      <c r="F356" s="11" t="str">
        <f>AN356</f>
      </c>
      <c r="G356" s="7" t="str">
        <f>AM356/AL356-1</f>
      </c>
      <c r="H356" s="7" t="str">
        <f>AM356/AF356-1</f>
      </c>
      <c r="I356" s="7" t="str">
        <f>AN356/AM356</f>
      </c>
      <c r="J356" s="7" t="str">
        <f>AM356/Sum(AM$1:AM$458)</f>
      </c>
      <c r="K356" s="7" t="str">
        <f>AN356/Sum(AN1:AN$458)</f>
      </c>
      <c r="O356" t="s">
        <v>445</v>
      </c>
      <c r="P356" t="n">
        <v>979</v>
      </c>
      <c r="Q356" s="11" t="n">
        <v>334800.270802819</v>
      </c>
      <c r="R356" s="11" t="n">
        <v>815025.648958005</v>
      </c>
      <c r="S356" s="11" t="n">
        <v>76095.3261804959</v>
      </c>
      <c r="T356" s="11" t="n">
        <v>109048.918977504</v>
      </c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</row>
    <row r="357">
      <c r="A357" t="str">
        <f>O357</f>
      </c>
      <c r="B357" t="str">
        <f>P357</f>
      </c>
      <c r="C357" s="11" t="str">
        <f>AF357</f>
      </c>
      <c r="D357" s="11" t="str">
        <f>AL357</f>
      </c>
      <c r="E357" s="11" t="str">
        <f>AM357</f>
      </c>
      <c r="F357" s="11" t="str">
        <f>AN357</f>
      </c>
      <c r="G357" s="7" t="str">
        <f>AM357/AL357-1</f>
      </c>
      <c r="H357" s="7" t="str">
        <f>AM357/AF357-1</f>
      </c>
      <c r="I357" s="7" t="str">
        <f>AN357/AM357</f>
      </c>
      <c r="J357" s="7" t="str">
        <f>AM357/Sum(AM$1:AM$458)</f>
      </c>
      <c r="K357" s="7" t="str">
        <f>AN357/Sum(AN1:AN$458)</f>
      </c>
      <c r="O357" t="s">
        <v>446</v>
      </c>
      <c r="P357" t="n">
        <v>1854</v>
      </c>
      <c r="Q357" s="11"/>
      <c r="R357" s="11"/>
      <c r="S357" s="11"/>
      <c r="T357" s="11"/>
      <c r="U357" s="11" t="n">
        <v>628388.617361933</v>
      </c>
      <c r="V357" s="11" t="n">
        <v>1313545.32574035</v>
      </c>
      <c r="W357" s="11" t="n">
        <v>-3387.6805800302</v>
      </c>
      <c r="X357" s="11"/>
      <c r="Y357" s="11" t="n">
        <v>70383.23274323</v>
      </c>
      <c r="Z357" s="11" t="n">
        <v>813932.977551986</v>
      </c>
      <c r="AA357" s="11" t="n">
        <v>0</v>
      </c>
      <c r="AB357" s="11"/>
      <c r="AC357" s="11"/>
      <c r="AD357" s="11"/>
      <c r="AE357" s="11"/>
      <c r="AF357" s="11" t="n">
        <v>1150320.86949624</v>
      </c>
      <c r="AG357" s="11" t="n">
        <v>132896.239256741</v>
      </c>
      <c r="AH357" s="11" t="n">
        <v>18535.7978762702</v>
      </c>
      <c r="AI357" s="11" t="n">
        <v>-22131.5004749398</v>
      </c>
      <c r="AJ357" s="11" t="n">
        <v>702023.85850472</v>
      </c>
      <c r="AK357" s="11" t="n">
        <v>2794423.65082821</v>
      </c>
      <c r="AL357" s="11" t="n">
        <v>6899699.77088246</v>
      </c>
      <c r="AM357" s="11" t="n">
        <v>190002.0781</v>
      </c>
      <c r="AN357" s="11" t="n">
        <v>-4686.55491248233</v>
      </c>
      <c r="AO357" s="11"/>
    </row>
    <row r="358">
      <c r="A358" t="str">
        <f>O358</f>
      </c>
      <c r="B358" t="str">
        <f>P358</f>
      </c>
      <c r="C358" s="11" t="str">
        <f>AF358</f>
      </c>
      <c r="D358" s="11" t="str">
        <f>AL358</f>
      </c>
      <c r="E358" s="11" t="str">
        <f>AM358</f>
      </c>
      <c r="F358" s="11" t="str">
        <f>AN358</f>
      </c>
      <c r="G358" s="7" t="str">
        <f>AM358/AL358-1</f>
      </c>
      <c r="H358" s="7" t="str">
        <f>AM358/AF358-1</f>
      </c>
      <c r="I358" s="7" t="str">
        <f>AN358/AM358</f>
      </c>
      <c r="J358" s="7" t="str">
        <f>AM358/Sum(AM$1:AM$458)</f>
      </c>
      <c r="K358" s="7" t="str">
        <f>AN358/Sum(AN1:AN$458)</f>
      </c>
      <c r="O358" t="s">
        <v>447</v>
      </c>
      <c r="P358" t="n">
        <v>480</v>
      </c>
      <c r="Q358" s="11"/>
      <c r="R358" s="11"/>
      <c r="S358" s="11" t="n">
        <v>541747.474532397</v>
      </c>
      <c r="T358" s="11" t="n">
        <v>54934.3720010481</v>
      </c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</row>
    <row r="359">
      <c r="A359" t="str">
        <f>O359</f>
      </c>
      <c r="B359" t="str">
        <f>P359</f>
      </c>
      <c r="C359" s="11" t="str">
        <f>AF359</f>
      </c>
      <c r="D359" s="11" t="str">
        <f>AL359</f>
      </c>
      <c r="E359" s="11" t="str">
        <f>AM359</f>
      </c>
      <c r="F359" s="11" t="str">
        <f>AN359</f>
      </c>
      <c r="G359" s="7" t="str">
        <f>AM359/AL359-1</f>
      </c>
      <c r="H359" s="7" t="str">
        <f>AM359/AF359-1</f>
      </c>
      <c r="I359" s="7" t="str">
        <f>AN359/AM359</f>
      </c>
      <c r="J359" s="7" t="str">
        <f>AM359/Sum(AM$1:AM$458)</f>
      </c>
      <c r="K359" s="7" t="str">
        <f>AN359/Sum(AN1:AN$458)</f>
      </c>
      <c r="O359" t="s">
        <v>77</v>
      </c>
      <c r="P359" t="n">
        <v>1831</v>
      </c>
      <c r="Q359" s="11"/>
      <c r="R359" s="11" t="n">
        <v>414698.232850795</v>
      </c>
      <c r="S359" s="11" t="n">
        <v>2652156.61523218</v>
      </c>
      <c r="T359" s="11" t="n">
        <v>2733543.49380217</v>
      </c>
      <c r="U359" s="11" t="n">
        <v>311890357.898683</v>
      </c>
      <c r="V359" s="11" t="n">
        <v>281931801.078939</v>
      </c>
      <c r="W359" s="11" t="n">
        <v>376776255.616788</v>
      </c>
      <c r="X359" s="11" t="n">
        <v>497991781.939519</v>
      </c>
      <c r="Y359" s="11" t="n">
        <v>325102962.905486</v>
      </c>
      <c r="Z359" s="11" t="n">
        <v>150540838.448987</v>
      </c>
      <c r="AA359" s="11" t="n">
        <v>137516494.148258</v>
      </c>
      <c r="AB359" s="11" t="n">
        <v>185895186.055811</v>
      </c>
      <c r="AC359" s="11" t="n">
        <v>260899366.533314</v>
      </c>
      <c r="AD359" s="11" t="n">
        <v>298800915.106338</v>
      </c>
      <c r="AE359" s="11" t="n">
        <v>286452595.804917</v>
      </c>
      <c r="AF359" s="11" t="n">
        <v>261862914.342205</v>
      </c>
      <c r="AG359" s="11" t="n">
        <v>572806232.312819</v>
      </c>
      <c r="AH359" s="11" t="n">
        <v>502727141.090319</v>
      </c>
      <c r="AI359" s="11" t="n">
        <v>548301384.236423</v>
      </c>
      <c r="AJ359" s="11" t="n">
        <v>703973272.925908</v>
      </c>
      <c r="AK359" s="11" t="n">
        <v>763526255.066027</v>
      </c>
      <c r="AL359" s="11" t="n">
        <v>549146911.753927</v>
      </c>
      <c r="AM359" s="11" t="n">
        <v>459632618.0985</v>
      </c>
      <c r="AN359" s="11" t="n">
        <v>183850871.225145</v>
      </c>
      <c r="AO359" s="11"/>
    </row>
    <row r="360">
      <c r="A360" t="str">
        <f>O360</f>
      </c>
      <c r="B360" t="str">
        <f>P360</f>
      </c>
      <c r="C360" s="11" t="str">
        <f>AF360</f>
      </c>
      <c r="D360" s="11" t="str">
        <f>AL360</f>
      </c>
      <c r="E360" s="11" t="str">
        <f>AM360</f>
      </c>
      <c r="F360" s="11" t="str">
        <f>AN360</f>
      </c>
      <c r="G360" s="7" t="str">
        <f>AM360/AL360-1</f>
      </c>
      <c r="H360" s="7" t="str">
        <f>AM360/AF360-1</f>
      </c>
      <c r="I360" s="7" t="str">
        <f>AN360/AM360</f>
      </c>
      <c r="J360" s="7" t="str">
        <f>AM360/Sum(AM$1:AM$458)</f>
      </c>
      <c r="K360" s="7" t="str">
        <f>AN360/Sum(AN1:AN$458)</f>
      </c>
      <c r="O360" t="s">
        <v>448</v>
      </c>
      <c r="P360" t="n">
        <v>1226</v>
      </c>
      <c r="Q360" s="11" t="n">
        <v>463157.097416582</v>
      </c>
      <c r="R360" s="11"/>
      <c r="S360" s="11" t="n">
        <v>72092656.1166315</v>
      </c>
      <c r="T360" s="11" t="n">
        <v>247744.112775545</v>
      </c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</row>
    <row r="361">
      <c r="A361" t="str">
        <f>O361</f>
      </c>
      <c r="B361" t="str">
        <f>P361</f>
      </c>
      <c r="C361" s="11" t="str">
        <f>AF361</f>
      </c>
      <c r="D361" s="11" t="str">
        <f>AL361</f>
      </c>
      <c r="E361" s="11" t="str">
        <f>AM361</f>
      </c>
      <c r="F361" s="11" t="str">
        <f>AN361</f>
      </c>
      <c r="G361" s="7" t="str">
        <f>AM361/AL361-1</f>
      </c>
      <c r="H361" s="7" t="str">
        <f>AM361/AF361-1</f>
      </c>
      <c r="I361" s="7" t="str">
        <f>AN361/AM361</f>
      </c>
      <c r="J361" s="7" t="str">
        <f>AM361/Sum(AM$1:AM$458)</f>
      </c>
      <c r="K361" s="7" t="str">
        <f>AN361/Sum(AN1:AN$458)</f>
      </c>
      <c r="O361" t="s">
        <v>449</v>
      </c>
      <c r="P361" t="n">
        <v>1021</v>
      </c>
      <c r="Q361" s="11"/>
      <c r="R361" s="11"/>
      <c r="S361" s="11" t="n">
        <v>111352.309655512</v>
      </c>
      <c r="T361" s="11" t="n">
        <v>23041.9594737267</v>
      </c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</row>
    <row r="362">
      <c r="A362" t="str">
        <f>O362</f>
      </c>
      <c r="B362" t="str">
        <f>P362</f>
      </c>
      <c r="C362" s="11" t="str">
        <f>AF362</f>
      </c>
      <c r="D362" s="11" t="str">
        <f>AL362</f>
      </c>
      <c r="E362" s="11" t="str">
        <f>AM362</f>
      </c>
      <c r="F362" s="11" t="str">
        <f>AN362</f>
      </c>
      <c r="G362" s="7" t="str">
        <f>AM362/AL362-1</f>
      </c>
      <c r="H362" s="7" t="str">
        <f>AM362/AF362-1</f>
      </c>
      <c r="I362" s="7" t="str">
        <f>AN362/AM362</f>
      </c>
      <c r="J362" s="7" t="str">
        <f>AM362/Sum(AM$1:AM$458)</f>
      </c>
      <c r="K362" s="7" t="str">
        <f>AN362/Sum(AN1:AN$458)</f>
      </c>
      <c r="O362" t="s">
        <v>450</v>
      </c>
      <c r="P362" t="n">
        <v>918</v>
      </c>
      <c r="Q362" s="11" t="n">
        <v>32418054.5747401</v>
      </c>
      <c r="R362" s="11" t="n">
        <v>5520141.47420741</v>
      </c>
      <c r="S362" s="11" t="n">
        <v>5659394.21097849</v>
      </c>
      <c r="T362" s="11" t="n">
        <v>9442366.72135052</v>
      </c>
      <c r="U362" s="11"/>
      <c r="V362" s="11"/>
      <c r="W362" s="11"/>
      <c r="X362" s="11"/>
      <c r="Y362" s="11"/>
      <c r="Z362" s="11"/>
      <c r="AA362" s="11" t="n">
        <v>-364972.965860174</v>
      </c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</row>
    <row r="363">
      <c r="A363" t="str">
        <f>O363</f>
      </c>
      <c r="B363" t="str">
        <f>P363</f>
      </c>
      <c r="C363" s="11" t="str">
        <f>AF363</f>
      </c>
      <c r="D363" s="11" t="str">
        <f>AL363</f>
      </c>
      <c r="E363" s="11" t="str">
        <f>AM363</f>
      </c>
      <c r="F363" s="11" t="str">
        <f>AN363</f>
      </c>
      <c r="G363" s="7" t="str">
        <f>AM363/AL363-1</f>
      </c>
      <c r="H363" s="7" t="str">
        <f>AM363/AF363-1</f>
      </c>
      <c r="I363" s="7" t="str">
        <f>AN363/AM363</f>
      </c>
      <c r="J363" s="7" t="str">
        <f>AM363/Sum(AM$1:AM$458)</f>
      </c>
      <c r="K363" s="7" t="str">
        <f>AN363/Sum(AN1:AN$458)</f>
      </c>
      <c r="O363" t="s">
        <v>451</v>
      </c>
      <c r="P363" t="n">
        <v>977</v>
      </c>
      <c r="Q363" s="11" t="n">
        <v>860718.786272635</v>
      </c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</row>
    <row r="364">
      <c r="A364" t="str">
        <f>O364</f>
      </c>
      <c r="B364" t="str">
        <f>P364</f>
      </c>
      <c r="C364" s="11" t="str">
        <f>AF364</f>
      </c>
      <c r="D364" s="11" t="str">
        <f>AL364</f>
      </c>
      <c r="E364" s="11" t="str">
        <f>AM364</f>
      </c>
      <c r="F364" s="11" t="str">
        <f>AN364</f>
      </c>
      <c r="G364" s="7" t="str">
        <f>AM364/AL364-1</f>
      </c>
      <c r="H364" s="7" t="str">
        <f>AM364/AF364-1</f>
      </c>
      <c r="I364" s="7" t="str">
        <f>AN364/AM364</f>
      </c>
      <c r="J364" s="7" t="str">
        <f>AM364/Sum(AM$1:AM$458)</f>
      </c>
      <c r="K364" s="7" t="str">
        <f>AN364/Sum(AN1:AN$458)</f>
      </c>
      <c r="O364" t="s">
        <v>452</v>
      </c>
      <c r="P364" t="n">
        <v>975</v>
      </c>
      <c r="Q364" s="11" t="n">
        <v>-228305.887492483</v>
      </c>
      <c r="R364" s="11" t="n">
        <v>1380462.86485674</v>
      </c>
      <c r="S364" s="11" t="n">
        <v>1842143.60956257</v>
      </c>
      <c r="T364" s="11" t="n">
        <v>42350.5150250521</v>
      </c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</row>
    <row r="365">
      <c r="A365" t="str">
        <f>O365</f>
      </c>
      <c r="B365" t="str">
        <f>P365</f>
      </c>
      <c r="C365" s="11" t="str">
        <f>AF365</f>
      </c>
      <c r="D365" s="11" t="str">
        <f>AL365</f>
      </c>
      <c r="E365" s="11" t="str">
        <f>AM365</f>
      </c>
      <c r="F365" s="11" t="str">
        <f>AN365</f>
      </c>
      <c r="G365" s="7" t="str">
        <f>AM365/AL365-1</f>
      </c>
      <c r="H365" s="7" t="str">
        <f>AM365/AF365-1</f>
      </c>
      <c r="I365" s="7" t="str">
        <f>AN365/AM365</f>
      </c>
      <c r="J365" s="7" t="str">
        <f>AM365/Sum(AM$1:AM$458)</f>
      </c>
      <c r="K365" s="7" t="str">
        <f>AN365/Sum(AN1:AN$458)</f>
      </c>
      <c r="O365" t="s">
        <v>453</v>
      </c>
      <c r="P365" t="n">
        <v>1835</v>
      </c>
      <c r="Q365" s="11"/>
      <c r="R365" s="11"/>
      <c r="S365" s="11"/>
      <c r="T365" s="11"/>
      <c r="U365" s="11"/>
      <c r="V365" s="11"/>
      <c r="W365" s="11"/>
      <c r="X365" s="11"/>
      <c r="Y365" s="11" t="n">
        <v>515679.817295152</v>
      </c>
      <c r="Z365" s="11"/>
      <c r="AA365" s="11"/>
      <c r="AB365" s="11" t="n">
        <v>138984.377320412</v>
      </c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</row>
    <row r="366">
      <c r="A366" t="str">
        <f>O366</f>
      </c>
      <c r="B366" t="str">
        <f>P366</f>
      </c>
      <c r="C366" s="11" t="str">
        <f>AF366</f>
      </c>
      <c r="D366" s="11" t="str">
        <f>AL366</f>
      </c>
      <c r="E366" s="11" t="str">
        <f>AM366</f>
      </c>
      <c r="F366" s="11" t="str">
        <f>AN366</f>
      </c>
      <c r="G366" s="7" t="str">
        <f>AM366/AL366-1</f>
      </c>
      <c r="H366" s="7" t="str">
        <f>AM366/AF366-1</f>
      </c>
      <c r="I366" s="7" t="str">
        <f>AN366/AM366</f>
      </c>
      <c r="J366" s="7" t="str">
        <f>AM366/Sum(AM$1:AM$458)</f>
      </c>
      <c r="K366" s="7" t="str">
        <f>AN366/Sum(AN1:AN$458)</f>
      </c>
      <c r="O366" t="s">
        <v>454</v>
      </c>
      <c r="P366" t="n">
        <v>670</v>
      </c>
      <c r="Q366" s="11"/>
      <c r="R366" s="11"/>
      <c r="S366" s="11"/>
      <c r="T366" s="11"/>
      <c r="U366" s="11"/>
      <c r="V366" s="11"/>
      <c r="W366" s="11"/>
      <c r="X366" s="11" t="n">
        <v>51030.6353968932</v>
      </c>
      <c r="Y366" s="11" t="n">
        <v>3377052.09163431</v>
      </c>
      <c r="Z366" s="11" t="n">
        <v>781737.230492464</v>
      </c>
      <c r="AA366" s="11"/>
      <c r="AB366" s="11" t="n">
        <v>-29.828226055599</v>
      </c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</row>
    <row r="367">
      <c r="A367" t="str">
        <f>O367</f>
      </c>
      <c r="B367" t="str">
        <f>P367</f>
      </c>
      <c r="C367" s="11" t="str">
        <f>AF367</f>
      </c>
      <c r="D367" s="11" t="str">
        <f>AL367</f>
      </c>
      <c r="E367" s="11" t="str">
        <f>AM367</f>
      </c>
      <c r="F367" s="11" t="str">
        <f>AN367</f>
      </c>
      <c r="G367" s="7" t="str">
        <f>AM367/AL367-1</f>
      </c>
      <c r="H367" s="7" t="str">
        <f>AM367/AF367-1</f>
      </c>
      <c r="I367" s="7" t="str">
        <f>AN367/AM367</f>
      </c>
      <c r="J367" s="7" t="str">
        <f>AM367/Sum(AM$1:AM$458)</f>
      </c>
      <c r="K367" s="7" t="str">
        <f>AN367/Sum(AN1:AN$458)</f>
      </c>
      <c r="O367" t="s">
        <v>455</v>
      </c>
      <c r="P367" t="n">
        <v>535</v>
      </c>
      <c r="Q367" s="11" t="n">
        <v>43660564.393572</v>
      </c>
      <c r="R367" s="11" t="n">
        <v>715157120.319772</v>
      </c>
      <c r="S367" s="11" t="n">
        <v>95166793.3998088</v>
      </c>
      <c r="T367" s="11" t="n">
        <v>149017953.546313</v>
      </c>
      <c r="U367" s="11"/>
      <c r="V367" s="11"/>
      <c r="W367" s="11"/>
      <c r="X367" s="11"/>
      <c r="Y367" s="11"/>
      <c r="Z367" s="11"/>
      <c r="AA367" s="11" t="n">
        <v>-9964.39112739712</v>
      </c>
      <c r="AB367" s="11"/>
      <c r="AC367" s="11"/>
      <c r="AD367" s="11"/>
      <c r="AE367" s="11"/>
      <c r="AF367" s="11"/>
      <c r="AG367" s="11" t="n">
        <v>0</v>
      </c>
      <c r="AH367" s="11"/>
      <c r="AI367" s="11"/>
      <c r="AJ367" s="11"/>
      <c r="AK367" s="11"/>
      <c r="AL367" s="11"/>
      <c r="AM367" s="11"/>
      <c r="AN367" s="11"/>
      <c r="AO367" s="11"/>
    </row>
    <row r="368">
      <c r="A368" t="str">
        <f>O368</f>
      </c>
      <c r="B368" t="str">
        <f>P368</f>
      </c>
      <c r="C368" s="11" t="str">
        <f>AF368</f>
      </c>
      <c r="D368" s="11" t="str">
        <f>AL368</f>
      </c>
      <c r="E368" s="11" t="str">
        <f>AM368</f>
      </c>
      <c r="F368" s="11" t="str">
        <f>AN368</f>
      </c>
      <c r="G368" s="7" t="str">
        <f>AM368/AL368-1</f>
      </c>
      <c r="H368" s="7" t="str">
        <f>AM368/AF368-1</f>
      </c>
      <c r="I368" s="7" t="str">
        <f>AN368/AM368</f>
      </c>
      <c r="J368" s="7" t="str">
        <f>AM368/Sum(AM$1:AM$458)</f>
      </c>
      <c r="K368" s="7" t="str">
        <f>AN368/Sum(AN1:AN$458)</f>
      </c>
      <c r="O368" t="s">
        <v>456</v>
      </c>
      <c r="P368" t="n">
        <v>1778</v>
      </c>
      <c r="Q368" s="11" t="n">
        <v>498034.246270899</v>
      </c>
      <c r="R368" s="11"/>
      <c r="S368" s="11" t="n">
        <v>49424.6908371523</v>
      </c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</row>
    <row r="369">
      <c r="A369" t="str">
        <f>O369</f>
      </c>
      <c r="B369" t="str">
        <f>P369</f>
      </c>
      <c r="C369" s="11" t="str">
        <f>AF369</f>
      </c>
      <c r="D369" s="11" t="str">
        <f>AL369</f>
      </c>
      <c r="E369" s="11" t="str">
        <f>AM369</f>
      </c>
      <c r="F369" s="11" t="str">
        <f>AN369</f>
      </c>
      <c r="G369" s="7" t="str">
        <f>AM369/AL369-1</f>
      </c>
      <c r="H369" s="7" t="str">
        <f>AM369/AF369-1</f>
      </c>
      <c r="I369" s="7" t="str">
        <f>AN369/AM369</f>
      </c>
      <c r="J369" s="7" t="str">
        <f>AM369/Sum(AM$1:AM$458)</f>
      </c>
      <c r="K369" s="7" t="str">
        <f>AN369/Sum(AN1:AN$458)</f>
      </c>
      <c r="O369" t="s">
        <v>457</v>
      </c>
      <c r="P369" t="n">
        <v>1705</v>
      </c>
      <c r="Q369" s="11" t="n">
        <v>12769922.4483506</v>
      </c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</row>
    <row r="370">
      <c r="A370" t="str">
        <f>O370</f>
      </c>
      <c r="B370" t="str">
        <f>P370</f>
      </c>
      <c r="C370" s="11" t="str">
        <f>AF370</f>
      </c>
      <c r="D370" s="11" t="str">
        <f>AL370</f>
      </c>
      <c r="E370" s="11" t="str">
        <f>AM370</f>
      </c>
      <c r="F370" s="11" t="str">
        <f>AN370</f>
      </c>
      <c r="G370" s="7" t="str">
        <f>AM370/AL370-1</f>
      </c>
      <c r="H370" s="7" t="str">
        <f>AM370/AF370-1</f>
      </c>
      <c r="I370" s="7" t="str">
        <f>AN370/AM370</f>
      </c>
      <c r="J370" s="7" t="str">
        <f>AM370/Sum(AM$1:AM$458)</f>
      </c>
      <c r="K370" s="7" t="str">
        <f>AN370/Sum(AN1:AN$458)</f>
      </c>
      <c r="O370" t="s">
        <v>458</v>
      </c>
      <c r="P370" t="n">
        <v>697</v>
      </c>
      <c r="Q370" s="11"/>
      <c r="R370" s="11"/>
      <c r="S370" s="11"/>
      <c r="T370" s="11"/>
      <c r="U370" s="11" t="n">
        <v>58572955.4689595</v>
      </c>
      <c r="V370" s="11" t="n">
        <v>1309003.58803486</v>
      </c>
      <c r="W370" s="11" t="n">
        <v>-6519885.58364001</v>
      </c>
      <c r="X370" s="11" t="n">
        <v>0</v>
      </c>
      <c r="Y370" s="11" t="n">
        <v>1824097.44891294</v>
      </c>
      <c r="Z370" s="11" t="n">
        <v>1813960.75129936</v>
      </c>
      <c r="AA370" s="11" t="n">
        <v>939323.198883069</v>
      </c>
      <c r="AB370" s="11"/>
      <c r="AC370" s="11" t="n">
        <v>1459801.96782147</v>
      </c>
      <c r="AD370" s="11" t="n">
        <v>7057957.88441998</v>
      </c>
      <c r="AE370" s="11" t="n">
        <v>16165411.1053397</v>
      </c>
      <c r="AF370" s="11" t="n">
        <v>12560019.9964222</v>
      </c>
      <c r="AG370" s="11" t="n">
        <v>10358147.1894584</v>
      </c>
      <c r="AH370" s="11" t="n">
        <v>-243569.428899865</v>
      </c>
      <c r="AI370" s="11" t="n">
        <v>0</v>
      </c>
      <c r="AJ370" s="11" t="n">
        <v>0</v>
      </c>
      <c r="AK370" s="11"/>
      <c r="AL370" s="11" t="n">
        <v>-91425.1669940654</v>
      </c>
      <c r="AM370" s="11" t="n">
        <v>-28770.8301</v>
      </c>
      <c r="AN370" s="11"/>
      <c r="AO370" s="11"/>
    </row>
    <row r="371">
      <c r="A371" t="str">
        <f>O371</f>
      </c>
      <c r="B371" t="str">
        <f>P371</f>
      </c>
      <c r="C371" s="11" t="str">
        <f>AF371</f>
      </c>
      <c r="D371" s="11" t="str">
        <f>AL371</f>
      </c>
      <c r="E371" s="11" t="str">
        <f>AM371</f>
      </c>
      <c r="F371" s="11" t="str">
        <f>AN371</f>
      </c>
      <c r="G371" s="7" t="str">
        <f>AM371/AL371-1</f>
      </c>
      <c r="H371" s="7" t="str">
        <f>AM371/AF371-1</f>
      </c>
      <c r="I371" s="7" t="str">
        <f>AN371/AM371</f>
      </c>
      <c r="J371" s="7" t="str">
        <f>AM371/Sum(AM$1:AM$458)</f>
      </c>
      <c r="K371" s="7" t="str">
        <f>AN371/Sum(AN1:AN$458)</f>
      </c>
      <c r="O371" t="s">
        <v>459</v>
      </c>
      <c r="P371" t="n">
        <v>1385</v>
      </c>
      <c r="Q371" s="11"/>
      <c r="R371" s="11"/>
      <c r="S371" s="11"/>
      <c r="T371" s="11"/>
      <c r="U371" s="11"/>
      <c r="V371" s="11"/>
      <c r="W371" s="11"/>
      <c r="X371" s="11"/>
      <c r="Y371" s="11" t="n">
        <v>-79980.946299125</v>
      </c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</row>
    <row r="372">
      <c r="A372" t="str">
        <f>O372</f>
      </c>
      <c r="B372" t="str">
        <f>P372</f>
      </c>
      <c r="C372" s="11" t="str">
        <f>AF372</f>
      </c>
      <c r="D372" s="11" t="str">
        <f>AL372</f>
      </c>
      <c r="E372" s="11" t="str">
        <f>AM372</f>
      </c>
      <c r="F372" s="11" t="str">
        <f>AN372</f>
      </c>
      <c r="G372" s="7" t="str">
        <f>AM372/AL372-1</f>
      </c>
      <c r="H372" s="7" t="str">
        <f>AM372/AF372-1</f>
      </c>
      <c r="I372" s="7" t="str">
        <f>AN372/AM372</f>
      </c>
      <c r="J372" s="7" t="str">
        <f>AM372/Sum(AM$1:AM$458)</f>
      </c>
      <c r="K372" s="7" t="str">
        <f>AN372/Sum(AN1:AN$458)</f>
      </c>
      <c r="O372" t="s">
        <v>460</v>
      </c>
      <c r="P372" t="n">
        <v>2036</v>
      </c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 t="n">
        <v>19995626.0492522</v>
      </c>
      <c r="AK372" s="11" t="n">
        <v>12172802.2999553</v>
      </c>
      <c r="AL372" s="11" t="n">
        <v>5140752.37744121</v>
      </c>
      <c r="AM372" s="11" t="n">
        <v>4945000</v>
      </c>
      <c r="AN372" s="11" t="n">
        <v>0</v>
      </c>
      <c r="AO372" s="11"/>
    </row>
    <row r="373">
      <c r="A373" t="str">
        <f>O373</f>
      </c>
      <c r="B373" t="str">
        <f>P373</f>
      </c>
      <c r="C373" s="11" t="str">
        <f>AF373</f>
      </c>
      <c r="D373" s="11" t="str">
        <f>AL373</f>
      </c>
      <c r="E373" s="11" t="str">
        <f>AM373</f>
      </c>
      <c r="F373" s="11" t="str">
        <f>AN373</f>
      </c>
      <c r="G373" s="7" t="str">
        <f>AM373/AL373-1</f>
      </c>
      <c r="H373" s="7" t="str">
        <f>AM373/AF373-1</f>
      </c>
      <c r="I373" s="7" t="str">
        <f>AN373/AM373</f>
      </c>
      <c r="J373" s="7" t="str">
        <f>AM373/Sum(AM$1:AM$458)</f>
      </c>
      <c r="K373" s="7" t="str">
        <f>AN373/Sum(AN1:AN$458)</f>
      </c>
      <c r="O373" t="s">
        <v>78</v>
      </c>
      <c r="P373" t="n">
        <v>1805</v>
      </c>
      <c r="Q373" s="11"/>
      <c r="R373" s="11"/>
      <c r="S373" s="11"/>
      <c r="T373" s="11"/>
      <c r="U373" s="11"/>
      <c r="V373" s="11" t="n">
        <v>29619778.3224023</v>
      </c>
      <c r="W373" s="11" t="n">
        <v>127628349.210028</v>
      </c>
      <c r="X373" s="11" t="n">
        <v>271537606.225235</v>
      </c>
      <c r="Y373" s="11" t="n">
        <v>224169384.575851</v>
      </c>
      <c r="Z373" s="11" t="n">
        <v>184007831.397077</v>
      </c>
      <c r="AA373" s="11" t="n">
        <v>129796851.58438</v>
      </c>
      <c r="AB373" s="11" t="n">
        <v>82748172.3369387</v>
      </c>
      <c r="AC373" s="11" t="n">
        <v>-26802.941194886</v>
      </c>
      <c r="AD373" s="11" t="n">
        <v>-23.3359432283569</v>
      </c>
      <c r="AE373" s="11" t="n">
        <v>-150405.162790306</v>
      </c>
      <c r="AF373" s="11" t="n">
        <v>-26159.027743347</v>
      </c>
      <c r="AG373" s="11" t="n">
        <v>-140281.785731273</v>
      </c>
      <c r="AH373" s="11" t="n">
        <v>3897682.03950529</v>
      </c>
      <c r="AI373" s="11" t="n">
        <v>15870354.9227312</v>
      </c>
      <c r="AJ373" s="11" t="n">
        <v>45797563.8515583</v>
      </c>
      <c r="AK373" s="11" t="n">
        <v>72245441.5505122</v>
      </c>
      <c r="AL373" s="11" t="n">
        <v>71527643.1044269</v>
      </c>
      <c r="AM373" s="11" t="n">
        <v>56006244.5396</v>
      </c>
      <c r="AN373" s="11" t="n">
        <v>100146809.60637</v>
      </c>
      <c r="AO373" s="11"/>
    </row>
    <row r="374">
      <c r="A374" t="str">
        <f>O374</f>
      </c>
      <c r="B374" t="str">
        <f>P374</f>
      </c>
      <c r="C374" s="11" t="str">
        <f>AF374</f>
      </c>
      <c r="D374" s="11" t="str">
        <f>AL374</f>
      </c>
      <c r="E374" s="11" t="str">
        <f>AM374</f>
      </c>
      <c r="F374" s="11" t="str">
        <f>AN374</f>
      </c>
      <c r="G374" s="7" t="str">
        <f>AM374/AL374-1</f>
      </c>
      <c r="H374" s="7" t="str">
        <f>AM374/AF374-1</f>
      </c>
      <c r="I374" s="7" t="str">
        <f>AN374/AM374</f>
      </c>
      <c r="J374" s="7" t="str">
        <f>AM374/Sum(AM$1:AM$458)</f>
      </c>
      <c r="K374" s="7" t="str">
        <f>AN374/Sum(AN1:AN$458)</f>
      </c>
      <c r="O374" t="s">
        <v>461</v>
      </c>
      <c r="P374" t="n">
        <v>835</v>
      </c>
      <c r="Q374" s="11" t="n">
        <v>4589481.20636933</v>
      </c>
      <c r="R374" s="11" t="n">
        <v>3471222.67136011</v>
      </c>
      <c r="S374" s="11" t="n">
        <v>-184535.824885224</v>
      </c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</row>
    <row r="375">
      <c r="A375" t="str">
        <f>O375</f>
      </c>
      <c r="B375" t="str">
        <f>P375</f>
      </c>
      <c r="C375" s="11" t="str">
        <f>AF375</f>
      </c>
      <c r="D375" s="11" t="str">
        <f>AL375</f>
      </c>
      <c r="E375" s="11" t="str">
        <f>AM375</f>
      </c>
      <c r="F375" s="11" t="str">
        <f>AN375</f>
      </c>
      <c r="G375" s="7" t="str">
        <f>AM375/AL375-1</f>
      </c>
      <c r="H375" s="7" t="str">
        <f>AM375/AF375-1</f>
      </c>
      <c r="I375" s="7" t="str">
        <f>AN375/AM375</f>
      </c>
      <c r="J375" s="7" t="str">
        <f>AM375/Sum(AM$1:AM$458)</f>
      </c>
      <c r="K375" s="7" t="str">
        <f>AN375/Sum(AN1:AN$458)</f>
      </c>
      <c r="O375" t="s">
        <v>462</v>
      </c>
      <c r="P375" t="n">
        <v>662</v>
      </c>
      <c r="Q375" s="11"/>
      <c r="R375" s="11"/>
      <c r="S375" s="11"/>
      <c r="T375" s="11"/>
      <c r="U375" s="11"/>
      <c r="V375" s="11"/>
      <c r="W375" s="11"/>
      <c r="X375" s="11" t="n">
        <v>0</v>
      </c>
      <c r="Y375" s="11" t="n">
        <v>2093616.41648167</v>
      </c>
      <c r="Z375" s="11" t="n">
        <v>2418146.31480634</v>
      </c>
      <c r="AA375" s="11" t="n">
        <v>3407749.55022248</v>
      </c>
      <c r="AB375" s="11"/>
      <c r="AC375" s="11" t="n">
        <v>-261362.776101462</v>
      </c>
      <c r="AD375" s="11"/>
      <c r="AE375" s="11"/>
      <c r="AF375" s="11" t="n">
        <v>0</v>
      </c>
      <c r="AG375" s="11"/>
      <c r="AH375" s="11"/>
      <c r="AI375" s="11"/>
      <c r="AJ375" s="11"/>
      <c r="AK375" s="11"/>
      <c r="AL375" s="11"/>
      <c r="AM375" s="11"/>
      <c r="AN375" s="11"/>
      <c r="AO375" s="11"/>
    </row>
    <row r="376">
      <c r="A376" t="str">
        <f>O376</f>
      </c>
      <c r="B376" t="str">
        <f>P376</f>
      </c>
      <c r="C376" s="11" t="str">
        <f>AF376</f>
      </c>
      <c r="D376" s="11" t="str">
        <f>AL376</f>
      </c>
      <c r="E376" s="11" t="str">
        <f>AM376</f>
      </c>
      <c r="F376" s="11" t="str">
        <f>AN376</f>
      </c>
      <c r="G376" s="7" t="str">
        <f>AM376/AL376-1</f>
      </c>
      <c r="H376" s="7" t="str">
        <f>AM376/AF376-1</f>
      </c>
      <c r="I376" s="7" t="str">
        <f>AN376/AM376</f>
      </c>
      <c r="J376" s="7" t="str">
        <f>AM376/Sum(AM$1:AM$458)</f>
      </c>
      <c r="K376" s="7" t="str">
        <f>AN376/Sum(AN1:AN$458)</f>
      </c>
      <c r="O376" t="s">
        <v>463</v>
      </c>
      <c r="P376" t="n">
        <v>411</v>
      </c>
      <c r="Q376" s="11"/>
      <c r="R376" s="11" t="n">
        <v>744195.347903812</v>
      </c>
      <c r="S376" s="11" t="n">
        <v>4134920.63483436</v>
      </c>
      <c r="T376" s="11" t="n">
        <v>16434.5964502442</v>
      </c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</row>
    <row r="377">
      <c r="A377" t="str">
        <f>O377</f>
      </c>
      <c r="B377" t="str">
        <f>P377</f>
      </c>
      <c r="C377" s="11" t="str">
        <f>AF377</f>
      </c>
      <c r="D377" s="11" t="str">
        <f>AL377</f>
      </c>
      <c r="E377" s="11" t="str">
        <f>AM377</f>
      </c>
      <c r="F377" s="11" t="str">
        <f>AN377</f>
      </c>
      <c r="G377" s="7" t="str">
        <f>AM377/AL377-1</f>
      </c>
      <c r="H377" s="7" t="str">
        <f>AM377/AF377-1</f>
      </c>
      <c r="I377" s="7" t="str">
        <f>AN377/AM377</f>
      </c>
      <c r="J377" s="7" t="str">
        <f>AM377/Sum(AM$1:AM$458)</f>
      </c>
      <c r="K377" s="7" t="str">
        <f>AN377/Sum(AN1:AN$458)</f>
      </c>
      <c r="O377" t="s">
        <v>464</v>
      </c>
      <c r="P377" t="n">
        <v>1743</v>
      </c>
      <c r="Q377" s="11" t="n">
        <v>452404.413935368</v>
      </c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</row>
    <row r="378">
      <c r="A378" t="str">
        <f>O378</f>
      </c>
      <c r="B378" t="str">
        <f>P378</f>
      </c>
      <c r="C378" s="11" t="str">
        <f>AF378</f>
      </c>
      <c r="D378" s="11" t="str">
        <f>AL378</f>
      </c>
      <c r="E378" s="11" t="str">
        <f>AM378</f>
      </c>
      <c r="F378" s="11" t="str">
        <f>AN378</f>
      </c>
      <c r="G378" s="7" t="str">
        <f>AM378/AL378-1</f>
      </c>
      <c r="H378" s="7" t="str">
        <f>AM378/AF378-1</f>
      </c>
      <c r="I378" s="7" t="str">
        <f>AN378/AM378</f>
      </c>
      <c r="J378" s="7" t="str">
        <f>AM378/Sum(AM$1:AM$458)</f>
      </c>
      <c r="K378" s="7" t="str">
        <f>AN378/Sum(AN1:AN$458)</f>
      </c>
      <c r="O378" t="s">
        <v>465</v>
      </c>
      <c r="P378" t="n">
        <v>2099</v>
      </c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 t="n">
        <v>31165365.5763135</v>
      </c>
      <c r="AG378" s="11" t="n">
        <v>2617098.0554695</v>
      </c>
      <c r="AH378" s="11" t="n">
        <v>2571192.57668841</v>
      </c>
      <c r="AI378" s="11"/>
      <c r="AJ378" s="11"/>
      <c r="AK378" s="11"/>
      <c r="AL378" s="11"/>
      <c r="AM378" s="11"/>
      <c r="AN378" s="11"/>
      <c r="AO378" s="11"/>
    </row>
    <row r="379">
      <c r="A379" t="str">
        <f>O379</f>
      </c>
      <c r="B379" t="str">
        <f>P379</f>
      </c>
      <c r="C379" s="11" t="str">
        <f>AF379</f>
      </c>
      <c r="D379" s="11" t="str">
        <f>AL379</f>
      </c>
      <c r="E379" s="11" t="str">
        <f>AM379</f>
      </c>
      <c r="F379" s="11" t="str">
        <f>AN379</f>
      </c>
      <c r="G379" s="7" t="str">
        <f>AM379/AL379-1</f>
      </c>
      <c r="H379" s="7" t="str">
        <f>AM379/AF379-1</f>
      </c>
      <c r="I379" s="7" t="str">
        <f>AN379/AM379</f>
      </c>
      <c r="J379" s="7" t="str">
        <f>AM379/Sum(AM$1:AM$458)</f>
      </c>
      <c r="K379" s="7" t="str">
        <f>AN379/Sum(AN1:AN$458)</f>
      </c>
      <c r="O379" t="s">
        <v>466</v>
      </c>
      <c r="P379" t="n">
        <v>2100</v>
      </c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 t="n">
        <v>34937.9398152331</v>
      </c>
      <c r="AG379" s="11" t="n">
        <v>52341.96110939</v>
      </c>
      <c r="AH379" s="11"/>
      <c r="AI379" s="11"/>
      <c r="AJ379" s="11"/>
      <c r="AK379" s="11"/>
      <c r="AL379" s="11"/>
      <c r="AM379" s="11"/>
      <c r="AN379" s="11"/>
      <c r="AO379" s="11"/>
    </row>
    <row r="380">
      <c r="A380" t="str">
        <f>O380</f>
      </c>
      <c r="B380" t="str">
        <f>P380</f>
      </c>
      <c r="C380" s="11" t="str">
        <f>AF380</f>
      </c>
      <c r="D380" s="11" t="str">
        <f>AL380</f>
      </c>
      <c r="E380" s="11" t="str">
        <f>AM380</f>
      </c>
      <c r="F380" s="11" t="str">
        <f>AN380</f>
      </c>
      <c r="G380" s="7" t="str">
        <f>AM380/AL380-1</f>
      </c>
      <c r="H380" s="7" t="str">
        <f>AM380/AF380-1</f>
      </c>
      <c r="I380" s="7" t="str">
        <f>AN380/AM380</f>
      </c>
      <c r="J380" s="7" t="str">
        <f>AM380/Sum(AM$1:AM$458)</f>
      </c>
      <c r="K380" s="7" t="str">
        <f>AN380/Sum(AN1:AN$458)</f>
      </c>
      <c r="O380" t="s">
        <v>467</v>
      </c>
      <c r="P380" t="n">
        <v>2102</v>
      </c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 t="n">
        <v>210855.385744593</v>
      </c>
      <c r="AG380" s="11" t="n">
        <v>288138.062781004</v>
      </c>
      <c r="AH380" s="11" t="n">
        <v>20865.6363457013</v>
      </c>
      <c r="AI380" s="11"/>
      <c r="AJ380" s="11"/>
      <c r="AK380" s="11"/>
      <c r="AL380" s="11" t="n">
        <v>-24572.2394103787</v>
      </c>
      <c r="AM380" s="11"/>
      <c r="AN380" s="11"/>
      <c r="AO380" s="11"/>
    </row>
    <row r="381">
      <c r="A381" t="str">
        <f>O381</f>
      </c>
      <c r="B381" t="str">
        <f>P381</f>
      </c>
      <c r="C381" s="11" t="str">
        <f>AF381</f>
      </c>
      <c r="D381" s="11" t="str">
        <f>AL381</f>
      </c>
      <c r="E381" s="11" t="str">
        <f>AM381</f>
      </c>
      <c r="F381" s="11" t="str">
        <f>AN381</f>
      </c>
      <c r="G381" s="7" t="str">
        <f>AM381/AL381-1</f>
      </c>
      <c r="H381" s="7" t="str">
        <f>AM381/AF381-1</f>
      </c>
      <c r="I381" s="7" t="str">
        <f>AN381/AM381</f>
      </c>
      <c r="J381" s="7" t="str">
        <f>AM381/Sum(AM$1:AM$458)</f>
      </c>
      <c r="K381" s="7" t="str">
        <f>AN381/Sum(AN1:AN$458)</f>
      </c>
      <c r="O381" t="s">
        <v>468</v>
      </c>
      <c r="P381" t="n">
        <v>1823</v>
      </c>
      <c r="Q381" s="11"/>
      <c r="R381" s="11"/>
      <c r="S381" s="11"/>
      <c r="T381" s="11"/>
      <c r="U381" s="11" t="n">
        <v>37147340.4055538</v>
      </c>
      <c r="V381" s="11" t="n">
        <v>5121509.43546802</v>
      </c>
      <c r="W381" s="11" t="n">
        <v>3808500.97406303</v>
      </c>
      <c r="X381" s="11" t="n">
        <v>13986708.5358016</v>
      </c>
      <c r="Y381" s="11" t="n">
        <v>22244183.506385</v>
      </c>
      <c r="Z381" s="11" t="n">
        <v>10237346.5627635</v>
      </c>
      <c r="AA381" s="11" t="n">
        <v>7224617.00426771</v>
      </c>
      <c r="AB381" s="11" t="n">
        <v>5480331.44124534</v>
      </c>
      <c r="AC381" s="11" t="n">
        <v>5810656.11411382</v>
      </c>
      <c r="AD381" s="11" t="n">
        <v>3792900.07550717</v>
      </c>
      <c r="AE381" s="11" t="n">
        <v>2265117.25047495</v>
      </c>
      <c r="AF381" s="11" t="n">
        <v>33065.1710815725</v>
      </c>
      <c r="AG381" s="11" t="n">
        <v>6956.72246744801</v>
      </c>
      <c r="AH381" s="11" t="n">
        <v>1585268.59592767</v>
      </c>
      <c r="AI381" s="11" t="n">
        <v>-7106.50327287993</v>
      </c>
      <c r="AJ381" s="11"/>
      <c r="AK381" s="11"/>
      <c r="AL381" s="11"/>
      <c r="AM381" s="11"/>
      <c r="AN381" s="11"/>
      <c r="AO381" s="11"/>
    </row>
    <row r="382">
      <c r="A382" t="str">
        <f>O382</f>
      </c>
      <c r="B382" t="str">
        <f>P382</f>
      </c>
      <c r="C382" s="11" t="str">
        <f>AF382</f>
      </c>
      <c r="D382" s="11" t="str">
        <f>AL382</f>
      </c>
      <c r="E382" s="11" t="str">
        <f>AM382</f>
      </c>
      <c r="F382" s="11" t="str">
        <f>AN382</f>
      </c>
      <c r="G382" s="7" t="str">
        <f>AM382/AL382-1</f>
      </c>
      <c r="H382" s="7" t="str">
        <f>AM382/AF382-1</f>
      </c>
      <c r="I382" s="7" t="str">
        <f>AN382/AM382</f>
      </c>
      <c r="J382" s="7" t="str">
        <f>AM382/Sum(AM$1:AM$458)</f>
      </c>
      <c r="K382" s="7" t="str">
        <f>AN382/Sum(AN1:AN$458)</f>
      </c>
      <c r="O382" t="s">
        <v>469</v>
      </c>
      <c r="P382" t="n">
        <v>2194</v>
      </c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 t="n">
        <v>5960.64087540105</v>
      </c>
      <c r="AJ382" s="11" t="n">
        <v>590944.52153513</v>
      </c>
      <c r="AK382" s="11" t="n">
        <v>0</v>
      </c>
      <c r="AL382" s="11" t="n">
        <v>-11307.7163163244</v>
      </c>
      <c r="AM382" s="11" t="n">
        <v>329024</v>
      </c>
      <c r="AN382" s="11" t="n">
        <v>0</v>
      </c>
      <c r="AO382" s="11"/>
    </row>
    <row r="383">
      <c r="A383" t="str">
        <f>O383</f>
      </c>
      <c r="B383" t="str">
        <f>P383</f>
      </c>
      <c r="C383" s="11" t="str">
        <f>AF383</f>
      </c>
      <c r="D383" s="11" t="str">
        <f>AL383</f>
      </c>
      <c r="E383" s="11" t="str">
        <f>AM383</f>
      </c>
      <c r="F383" s="11" t="str">
        <f>AN383</f>
      </c>
      <c r="G383" s="7" t="str">
        <f>AM383/AL383-1</f>
      </c>
      <c r="H383" s="7" t="str">
        <f>AM383/AF383-1</f>
      </c>
      <c r="I383" s="7" t="str">
        <f>AN383/AM383</f>
      </c>
      <c r="J383" s="7" t="str">
        <f>AM383/Sum(AM$1:AM$458)</f>
      </c>
      <c r="K383" s="7" t="str">
        <f>AN383/Sum(AN1:AN$458)</f>
      </c>
      <c r="O383" t="s">
        <v>470</v>
      </c>
      <c r="P383" t="n">
        <v>1987</v>
      </c>
      <c r="Q383" s="11"/>
      <c r="R383" s="11"/>
      <c r="S383" s="11"/>
      <c r="T383" s="11"/>
      <c r="U383" s="11"/>
      <c r="V383" s="11"/>
      <c r="W383" s="11" t="n">
        <v>13701094.5123385</v>
      </c>
      <c r="X383" s="11" t="n">
        <v>109089819.979785</v>
      </c>
      <c r="Y383" s="11" t="n">
        <v>184584659.744878</v>
      </c>
      <c r="Z383" s="11" t="n">
        <v>191398523.423441</v>
      </c>
      <c r="AA383" s="11" t="n">
        <v>84928461.9658505</v>
      </c>
      <c r="AB383" s="11" t="n">
        <v>54131514.1445788</v>
      </c>
      <c r="AC383" s="11" t="n">
        <v>19369262.697707</v>
      </c>
      <c r="AD383" s="11" t="n">
        <v>5058149.80060216</v>
      </c>
      <c r="AE383" s="11" t="n">
        <v>-526192.378456774</v>
      </c>
      <c r="AF383" s="11" t="n">
        <v>-41960.5621064211</v>
      </c>
      <c r="AG383" s="11" t="n">
        <v>-131297.025921205</v>
      </c>
      <c r="AH383" s="11"/>
      <c r="AI383" s="11"/>
      <c r="AJ383" s="11"/>
      <c r="AK383" s="11" t="n">
        <v>568403.185295571</v>
      </c>
      <c r="AL383" s="11"/>
      <c r="AM383" s="11" t="n">
        <v>0</v>
      </c>
      <c r="AN383" s="11"/>
      <c r="AO383" s="11"/>
    </row>
    <row r="384">
      <c r="A384" t="str">
        <f>O384</f>
      </c>
      <c r="B384" t="str">
        <f>P384</f>
      </c>
      <c r="C384" s="11" t="str">
        <f>AF384</f>
      </c>
      <c r="D384" s="11" t="str">
        <f>AL384</f>
      </c>
      <c r="E384" s="11" t="str">
        <f>AM384</f>
      </c>
      <c r="F384" s="11" t="str">
        <f>AN384</f>
      </c>
      <c r="G384" s="7" t="str">
        <f>AM384/AL384-1</f>
      </c>
      <c r="H384" s="7" t="str">
        <f>AM384/AF384-1</f>
      </c>
      <c r="I384" s="7" t="str">
        <f>AN384/AM384</f>
      </c>
      <c r="J384" s="7" t="str">
        <f>AM384/Sum(AM$1:AM$458)</f>
      </c>
      <c r="K384" s="7" t="str">
        <f>AN384/Sum(AN1:AN$458)</f>
      </c>
      <c r="O384" t="s">
        <v>471</v>
      </c>
      <c r="P384" t="n">
        <v>664</v>
      </c>
      <c r="Q384" s="11"/>
      <c r="R384" s="11"/>
      <c r="S384" s="11"/>
      <c r="T384" s="11"/>
      <c r="U384" s="11"/>
      <c r="V384" s="11"/>
      <c r="W384" s="11"/>
      <c r="X384" s="11" t="n">
        <v>21506277.4975517</v>
      </c>
      <c r="Y384" s="11" t="n">
        <v>5336793.95958193</v>
      </c>
      <c r="Z384" s="11" t="n">
        <v>13747496.8067283</v>
      </c>
      <c r="AA384" s="11" t="n">
        <v>-5716742.9552464</v>
      </c>
      <c r="AB384" s="11" t="n">
        <v>42144.4867959516</v>
      </c>
      <c r="AC384" s="11" t="n">
        <v>175075.441766596</v>
      </c>
      <c r="AD384" s="11" t="n">
        <v>185091.142236285</v>
      </c>
      <c r="AE384" s="11" t="n">
        <v>183790.710163309</v>
      </c>
      <c r="AF384" s="11" t="n">
        <v>-23536.0404199629</v>
      </c>
      <c r="AG384" s="11" t="n">
        <v>7609442.18715243</v>
      </c>
      <c r="AH384" s="11" t="n">
        <v>1233034.0997333</v>
      </c>
      <c r="AI384" s="11" t="n">
        <v>3142715.15464515</v>
      </c>
      <c r="AJ384" s="11" t="n">
        <v>299085.990002464</v>
      </c>
      <c r="AK384" s="11" t="n">
        <v>15087.9247482462</v>
      </c>
      <c r="AL384" s="11"/>
      <c r="AM384" s="11" t="n">
        <v>2586690.0781</v>
      </c>
      <c r="AN384" s="11" t="n">
        <v>4246535.95856278</v>
      </c>
      <c r="AO384" s="11"/>
    </row>
    <row r="385">
      <c r="A385" t="str">
        <f>O385</f>
      </c>
      <c r="B385" t="str">
        <f>P385</f>
      </c>
      <c r="C385" s="11" t="str">
        <f>AF385</f>
      </c>
      <c r="D385" s="11" t="str">
        <f>AL385</f>
      </c>
      <c r="E385" s="11" t="str">
        <f>AM385</f>
      </c>
      <c r="F385" s="11" t="str">
        <f>AN385</f>
      </c>
      <c r="G385" s="7" t="str">
        <f>AM385/AL385-1</f>
      </c>
      <c r="H385" s="7" t="str">
        <f>AM385/AF385-1</f>
      </c>
      <c r="I385" s="7" t="str">
        <f>AN385/AM385</f>
      </c>
      <c r="J385" s="7" t="str">
        <f>AM385/Sum(AM$1:AM$458)</f>
      </c>
      <c r="K385" s="7" t="str">
        <f>AN385/Sum(AN1:AN$458)</f>
      </c>
      <c r="O385" t="s">
        <v>472</v>
      </c>
      <c r="P385" t="n">
        <v>2004</v>
      </c>
      <c r="Q385" s="11"/>
      <c r="R385" s="11"/>
      <c r="S385" s="11"/>
      <c r="T385" s="11"/>
      <c r="U385" s="11"/>
      <c r="V385" s="11"/>
      <c r="W385" s="11"/>
      <c r="X385" s="11"/>
      <c r="Y385" s="11" t="n">
        <v>3095062.66941039</v>
      </c>
      <c r="Z385" s="11" t="n">
        <v>4639842.51172813</v>
      </c>
      <c r="AA385" s="11" t="n">
        <v>383764.675830977</v>
      </c>
      <c r="AB385" s="11" t="n">
        <v>-5535.79020942237</v>
      </c>
      <c r="AC385" s="11" t="n">
        <v>0</v>
      </c>
      <c r="AD385" s="11" t="n">
        <v>352085.464549358</v>
      </c>
      <c r="AE385" s="11"/>
      <c r="AF385" s="11" t="n">
        <v>-465.073799657885</v>
      </c>
      <c r="AG385" s="11"/>
      <c r="AH385" s="11"/>
      <c r="AI385" s="11"/>
      <c r="AJ385" s="11"/>
      <c r="AK385" s="11"/>
      <c r="AL385" s="11"/>
      <c r="AM385" s="11"/>
      <c r="AN385" s="11"/>
      <c r="AO385" s="11"/>
    </row>
    <row r="386">
      <c r="A386" t="str">
        <f>O386</f>
      </c>
      <c r="B386" t="str">
        <f>P386</f>
      </c>
      <c r="C386" s="11" t="str">
        <f>AF386</f>
      </c>
      <c r="D386" s="11" t="str">
        <f>AL386</f>
      </c>
      <c r="E386" s="11" t="str">
        <f>AM386</f>
      </c>
      <c r="F386" s="11" t="str">
        <f>AN386</f>
      </c>
      <c r="G386" s="7" t="str">
        <f>AM386/AL386-1</f>
      </c>
      <c r="H386" s="7" t="str">
        <f>AM386/AF386-1</f>
      </c>
      <c r="I386" s="7" t="str">
        <f>AN386/AM386</f>
      </c>
      <c r="J386" s="7" t="str">
        <f>AM386/Sum(AM$1:AM$458)</f>
      </c>
      <c r="K386" s="7" t="str">
        <f>AN386/Sum(AN1:AN$458)</f>
      </c>
      <c r="O386" t="s">
        <v>473</v>
      </c>
      <c r="P386" t="n">
        <v>2200</v>
      </c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 t="n">
        <v>11653918.6986243</v>
      </c>
      <c r="AI386" s="11" t="n">
        <v>17252151.5873034</v>
      </c>
      <c r="AJ386" s="11" t="n">
        <v>4058817.48582849</v>
      </c>
      <c r="AK386" s="11"/>
      <c r="AL386" s="11"/>
      <c r="AM386" s="11"/>
      <c r="AN386" s="11"/>
      <c r="AO386" s="11"/>
    </row>
    <row r="387">
      <c r="A387" t="str">
        <f>O387</f>
      </c>
      <c r="B387" t="str">
        <f>P387</f>
      </c>
      <c r="C387" s="11" t="str">
        <f>AF387</f>
      </c>
      <c r="D387" s="11" t="str">
        <f>AL387</f>
      </c>
      <c r="E387" s="11" t="str">
        <f>AM387</f>
      </c>
      <c r="F387" s="11" t="str">
        <f>AN387</f>
      </c>
      <c r="G387" s="7" t="str">
        <f>AM387/AL387-1</f>
      </c>
      <c r="H387" s="7" t="str">
        <f>AM387/AF387-1</f>
      </c>
      <c r="I387" s="7" t="str">
        <f>AN387/AM387</f>
      </c>
      <c r="J387" s="7" t="str">
        <f>AM387/Sum(AM$1:AM$458)</f>
      </c>
      <c r="K387" s="7" t="str">
        <f>AN387/Sum(AN1:AN$458)</f>
      </c>
      <c r="O387" t="s">
        <v>474</v>
      </c>
      <c r="P387" t="n">
        <v>456</v>
      </c>
      <c r="Q387" s="11" t="n">
        <v>-261864.600626189</v>
      </c>
      <c r="R387" s="11" t="n">
        <v>156302.744920016</v>
      </c>
      <c r="S387" s="11" t="n">
        <v>7501666.71670581</v>
      </c>
      <c r="T387" s="11" t="n">
        <v>868098.699228434</v>
      </c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</row>
    <row r="388">
      <c r="A388" t="str">
        <f>O388</f>
      </c>
      <c r="B388" t="str">
        <f>P388</f>
      </c>
      <c r="C388" s="11" t="str">
        <f>AF388</f>
      </c>
      <c r="D388" s="11" t="str">
        <f>AL388</f>
      </c>
      <c r="E388" s="11" t="str">
        <f>AM388</f>
      </c>
      <c r="F388" s="11" t="str">
        <f>AN388</f>
      </c>
      <c r="G388" s="7" t="str">
        <f>AM388/AL388-1</f>
      </c>
      <c r="H388" s="7" t="str">
        <f>AM388/AF388-1</f>
      </c>
      <c r="I388" s="7" t="str">
        <f>AN388/AM388</f>
      </c>
      <c r="J388" s="7" t="str">
        <f>AM388/Sum(AM$1:AM$458)</f>
      </c>
      <c r="K388" s="7" t="str">
        <f>AN388/Sum(AN1:AN$458)</f>
      </c>
      <c r="O388" t="s">
        <v>475</v>
      </c>
      <c r="P388" t="n">
        <v>1965</v>
      </c>
      <c r="Q388" s="11"/>
      <c r="R388" s="11"/>
      <c r="S388" s="11"/>
      <c r="T388" s="11"/>
      <c r="U388" s="11" t="n">
        <v>1238850.13385455</v>
      </c>
      <c r="V388" s="11" t="n">
        <v>2137336.56704481</v>
      </c>
      <c r="W388" s="11" t="n">
        <v>8310849.40358192</v>
      </c>
      <c r="X388" s="11" t="n">
        <v>22126.8835080929</v>
      </c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</row>
    <row r="389">
      <c r="A389" t="str">
        <f>O389</f>
      </c>
      <c r="B389" t="str">
        <f>P389</f>
      </c>
      <c r="C389" s="11" t="str">
        <f>AF389</f>
      </c>
      <c r="D389" s="11" t="str">
        <f>AL389</f>
      </c>
      <c r="E389" s="11" t="str">
        <f>AM389</f>
      </c>
      <c r="F389" s="11" t="str">
        <f>AN389</f>
      </c>
      <c r="G389" s="7" t="str">
        <f>AM389/AL389-1</f>
      </c>
      <c r="H389" s="7" t="str">
        <f>AM389/AF389-1</f>
      </c>
      <c r="I389" s="7" t="str">
        <f>AN389/AM389</f>
      </c>
      <c r="J389" s="7" t="str">
        <f>AM389/Sum(AM$1:AM$458)</f>
      </c>
      <c r="K389" s="7" t="str">
        <f>AN389/Sum(AN1:AN$458)</f>
      </c>
      <c r="O389" t="s">
        <v>476</v>
      </c>
      <c r="P389" t="n">
        <v>1966</v>
      </c>
      <c r="Q389" s="11"/>
      <c r="R389" s="11"/>
      <c r="S389" s="11"/>
      <c r="T389" s="11"/>
      <c r="U389" s="11"/>
      <c r="V389" s="11"/>
      <c r="W389" s="11"/>
      <c r="X389" s="11" t="n">
        <v>89500.7651982541</v>
      </c>
      <c r="Y389" s="11" t="n">
        <v>15994.8562440534</v>
      </c>
      <c r="Z389" s="11" t="n">
        <v>53561.4877202619</v>
      </c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</row>
    <row r="390">
      <c r="A390" t="str">
        <f>O390</f>
      </c>
      <c r="B390" t="str">
        <f>P390</f>
      </c>
      <c r="C390" s="11" t="str">
        <f>AF390</f>
      </c>
      <c r="D390" s="11" t="str">
        <f>AL390</f>
      </c>
      <c r="E390" s="11" t="str">
        <f>AM390</f>
      </c>
      <c r="F390" s="11" t="str">
        <f>AN390</f>
      </c>
      <c r="G390" s="7" t="str">
        <f>AM390/AL390-1</f>
      </c>
      <c r="H390" s="7" t="str">
        <f>AM390/AF390-1</f>
      </c>
      <c r="I390" s="7" t="str">
        <f>AN390/AM390</f>
      </c>
      <c r="J390" s="7" t="str">
        <f>AM390/Sum(AM$1:AM$458)</f>
      </c>
      <c r="K390" s="7" t="str">
        <f>AN390/Sum(AN1:AN$458)</f>
      </c>
      <c r="O390" t="s">
        <v>477</v>
      </c>
      <c r="P390" t="n">
        <v>547</v>
      </c>
      <c r="Q390" s="11"/>
      <c r="R390" s="11" t="n">
        <v>174456.351844842</v>
      </c>
      <c r="S390" s="11" t="n">
        <v>66622.2345539443</v>
      </c>
      <c r="T390" s="11" t="n">
        <v>67658.422103926</v>
      </c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</row>
    <row r="391">
      <c r="A391" t="str">
        <f>O391</f>
      </c>
      <c r="B391" t="str">
        <f>P391</f>
      </c>
      <c r="C391" s="11" t="str">
        <f>AF391</f>
      </c>
      <c r="D391" s="11" t="str">
        <f>AL391</f>
      </c>
      <c r="E391" s="11" t="str">
        <f>AM391</f>
      </c>
      <c r="F391" s="11" t="str">
        <f>AN391</f>
      </c>
      <c r="G391" s="7" t="str">
        <f>AM391/AL391-1</f>
      </c>
      <c r="H391" s="7" t="str">
        <f>AM391/AF391-1</f>
      </c>
      <c r="I391" s="7" t="str">
        <f>AN391/AM391</f>
      </c>
      <c r="J391" s="7" t="str">
        <f>AM391/Sum(AM$1:AM$458)</f>
      </c>
      <c r="K391" s="7" t="str">
        <f>AN391/Sum(AN1:AN$458)</f>
      </c>
      <c r="O391" t="s">
        <v>478</v>
      </c>
      <c r="P391" t="n">
        <v>548</v>
      </c>
      <c r="Q391" s="11" t="n">
        <v>130583.302622344</v>
      </c>
      <c r="R391" s="11" t="n">
        <v>14533842.6960745</v>
      </c>
      <c r="S391" s="11" t="n">
        <v>25906771.8235537</v>
      </c>
      <c r="T391" s="11" t="n">
        <v>29562468.2835908</v>
      </c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</row>
    <row r="392">
      <c r="A392" t="str">
        <f>O392</f>
      </c>
      <c r="B392" t="str">
        <f>P392</f>
      </c>
      <c r="C392" s="11" t="str">
        <f>AF392</f>
      </c>
      <c r="D392" s="11" t="str">
        <f>AL392</f>
      </c>
      <c r="E392" s="11" t="str">
        <f>AM392</f>
      </c>
      <c r="F392" s="11" t="str">
        <f>AN392</f>
      </c>
      <c r="G392" s="7" t="str">
        <f>AM392/AL392-1</f>
      </c>
      <c r="H392" s="7" t="str">
        <f>AM392/AF392-1</f>
      </c>
      <c r="I392" s="7" t="str">
        <f>AN392/AM392</f>
      </c>
      <c r="J392" s="7" t="str">
        <f>AM392/Sum(AM$1:AM$458)</f>
      </c>
      <c r="K392" s="7" t="str">
        <f>AN392/Sum(AN1:AN$458)</f>
      </c>
      <c r="O392" t="s">
        <v>479</v>
      </c>
      <c r="P392" t="n">
        <v>2181</v>
      </c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 t="n">
        <v>2854778.74471836</v>
      </c>
      <c r="AJ392" s="11" t="n">
        <v>7805548.84830469</v>
      </c>
      <c r="AK392" s="11" t="n">
        <v>5536168.61571212</v>
      </c>
      <c r="AL392" s="11" t="n">
        <v>16302367.2265166</v>
      </c>
      <c r="AM392" s="11" t="n">
        <v>11742422</v>
      </c>
      <c r="AN392" s="11" t="n">
        <v>8053250.92405966</v>
      </c>
      <c r="AO392" s="11"/>
    </row>
    <row r="393">
      <c r="A393" t="str">
        <f>O393</f>
      </c>
      <c r="B393" t="str">
        <f>P393</f>
      </c>
      <c r="C393" s="11" t="str">
        <f>AF393</f>
      </c>
      <c r="D393" s="11" t="str">
        <f>AL393</f>
      </c>
      <c r="E393" s="11" t="str">
        <f>AM393</f>
      </c>
      <c r="F393" s="11" t="str">
        <f>AN393</f>
      </c>
      <c r="G393" s="7" t="str">
        <f>AM393/AL393-1</f>
      </c>
      <c r="H393" s="7" t="str">
        <f>AM393/AF393-1</f>
      </c>
      <c r="I393" s="7" t="str">
        <f>AN393/AM393</f>
      </c>
      <c r="J393" s="7" t="str">
        <f>AM393/Sum(AM$1:AM$458)</f>
      </c>
      <c r="K393" s="7" t="str">
        <f>AN393/Sum(AN1:AN$458)</f>
      </c>
      <c r="O393" t="s">
        <v>480</v>
      </c>
      <c r="P393" t="n">
        <v>1140</v>
      </c>
      <c r="Q393" s="11" t="n">
        <v>13484004.0382264</v>
      </c>
      <c r="R393" s="11" t="n">
        <v>2414224.64897379</v>
      </c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</row>
    <row r="394">
      <c r="A394" t="str">
        <f>O394</f>
      </c>
      <c r="B394" t="str">
        <f>P394</f>
      </c>
      <c r="C394" s="11" t="str">
        <f>AF394</f>
      </c>
      <c r="D394" s="11" t="str">
        <f>AL394</f>
      </c>
      <c r="E394" s="11" t="str">
        <f>AM394</f>
      </c>
      <c r="F394" s="11" t="str">
        <f>AN394</f>
      </c>
      <c r="G394" s="7" t="str">
        <f>AM394/AL394-1</f>
      </c>
      <c r="H394" s="7" t="str">
        <f>AM394/AF394-1</f>
      </c>
      <c r="I394" s="7" t="str">
        <f>AN394/AM394</f>
      </c>
      <c r="J394" s="7" t="str">
        <f>AM394/Sum(AM$1:AM$458)</f>
      </c>
      <c r="K394" s="7" t="str">
        <f>AN394/Sum(AN1:AN$458)</f>
      </c>
      <c r="O394" t="s">
        <v>481</v>
      </c>
      <c r="P394" t="n">
        <v>1642</v>
      </c>
      <c r="Q394" s="11"/>
      <c r="R394" s="11" t="n">
        <v>32151680.0175708</v>
      </c>
      <c r="S394" s="11" t="n">
        <v>18135830.1479144</v>
      </c>
      <c r="T394" s="11" t="n">
        <v>8515034.9021761</v>
      </c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</row>
    <row r="395">
      <c r="A395" t="str">
        <f>O395</f>
      </c>
      <c r="B395" t="str">
        <f>P395</f>
      </c>
      <c r="C395" s="11" t="str">
        <f>AF395</f>
      </c>
      <c r="D395" s="11" t="str">
        <f>AL395</f>
      </c>
      <c r="E395" s="11" t="str">
        <f>AM395</f>
      </c>
      <c r="F395" s="11" t="str">
        <f>AN395</f>
      </c>
      <c r="G395" s="7" t="str">
        <f>AM395/AL395-1</f>
      </c>
      <c r="H395" s="7" t="str">
        <f>AM395/AF395-1</f>
      </c>
      <c r="I395" s="7" t="str">
        <f>AN395/AM395</f>
      </c>
      <c r="J395" s="7" t="str">
        <f>AM395/Sum(AM$1:AM$458)</f>
      </c>
      <c r="K395" s="7" t="str">
        <f>AN395/Sum(AN1:AN$458)</f>
      </c>
      <c r="O395" t="s">
        <v>482</v>
      </c>
      <c r="P395" t="n">
        <v>1082</v>
      </c>
      <c r="Q395" s="11" t="n">
        <v>5519682.84770224</v>
      </c>
      <c r="R395" s="11"/>
      <c r="S395" s="11" t="n">
        <v>1707880.39486337</v>
      </c>
      <c r="T395" s="11" t="n">
        <v>380959.583918502</v>
      </c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</row>
    <row r="396">
      <c r="A396" t="str">
        <f>O396</f>
      </c>
      <c r="B396" t="str">
        <f>P396</f>
      </c>
      <c r="C396" s="11" t="str">
        <f>AF396</f>
      </c>
      <c r="D396" s="11" t="str">
        <f>AL396</f>
      </c>
      <c r="E396" s="11" t="str">
        <f>AM396</f>
      </c>
      <c r="F396" s="11" t="str">
        <f>AN396</f>
      </c>
      <c r="G396" s="7" t="str">
        <f>AM396/AL396-1</f>
      </c>
      <c r="H396" s="7" t="str">
        <f>AM396/AF396-1</f>
      </c>
      <c r="I396" s="7" t="str">
        <f>AN396/AM396</f>
      </c>
      <c r="J396" s="7" t="str">
        <f>AM396/Sum(AM$1:AM$458)</f>
      </c>
      <c r="K396" s="7" t="str">
        <f>AN396/Sum(AN1:AN$458)</f>
      </c>
      <c r="O396" t="s">
        <v>483</v>
      </c>
      <c r="P396" t="n">
        <v>2258</v>
      </c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 t="n">
        <v>42318635.4185196</v>
      </c>
      <c r="AC396" s="11"/>
      <c r="AD396" s="11"/>
      <c r="AE396" s="11"/>
      <c r="AF396" s="11" t="n">
        <v>846069.850160116</v>
      </c>
      <c r="AG396" s="11" t="n">
        <v>9451706.81710647</v>
      </c>
      <c r="AH396" s="11" t="n">
        <v>44669138.1328122</v>
      </c>
      <c r="AI396" s="11" t="n">
        <v>31125194.7471537</v>
      </c>
      <c r="AJ396" s="11" t="n">
        <v>36291936.5374622</v>
      </c>
      <c r="AK396" s="11" t="n">
        <v>42120405.9388146</v>
      </c>
      <c r="AL396" s="11" t="n">
        <v>15720340.8480171</v>
      </c>
      <c r="AM396" s="11"/>
      <c r="AN396" s="11"/>
      <c r="AO396" s="11"/>
    </row>
    <row r="397">
      <c r="A397" t="str">
        <f>O397</f>
      </c>
      <c r="B397" t="str">
        <f>P397</f>
      </c>
      <c r="C397" s="11" t="str">
        <f>AF397</f>
      </c>
      <c r="D397" s="11" t="str">
        <f>AL397</f>
      </c>
      <c r="E397" s="11" t="str">
        <f>AM397</f>
      </c>
      <c r="F397" s="11" t="str">
        <f>AN397</f>
      </c>
      <c r="G397" s="7" t="str">
        <f>AM397/AL397-1</f>
      </c>
      <c r="H397" s="7" t="str">
        <f>AM397/AF397-1</f>
      </c>
      <c r="I397" s="7" t="str">
        <f>AN397/AM397</f>
      </c>
      <c r="J397" s="7" t="str">
        <f>AM397/Sum(AM$1:AM$458)</f>
      </c>
      <c r="K397" s="7" t="str">
        <f>AN397/Sum(AN1:AN$458)</f>
      </c>
      <c r="O397" t="s">
        <v>484</v>
      </c>
      <c r="P397" t="n">
        <v>1780</v>
      </c>
      <c r="Q397" s="11" t="n">
        <v>203594.912111314</v>
      </c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</row>
    <row r="398">
      <c r="A398" t="str">
        <f>O398</f>
      </c>
      <c r="B398" t="str">
        <f>P398</f>
      </c>
      <c r="C398" s="11" t="str">
        <f>AF398</f>
      </c>
      <c r="D398" s="11" t="str">
        <f>AL398</f>
      </c>
      <c r="E398" s="11" t="str">
        <f>AM398</f>
      </c>
      <c r="F398" s="11" t="str">
        <f>AN398</f>
      </c>
      <c r="G398" s="7" t="str">
        <f>AM398/AL398-1</f>
      </c>
      <c r="H398" s="7" t="str">
        <f>AM398/AF398-1</f>
      </c>
      <c r="I398" s="7" t="str">
        <f>AN398/AM398</f>
      </c>
      <c r="J398" s="7" t="str">
        <f>AM398/Sum(AM$1:AM$458)</f>
      </c>
      <c r="K398" s="7" t="str">
        <f>AN398/Sum(AN1:AN$458)</f>
      </c>
      <c r="O398" t="s">
        <v>485</v>
      </c>
      <c r="P398" t="n">
        <v>1684</v>
      </c>
      <c r="Q398" s="11" t="n">
        <v>318428.078208508</v>
      </c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</row>
    <row r="399">
      <c r="A399" t="str">
        <f>O399</f>
      </c>
      <c r="B399" t="str">
        <f>P399</f>
      </c>
      <c r="C399" s="11" t="str">
        <f>AF399</f>
      </c>
      <c r="D399" s="11" t="str">
        <f>AL399</f>
      </c>
      <c r="E399" s="11" t="str">
        <f>AM399</f>
      </c>
      <c r="F399" s="11" t="str">
        <f>AN399</f>
      </c>
      <c r="G399" s="7" t="str">
        <f>AM399/AL399-1</f>
      </c>
      <c r="H399" s="7" t="str">
        <f>AM399/AF399-1</f>
      </c>
      <c r="I399" s="7" t="str">
        <f>AN399/AM399</f>
      </c>
      <c r="J399" s="7" t="str">
        <f>AM399/Sum(AM$1:AM$458)</f>
      </c>
      <c r="K399" s="7" t="str">
        <f>AN399/Sum(AN1:AN$458)</f>
      </c>
      <c r="O399" t="s">
        <v>486</v>
      </c>
      <c r="P399" t="n">
        <v>1629</v>
      </c>
      <c r="Q399" s="11"/>
      <c r="R399" s="11"/>
      <c r="S399" s="11"/>
      <c r="T399" s="11" t="n">
        <v>129018.820366511</v>
      </c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</row>
    <row r="400">
      <c r="A400" t="str">
        <f>O400</f>
      </c>
      <c r="B400" t="str">
        <f>P400</f>
      </c>
      <c r="C400" s="11" t="str">
        <f>AF400</f>
      </c>
      <c r="D400" s="11" t="str">
        <f>AL400</f>
      </c>
      <c r="E400" s="11" t="str">
        <f>AM400</f>
      </c>
      <c r="F400" s="11" t="str">
        <f>AN400</f>
      </c>
      <c r="G400" s="7" t="str">
        <f>AM400/AL400-1</f>
      </c>
      <c r="H400" s="7" t="str">
        <f>AM400/AF400-1</f>
      </c>
      <c r="I400" s="7" t="str">
        <f>AN400/AM400</f>
      </c>
      <c r="J400" s="7" t="str">
        <f>AM400/Sum(AM$1:AM$458)</f>
      </c>
      <c r="K400" s="7" t="str">
        <f>AN400/Sum(AN1:AN$458)</f>
      </c>
      <c r="O400" t="s">
        <v>80</v>
      </c>
      <c r="P400" t="n">
        <v>1631</v>
      </c>
      <c r="Q400" s="11" t="n">
        <v>2253242.19258639</v>
      </c>
      <c r="R400" s="11" t="n">
        <v>-156652.944845051</v>
      </c>
      <c r="S400" s="11"/>
      <c r="T400" s="11" t="n">
        <v>4176757.066974</v>
      </c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</row>
    <row r="401">
      <c r="A401" t="str">
        <f>O401</f>
      </c>
      <c r="B401" t="str">
        <f>P401</f>
      </c>
      <c r="C401" s="11" t="str">
        <f>AF401</f>
      </c>
      <c r="D401" s="11" t="str">
        <f>AL401</f>
      </c>
      <c r="E401" s="11" t="str">
        <f>AM401</f>
      </c>
      <c r="F401" s="11" t="str">
        <f>AN401</f>
      </c>
      <c r="G401" s="7" t="str">
        <f>AM401/AL401-1</f>
      </c>
      <c r="H401" s="7" t="str">
        <f>AM401/AF401-1</f>
      </c>
      <c r="I401" s="7" t="str">
        <f>AN401/AM401</f>
      </c>
      <c r="J401" s="7" t="str">
        <f>AM401/Sum(AM$1:AM$458)</f>
      </c>
      <c r="K401" s="7" t="str">
        <f>AN401/Sum(AN1:AN$458)</f>
      </c>
      <c r="O401" t="s">
        <v>487</v>
      </c>
      <c r="P401" t="n">
        <v>40</v>
      </c>
      <c r="Q401" s="11"/>
      <c r="R401" s="11"/>
      <c r="S401" s="11"/>
      <c r="T401" s="11"/>
      <c r="U401" s="11"/>
      <c r="V401" s="11"/>
      <c r="W401" s="11"/>
      <c r="X401" s="11" t="n">
        <v>47092.431161197</v>
      </c>
      <c r="Y401" s="11"/>
      <c r="Z401" s="11"/>
      <c r="AA401" s="11"/>
      <c r="AB401" s="11"/>
      <c r="AC401" s="11" t="n">
        <v>-43579.3357916851</v>
      </c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</row>
    <row r="402">
      <c r="A402" t="str">
        <f>O402</f>
      </c>
      <c r="B402" t="str">
        <f>P402</f>
      </c>
      <c r="C402" s="11" t="str">
        <f>AF402</f>
      </c>
      <c r="D402" s="11" t="str">
        <f>AL402</f>
      </c>
      <c r="E402" s="11" t="str">
        <f>AM402</f>
      </c>
      <c r="F402" s="11" t="str">
        <f>AN402</f>
      </c>
      <c r="G402" s="7" t="str">
        <f>AM402/AL402-1</f>
      </c>
      <c r="H402" s="7" t="str">
        <f>AM402/AF402-1</f>
      </c>
      <c r="I402" s="7" t="str">
        <f>AN402/AM402</f>
      </c>
      <c r="J402" s="7" t="str">
        <f>AM402/Sum(AM$1:AM$458)</f>
      </c>
      <c r="K402" s="7" t="str">
        <f>AN402/Sum(AN1:AN$458)</f>
      </c>
      <c r="O402" t="s">
        <v>488</v>
      </c>
      <c r="P402" t="n">
        <v>1782</v>
      </c>
      <c r="Q402" s="11" t="n">
        <v>139017.413482139</v>
      </c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</row>
    <row r="403">
      <c r="A403" t="str">
        <f>O403</f>
      </c>
      <c r="B403" t="str">
        <f>P403</f>
      </c>
      <c r="C403" s="11" t="str">
        <f>AF403</f>
      </c>
      <c r="D403" s="11" t="str">
        <f>AL403</f>
      </c>
      <c r="E403" s="11" t="str">
        <f>AM403</f>
      </c>
      <c r="F403" s="11" t="str">
        <f>AN403</f>
      </c>
      <c r="G403" s="7" t="str">
        <f>AM403/AL403-1</f>
      </c>
      <c r="H403" s="7" t="str">
        <f>AM403/AF403-1</f>
      </c>
      <c r="I403" s="7" t="str">
        <f>AN403/AM403</f>
      </c>
      <c r="J403" s="7" t="str">
        <f>AM403/Sum(AM$1:AM$458)</f>
      </c>
      <c r="K403" s="7" t="str">
        <f>AN403/Sum(AN1:AN$458)</f>
      </c>
      <c r="O403" t="s">
        <v>489</v>
      </c>
      <c r="P403" t="n">
        <v>596</v>
      </c>
      <c r="Q403" s="11"/>
      <c r="R403" s="11"/>
      <c r="S403" s="11" t="n">
        <v>81055.4990747919</v>
      </c>
      <c r="T403" s="11" t="n">
        <v>201483.428581153</v>
      </c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</row>
    <row r="404">
      <c r="A404" t="str">
        <f>O404</f>
      </c>
      <c r="B404" t="str">
        <f>P404</f>
      </c>
      <c r="C404" s="11" t="str">
        <f>AF404</f>
      </c>
      <c r="D404" s="11" t="str">
        <f>AL404</f>
      </c>
      <c r="E404" s="11" t="str">
        <f>AM404</f>
      </c>
      <c r="F404" s="11" t="str">
        <f>AN404</f>
      </c>
      <c r="G404" s="7" t="str">
        <f>AM404/AL404-1</f>
      </c>
      <c r="H404" s="7" t="str">
        <f>AM404/AF404-1</f>
      </c>
      <c r="I404" s="7" t="str">
        <f>AN404/AM404</f>
      </c>
      <c r="J404" s="7" t="str">
        <f>AM404/Sum(AM$1:AM$458)</f>
      </c>
      <c r="K404" s="7" t="str">
        <f>AN404/Sum(AN1:AN$458)</f>
      </c>
      <c r="O404" t="s">
        <v>490</v>
      </c>
      <c r="P404" t="n">
        <v>1979</v>
      </c>
      <c r="Q404" s="11"/>
      <c r="R404" s="11"/>
      <c r="S404" s="11"/>
      <c r="T404" s="11"/>
      <c r="U404" s="11" t="n">
        <v>219910.431432223</v>
      </c>
      <c r="V404" s="11"/>
      <c r="W404" s="11"/>
      <c r="X404" s="11" t="n">
        <v>1614793.01424513</v>
      </c>
      <c r="Y404" s="11" t="n">
        <v>485319.050080004</v>
      </c>
      <c r="Z404" s="11" t="n">
        <v>1362593.47961855</v>
      </c>
      <c r="AA404" s="11" t="n">
        <v>155055.860623575</v>
      </c>
      <c r="AB404" s="11" t="n">
        <v>41549.2056836374</v>
      </c>
      <c r="AC404" s="11" t="n">
        <v>1472422.16819534</v>
      </c>
      <c r="AD404" s="11"/>
      <c r="AE404" s="11" t="n">
        <v>11250.8992075327</v>
      </c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</row>
    <row r="405">
      <c r="A405" t="str">
        <f>O405</f>
      </c>
      <c r="B405" t="str">
        <f>P405</f>
      </c>
      <c r="C405" s="11" t="str">
        <f>AF405</f>
      </c>
      <c r="D405" s="11" t="str">
        <f>AL405</f>
      </c>
      <c r="E405" s="11" t="str">
        <f>AM405</f>
      </c>
      <c r="F405" s="11" t="str">
        <f>AN405</f>
      </c>
      <c r="G405" s="7" t="str">
        <f>AM405/AL405-1</f>
      </c>
      <c r="H405" s="7" t="str">
        <f>AM405/AF405-1</f>
      </c>
      <c r="I405" s="7" t="str">
        <f>AN405/AM405</f>
      </c>
      <c r="J405" s="7" t="str">
        <f>AM405/Sum(AM$1:AM$458)</f>
      </c>
      <c r="K405" s="7" t="str">
        <f>AN405/Sum(AN1:AN$458)</f>
      </c>
      <c r="O405" t="s">
        <v>491</v>
      </c>
      <c r="P405" t="n">
        <v>1327</v>
      </c>
      <c r="Q405" s="11"/>
      <c r="R405" s="11"/>
      <c r="S405" s="11"/>
      <c r="T405" s="11"/>
      <c r="U405" s="11" t="n">
        <v>4169318.28450497</v>
      </c>
      <c r="V405" s="11" t="n">
        <v>12253596.7801638</v>
      </c>
      <c r="W405" s="11" t="n">
        <v>21312463.3754224</v>
      </c>
      <c r="X405" s="11"/>
      <c r="Y405" s="11"/>
      <c r="Z405" s="11"/>
      <c r="AA405" s="11" t="n">
        <v>-2152.15233345758</v>
      </c>
      <c r="AB405" s="11" t="n">
        <v>-11826.135025139</v>
      </c>
      <c r="AC405" s="11" t="n">
        <v>0</v>
      </c>
      <c r="AD405" s="11" t="n">
        <v>-9893.3516601407</v>
      </c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</row>
    <row r="406">
      <c r="A406" t="str">
        <f>O406</f>
      </c>
      <c r="B406" t="str">
        <f>P406</f>
      </c>
      <c r="C406" s="11" t="str">
        <f>AF406</f>
      </c>
      <c r="D406" s="11" t="str">
        <f>AL406</f>
      </c>
      <c r="E406" s="11" t="str">
        <f>AM406</f>
      </c>
      <c r="F406" s="11" t="str">
        <f>AN406</f>
      </c>
      <c r="G406" s="7" t="str">
        <f>AM406/AL406-1</f>
      </c>
      <c r="H406" s="7" t="str">
        <f>AM406/AF406-1</f>
      </c>
      <c r="I406" s="7" t="str">
        <f>AN406/AM406</f>
      </c>
      <c r="J406" s="7" t="str">
        <f>AM406/Sum(AM$1:AM$458)</f>
      </c>
      <c r="K406" s="7" t="str">
        <f>AN406/Sum(AN1:AN$458)</f>
      </c>
      <c r="O406" t="s">
        <v>492</v>
      </c>
      <c r="P406" t="n">
        <v>1328</v>
      </c>
      <c r="Q406" s="11"/>
      <c r="R406" s="11"/>
      <c r="S406" s="11"/>
      <c r="T406" s="11"/>
      <c r="U406" s="11" t="n">
        <v>57889246.0078844</v>
      </c>
      <c r="V406" s="11"/>
      <c r="W406" s="11"/>
      <c r="X406" s="11"/>
      <c r="Y406" s="11"/>
      <c r="Z406" s="11" t="n">
        <v>-168037.923095719</v>
      </c>
      <c r="AA406" s="11"/>
      <c r="AB406" s="11" t="n">
        <v>-49574.7059854135</v>
      </c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</row>
    <row r="407">
      <c r="A407" t="str">
        <f>O407</f>
      </c>
      <c r="B407" t="str">
        <f>P407</f>
      </c>
      <c r="C407" s="11" t="str">
        <f>AF407</f>
      </c>
      <c r="D407" s="11" t="str">
        <f>AL407</f>
      </c>
      <c r="E407" s="11" t="str">
        <f>AM407</f>
      </c>
      <c r="F407" s="11" t="str">
        <f>AN407</f>
      </c>
      <c r="G407" s="7" t="str">
        <f>AM407/AL407-1</f>
      </c>
      <c r="H407" s="7" t="str">
        <f>AM407/AF407-1</f>
      </c>
      <c r="I407" s="7" t="str">
        <f>AN407/AM407</f>
      </c>
      <c r="J407" s="7" t="str">
        <f>AM407/Sum(AM$1:AM$458)</f>
      </c>
      <c r="K407" s="7" t="str">
        <f>AN407/Sum(AN1:AN$458)</f>
      </c>
      <c r="O407" t="s">
        <v>493</v>
      </c>
      <c r="P407" t="n">
        <v>471</v>
      </c>
      <c r="Q407" s="11" t="n">
        <v>18656747.6352619</v>
      </c>
      <c r="R407" s="11" t="n">
        <v>10784898.8643439</v>
      </c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</row>
    <row r="408">
      <c r="A408" t="str">
        <f>O408</f>
      </c>
      <c r="B408" t="str">
        <f>P408</f>
      </c>
      <c r="C408" s="11" t="str">
        <f>AF408</f>
      </c>
      <c r="D408" s="11" t="str">
        <f>AL408</f>
      </c>
      <c r="E408" s="11" t="str">
        <f>AM408</f>
      </c>
      <c r="F408" s="11" t="str">
        <f>AN408</f>
      </c>
      <c r="G408" s="7" t="str">
        <f>AM408/AL408-1</f>
      </c>
      <c r="H408" s="7" t="str">
        <f>AM408/AF408-1</f>
      </c>
      <c r="I408" s="7" t="str">
        <f>AN408/AM408</f>
      </c>
      <c r="J408" s="7" t="str">
        <f>AM408/Sum(AM$1:AM$458)</f>
      </c>
      <c r="K408" s="7" t="str">
        <f>AN408/Sum(AN1:AN$458)</f>
      </c>
      <c r="O408" t="s">
        <v>494</v>
      </c>
      <c r="P408" t="n">
        <v>154</v>
      </c>
      <c r="Q408" s="11" t="n">
        <v>57091.8213085937</v>
      </c>
      <c r="R408" s="11" t="n">
        <v>673197.834272801</v>
      </c>
      <c r="S408" s="11" t="n">
        <v>48401.2863483166</v>
      </c>
      <c r="T408" s="11" t="n">
        <v>703428.157160494</v>
      </c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</row>
    <row r="409">
      <c r="A409" t="str">
        <f>O409</f>
      </c>
      <c r="B409" t="str">
        <f>P409</f>
      </c>
      <c r="C409" s="11" t="str">
        <f>AF409</f>
      </c>
      <c r="D409" s="11" t="str">
        <f>AL409</f>
      </c>
      <c r="E409" s="11" t="str">
        <f>AM409</f>
      </c>
      <c r="F409" s="11" t="str">
        <f>AN409</f>
      </c>
      <c r="G409" s="7" t="str">
        <f>AM409/AL409-1</f>
      </c>
      <c r="H409" s="7" t="str">
        <f>AM409/AF409-1</f>
      </c>
      <c r="I409" s="7" t="str">
        <f>AN409/AM409</f>
      </c>
      <c r="J409" s="7" t="str">
        <f>AM409/Sum(AM$1:AM$458)</f>
      </c>
      <c r="K409" s="7" t="str">
        <f>AN409/Sum(AN1:AN$458)</f>
      </c>
      <c r="O409" t="s">
        <v>495</v>
      </c>
      <c r="P409" t="n">
        <v>546</v>
      </c>
      <c r="Q409" s="11"/>
      <c r="R409" s="11"/>
      <c r="S409" s="11" t="n">
        <v>22129.7632259605</v>
      </c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</row>
    <row r="410">
      <c r="A410" t="str">
        <f>O410</f>
      </c>
      <c r="B410" t="str">
        <f>P410</f>
      </c>
      <c r="C410" s="11" t="str">
        <f>AF410</f>
      </c>
      <c r="D410" s="11" t="str">
        <f>AL410</f>
      </c>
      <c r="E410" s="11" t="str">
        <f>AM410</f>
      </c>
      <c r="F410" s="11" t="str">
        <f>AN410</f>
      </c>
      <c r="G410" s="7" t="str">
        <f>AM410/AL410-1</f>
      </c>
      <c r="H410" s="7" t="str">
        <f>AM410/AF410-1</f>
      </c>
      <c r="I410" s="7" t="str">
        <f>AN410/AM410</f>
      </c>
      <c r="J410" s="7" t="str">
        <f>AM410/Sum(AM$1:AM$458)</f>
      </c>
      <c r="K410" s="7" t="str">
        <f>AN410/Sum(AN1:AN$458)</f>
      </c>
      <c r="O410" t="s">
        <v>496</v>
      </c>
      <c r="P410" t="n">
        <v>706</v>
      </c>
      <c r="Q410" s="11"/>
      <c r="R410" s="11" t="n">
        <v>1178313.90182269</v>
      </c>
      <c r="S410" s="11" t="n">
        <v>1381769.99210225</v>
      </c>
      <c r="T410" s="11" t="n">
        <v>95811.3353555034</v>
      </c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</row>
    <row r="411">
      <c r="A411" t="str">
        <f>O411</f>
      </c>
      <c r="B411" t="str">
        <f>P411</f>
      </c>
      <c r="C411" s="11" t="str">
        <f>AF411</f>
      </c>
      <c r="D411" s="11" t="str">
        <f>AL411</f>
      </c>
      <c r="E411" s="11" t="str">
        <f>AM411</f>
      </c>
      <c r="F411" s="11" t="str">
        <f>AN411</f>
      </c>
      <c r="G411" s="7" t="str">
        <f>AM411/AL411-1</f>
      </c>
      <c r="H411" s="7" t="str">
        <f>AM411/AF411-1</f>
      </c>
      <c r="I411" s="7" t="str">
        <f>AN411/AM411</f>
      </c>
      <c r="J411" s="7" t="str">
        <f>AM411/Sum(AM$1:AM$458)</f>
      </c>
      <c r="K411" s="7" t="str">
        <f>AN411/Sum(AN1:AN$458)</f>
      </c>
      <c r="O411" t="s">
        <v>497</v>
      </c>
      <c r="P411" t="n">
        <v>1956</v>
      </c>
      <c r="Q411" s="11"/>
      <c r="R411" s="11"/>
      <c r="S411" s="11"/>
      <c r="T411" s="11"/>
      <c r="U411" s="11" t="n">
        <v>-919262.225127765</v>
      </c>
      <c r="V411" s="11"/>
      <c r="W411" s="11" t="n">
        <v>76998.0787880408</v>
      </c>
      <c r="X411" s="11"/>
      <c r="Y411" s="11"/>
      <c r="Z411" s="11" t="n">
        <v>603472.440245875</v>
      </c>
      <c r="AA411" s="11" t="n">
        <v>66425.2622843181</v>
      </c>
      <c r="AB411" s="11"/>
      <c r="AC411" s="11" t="n">
        <v>33817.6209909876</v>
      </c>
      <c r="AD411" s="11" t="n">
        <v>77761.7440487059</v>
      </c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</row>
    <row r="412">
      <c r="A412" t="str">
        <f>O412</f>
      </c>
      <c r="B412" t="str">
        <f>P412</f>
      </c>
      <c r="C412" s="11" t="str">
        <f>AF412</f>
      </c>
      <c r="D412" s="11" t="str">
        <f>AL412</f>
      </c>
      <c r="E412" s="11" t="str">
        <f>AM412</f>
      </c>
      <c r="F412" s="11" t="str">
        <f>AN412</f>
      </c>
      <c r="G412" s="7" t="str">
        <f>AM412/AL412-1</f>
      </c>
      <c r="H412" s="7" t="str">
        <f>AM412/AF412-1</f>
      </c>
      <c r="I412" s="7" t="str">
        <f>AN412/AM412</f>
      </c>
      <c r="J412" s="7" t="str">
        <f>AM412/Sum(AM$1:AM$458)</f>
      </c>
      <c r="K412" s="7" t="str">
        <f>AN412/Sum(AN1:AN$458)</f>
      </c>
      <c r="O412" t="s">
        <v>498</v>
      </c>
      <c r="P412" t="n">
        <v>583</v>
      </c>
      <c r="Q412" s="11"/>
      <c r="R412" s="11"/>
      <c r="S412" s="11"/>
      <c r="T412" s="11" t="n">
        <v>119136.728759665</v>
      </c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</row>
    <row r="413">
      <c r="A413" t="str">
        <f>O413</f>
      </c>
      <c r="B413" t="str">
        <f>P413</f>
      </c>
      <c r="C413" s="11" t="str">
        <f>AF413</f>
      </c>
      <c r="D413" s="11" t="str">
        <f>AL413</f>
      </c>
      <c r="E413" s="11" t="str">
        <f>AM413</f>
      </c>
      <c r="F413" s="11" t="str">
        <f>AN413</f>
      </c>
      <c r="G413" s="7" t="str">
        <f>AM413/AL413-1</f>
      </c>
      <c r="H413" s="7" t="str">
        <f>AM413/AF413-1</f>
      </c>
      <c r="I413" s="7" t="str">
        <f>AN413/AM413</f>
      </c>
      <c r="J413" s="7" t="str">
        <f>AM413/Sum(AM$1:AM$458)</f>
      </c>
      <c r="K413" s="7" t="str">
        <f>AN413/Sum(AN1:AN$458)</f>
      </c>
      <c r="O413" t="s">
        <v>499</v>
      </c>
      <c r="P413" t="n">
        <v>691</v>
      </c>
      <c r="Q413" s="11" t="n">
        <v>55612932.2839296</v>
      </c>
      <c r="R413" s="11"/>
      <c r="S413" s="11" t="n">
        <v>70635531.5630547</v>
      </c>
      <c r="T413" s="11" t="n">
        <v>-609535.334269604</v>
      </c>
      <c r="U413" s="11" t="n">
        <v>71491091.6722354</v>
      </c>
      <c r="V413" s="11" t="n">
        <v>33183738.8010092</v>
      </c>
      <c r="W413" s="11" t="n">
        <v>15934542.1257136</v>
      </c>
      <c r="X413" s="11" t="n">
        <v>20740532.1950401</v>
      </c>
      <c r="Y413" s="11" t="n">
        <v>9913638.29377655</v>
      </c>
      <c r="Z413" s="11" t="n">
        <v>12947143.9881602</v>
      </c>
      <c r="AA413" s="11" t="n">
        <v>9707544.16344232</v>
      </c>
      <c r="AB413" s="11" t="n">
        <v>0</v>
      </c>
      <c r="AC413" s="11" t="n">
        <v>-66701.2408321134</v>
      </c>
      <c r="AD413" s="11" t="n">
        <v>-24796.9686681473</v>
      </c>
      <c r="AE413" s="11" t="n">
        <v>-63899.0415064916</v>
      </c>
      <c r="AF413" s="11" t="n">
        <v>18453.6927310685</v>
      </c>
      <c r="AG413" s="11" t="n">
        <v>1382499.70571922</v>
      </c>
      <c r="AH413" s="11" t="n">
        <v>10838874.615212</v>
      </c>
      <c r="AI413" s="11" t="n">
        <v>25668.1721273862</v>
      </c>
      <c r="AJ413" s="11"/>
      <c r="AK413" s="11"/>
      <c r="AL413" s="11"/>
      <c r="AM413" s="11"/>
      <c r="AN413" s="11"/>
      <c r="AO413" s="11"/>
    </row>
    <row r="414">
      <c r="A414" t="str">
        <f>O414</f>
      </c>
      <c r="B414" t="str">
        <f>P414</f>
      </c>
      <c r="C414" s="11" t="str">
        <f>AF414</f>
      </c>
      <c r="D414" s="11" t="str">
        <f>AL414</f>
      </c>
      <c r="E414" s="11" t="str">
        <f>AM414</f>
      </c>
      <c r="F414" s="11" t="str">
        <f>AN414</f>
      </c>
      <c r="G414" s="7" t="str">
        <f>AM414/AL414-1</f>
      </c>
      <c r="H414" s="7" t="str">
        <f>AM414/AF414-1</f>
      </c>
      <c r="I414" s="7" t="str">
        <f>AN414/AM414</f>
      </c>
      <c r="J414" s="7" t="str">
        <f>AM414/Sum(AM$1:AM$458)</f>
      </c>
      <c r="K414" s="7" t="str">
        <f>AN414/Sum(AN1:AN$458)</f>
      </c>
      <c r="O414" t="s">
        <v>500</v>
      </c>
      <c r="P414" t="n">
        <v>825</v>
      </c>
      <c r="Q414" s="11" t="n">
        <v>145286.446075244</v>
      </c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</row>
    <row r="415">
      <c r="A415" t="str">
        <f>O415</f>
      </c>
      <c r="B415" t="str">
        <f>P415</f>
      </c>
      <c r="C415" s="11" t="str">
        <f>AF415</f>
      </c>
      <c r="D415" s="11" t="str">
        <f>AL415</f>
      </c>
      <c r="E415" s="11" t="str">
        <f>AM415</f>
      </c>
      <c r="F415" s="11" t="str">
        <f>AN415</f>
      </c>
      <c r="G415" s="7" t="str">
        <f>AM415/AL415-1</f>
      </c>
      <c r="H415" s="7" t="str">
        <f>AM415/AF415-1</f>
      </c>
      <c r="I415" s="7" t="str">
        <f>AN415/AM415</f>
      </c>
      <c r="J415" s="7" t="str">
        <f>AM415/Sum(AM$1:AM$458)</f>
      </c>
      <c r="K415" s="7" t="str">
        <f>AN415/Sum(AN1:AN$458)</f>
      </c>
      <c r="O415" t="s">
        <v>501</v>
      </c>
      <c r="P415" t="n">
        <v>120</v>
      </c>
      <c r="Q415" s="11"/>
      <c r="R415" s="11"/>
      <c r="S415" s="11" t="n">
        <v>156456.649524621</v>
      </c>
      <c r="T415" s="11" t="n">
        <v>48572.3469496091</v>
      </c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</row>
    <row r="416">
      <c r="A416" t="str">
        <f>O416</f>
      </c>
      <c r="B416" t="str">
        <f>P416</f>
      </c>
      <c r="C416" s="11" t="str">
        <f>AF416</f>
      </c>
      <c r="D416" s="11" t="str">
        <f>AL416</f>
      </c>
      <c r="E416" s="11" t="str">
        <f>AM416</f>
      </c>
      <c r="F416" s="11" t="str">
        <f>AN416</f>
      </c>
      <c r="G416" s="7" t="str">
        <f>AM416/AL416-1</f>
      </c>
      <c r="H416" s="7" t="str">
        <f>AM416/AF416-1</f>
      </c>
      <c r="I416" s="7" t="str">
        <f>AN416/AM416</f>
      </c>
      <c r="J416" s="7" t="str">
        <f>AM416/Sum(AM$1:AM$458)</f>
      </c>
      <c r="K416" s="7" t="str">
        <f>AN416/Sum(AN1:AN$458)</f>
      </c>
      <c r="O416" t="s">
        <v>502</v>
      </c>
      <c r="P416" t="n">
        <v>986</v>
      </c>
      <c r="Q416" s="11" t="n">
        <v>154666154.868016</v>
      </c>
      <c r="R416" s="11" t="n">
        <v>74274357.9917282</v>
      </c>
      <c r="S416" s="11" t="n">
        <v>77094658.1458392</v>
      </c>
      <c r="T416" s="11" t="n">
        <v>156545618.922727</v>
      </c>
      <c r="U416" s="11" t="n">
        <v>379366.727988002</v>
      </c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</row>
    <row r="417">
      <c r="A417" t="str">
        <f>O417</f>
      </c>
      <c r="B417" t="str">
        <f>P417</f>
      </c>
      <c r="C417" s="11" t="str">
        <f>AF417</f>
      </c>
      <c r="D417" s="11" t="str">
        <f>AL417</f>
      </c>
      <c r="E417" s="11" t="str">
        <f>AM417</f>
      </c>
      <c r="F417" s="11" t="str">
        <f>AN417</f>
      </c>
      <c r="G417" s="7" t="str">
        <f>AM417/AL417-1</f>
      </c>
      <c r="H417" s="7" t="str">
        <f>AM417/AF417-1</f>
      </c>
      <c r="I417" s="7" t="str">
        <f>AN417/AM417</f>
      </c>
      <c r="J417" s="7" t="str">
        <f>AM417/Sum(AM$1:AM$458)</f>
      </c>
      <c r="K417" s="7" t="str">
        <f>AN417/Sum(AN1:AN$458)</f>
      </c>
      <c r="O417" t="s">
        <v>503</v>
      </c>
      <c r="P417" t="n">
        <v>2008</v>
      </c>
      <c r="Q417" s="11" t="n">
        <v>140828645.252201</v>
      </c>
      <c r="R417" s="11" t="n">
        <v>116371118.016479</v>
      </c>
      <c r="S417" s="11" t="n">
        <v>177019577.372242</v>
      </c>
      <c r="T417" s="11" t="n">
        <v>213582817.730442</v>
      </c>
      <c r="U417" s="11" t="n">
        <v>-233486.655265138</v>
      </c>
      <c r="V417" s="11"/>
      <c r="W417" s="11" t="n">
        <v>721886.349468333</v>
      </c>
      <c r="X417" s="11"/>
      <c r="Y417" s="11"/>
      <c r="Z417" s="11"/>
      <c r="AA417" s="11"/>
      <c r="AB417" s="11"/>
      <c r="AC417" s="11" t="n">
        <v>-906269.884189584</v>
      </c>
      <c r="AD417" s="11" t="n">
        <v>-523467.933524527</v>
      </c>
      <c r="AE417" s="11"/>
      <c r="AF417" s="11"/>
      <c r="AG417" s="11"/>
      <c r="AH417" s="11"/>
      <c r="AI417" s="11" t="n">
        <v>0</v>
      </c>
      <c r="AJ417" s="11"/>
      <c r="AK417" s="11"/>
      <c r="AL417" s="11"/>
      <c r="AM417" s="11"/>
      <c r="AN417" s="11"/>
      <c r="AO417" s="11"/>
    </row>
    <row r="418">
      <c r="A418" t="str">
        <f>O418</f>
      </c>
      <c r="B418" t="str">
        <f>P418</f>
      </c>
      <c r="C418" s="11" t="str">
        <f>AF418</f>
      </c>
      <c r="D418" s="11" t="str">
        <f>AL418</f>
      </c>
      <c r="E418" s="11" t="str">
        <f>AM418</f>
      </c>
      <c r="F418" s="11" t="str">
        <f>AN418</f>
      </c>
      <c r="G418" s="7" t="str">
        <f>AM418/AL418-1</f>
      </c>
      <c r="H418" s="7" t="str">
        <f>AM418/AF418-1</f>
      </c>
      <c r="I418" s="7" t="str">
        <f>AN418/AM418</f>
      </c>
      <c r="J418" s="7" t="str">
        <f>AM418/Sum(AM$1:AM$458)</f>
      </c>
      <c r="K418" s="7" t="str">
        <f>AN418/Sum(AN1:AN$458)</f>
      </c>
      <c r="O418" t="s">
        <v>504</v>
      </c>
      <c r="P418" t="n">
        <v>464</v>
      </c>
      <c r="Q418" s="11"/>
      <c r="R418" s="11"/>
      <c r="S418" s="11" t="n">
        <v>85338937.5977746</v>
      </c>
      <c r="T418" s="11" t="n">
        <v>45145844.0680125</v>
      </c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</row>
    <row r="419">
      <c r="A419" t="str">
        <f>O419</f>
      </c>
      <c r="B419" t="str">
        <f>P419</f>
      </c>
      <c r="C419" s="11" t="str">
        <f>AF419</f>
      </c>
      <c r="D419" s="11" t="str">
        <f>AL419</f>
      </c>
      <c r="E419" s="11" t="str">
        <f>AM419</f>
      </c>
      <c r="F419" s="11" t="str">
        <f>AN419</f>
      </c>
      <c r="G419" s="7" t="str">
        <f>AM419/AL419-1</f>
      </c>
      <c r="H419" s="7" t="str">
        <f>AM419/AF419-1</f>
      </c>
      <c r="I419" s="7" t="str">
        <f>AN419/AM419</f>
      </c>
      <c r="J419" s="7" t="str">
        <f>AM419/Sum(AM$1:AM$458)</f>
      </c>
      <c r="K419" s="7" t="str">
        <f>AN419/Sum(AN1:AN$458)</f>
      </c>
      <c r="O419" t="s">
        <v>505</v>
      </c>
      <c r="P419" t="n">
        <v>463</v>
      </c>
      <c r="Q419" s="11"/>
      <c r="R419" s="11" t="n">
        <v>883185.281214515</v>
      </c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</row>
    <row r="420">
      <c r="A420" t="str">
        <f>O420</f>
      </c>
      <c r="B420" t="str">
        <f>P420</f>
      </c>
      <c r="C420" s="11" t="str">
        <f>AF420</f>
      </c>
      <c r="D420" s="11" t="str">
        <f>AL420</f>
      </c>
      <c r="E420" s="11" t="str">
        <f>AM420</f>
      </c>
      <c r="F420" s="11" t="str">
        <f>AN420</f>
      </c>
      <c r="G420" s="7" t="str">
        <f>AM420/AL420-1</f>
      </c>
      <c r="H420" s="7" t="str">
        <f>AM420/AF420-1</f>
      </c>
      <c r="I420" s="7" t="str">
        <f>AN420/AM420</f>
      </c>
      <c r="J420" s="7" t="str">
        <f>AM420/Sum(AM$1:AM$458)</f>
      </c>
      <c r="K420" s="7" t="str">
        <f>AN420/Sum(AN1:AN$458)</f>
      </c>
      <c r="O420" t="s">
        <v>506</v>
      </c>
      <c r="P420" t="n">
        <v>1783</v>
      </c>
      <c r="Q420" s="11" t="n">
        <v>678420.811947329</v>
      </c>
      <c r="R420" s="11" t="n">
        <v>1174147.78469648</v>
      </c>
      <c r="S420" s="11"/>
      <c r="T420" s="11" t="n">
        <v>2251126.75349449</v>
      </c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</row>
    <row r="421">
      <c r="A421" t="str">
        <f>O421</f>
      </c>
      <c r="B421" t="str">
        <f>P421</f>
      </c>
      <c r="C421" s="11" t="str">
        <f>AF421</f>
      </c>
      <c r="D421" s="11" t="str">
        <f>AL421</f>
      </c>
      <c r="E421" s="11" t="str">
        <f>AM421</f>
      </c>
      <c r="F421" s="11" t="str">
        <f>AN421</f>
      </c>
      <c r="G421" s="7" t="str">
        <f>AM421/AL421-1</f>
      </c>
      <c r="H421" s="7" t="str">
        <f>AM421/AF421-1</f>
      </c>
      <c r="I421" s="7" t="str">
        <f>AN421/AM421</f>
      </c>
      <c r="J421" s="7" t="str">
        <f>AM421/Sum(AM$1:AM$458)</f>
      </c>
      <c r="K421" s="7" t="str">
        <f>AN421/Sum(AN1:AN$458)</f>
      </c>
      <c r="O421" t="s">
        <v>507</v>
      </c>
      <c r="P421" t="n">
        <v>481</v>
      </c>
      <c r="Q421" s="11"/>
      <c r="R421" s="11"/>
      <c r="S421" s="11"/>
      <c r="T421" s="11" t="n">
        <v>10419154.7137092</v>
      </c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</row>
    <row r="422">
      <c r="A422" t="str">
        <f>O422</f>
      </c>
      <c r="B422" t="str">
        <f>P422</f>
      </c>
      <c r="C422" s="11" t="str">
        <f>AF422</f>
      </c>
      <c r="D422" s="11" t="str">
        <f>AL422</f>
      </c>
      <c r="E422" s="11" t="str">
        <f>AM422</f>
      </c>
      <c r="F422" s="11" t="str">
        <f>AN422</f>
      </c>
      <c r="G422" s="7" t="str">
        <f>AM422/AL422-1</f>
      </c>
      <c r="H422" s="7" t="str">
        <f>AM422/AF422-1</f>
      </c>
      <c r="I422" s="7" t="str">
        <f>AN422/AM422</f>
      </c>
      <c r="J422" s="7" t="str">
        <f>AM422/Sum(AM$1:AM$458)</f>
      </c>
      <c r="K422" s="7" t="str">
        <f>AN422/Sum(AN1:AN$458)</f>
      </c>
      <c r="O422" t="s">
        <v>508</v>
      </c>
      <c r="P422" t="n">
        <v>643</v>
      </c>
      <c r="Q422" s="11"/>
      <c r="R422" s="11"/>
      <c r="S422" s="11"/>
      <c r="T422" s="11"/>
      <c r="U422" s="11"/>
      <c r="V422" s="11"/>
      <c r="W422" s="11"/>
      <c r="X422" s="11"/>
      <c r="Y422" s="11" t="n">
        <v>0</v>
      </c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</row>
    <row r="423">
      <c r="A423" t="str">
        <f>O423</f>
      </c>
      <c r="B423" t="str">
        <f>P423</f>
      </c>
      <c r="C423" s="11" t="str">
        <f>AF423</f>
      </c>
      <c r="D423" s="11" t="str">
        <f>AL423</f>
      </c>
      <c r="E423" s="11" t="str">
        <f>AM423</f>
      </c>
      <c r="F423" s="11" t="str">
        <f>AN423</f>
      </c>
      <c r="G423" s="7" t="str">
        <f>AM423/AL423-1</f>
      </c>
      <c r="H423" s="7" t="str">
        <f>AM423/AF423-1</f>
      </c>
      <c r="I423" s="7" t="str">
        <f>AN423/AM423</f>
      </c>
      <c r="J423" s="7" t="str">
        <f>AM423/Sum(AM$1:AM$458)</f>
      </c>
      <c r="K423" s="7" t="str">
        <f>AN423/Sum(AN1:AN$458)</f>
      </c>
      <c r="O423" t="s">
        <v>509</v>
      </c>
      <c r="P423" t="n">
        <v>551</v>
      </c>
      <c r="Q423" s="11" t="n">
        <v>650806.369666724</v>
      </c>
      <c r="R423" s="11" t="n">
        <v>1027839.93493424</v>
      </c>
      <c r="S423" s="11" t="n">
        <v>631122.211614309</v>
      </c>
      <c r="T423" s="11" t="n">
        <v>609180.279937392</v>
      </c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</row>
    <row r="424">
      <c r="A424" t="str">
        <f>O424</f>
      </c>
      <c r="B424" t="str">
        <f>P424</f>
      </c>
      <c r="C424" s="11" t="str">
        <f>AF424</f>
      </c>
      <c r="D424" s="11" t="str">
        <f>AL424</f>
      </c>
      <c r="E424" s="11" t="str">
        <f>AM424</f>
      </c>
      <c r="F424" s="11" t="str">
        <f>AN424</f>
      </c>
      <c r="G424" s="7" t="str">
        <f>AM424/AL424-1</f>
      </c>
      <c r="H424" s="7" t="str">
        <f>AM424/AF424-1</f>
      </c>
      <c r="I424" s="7" t="str">
        <f>AN424/AM424</f>
      </c>
      <c r="J424" s="7" t="str">
        <f>AM424/Sum(AM$1:AM$458)</f>
      </c>
      <c r="K424" s="7" t="str">
        <f>AN424/Sum(AN1:AN$458)</f>
      </c>
      <c r="O424" t="s">
        <v>510</v>
      </c>
      <c r="P424" t="n">
        <v>553</v>
      </c>
      <c r="Q424" s="11"/>
      <c r="R424" s="11" t="n">
        <v>439683.893268099</v>
      </c>
      <c r="S424" s="11" t="n">
        <v>64740.0399553574</v>
      </c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</row>
    <row r="425">
      <c r="A425" t="str">
        <f>O425</f>
      </c>
      <c r="B425" t="str">
        <f>P425</f>
      </c>
      <c r="C425" s="11" t="str">
        <f>AF425</f>
      </c>
      <c r="D425" s="11" t="str">
        <f>AL425</f>
      </c>
      <c r="E425" s="11" t="str">
        <f>AM425</f>
      </c>
      <c r="F425" s="11" t="str">
        <f>AN425</f>
      </c>
      <c r="G425" s="7" t="str">
        <f>AM425/AL425-1</f>
      </c>
      <c r="H425" s="7" t="str">
        <f>AM425/AF425-1</f>
      </c>
      <c r="I425" s="7" t="str">
        <f>AN425/AM425</f>
      </c>
      <c r="J425" s="7" t="str">
        <f>AM425/Sum(AM$1:AM$458)</f>
      </c>
      <c r="K425" s="7" t="str">
        <f>AN425/Sum(AN1:AN$458)</f>
      </c>
      <c r="O425" t="s">
        <v>511</v>
      </c>
      <c r="P425" t="n">
        <v>560</v>
      </c>
      <c r="Q425" s="11" t="n">
        <v>18286084.6202744</v>
      </c>
      <c r="R425" s="11" t="n">
        <v>322630.357063465</v>
      </c>
      <c r="S425" s="11" t="n">
        <v>704726.580586774</v>
      </c>
      <c r="T425" s="11" t="n">
        <v>1675711.68339896</v>
      </c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</row>
    <row r="426">
      <c r="A426" t="str">
        <f>O426</f>
      </c>
      <c r="B426" t="str">
        <f>P426</f>
      </c>
      <c r="C426" s="11" t="str">
        <f>AF426</f>
      </c>
      <c r="D426" s="11" t="str">
        <f>AL426</f>
      </c>
      <c r="E426" s="11" t="str">
        <f>AM426</f>
      </c>
      <c r="F426" s="11" t="str">
        <f>AN426</f>
      </c>
      <c r="G426" s="7" t="str">
        <f>AM426/AL426-1</f>
      </c>
      <c r="H426" s="7" t="str">
        <f>AM426/AF426-1</f>
      </c>
      <c r="I426" s="7" t="str">
        <f>AN426/AM426</f>
      </c>
      <c r="J426" s="7" t="str">
        <f>AM426/Sum(AM$1:AM$458)</f>
      </c>
      <c r="K426" s="7" t="str">
        <f>AN426/Sum(AN1:AN$458)</f>
      </c>
      <c r="O426" t="s">
        <v>512</v>
      </c>
      <c r="P426" t="n">
        <v>1784</v>
      </c>
      <c r="Q426" s="11" t="n">
        <v>-118717.38113684</v>
      </c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</row>
    <row r="427">
      <c r="A427" t="str">
        <f>O427</f>
      </c>
      <c r="B427" t="str">
        <f>P427</f>
      </c>
      <c r="C427" s="11" t="str">
        <f>AF427</f>
      </c>
      <c r="D427" s="11" t="str">
        <f>AL427</f>
      </c>
      <c r="E427" s="11" t="str">
        <f>AM427</f>
      </c>
      <c r="F427" s="11" t="str">
        <f>AN427</f>
      </c>
      <c r="G427" s="7" t="str">
        <f>AM427/AL427-1</f>
      </c>
      <c r="H427" s="7" t="str">
        <f>AM427/AF427-1</f>
      </c>
      <c r="I427" s="7" t="str">
        <f>AN427/AM427</f>
      </c>
      <c r="J427" s="7" t="str">
        <f>AM427/Sum(AM$1:AM$458)</f>
      </c>
      <c r="K427" s="7" t="str">
        <f>AN427/Sum(AN1:AN$458)</f>
      </c>
      <c r="O427" t="s">
        <v>81</v>
      </c>
      <c r="P427" t="n">
        <v>2112</v>
      </c>
      <c r="Q427" s="11" t="n">
        <v>53589787.8234609</v>
      </c>
      <c r="R427" s="11" t="n">
        <v>213627962.882241</v>
      </c>
      <c r="S427" s="11" t="n">
        <v>118948927.809633</v>
      </c>
      <c r="T427" s="11" t="n">
        <v>211913973.986422</v>
      </c>
      <c r="U427" s="11" t="n">
        <v>417214272.512907</v>
      </c>
      <c r="V427" s="11" t="n">
        <v>1186198717.88939</v>
      </c>
      <c r="W427" s="11" t="n">
        <v>1243475699.89317</v>
      </c>
      <c r="X427" s="11" t="n">
        <v>756964540.144383</v>
      </c>
      <c r="Y427" s="11" t="n">
        <v>968863946.589199</v>
      </c>
      <c r="Z427" s="11" t="n">
        <v>583744825.068167</v>
      </c>
      <c r="AA427" s="11" t="n">
        <v>72282000.1279525</v>
      </c>
      <c r="AB427" s="11" t="n">
        <v>113811373.321779</v>
      </c>
      <c r="AC427" s="11" t="n">
        <v>95998280.9446819</v>
      </c>
      <c r="AD427" s="11" t="n">
        <v>-9708964.65247545</v>
      </c>
      <c r="AE427" s="11" t="n">
        <v>29311051.2370712</v>
      </c>
      <c r="AF427" s="11" t="n">
        <v>-540132.165616112</v>
      </c>
      <c r="AG427" s="11" t="n">
        <v>-216833.414038293</v>
      </c>
      <c r="AH427" s="11" t="n">
        <v>0</v>
      </c>
      <c r="AI427" s="11" t="n">
        <v>0</v>
      </c>
      <c r="AJ427" s="11"/>
      <c r="AK427" s="11"/>
      <c r="AL427" s="11" t="n">
        <v>58119.8240813181</v>
      </c>
      <c r="AM427" s="11" t="n">
        <v>38919604</v>
      </c>
      <c r="AN427" s="11" t="n">
        <v>3019352.97629527</v>
      </c>
      <c r="AO427" s="11"/>
    </row>
    <row r="428">
      <c r="A428" t="str">
        <f>O428</f>
      </c>
      <c r="B428" t="str">
        <f>P428</f>
      </c>
      <c r="C428" s="11" t="str">
        <f>AF428</f>
      </c>
      <c r="D428" s="11" t="str">
        <f>AL428</f>
      </c>
      <c r="E428" s="11" t="str">
        <f>AM428</f>
      </c>
      <c r="F428" s="11" t="str">
        <f>AN428</f>
      </c>
      <c r="G428" s="7" t="str">
        <f>AM428/AL428-1</f>
      </c>
      <c r="H428" s="7" t="str">
        <f>AM428/AF428-1</f>
      </c>
      <c r="I428" s="7" t="str">
        <f>AN428/AM428</f>
      </c>
      <c r="J428" s="7" t="str">
        <f>AM428/Sum(AM$1:AM$458)</f>
      </c>
      <c r="K428" s="7" t="str">
        <f>AN428/Sum(AN1:AN$458)</f>
      </c>
      <c r="O428" t="s">
        <v>513</v>
      </c>
      <c r="P428" t="n">
        <v>1837</v>
      </c>
      <c r="Q428" s="11"/>
      <c r="R428" s="11"/>
      <c r="S428" s="11"/>
      <c r="T428" s="11"/>
      <c r="U428" s="11" t="n">
        <v>106658095.810775</v>
      </c>
      <c r="V428" s="11" t="n">
        <v>138147854.7927</v>
      </c>
      <c r="W428" s="11" t="n">
        <v>8696972.98576402</v>
      </c>
      <c r="X428" s="11" t="n">
        <v>144064117.307124</v>
      </c>
      <c r="Y428" s="11" t="n">
        <v>131823431.967449</v>
      </c>
      <c r="Z428" s="11" t="n">
        <v>141451280.979346</v>
      </c>
      <c r="AA428" s="11" t="n">
        <v>11438555.38787</v>
      </c>
      <c r="AB428" s="11" t="n">
        <v>9329152.86987782</v>
      </c>
      <c r="AC428" s="11" t="n">
        <v>15052345.33392</v>
      </c>
      <c r="AD428" s="11" t="n">
        <v>4562201.85712333</v>
      </c>
      <c r="AE428" s="11" t="n">
        <v>4623107.97302502</v>
      </c>
      <c r="AF428" s="11" t="n">
        <v>-334581.55683554</v>
      </c>
      <c r="AG428" s="11" t="n">
        <v>-1540008.64444142</v>
      </c>
      <c r="AH428" s="11" t="n">
        <v>377158.889283234</v>
      </c>
      <c r="AI428" s="11" t="n">
        <v>-236830.16083884</v>
      </c>
      <c r="AJ428" s="11" t="n">
        <v>-336940.203392742</v>
      </c>
      <c r="AK428" s="11"/>
      <c r="AL428" s="11"/>
      <c r="AM428" s="11" t="n">
        <v>-9703.2998</v>
      </c>
      <c r="AN428" s="11"/>
      <c r="AO428" s="11"/>
    </row>
    <row r="429">
      <c r="A429" t="str">
        <f>O429</f>
      </c>
      <c r="B429" t="str">
        <f>P429</f>
      </c>
      <c r="C429" s="11" t="str">
        <f>AF429</f>
      </c>
      <c r="D429" s="11" t="str">
        <f>AL429</f>
      </c>
      <c r="E429" s="11" t="str">
        <f>AM429</f>
      </c>
      <c r="F429" s="11" t="str">
        <f>AN429</f>
      </c>
      <c r="G429" s="7" t="str">
        <f>AM429/AL429-1</f>
      </c>
      <c r="H429" s="7" t="str">
        <f>AM429/AF429-1</f>
      </c>
      <c r="I429" s="7" t="str">
        <f>AN429/AM429</f>
      </c>
      <c r="J429" s="7" t="str">
        <f>AM429/Sum(AM$1:AM$458)</f>
      </c>
      <c r="K429" s="7" t="str">
        <f>AN429/Sum(AN1:AN$458)</f>
      </c>
      <c r="O429" t="s">
        <v>514</v>
      </c>
      <c r="P429" t="n">
        <v>2179</v>
      </c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 t="n">
        <v>54637.3857510739</v>
      </c>
      <c r="AI429" s="11" t="n">
        <v>76657.705413415</v>
      </c>
      <c r="AJ429" s="11" t="n">
        <v>-46702.2441316231</v>
      </c>
      <c r="AK429" s="11"/>
      <c r="AL429" s="11"/>
      <c r="AM429" s="11" t="n">
        <v>61913</v>
      </c>
      <c r="AN429" s="11" t="n">
        <v>1085505.5362564</v>
      </c>
      <c r="AO429" s="11"/>
    </row>
    <row r="430">
      <c r="A430" t="str">
        <f>O430</f>
      </c>
      <c r="B430" t="str">
        <f>P430</f>
      </c>
      <c r="C430" s="11" t="str">
        <f>AF430</f>
      </c>
      <c r="D430" s="11" t="str">
        <f>AL430</f>
      </c>
      <c r="E430" s="11" t="str">
        <f>AM430</f>
      </c>
      <c r="F430" s="11" t="str">
        <f>AN430</f>
      </c>
      <c r="G430" s="7" t="str">
        <f>AM430/AL430-1</f>
      </c>
      <c r="H430" s="7" t="str">
        <f>AM430/AF430-1</f>
      </c>
      <c r="I430" s="7" t="str">
        <f>AN430/AM430</f>
      </c>
      <c r="J430" s="7" t="str">
        <f>AM430/Sum(AM$1:AM$458)</f>
      </c>
      <c r="K430" s="7" t="str">
        <f>AN430/Sum(AN1:AN$458)</f>
      </c>
      <c r="O430" t="s">
        <v>515</v>
      </c>
      <c r="P430" t="n">
        <v>1785</v>
      </c>
      <c r="Q430" s="11"/>
      <c r="R430" s="11" t="n">
        <v>1377768.53390196</v>
      </c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</row>
    <row r="431">
      <c r="A431" t="str">
        <f>O431</f>
      </c>
      <c r="B431" t="str">
        <f>P431</f>
      </c>
      <c r="C431" s="11" t="str">
        <f>AF431</f>
      </c>
      <c r="D431" s="11" t="str">
        <f>AL431</f>
      </c>
      <c r="E431" s="11" t="str">
        <f>AM431</f>
      </c>
      <c r="F431" s="11" t="str">
        <f>AN431</f>
      </c>
      <c r="G431" s="7" t="str">
        <f>AM431/AL431-1</f>
      </c>
      <c r="H431" s="7" t="str">
        <f>AM431/AF431-1</f>
      </c>
      <c r="I431" s="7" t="str">
        <f>AN431/AM431</f>
      </c>
      <c r="J431" s="7" t="str">
        <f>AM431/Sum(AM$1:AM$458)</f>
      </c>
      <c r="K431" s="7" t="str">
        <f>AN431/Sum(AN1:AN$458)</f>
      </c>
      <c r="O431" t="s">
        <v>516</v>
      </c>
      <c r="P431" t="n">
        <v>1961</v>
      </c>
      <c r="Q431" s="11"/>
      <c r="R431" s="11"/>
      <c r="S431" s="11"/>
      <c r="T431" s="11"/>
      <c r="U431" s="11" t="n">
        <v>57760.3679726363</v>
      </c>
      <c r="V431" s="11" t="n">
        <v>6593360.1616638</v>
      </c>
      <c r="W431" s="11" t="n">
        <v>993565.580997531</v>
      </c>
      <c r="X431" s="11" t="n">
        <v>794394.581631908</v>
      </c>
      <c r="Y431" s="11" t="n">
        <v>13831195.4086469</v>
      </c>
      <c r="Z431" s="11" t="n">
        <v>33768035.9816914</v>
      </c>
      <c r="AA431" s="11" t="n">
        <v>16070123.4238412</v>
      </c>
      <c r="AB431" s="11" t="n">
        <v>6498473.88690322</v>
      </c>
      <c r="AC431" s="11" t="n">
        <v>423399.012872005</v>
      </c>
      <c r="AD431" s="11" t="n">
        <v>-114736.340341804</v>
      </c>
      <c r="AE431" s="11" t="n">
        <v>-4222.11261648146</v>
      </c>
      <c r="AF431" s="11" t="n">
        <v>0</v>
      </c>
      <c r="AG431" s="11"/>
      <c r="AH431" s="11"/>
      <c r="AI431" s="11"/>
      <c r="AJ431" s="11"/>
      <c r="AK431" s="11"/>
      <c r="AL431" s="11"/>
      <c r="AM431" s="11"/>
      <c r="AN431" s="11"/>
      <c r="AO431" s="11"/>
    </row>
    <row r="432">
      <c r="A432" t="str">
        <f>O432</f>
      </c>
      <c r="B432" t="str">
        <f>P432</f>
      </c>
      <c r="C432" s="11" t="str">
        <f>AF432</f>
      </c>
      <c r="D432" s="11" t="str">
        <f>AL432</f>
      </c>
      <c r="E432" s="11" t="str">
        <f>AM432</f>
      </c>
      <c r="F432" s="11" t="str">
        <f>AN432</f>
      </c>
      <c r="G432" s="7" t="str">
        <f>AM432/AL432-1</f>
      </c>
      <c r="H432" s="7" t="str">
        <f>AM432/AF432-1</f>
      </c>
      <c r="I432" s="7" t="str">
        <f>AN432/AM432</f>
      </c>
      <c r="J432" s="7" t="str">
        <f>AM432/Sum(AM$1:AM$458)</f>
      </c>
      <c r="K432" s="7" t="str">
        <f>AN432/Sum(AN1:AN$458)</f>
      </c>
      <c r="O432" t="s">
        <v>517</v>
      </c>
      <c r="P432" t="n">
        <v>2202</v>
      </c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 t="n">
        <v>13643408.8865487</v>
      </c>
      <c r="AJ432" s="11" t="n">
        <v>24237336.515989</v>
      </c>
      <c r="AK432" s="11" t="n">
        <v>2581588.54514636</v>
      </c>
      <c r="AL432" s="11" t="n">
        <v>2511144.66086483</v>
      </c>
      <c r="AM432" s="11" t="n">
        <v>8755500.0885</v>
      </c>
      <c r="AN432" s="11" t="n">
        <v>651810.160388551</v>
      </c>
      <c r="AO432" s="11"/>
    </row>
    <row r="433">
      <c r="A433" t="str">
        <f>O433</f>
      </c>
      <c r="B433" t="str">
        <f>P433</f>
      </c>
      <c r="C433" s="11" t="str">
        <f>AF433</f>
      </c>
      <c r="D433" s="11" t="str">
        <f>AL433</f>
      </c>
      <c r="E433" s="11" t="str">
        <f>AM433</f>
      </c>
      <c r="F433" s="11" t="str">
        <f>AN433</f>
      </c>
      <c r="G433" s="7" t="str">
        <f>AM433/AL433-1</f>
      </c>
      <c r="H433" s="7" t="str">
        <f>AM433/AF433-1</f>
      </c>
      <c r="I433" s="7" t="str">
        <f>AN433/AM433</f>
      </c>
      <c r="J433" s="7" t="str">
        <f>AM433/Sum(AM$1:AM$458)</f>
      </c>
      <c r="K433" s="7" t="str">
        <f>AN433/Sum(AN1:AN$458)</f>
      </c>
      <c r="O433" t="s">
        <v>518</v>
      </c>
      <c r="P433" t="n">
        <v>472</v>
      </c>
      <c r="Q433" s="11" t="n">
        <v>1564046.07693715</v>
      </c>
      <c r="R433" s="11" t="n">
        <v>1597984.34261814</v>
      </c>
      <c r="S433" s="11"/>
      <c r="T433" s="11" t="n">
        <v>323270.112206556</v>
      </c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</row>
    <row r="434">
      <c r="A434" t="str">
        <f>O434</f>
      </c>
      <c r="B434" t="str">
        <f>P434</f>
      </c>
      <c r="C434" s="11" t="str">
        <f>AF434</f>
      </c>
      <c r="D434" s="11" t="str">
        <f>AL434</f>
      </c>
      <c r="E434" s="11" t="str">
        <f>AM434</f>
      </c>
      <c r="F434" s="11" t="str">
        <f>AN434</f>
      </c>
      <c r="G434" s="7" t="str">
        <f>AM434/AL434-1</f>
      </c>
      <c r="H434" s="7" t="str">
        <f>AM434/AF434-1</f>
      </c>
      <c r="I434" s="7" t="str">
        <f>AN434/AM434</f>
      </c>
      <c r="J434" s="7" t="str">
        <f>AM434/Sum(AM$1:AM$458)</f>
      </c>
      <c r="K434" s="7" t="str">
        <f>AN434/Sum(AN1:AN$458)</f>
      </c>
      <c r="O434" t="s">
        <v>519</v>
      </c>
      <c r="P434" t="n">
        <v>1871</v>
      </c>
      <c r="Q434" s="11"/>
      <c r="R434" s="11"/>
      <c r="S434" s="11"/>
      <c r="T434" s="11"/>
      <c r="U434" s="11"/>
      <c r="V434" s="11"/>
      <c r="W434" s="11"/>
      <c r="X434" s="11"/>
      <c r="Y434" s="11" t="n">
        <v>14900662.3783363</v>
      </c>
      <c r="Z434" s="11" t="n">
        <v>0</v>
      </c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</row>
    <row r="435">
      <c r="A435" t="str">
        <f>O435</f>
      </c>
      <c r="B435" t="str">
        <f>P435</f>
      </c>
      <c r="C435" s="11" t="str">
        <f>AF435</f>
      </c>
      <c r="D435" s="11" t="str">
        <f>AL435</f>
      </c>
      <c r="E435" s="11" t="str">
        <f>AM435</f>
      </c>
      <c r="F435" s="11" t="str">
        <f>AN435</f>
      </c>
      <c r="G435" s="7" t="str">
        <f>AM435/AL435-1</f>
      </c>
      <c r="H435" s="7" t="str">
        <f>AM435/AF435-1</f>
      </c>
      <c r="I435" s="7" t="str">
        <f>AN435/AM435</f>
      </c>
      <c r="J435" s="7" t="str">
        <f>AM435/Sum(AM$1:AM$458)</f>
      </c>
      <c r="K435" s="7" t="str">
        <f>AN435/Sum(AN1:AN$458)</f>
      </c>
      <c r="O435" t="s">
        <v>520</v>
      </c>
      <c r="P435" t="n">
        <v>47</v>
      </c>
      <c r="Q435" s="11"/>
      <c r="R435" s="11"/>
      <c r="S435" s="11"/>
      <c r="T435" s="11"/>
      <c r="U435" s="11"/>
      <c r="V435" s="11"/>
      <c r="W435" s="11"/>
      <c r="X435" s="11" t="n">
        <v>1149890.31760999</v>
      </c>
      <c r="Y435" s="11" t="n">
        <v>225453.672222574</v>
      </c>
      <c r="Z435" s="11" t="n">
        <v>2367048.37299357</v>
      </c>
      <c r="AA435" s="11" t="n">
        <v>2542279.39163387</v>
      </c>
      <c r="AB435" s="11" t="n">
        <v>2001707.36201694</v>
      </c>
      <c r="AC435" s="11" t="n">
        <v>3074948.6650133</v>
      </c>
      <c r="AD435" s="11" t="n">
        <v>2477751.74731152</v>
      </c>
      <c r="AE435" s="11" t="n">
        <v>1998886.84188609</v>
      </c>
      <c r="AF435" s="11" t="n">
        <v>1581951.43327891</v>
      </c>
      <c r="AG435" s="11" t="n">
        <v>2834560.99031866</v>
      </c>
      <c r="AH435" s="11" t="n">
        <v>-84237.0259860687</v>
      </c>
      <c r="AI435" s="11" t="n">
        <v>0</v>
      </c>
      <c r="AJ435" s="11"/>
      <c r="AK435" s="11"/>
      <c r="AL435" s="11"/>
      <c r="AM435" s="11" t="n">
        <v>0</v>
      </c>
      <c r="AN435" s="11"/>
      <c r="AO435" s="11"/>
    </row>
    <row r="436">
      <c r="A436" t="str">
        <f>O436</f>
      </c>
      <c r="B436" t="str">
        <f>P436</f>
      </c>
      <c r="C436" s="11" t="str">
        <f>AF436</f>
      </c>
      <c r="D436" s="11" t="str">
        <f>AL436</f>
      </c>
      <c r="E436" s="11" t="str">
        <f>AM436</f>
      </c>
      <c r="F436" s="11" t="str">
        <f>AN436</f>
      </c>
      <c r="G436" s="7" t="str">
        <f>AM436/AL436-1</f>
      </c>
      <c r="H436" s="7" t="str">
        <f>AM436/AF436-1</f>
      </c>
      <c r="I436" s="7" t="str">
        <f>AN436/AM436</f>
      </c>
      <c r="J436" s="7" t="str">
        <f>AM436/Sum(AM$1:AM$458)</f>
      </c>
      <c r="K436" s="7" t="str">
        <f>AN436/Sum(AN1:AN$458)</f>
      </c>
      <c r="O436" t="s">
        <v>521</v>
      </c>
      <c r="P436" t="n">
        <v>1866</v>
      </c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 t="n">
        <v>6162589.72844312</v>
      </c>
      <c r="AC436" s="11" t="n">
        <v>9961386.63819937</v>
      </c>
      <c r="AD436" s="11" t="n">
        <v>10238930.1436363</v>
      </c>
      <c r="AE436" s="11" t="n">
        <v>10310520.025994</v>
      </c>
      <c r="AF436" s="11" t="n">
        <v>10253583.0785315</v>
      </c>
      <c r="AG436" s="11" t="n">
        <v>10770119.5384756</v>
      </c>
      <c r="AH436" s="11" t="n">
        <v>10242391.410374</v>
      </c>
      <c r="AI436" s="11" t="n">
        <v>10751377.6628378</v>
      </c>
      <c r="AJ436" s="11" t="n">
        <v>10913413.6667952</v>
      </c>
      <c r="AK436" s="11" t="n">
        <v>10582137.5198174</v>
      </c>
      <c r="AL436" s="11" t="n">
        <v>7349534.42619316</v>
      </c>
      <c r="AM436" s="11" t="n">
        <v>202948.4063</v>
      </c>
      <c r="AN436" s="11" t="n">
        <v>-730286.191238317</v>
      </c>
      <c r="AO436" s="11"/>
    </row>
    <row r="437">
      <c r="A437" t="str">
        <f>O437</f>
      </c>
      <c r="B437" t="str">
        <f>P437</f>
      </c>
      <c r="C437" s="11" t="str">
        <f>AF437</f>
      </c>
      <c r="D437" s="11" t="str">
        <f>AL437</f>
      </c>
      <c r="E437" s="11" t="str">
        <f>AM437</f>
      </c>
      <c r="F437" s="11" t="str">
        <f>AN437</f>
      </c>
      <c r="G437" s="7" t="str">
        <f>AM437/AL437-1</f>
      </c>
      <c r="H437" s="7" t="str">
        <f>AM437/AF437-1</f>
      </c>
      <c r="I437" s="7" t="str">
        <f>AN437/AM437</f>
      </c>
      <c r="J437" s="7" t="str">
        <f>AM437/Sum(AM$1:AM$458)</f>
      </c>
      <c r="K437" s="7" t="str">
        <f>AN437/Sum(AN1:AN$458)</f>
      </c>
      <c r="O437" t="s">
        <v>522</v>
      </c>
      <c r="P437" t="n">
        <v>790</v>
      </c>
      <c r="Q437" s="11"/>
      <c r="R437" s="11"/>
      <c r="S437" s="11"/>
      <c r="T437" s="11" t="n">
        <v>760779.336761921</v>
      </c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</row>
    <row r="438">
      <c r="A438" t="str">
        <f>O438</f>
      </c>
      <c r="B438" t="str">
        <f>P438</f>
      </c>
      <c r="C438" s="11" t="str">
        <f>AF438</f>
      </c>
      <c r="D438" s="11" t="str">
        <f>AL438</f>
      </c>
      <c r="E438" s="11" t="str">
        <f>AM438</f>
      </c>
      <c r="F438" s="11" t="str">
        <f>AN438</f>
      </c>
      <c r="G438" s="7" t="str">
        <f>AM438/AL438-1</f>
      </c>
      <c r="H438" s="7" t="str">
        <f>AM438/AF438-1</f>
      </c>
      <c r="I438" s="7" t="str">
        <f>AN438/AM438</f>
      </c>
      <c r="J438" s="7" t="str">
        <f>AM438/Sum(AM$1:AM$458)</f>
      </c>
      <c r="K438" s="7" t="str">
        <f>AN438/Sum(AN1:AN$458)</f>
      </c>
      <c r="O438" t="s">
        <v>523</v>
      </c>
      <c r="P438" t="n">
        <v>48</v>
      </c>
      <c r="Q438" s="11"/>
      <c r="R438" s="11"/>
      <c r="S438" s="11"/>
      <c r="T438" s="11"/>
      <c r="U438" s="11"/>
      <c r="V438" s="11"/>
      <c r="W438" s="11"/>
      <c r="X438" s="11" t="n">
        <v>60873.424352246</v>
      </c>
      <c r="Y438" s="11"/>
      <c r="Z438" s="11"/>
      <c r="AA438" s="11"/>
      <c r="AB438" s="11"/>
      <c r="AC438" s="11"/>
      <c r="AD438" s="11" t="n">
        <v>632432.504874495</v>
      </c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</row>
    <row r="439">
      <c r="A439" t="str">
        <f>O439</f>
      </c>
      <c r="B439" t="str">
        <f>P439</f>
      </c>
      <c r="C439" s="11" t="str">
        <f>AF439</f>
      </c>
      <c r="D439" s="11" t="str">
        <f>AL439</f>
      </c>
      <c r="E439" s="11" t="str">
        <f>AM439</f>
      </c>
      <c r="F439" s="11" t="str">
        <f>AN439</f>
      </c>
      <c r="G439" s="7" t="str">
        <f>AM439/AL439-1</f>
      </c>
      <c r="H439" s="7" t="str">
        <f>AM439/AF439-1</f>
      </c>
      <c r="I439" s="7" t="str">
        <f>AN439/AM439</f>
      </c>
      <c r="J439" s="7" t="str">
        <f>AM439/Sum(AM$1:AM$458)</f>
      </c>
      <c r="K439" s="7" t="str">
        <f>AN439/Sum(AN1:AN$458)</f>
      </c>
      <c r="O439" t="s">
        <v>524</v>
      </c>
      <c r="P439" t="n">
        <v>540</v>
      </c>
      <c r="Q439" s="11" t="n">
        <v>6956514.41917082</v>
      </c>
      <c r="R439" s="11" t="n">
        <v>2397299.89674087</v>
      </c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</row>
    <row r="440">
      <c r="A440" t="str">
        <f>O440</f>
      </c>
      <c r="B440" t="str">
        <f>P440</f>
      </c>
      <c r="C440" s="11" t="str">
        <f>AF440</f>
      </c>
      <c r="D440" s="11" t="str">
        <f>AL440</f>
      </c>
      <c r="E440" s="11" t="str">
        <f>AM440</f>
      </c>
      <c r="F440" s="11" t="str">
        <f>AN440</f>
      </c>
      <c r="G440" s="7" t="str">
        <f>AM440/AL440-1</f>
      </c>
      <c r="H440" s="7" t="str">
        <f>AM440/AF440-1</f>
      </c>
      <c r="I440" s="7" t="str">
        <f>AN440/AM440</f>
      </c>
      <c r="J440" s="7" t="str">
        <f>AM440/Sum(AM$1:AM$458)</f>
      </c>
      <c r="K440" s="7" t="str">
        <f>AN440/Sum(AN1:AN$458)</f>
      </c>
      <c r="O440" t="s">
        <v>525</v>
      </c>
      <c r="P440" t="n">
        <v>56</v>
      </c>
      <c r="Q440" s="11"/>
      <c r="R440" s="11"/>
      <c r="S440" s="11"/>
      <c r="T440" s="11"/>
      <c r="U440" s="11"/>
      <c r="V440" s="11"/>
      <c r="W440" s="11"/>
      <c r="X440" s="11" t="n">
        <v>86526.1845620282</v>
      </c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</row>
    <row r="441">
      <c r="A441" t="str">
        <f>O441</f>
      </c>
      <c r="B441" t="str">
        <f>P441</f>
      </c>
      <c r="C441" s="11" t="str">
        <f>AF441</f>
      </c>
      <c r="D441" s="11" t="str">
        <f>AL441</f>
      </c>
      <c r="E441" s="11" t="str">
        <f>AM441</f>
      </c>
      <c r="F441" s="11" t="str">
        <f>AN441</f>
      </c>
      <c r="G441" s="7" t="str">
        <f>AM441/AL441-1</f>
      </c>
      <c r="H441" s="7" t="str">
        <f>AM441/AF441-1</f>
      </c>
      <c r="I441" s="7" t="str">
        <f>AN441/AM441</f>
      </c>
      <c r="J441" s="7" t="str">
        <f>AM441/Sum(AM$1:AM$458)</f>
      </c>
      <c r="K441" s="7" t="str">
        <f>AN441/Sum(AN1:AN$458)</f>
      </c>
      <c r="O441" t="s">
        <v>526</v>
      </c>
      <c r="P441" t="n">
        <v>1027</v>
      </c>
      <c r="Q441" s="11" t="n">
        <v>-1264442.86953851</v>
      </c>
      <c r="R441" s="11" t="n">
        <v>52042.5483191659</v>
      </c>
      <c r="S441" s="11" t="n">
        <v>537459.735847002</v>
      </c>
      <c r="T441" s="11" t="n">
        <v>24307235.9682802</v>
      </c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 t="n">
        <v>-94629.544559844</v>
      </c>
      <c r="AH441" s="11"/>
      <c r="AI441" s="11"/>
      <c r="AJ441" s="11"/>
      <c r="AK441" s="11"/>
      <c r="AL441" s="11"/>
      <c r="AM441" s="11"/>
      <c r="AN441" s="11"/>
      <c r="AO441" s="11"/>
    </row>
    <row r="442">
      <c r="A442" t="str">
        <f>O442</f>
      </c>
      <c r="B442" t="str">
        <f>P442</f>
      </c>
      <c r="C442" s="11" t="str">
        <f>AF442</f>
      </c>
      <c r="D442" s="11" t="str">
        <f>AL442</f>
      </c>
      <c r="E442" s="11" t="str">
        <f>AM442</f>
      </c>
      <c r="F442" s="11" t="str">
        <f>AN442</f>
      </c>
      <c r="G442" s="7" t="str">
        <f>AM442/AL442-1</f>
      </c>
      <c r="H442" s="7" t="str">
        <f>AM442/AF442-1</f>
      </c>
      <c r="I442" s="7" t="str">
        <f>AN442/AM442</f>
      </c>
      <c r="J442" s="7" t="str">
        <f>AM442/Sum(AM$1:AM$458)</f>
      </c>
      <c r="K442" s="7" t="str">
        <f>AN442/Sum(AN1:AN$458)</f>
      </c>
      <c r="O442" t="s">
        <v>527</v>
      </c>
      <c r="P442" t="n">
        <v>1971</v>
      </c>
      <c r="Q442" s="11"/>
      <c r="R442" s="11"/>
      <c r="S442" s="11"/>
      <c r="T442" s="11"/>
      <c r="U442" s="11" t="n">
        <v>72847.8126430537</v>
      </c>
      <c r="V442" s="11" t="n">
        <v>18749976.5496339</v>
      </c>
      <c r="W442" s="11" t="n">
        <v>23643173.6331354</v>
      </c>
      <c r="X442" s="11" t="n">
        <v>35309148.7512213</v>
      </c>
      <c r="Y442" s="11" t="n">
        <v>64268320.4160306</v>
      </c>
      <c r="Z442" s="11" t="n">
        <v>34252139.0497129</v>
      </c>
      <c r="AA442" s="11" t="n">
        <v>51981722.9075659</v>
      </c>
      <c r="AB442" s="11" t="n">
        <v>35046455.3432003</v>
      </c>
      <c r="AC442" s="11" t="n">
        <v>19835984.5707844</v>
      </c>
      <c r="AD442" s="11" t="n">
        <v>23747113.8629144</v>
      </c>
      <c r="AE442" s="11" t="n">
        <v>19736163.8214635</v>
      </c>
      <c r="AF442" s="11" t="n">
        <v>9623155.65805374</v>
      </c>
      <c r="AG442" s="11" t="n">
        <v>4756923.07610318</v>
      </c>
      <c r="AH442" s="11" t="n">
        <v>4502971.98738748</v>
      </c>
      <c r="AI442" s="11" t="n">
        <v>-46692.0764584794</v>
      </c>
      <c r="AJ442" s="11"/>
      <c r="AK442" s="11" t="n">
        <v>-36472.617186834</v>
      </c>
      <c r="AL442" s="11" t="n">
        <v>-132109.521704921</v>
      </c>
      <c r="AM442" s="11" t="n">
        <v>-4503015.3596</v>
      </c>
      <c r="AN442" s="11" t="n">
        <v>6031399.37266525</v>
      </c>
      <c r="AO442" s="11"/>
    </row>
    <row r="443">
      <c r="A443" t="str">
        <f>O443</f>
      </c>
      <c r="B443" t="str">
        <f>P443</f>
      </c>
      <c r="C443" s="11" t="str">
        <f>AF443</f>
      </c>
      <c r="D443" s="11" t="str">
        <f>AL443</f>
      </c>
      <c r="E443" s="11" t="str">
        <f>AM443</f>
      </c>
      <c r="F443" s="11" t="str">
        <f>AN443</f>
      </c>
      <c r="G443" s="7" t="str">
        <f>AM443/AL443-1</f>
      </c>
      <c r="H443" s="7" t="str">
        <f>AM443/AF443-1</f>
      </c>
      <c r="I443" s="7" t="str">
        <f>AN443/AM443</f>
      </c>
      <c r="J443" s="7" t="str">
        <f>AM443/Sum(AM$1:AM$458)</f>
      </c>
      <c r="K443" s="7" t="str">
        <f>AN443/Sum(AN1:AN$458)</f>
      </c>
      <c r="O443" t="s">
        <v>528</v>
      </c>
      <c r="P443" t="n">
        <v>1957</v>
      </c>
      <c r="Q443" s="11"/>
      <c r="R443" s="11"/>
      <c r="S443" s="11"/>
      <c r="T443" s="11"/>
      <c r="U443" s="11" t="n">
        <v>103318.82669118</v>
      </c>
      <c r="V443" s="11" t="n">
        <v>111701.483020138</v>
      </c>
      <c r="W443" s="11"/>
      <c r="X443" s="11" t="n">
        <v>6379.50983308361</v>
      </c>
      <c r="Y443" s="11" t="n">
        <v>21546.8669329843</v>
      </c>
      <c r="Z443" s="11" t="n">
        <v>-4750.58158104272</v>
      </c>
      <c r="AA443" s="11" t="n">
        <v>24458.6253799628</v>
      </c>
      <c r="AB443" s="11" t="n">
        <v>2707.20017893448</v>
      </c>
      <c r="AC443" s="11" t="n">
        <v>117744.549977534</v>
      </c>
      <c r="AD443" s="11" t="n">
        <v>19408.3939194872</v>
      </c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</row>
    <row r="444">
      <c r="A444" t="str">
        <f>O444</f>
      </c>
      <c r="B444" t="str">
        <f>P444</f>
      </c>
      <c r="C444" s="11" t="str">
        <f>AF444</f>
      </c>
      <c r="D444" s="11" t="str">
        <f>AL444</f>
      </c>
      <c r="E444" s="11" t="str">
        <f>AM444</f>
      </c>
      <c r="F444" s="11" t="str">
        <f>AN444</f>
      </c>
      <c r="G444" s="7" t="str">
        <f>AM444/AL444-1</f>
      </c>
      <c r="H444" s="7" t="str">
        <f>AM444/AF444-1</f>
      </c>
      <c r="I444" s="7" t="str">
        <f>AN444/AM444</f>
      </c>
      <c r="J444" s="7" t="str">
        <f>AM444/Sum(AM$1:AM$458)</f>
      </c>
      <c r="K444" s="7" t="str">
        <f>AN444/Sum(AN1:AN$458)</f>
      </c>
      <c r="O444" t="s">
        <v>529</v>
      </c>
      <c r="P444" t="n">
        <v>2005</v>
      </c>
      <c r="Q444" s="11"/>
      <c r="R444" s="11"/>
      <c r="S444" s="11"/>
      <c r="T444" s="11"/>
      <c r="U444" s="11"/>
      <c r="V444" s="11"/>
      <c r="W444" s="11"/>
      <c r="X444" s="11"/>
      <c r="Y444" s="11" t="n">
        <v>455152.65322706</v>
      </c>
      <c r="Z444" s="11" t="n">
        <v>331572.203667836</v>
      </c>
      <c r="AA444" s="11" t="n">
        <v>21551338.2530466</v>
      </c>
      <c r="AB444" s="11" t="n">
        <v>24359837.6344757</v>
      </c>
      <c r="AC444" s="11" t="n">
        <v>42219994.4813444</v>
      </c>
      <c r="AD444" s="11" t="n">
        <v>13987438.3174103</v>
      </c>
      <c r="AE444" s="11" t="n">
        <v>2679342.73032376</v>
      </c>
      <c r="AF444" s="11"/>
      <c r="AG444" s="11"/>
      <c r="AH444" s="11" t="n">
        <v>-444828.258722868</v>
      </c>
      <c r="AI444" s="11" t="n">
        <v>-439363.1883194</v>
      </c>
      <c r="AJ444" s="11"/>
      <c r="AK444" s="11"/>
      <c r="AL444" s="11"/>
      <c r="AM444" s="11"/>
      <c r="AN444" s="11"/>
      <c r="AO444" s="11"/>
    </row>
    <row r="445">
      <c r="A445" t="str">
        <f>O445</f>
      </c>
      <c r="B445" t="str">
        <f>P445</f>
      </c>
      <c r="C445" s="11" t="str">
        <f>AF445</f>
      </c>
      <c r="D445" s="11" t="str">
        <f>AL445</f>
      </c>
      <c r="E445" s="11" t="str">
        <f>AM445</f>
      </c>
      <c r="F445" s="11" t="str">
        <f>AN445</f>
      </c>
      <c r="G445" s="7" t="str">
        <f>AM445/AL445-1</f>
      </c>
      <c r="H445" s="7" t="str">
        <f>AM445/AF445-1</f>
      </c>
      <c r="I445" s="7" t="str">
        <f>AN445/AM445</f>
      </c>
      <c r="J445" s="7" t="str">
        <f>AM445/Sum(AM$1:AM$458)</f>
      </c>
      <c r="K445" s="7" t="str">
        <f>AN445/Sum(AN1:AN$458)</f>
      </c>
      <c r="O445" t="s">
        <v>530</v>
      </c>
      <c r="P445" t="n">
        <v>441</v>
      </c>
      <c r="Q445" s="11"/>
      <c r="R445" s="11"/>
      <c r="S445" s="11"/>
      <c r="T445" s="11" t="n">
        <v>21425.1669995766</v>
      </c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</row>
    <row r="446">
      <c r="A446" t="str">
        <f>O446</f>
      </c>
      <c r="B446" t="str">
        <f>P446</f>
      </c>
      <c r="C446" s="11" t="str">
        <f>AF446</f>
      </c>
      <c r="D446" s="11" t="str">
        <f>AL446</f>
      </c>
      <c r="E446" s="11" t="str">
        <f>AM446</f>
      </c>
      <c r="F446" s="11" t="str">
        <f>AN446</f>
      </c>
      <c r="G446" s="7" t="str">
        <f>AM446/AL446-1</f>
      </c>
      <c r="H446" s="7" t="str">
        <f>AM446/AF446-1</f>
      </c>
      <c r="I446" s="7" t="str">
        <f>AN446/AM446</f>
      </c>
      <c r="J446" s="7" t="str">
        <f>AM446/Sum(AM$1:AM$458)</f>
      </c>
      <c r="K446" s="7" t="str">
        <f>AN446/Sum(AN1:AN$458)</f>
      </c>
      <c r="O446" t="s">
        <v>531</v>
      </c>
      <c r="P446" t="n">
        <v>494</v>
      </c>
      <c r="Q446" s="11" t="n">
        <v>17267841.8485296</v>
      </c>
      <c r="R446" s="11" t="n">
        <v>3749776.7396604</v>
      </c>
      <c r="S446" s="11" t="n">
        <v>2327487.36477098</v>
      </c>
      <c r="T446" s="11" t="n">
        <v>384348.600377041</v>
      </c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</row>
    <row r="447">
      <c r="A447" t="str">
        <f>O447</f>
      </c>
      <c r="B447" t="str">
        <f>P447</f>
      </c>
      <c r="C447" s="11" t="str">
        <f>AF447</f>
      </c>
      <c r="D447" s="11" t="str">
        <f>AL447</f>
      </c>
      <c r="E447" s="11" t="str">
        <f>AM447</f>
      </c>
      <c r="F447" s="11" t="str">
        <f>AN447</f>
      </c>
      <c r="G447" s="7" t="str">
        <f>AM447/AL447-1</f>
      </c>
      <c r="H447" s="7" t="str">
        <f>AM447/AF447-1</f>
      </c>
      <c r="I447" s="7" t="str">
        <f>AN447/AM447</f>
      </c>
      <c r="J447" s="7" t="str">
        <f>AM447/Sum(AM$1:AM$458)</f>
      </c>
      <c r="K447" s="7" t="str">
        <f>AN447/Sum(AN1:AN$458)</f>
      </c>
      <c r="O447" t="s">
        <v>532</v>
      </c>
      <c r="P447" t="n">
        <v>1787</v>
      </c>
      <c r="Q447" s="11" t="n">
        <v>405903.703103011</v>
      </c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</row>
    <row r="448">
      <c r="A448" t="str">
        <f>O448</f>
      </c>
      <c r="B448" t="str">
        <f>P448</f>
      </c>
      <c r="C448" s="11" t="str">
        <f>AF448</f>
      </c>
      <c r="D448" s="11" t="str">
        <f>AL448</f>
      </c>
      <c r="E448" s="11" t="str">
        <f>AM448</f>
      </c>
      <c r="F448" s="11" t="str">
        <f>AN448</f>
      </c>
      <c r="G448" s="7" t="str">
        <f>AM448/AL448-1</f>
      </c>
      <c r="H448" s="7" t="str">
        <f>AM448/AF448-1</f>
      </c>
      <c r="I448" s="7" t="str">
        <f>AN448/AM448</f>
      </c>
      <c r="J448" s="7" t="str">
        <f>AM448/Sum(AM$1:AM$458)</f>
      </c>
      <c r="K448" s="7" t="str">
        <f>AN448/Sum(AN1:AN$458)</f>
      </c>
      <c r="O448" t="s">
        <v>533</v>
      </c>
      <c r="P448" t="n">
        <v>549</v>
      </c>
      <c r="Q448" s="11" t="n">
        <v>113101.103483842</v>
      </c>
      <c r="R448" s="11" t="n">
        <v>2710411.75674278</v>
      </c>
      <c r="S448" s="11" t="n">
        <v>563307.299294924</v>
      </c>
      <c r="T448" s="11" t="n">
        <v>1861866.82216157</v>
      </c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</row>
    <row r="449">
      <c r="A449" t="str">
        <f>O449</f>
      </c>
      <c r="B449" t="str">
        <f>P449</f>
      </c>
      <c r="C449" s="11" t="str">
        <f>AF449</f>
      </c>
      <c r="D449" s="11" t="str">
        <f>AL449</f>
      </c>
      <c r="E449" s="11" t="str">
        <f>AM449</f>
      </c>
      <c r="F449" s="11" t="str">
        <f>AN449</f>
      </c>
      <c r="G449" s="7" t="str">
        <f>AM449/AL449-1</f>
      </c>
      <c r="H449" s="7" t="str">
        <f>AM449/AF449-1</f>
      </c>
      <c r="I449" s="7" t="str">
        <f>AN449/AM449</f>
      </c>
      <c r="J449" s="7" t="str">
        <f>AM449/Sum(AM$1:AM$458)</f>
      </c>
      <c r="K449" s="7" t="str">
        <f>AN449/Sum(AN1:AN$458)</f>
      </c>
      <c r="O449" t="s">
        <v>534</v>
      </c>
      <c r="P449" t="n">
        <v>1952</v>
      </c>
      <c r="Q449" s="11"/>
      <c r="R449" s="11"/>
      <c r="S449" s="11"/>
      <c r="T449" s="11"/>
      <c r="U449" s="11"/>
      <c r="V449" s="11"/>
      <c r="W449" s="11"/>
      <c r="X449" s="11"/>
      <c r="Y449" s="11" t="n">
        <v>131568.656662061</v>
      </c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</row>
    <row r="450">
      <c r="A450" t="str">
        <f>O450</f>
      </c>
      <c r="B450" t="str">
        <f>P450</f>
      </c>
      <c r="C450" s="11" t="str">
        <f>AF450</f>
      </c>
      <c r="D450" s="11" t="str">
        <f>AL450</f>
      </c>
      <c r="E450" s="11" t="str">
        <f>AM450</f>
      </c>
      <c r="F450" s="11" t="str">
        <f>AN450</f>
      </c>
      <c r="G450" s="7" t="str">
        <f>AM450/AL450-1</f>
      </c>
      <c r="H450" s="7" t="str">
        <f>AM450/AF450-1</f>
      </c>
      <c r="I450" s="7" t="str">
        <f>AN450/AM450</f>
      </c>
      <c r="J450" s="7" t="str">
        <f>AM450/Sum(AM$1:AM$458)</f>
      </c>
      <c r="K450" s="7" t="str">
        <f>AN450/Sum(AN1:AN$458)</f>
      </c>
      <c r="O450" t="s">
        <v>535</v>
      </c>
      <c r="P450" t="n">
        <v>1124</v>
      </c>
      <c r="Q450" s="11" t="n">
        <v>25047071.4674724</v>
      </c>
      <c r="R450" s="11" t="n">
        <v>4431265.79378</v>
      </c>
      <c r="S450" s="11" t="n">
        <v>16448251.6754828</v>
      </c>
      <c r="T450" s="11" t="n">
        <v>5265890.04063028</v>
      </c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 t="n">
        <v>0</v>
      </c>
      <c r="AI450" s="11"/>
      <c r="AJ450" s="11"/>
      <c r="AK450" s="11"/>
      <c r="AL450" s="11"/>
      <c r="AM450" s="11"/>
      <c r="AN450" s="11"/>
      <c r="AO450" s="11"/>
    </row>
    <row r="451">
      <c r="A451" t="str">
        <f>O451</f>
      </c>
      <c r="B451" t="str">
        <f>P451</f>
      </c>
      <c r="C451" s="11" t="str">
        <f>AF451</f>
      </c>
      <c r="D451" s="11" t="str">
        <f>AL451</f>
      </c>
      <c r="E451" s="11" t="str">
        <f>AM451</f>
      </c>
      <c r="F451" s="11" t="str">
        <f>AN451</f>
      </c>
      <c r="G451" s="7" t="str">
        <f>AM451/AL451-1</f>
      </c>
      <c r="H451" s="7" t="str">
        <f>AM451/AF451-1</f>
      </c>
      <c r="I451" s="7" t="str">
        <f>AN451/AM451</f>
      </c>
      <c r="J451" s="7" t="str">
        <f>AM451/Sum(AM$1:AM$458)</f>
      </c>
      <c r="K451" s="7" t="str">
        <f>AN451/Sum(AN1:AN$458)</f>
      </c>
      <c r="O451" t="s">
        <v>536</v>
      </c>
      <c r="P451" t="n">
        <v>234</v>
      </c>
      <c r="Q451" s="11"/>
      <c r="R451" s="11" t="n">
        <v>216903.106722601</v>
      </c>
      <c r="S451" s="11" t="n">
        <v>44709.8865456424</v>
      </c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</row>
    <row r="452">
      <c r="A452" t="str">
        <f>O452</f>
      </c>
      <c r="B452" t="str">
        <f>P452</f>
      </c>
      <c r="C452" s="11" t="str">
        <f>AF452</f>
      </c>
      <c r="D452" s="11" t="str">
        <f>AL452</f>
      </c>
      <c r="E452" s="11" t="str">
        <f>AM452</f>
      </c>
      <c r="F452" s="11" t="str">
        <f>AN452</f>
      </c>
      <c r="G452" s="7" t="str">
        <f>AM452/AL452-1</f>
      </c>
      <c r="H452" s="7" t="str">
        <f>AM452/AF452-1</f>
      </c>
      <c r="I452" s="7" t="str">
        <f>AN452/AM452</f>
      </c>
      <c r="J452" s="7" t="str">
        <f>AM452/Sum(AM$1:AM$458)</f>
      </c>
      <c r="K452" s="7" t="str">
        <f>AN452/Sum(AN1:AN$458)</f>
      </c>
      <c r="O452" t="s">
        <v>537</v>
      </c>
      <c r="P452" t="n">
        <v>1340</v>
      </c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 t="n">
        <v>126981.515475772</v>
      </c>
      <c r="AD452" s="11" t="n">
        <v>-618.346845448369</v>
      </c>
      <c r="AE452" s="11" t="n">
        <v>0</v>
      </c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</row>
    <row r="453">
      <c r="A453" t="str">
        <f>O453</f>
      </c>
      <c r="B453" t="str">
        <f>P453</f>
      </c>
      <c r="C453" s="11" t="str">
        <f>AF453</f>
      </c>
      <c r="D453" s="11" t="str">
        <f>AL453</f>
      </c>
      <c r="E453" s="11" t="str">
        <f>AM453</f>
      </c>
      <c r="F453" s="11" t="str">
        <f>AN453</f>
      </c>
      <c r="G453" s="7" t="str">
        <f>AM453/AL453-1</f>
      </c>
      <c r="H453" s="7" t="str">
        <f>AM453/AF453-1</f>
      </c>
      <c r="I453" s="7" t="str">
        <f>AN453/AM453</f>
      </c>
      <c r="J453" s="7" t="str">
        <f>AM453/Sum(AM$1:AM$458)</f>
      </c>
      <c r="K453" s="7" t="str">
        <f>AN453/Sum(AN1:AN$458)</f>
      </c>
      <c r="O453" t="s">
        <v>538</v>
      </c>
      <c r="P453" t="n">
        <v>1323</v>
      </c>
      <c r="Q453" s="11"/>
      <c r="R453" s="11"/>
      <c r="S453" s="11"/>
      <c r="T453" s="11"/>
      <c r="U453" s="11"/>
      <c r="V453" s="11"/>
      <c r="W453" s="11" t="n">
        <v>103717.21759294</v>
      </c>
      <c r="X453" s="11"/>
      <c r="Y453" s="11"/>
      <c r="Z453" s="11"/>
      <c r="AA453" s="11" t="n">
        <v>18805.7734187508</v>
      </c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</row>
    <row r="454">
      <c r="A454" t="str">
        <f>O454</f>
      </c>
      <c r="B454" t="str">
        <f>P454</f>
      </c>
      <c r="C454" s="11" t="str">
        <f>AF454</f>
      </c>
      <c r="D454" s="11" t="str">
        <f>AL454</f>
      </c>
      <c r="E454" s="11" t="str">
        <f>AM454</f>
      </c>
      <c r="F454" s="11" t="str">
        <f>AN454</f>
      </c>
      <c r="G454" s="7" t="str">
        <f>AM454/AL454-1</f>
      </c>
      <c r="H454" s="7" t="str">
        <f>AM454/AF454-1</f>
      </c>
      <c r="I454" s="7" t="str">
        <f>AN454/AM454</f>
      </c>
      <c r="J454" s="7" t="str">
        <f>AM454/Sum(AM$1:AM$458)</f>
      </c>
      <c r="K454" s="7" t="str">
        <f>AN454/Sum(AN1:AN$458)</f>
      </c>
      <c r="O454" t="s">
        <v>539</v>
      </c>
      <c r="P454" t="n">
        <v>2195</v>
      </c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 t="n">
        <v>117345.828635952</v>
      </c>
      <c r="AJ454" s="11" t="n">
        <v>114284.151200469</v>
      </c>
      <c r="AK454" s="11" t="n">
        <v>214636.421709813</v>
      </c>
      <c r="AL454" s="11" t="n">
        <v>82327.0395022725</v>
      </c>
      <c r="AM454" s="11" t="n">
        <v>432654.7559</v>
      </c>
      <c r="AN454" s="11" t="n">
        <v>3623.65182256291</v>
      </c>
      <c r="AO454" s="11"/>
    </row>
    <row r="455">
      <c r="A455" t="str">
        <f>O455</f>
      </c>
      <c r="B455" t="str">
        <f>P455</f>
      </c>
      <c r="C455" s="11" t="str">
        <f>AF455</f>
      </c>
      <c r="D455" s="11" t="str">
        <f>AL455</f>
      </c>
      <c r="E455" s="11" t="str">
        <f>AM455</f>
      </c>
      <c r="F455" s="11" t="str">
        <f>AN455</f>
      </c>
      <c r="G455" s="7" t="str">
        <f>AM455/AL455-1</f>
      </c>
      <c r="H455" s="7" t="str">
        <f>AM455/AF455-1</f>
      </c>
      <c r="I455" s="7" t="str">
        <f>AN455/AM455</f>
      </c>
      <c r="J455" s="7" t="str">
        <f>AM455/Sum(AM$1:AM$458)</f>
      </c>
      <c r="K455" s="7" t="str">
        <f>AN455/Sum(AN1:AN$458)</f>
      </c>
      <c r="O455" t="s">
        <v>540</v>
      </c>
      <c r="P455" t="n">
        <v>700</v>
      </c>
      <c r="Q455" s="11"/>
      <c r="R455" s="11"/>
      <c r="S455" s="11"/>
      <c r="T455" s="11"/>
      <c r="U455" s="11" t="n">
        <v>25649623.1139413</v>
      </c>
      <c r="V455" s="11" t="n">
        <v>45380921.8862216</v>
      </c>
      <c r="W455" s="11" t="n">
        <v>18154005.5949859</v>
      </c>
      <c r="X455" s="11" t="n">
        <v>53647758.5517357</v>
      </c>
      <c r="Y455" s="11" t="n">
        <v>14577949.5784945</v>
      </c>
      <c r="Z455" s="11" t="n">
        <v>80306203.3421548</v>
      </c>
      <c r="AA455" s="11" t="n">
        <v>189242954.878924</v>
      </c>
      <c r="AB455" s="11" t="n">
        <v>497941633.963114</v>
      </c>
      <c r="AC455" s="11" t="n">
        <v>519890694.340442</v>
      </c>
      <c r="AD455" s="11" t="n">
        <v>593026351.6933</v>
      </c>
      <c r="AE455" s="11" t="n">
        <v>567161419.291154</v>
      </c>
      <c r="AF455" s="11" t="n">
        <v>41727184.7240555</v>
      </c>
      <c r="AG455" s="11" t="n">
        <v>-48886225.3574999</v>
      </c>
      <c r="AH455" s="11" t="n">
        <v>11999622.7287963</v>
      </c>
      <c r="AI455" s="11" t="n">
        <v>59931827.422929</v>
      </c>
      <c r="AJ455" s="11" t="n">
        <v>-10867005.4031351</v>
      </c>
      <c r="AK455" s="11" t="n">
        <v>-25807543.5162477</v>
      </c>
      <c r="AL455" s="11" t="n">
        <v>-4450659.88678024</v>
      </c>
      <c r="AM455" s="11" t="n">
        <v>7459064.7939</v>
      </c>
      <c r="AN455" s="11" t="n">
        <v>-108684.371538275</v>
      </c>
      <c r="AO455" s="11"/>
    </row>
    <row r="456">
      <c r="A456" t="str">
        <f>O456</f>
      </c>
      <c r="B456" t="str">
        <f>P456</f>
      </c>
      <c r="C456" s="11" t="str">
        <f>AF456</f>
      </c>
      <c r="D456" s="11" t="str">
        <f>AL456</f>
      </c>
      <c r="E456" s="11" t="str">
        <f>AM456</f>
      </c>
      <c r="F456" s="11" t="str">
        <f>AN456</f>
      </c>
      <c r="G456" s="7" t="str">
        <f>AM456/AL456-1</f>
      </c>
      <c r="H456" s="7" t="str">
        <f>AM456/AF456-1</f>
      </c>
      <c r="I456" s="7" t="str">
        <f>AN456/AM456</f>
      </c>
      <c r="J456" s="7" t="str">
        <f>AM456/Sum(AM$1:AM$458)</f>
      </c>
      <c r="K456" s="7" t="str">
        <f>AN456/Sum(AN1:AN$458)</f>
      </c>
      <c r="O456" t="s">
        <v>541</v>
      </c>
      <c r="P456" t="n">
        <v>947</v>
      </c>
      <c r="Q456" s="11" t="n">
        <v>24581663.6580965</v>
      </c>
      <c r="R456" s="11" t="n">
        <v>54233.6640663491</v>
      </c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</row>
    <row r="457">
      <c r="A457" t="str">
        <f>O457</f>
      </c>
      <c r="B457" t="str">
        <f>P457</f>
      </c>
      <c r="C457" s="11" t="str">
        <f>AF457</f>
      </c>
      <c r="D457" s="11" t="str">
        <f>AL457</f>
      </c>
      <c r="E457" s="11" t="str">
        <f>AM457</f>
      </c>
      <c r="F457" s="11" t="str">
        <f>AN457</f>
      </c>
      <c r="G457" s="7" t="str">
        <f>AM457/AL457-1</f>
      </c>
      <c r="H457" s="7" t="str">
        <f>AM457/AF457-1</f>
      </c>
      <c r="I457" s="7" t="str">
        <f>AN457/AM457</f>
      </c>
      <c r="J457" s="7" t="str">
        <f>AM457/Sum(AM$1:AM$458)</f>
      </c>
      <c r="K457" s="7" t="str">
        <f>AN457/Sum(AN1:AN$458)</f>
      </c>
      <c r="O457" t="s">
        <v>82</v>
      </c>
      <c r="P457" t="n">
        <v>2015</v>
      </c>
      <c r="Q457" s="11"/>
      <c r="R457" s="11" t="n">
        <v>4908197.07727307</v>
      </c>
      <c r="S457" s="11" t="n">
        <v>6251266.76394206</v>
      </c>
      <c r="T457" s="11" t="n">
        <v>1245582.40790326</v>
      </c>
      <c r="U457" s="11" t="n">
        <v>15989794.4043259</v>
      </c>
      <c r="V457" s="11" t="n">
        <v>24244100.4830277</v>
      </c>
      <c r="W457" s="11" t="n">
        <v>74552618.190887</v>
      </c>
      <c r="X457" s="11"/>
      <c r="Y457" s="11" t="n">
        <v>20044684.7948307</v>
      </c>
      <c r="Z457" s="11" t="n">
        <v>28505698.5066915</v>
      </c>
      <c r="AA457" s="11" t="n">
        <v>11161704.6812588</v>
      </c>
      <c r="AB457" s="11" t="n">
        <v>280985754.545777</v>
      </c>
      <c r="AC457" s="11" t="n">
        <v>616221460.786337</v>
      </c>
      <c r="AD457" s="11" t="n">
        <v>165478866.397853</v>
      </c>
      <c r="AE457" s="11" t="n">
        <v>548798568.149088</v>
      </c>
      <c r="AF457" s="11" t="n">
        <v>156390006.645587</v>
      </c>
      <c r="AG457" s="11" t="n">
        <v>46707070.3069022</v>
      </c>
      <c r="AH457" s="11" t="n">
        <v>-33550713.288908</v>
      </c>
      <c r="AI457" s="11" t="n">
        <v>24850516.8705382</v>
      </c>
      <c r="AJ457" s="11" t="n">
        <v>-11519132.2051029</v>
      </c>
      <c r="AK457" s="11" t="n">
        <v>18204511.0767526</v>
      </c>
      <c r="AL457" s="11" t="n">
        <v>11640813.7500581</v>
      </c>
      <c r="AM457" s="11" t="n">
        <v>14412182.8907</v>
      </c>
      <c r="AN457" s="11" t="n">
        <v>-953163.38816421</v>
      </c>
      <c r="AO457" s="11"/>
    </row>
    <row r="458">
      <c r="A458" t="str">
        <f>O458</f>
      </c>
      <c r="B458" t="str">
        <f>P458</f>
      </c>
      <c r="C458" s="11" t="str">
        <f>AF458</f>
      </c>
      <c r="D458" s="11" t="str">
        <f>AL458</f>
      </c>
      <c r="E458" s="11" t="str">
        <f>AM458</f>
      </c>
      <c r="F458" s="11" t="str">
        <f>AN458</f>
      </c>
      <c r="G458" s="7" t="str">
        <f>AM458/AL458-1</f>
      </c>
      <c r="H458" s="7" t="str">
        <f>AM458/AF458-1</f>
      </c>
      <c r="I458" s="7" t="str">
        <f>AN458/AM458</f>
      </c>
      <c r="J458" s="7" t="str">
        <f>AM458/Sum(AM$1:AM$458)</f>
      </c>
      <c r="K458" s="7" t="str">
        <f>AN458/Sum(AN1:AN$458)</f>
      </c>
      <c r="O458"/>
      <c r="P458"/>
      <c r="Q458" s="11" t="n">
        <v>29979039847.905</v>
      </c>
      <c r="R458" s="11" t="n">
        <v>32171178636.5445</v>
      </c>
      <c r="S458" s="11" t="n">
        <v>36815970630.278</v>
      </c>
      <c r="T458" s="11" t="n">
        <v>44688103394.7196</v>
      </c>
      <c r="U458" s="11" t="n">
        <v>53546534424.129</v>
      </c>
      <c r="V458" s="11" t="n">
        <v>57278297049.9515</v>
      </c>
      <c r="W458" s="11" t="n">
        <v>59459681706.04</v>
      </c>
      <c r="X458" s="11" t="n">
        <v>66763563977.832</v>
      </c>
      <c r="Y458" s="11" t="n">
        <v>70871955857.2583</v>
      </c>
      <c r="Z458" s="11" t="n">
        <v>68976994515.0645</v>
      </c>
      <c r="AA458" s="11" t="n">
        <v>70612317649.5376</v>
      </c>
      <c r="AB458" s="11" t="n">
        <v>64202624389.8796</v>
      </c>
      <c r="AC458" s="11" t="n">
        <v>59477180933.7137</v>
      </c>
      <c r="AD458" s="11" t="n">
        <v>48339158362.9193</v>
      </c>
      <c r="AE458" s="11" t="n">
        <v>47198164403.5154</v>
      </c>
      <c r="AF458" s="11" t="n">
        <v>46125767339.5873</v>
      </c>
      <c r="AG458" s="11" t="n">
        <v>49958929122.0466</v>
      </c>
      <c r="AH458" s="11" t="n">
        <v>51974909605.3897</v>
      </c>
      <c r="AI458" s="11" t="n">
        <v>56084111486.2321</v>
      </c>
      <c r="AJ458" s="11" t="n">
        <v>59146828106.2369</v>
      </c>
      <c r="AK458" s="11" t="n">
        <v>58267075335.2283</v>
      </c>
      <c r="AL458" s="11" t="n">
        <v>50419185583.9507</v>
      </c>
      <c r="AM458" s="11" t="n">
        <v>51073125313.6937</v>
      </c>
      <c r="AN458" s="11" t="n">
        <v>27270017937.0679</v>
      </c>
      <c r="AO458" s="11"/>
    </row>
    <row r="459">
      <c r="A459" t="str">
        <f>O459</f>
      </c>
      <c r="B459" t="str">
        <f>P459</f>
      </c>
      <c r="C459" s="11" t="str">
        <f>AF459</f>
      </c>
      <c r="D459" s="11" t="str">
        <f>AL459</f>
      </c>
      <c r="E459" s="11" t="str">
        <f>AM459</f>
      </c>
      <c r="F459" s="11" t="str">
        <f>AN459</f>
      </c>
      <c r="G459" s="7" t="str">
        <f>AM459/AL459-1</f>
      </c>
      <c r="H459" s="7" t="str">
        <f>AM459/AF459-1</f>
      </c>
      <c r="I459" s="7" t="str">
        <f>AN459/AM459</f>
      </c>
      <c r="J459" s="7" t="str">
        <f>Sum(J$1:J$458)</f>
      </c>
      <c r="K459" s="7" t="str">
        <f>Sum(K$1:K$458)</f>
      </c>
      <c r="O459" t="s">
        <v>542</v>
      </c>
      <c r="P459" t="s">
        <v>543</v>
      </c>
      <c r="Q459" s="11" t="str">
        <f>Sum(Q2:Q458)</f>
      </c>
      <c r="R459" s="11" t="str">
        <f>Sum(R2:R458)</f>
      </c>
      <c r="S459" s="11" t="str">
        <f>Sum(S2:S458)</f>
      </c>
      <c r="T459" s="11" t="str">
        <f>Sum(T2:T458)</f>
      </c>
      <c r="U459" s="11" t="str">
        <f>Sum(U2:U458)</f>
      </c>
      <c r="V459" s="11" t="str">
        <f>Sum(V2:V458)</f>
      </c>
      <c r="W459" s="11" t="str">
        <f>Sum(W2:W458)</f>
      </c>
      <c r="X459" s="11" t="str">
        <f>Sum(X2:X458)</f>
      </c>
      <c r="Y459" s="11" t="str">
        <f>Sum(Y2:Y458)</f>
      </c>
      <c r="Z459" s="11" t="str">
        <f>Sum(Z2:Z458)</f>
      </c>
      <c r="AA459" s="11" t="str">
        <f>Sum(AA2:AA458)</f>
      </c>
      <c r="AB459" s="11" t="str">
        <f>Sum(AB2:AB458)</f>
      </c>
      <c r="AC459" s="11" t="str">
        <f>Sum(AC2:AC458)</f>
      </c>
      <c r="AD459" s="11" t="str">
        <f>Sum(AD2:AD458)</f>
      </c>
      <c r="AE459" s="11" t="str">
        <f>Sum(AE2:AE458)</f>
      </c>
      <c r="AF459" s="11" t="str">
        <f>Sum(AF2:AF458)</f>
      </c>
      <c r="AG459" s="11" t="str">
        <f>Sum(AG2:AG458)</f>
      </c>
      <c r="AH459" s="11" t="str">
        <f>Sum(AH2:AH458)</f>
      </c>
      <c r="AI459" s="11" t="str">
        <f>Sum(AI2:AI458)</f>
      </c>
      <c r="AJ459" s="11" t="str">
        <f>Sum(AJ2:AJ458)</f>
      </c>
      <c r="AK459" s="11" t="str">
        <f>Sum(AK2:AK458)</f>
      </c>
      <c r="AL459" s="11" t="str">
        <f>Sum(AL2:AL458)</f>
      </c>
      <c r="AM459" s="11" t="str">
        <f>Sum(AM2:AM458)</f>
      </c>
      <c r="AN459" s="11"/>
      <c r="AO459" s="11"/>
    </row>
    <row r="460">
      <c r="P460" t="str">
        <f>Sum(A2:A458)</f>
      </c>
    </row>
    <row r="461">
      <c r="P461" t="str">
        <f>Sum(B2:B458)</f>
      </c>
    </row>
    <row r="462">
      <c r="P462" t="str">
        <f>Sum(C2:C458)</f>
      </c>
    </row>
    <row r="463">
      <c r="P463" t="str">
        <f>Sum(D2:D458)</f>
      </c>
    </row>
    <row r="464">
      <c r="P464" t="str">
        <f>Sum(E2:E458)</f>
      </c>
    </row>
    <row r="465">
      <c r="P465" t="str">
        <f>Sum(F2:F458)</f>
      </c>
    </row>
    <row r="466">
      <c r="P466" t="str">
        <f>Sum(G2:G458)</f>
      </c>
    </row>
    <row r="467">
      <c r="P467" t="str">
        <f>Sum(H2:H458)</f>
      </c>
    </row>
    <row r="468">
      <c r="P468" t="str">
        <f>Sum(I2:I458)</f>
      </c>
    </row>
    <row r="469">
      <c r="P469" t="str">
        <f>Sum(J2:J458)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K1</f>
      </c>
      <c r="K1" t="s">
        <v>544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</row>
    <row r="2">
      <c r="A2" t="str">
        <f>K2</f>
      </c>
      <c r="K2" t="s">
        <v>545</v>
      </c>
      <c r="L2" s="12" t="n">
        <v>2991230000</v>
      </c>
      <c r="M2" s="12" t="n">
        <v>1866728995</v>
      </c>
      <c r="N2" s="12" t="n">
        <v>2238357061</v>
      </c>
      <c r="O2" s="12" t="n">
        <v>2935345722</v>
      </c>
      <c r="P2" s="12" t="n">
        <v>2854844106</v>
      </c>
      <c r="Q2" s="12" t="n">
        <v>3420852712</v>
      </c>
      <c r="R2" s="12" t="n">
        <v>3472714428</v>
      </c>
      <c r="S2" s="12" t="n">
        <v>4999730461</v>
      </c>
      <c r="T2" s="12" t="n">
        <v>4819818383</v>
      </c>
      <c r="U2" s="12" t="n">
        <v>6034381572</v>
      </c>
      <c r="V2" s="12" t="n">
        <v>6682431662.1941</v>
      </c>
      <c r="W2" s="12" t="n">
        <v>7081760358.5977</v>
      </c>
      <c r="X2" s="12" t="n">
        <v>8598655926.2789</v>
      </c>
      <c r="Y2" s="12" t="n">
        <v>9573195533.7237</v>
      </c>
      <c r="Z2" s="12" t="n">
        <v>10956430924.4908</v>
      </c>
      <c r="AA2" s="12" t="n">
        <v>12139140465.4225</v>
      </c>
      <c r="AB2" s="12" t="n">
        <v>12033519835.6852</v>
      </c>
      <c r="AC2" s="12" t="n">
        <v>14941932436.4759</v>
      </c>
      <c r="AD2" s="12" t="n">
        <v>15203216117.2469</v>
      </c>
      <c r="AE2" s="12" t="n">
        <v>14084609803.7756</v>
      </c>
      <c r="AF2" s="12" t="n">
        <v>15235247708.9364</v>
      </c>
      <c r="AG2" s="12" t="n">
        <v>14065427722.434</v>
      </c>
      <c r="AH2" s="12" t="n">
        <v>13142928286.5879</v>
      </c>
      <c r="AI2" s="12" t="n">
        <v>10791511319.1229</v>
      </c>
      <c r="AJ2" s="12" t="n">
        <v>10458155746.1654</v>
      </c>
      <c r="AK2" s="12" t="n">
        <v>9957749177.0247</v>
      </c>
      <c r="AL2" s="12" t="n">
        <v>10355559302.0524</v>
      </c>
      <c r="AM2" s="12" t="n">
        <v>11217747143.6144</v>
      </c>
      <c r="AN2" s="12" t="n">
        <v>11251965639.3453</v>
      </c>
      <c r="AO2" s="12" t="n">
        <v>12506858710.1818</v>
      </c>
      <c r="AP2" s="12" t="n">
        <v>10804406161.9669</v>
      </c>
      <c r="AQ2" s="12" t="n">
        <v>9533605096.6767</v>
      </c>
      <c r="AR2" s="12" t="n">
        <v>10668488366.195</v>
      </c>
      <c r="AS2" s="12" t="n">
        <v>5971491031.3942</v>
      </c>
      <c r="AT2" s="12"/>
      <c r="AU2" s="12"/>
    </row>
    <row r="3">
      <c r="A3" t="str">
        <f>K3</f>
      </c>
      <c r="K3" t="s">
        <v>546</v>
      </c>
      <c r="L3" s="12" t="n">
        <v>7615059781</v>
      </c>
      <c r="M3" s="12" t="n">
        <v>8164529255</v>
      </c>
      <c r="N3" s="12" t="n">
        <v>8453705987</v>
      </c>
      <c r="O3" s="12" t="n">
        <v>6962506320</v>
      </c>
      <c r="P3" s="12" t="n">
        <v>6468122587</v>
      </c>
      <c r="Q3" s="12" t="n">
        <v>6425246161</v>
      </c>
      <c r="R3" s="12" t="n">
        <v>6254809833</v>
      </c>
      <c r="S3" s="12" t="n">
        <v>6228661273</v>
      </c>
      <c r="T3" s="12" t="n">
        <v>5673097069</v>
      </c>
      <c r="U3" s="12" t="n">
        <v>5596724206</v>
      </c>
      <c r="V3" s="12" t="n">
        <v>6478146238.5843</v>
      </c>
      <c r="W3" s="12" t="n">
        <v>7110303102.6671</v>
      </c>
      <c r="X3" s="12" t="n">
        <v>8055672907.2327</v>
      </c>
      <c r="Y3" s="12" t="n">
        <v>10820311965.4204</v>
      </c>
      <c r="Z3" s="12" t="n">
        <v>13743039872.4552</v>
      </c>
      <c r="AA3" s="12" t="n">
        <v>15940549566.0074</v>
      </c>
      <c r="AB3" s="12" t="n">
        <v>17239003493.1719</v>
      </c>
      <c r="AC3" s="12" t="n">
        <v>19260008221.5118</v>
      </c>
      <c r="AD3" s="12" t="n">
        <v>21641517153.2564</v>
      </c>
      <c r="AE3" s="12" t="n">
        <v>20525604708.5632</v>
      </c>
      <c r="AF3" s="12" t="n">
        <v>19798328145.8811</v>
      </c>
      <c r="AG3" s="12" t="n">
        <v>18559884228.3146</v>
      </c>
      <c r="AH3" s="12" t="n">
        <v>16666577586.553</v>
      </c>
      <c r="AI3" s="12" t="n">
        <v>13660209245.9601</v>
      </c>
      <c r="AJ3" s="12" t="n">
        <v>12565811616.4415</v>
      </c>
      <c r="AK3" s="12" t="n">
        <v>11546042235.5361</v>
      </c>
      <c r="AL3" s="12" t="n">
        <v>13121580806.9065</v>
      </c>
      <c r="AM3" s="12" t="n">
        <v>14068617809.0185</v>
      </c>
      <c r="AN3" s="12" t="n">
        <v>16297849754.1615</v>
      </c>
      <c r="AO3" s="12" t="n">
        <v>16853150808.0905</v>
      </c>
      <c r="AP3" s="12" t="n">
        <v>17788699302.2479</v>
      </c>
      <c r="AQ3" s="12" t="n">
        <v>14110525798.6946</v>
      </c>
      <c r="AR3" s="12" t="n">
        <v>15055006086.3303</v>
      </c>
      <c r="AS3" s="12" t="n">
        <v>6701786811.9439</v>
      </c>
      <c r="AT3" s="12"/>
      <c r="AU3" s="12"/>
    </row>
    <row r="4">
      <c r="A4" t="str">
        <f>K4</f>
      </c>
      <c r="K4" t="s">
        <v>547</v>
      </c>
      <c r="L4" s="12" t="n">
        <v>5241483000</v>
      </c>
      <c r="M4" s="12" t="n">
        <v>6203885402</v>
      </c>
      <c r="N4" s="12" t="n">
        <v>5570774481</v>
      </c>
      <c r="O4" s="12" t="n">
        <v>5129556329</v>
      </c>
      <c r="P4" s="12" t="n">
        <v>4888091025</v>
      </c>
      <c r="Q4" s="12" t="n">
        <v>4752793012</v>
      </c>
      <c r="R4" s="12" t="n">
        <v>4429609111</v>
      </c>
      <c r="S4" s="12" t="n">
        <v>3708992945</v>
      </c>
      <c r="T4" s="12" t="n">
        <v>3563022679</v>
      </c>
      <c r="U4" s="12" t="n">
        <v>4605026491</v>
      </c>
      <c r="V4" s="12" t="n">
        <v>3979274256.2136</v>
      </c>
      <c r="W4" s="12" t="n">
        <v>4536619509.7145</v>
      </c>
      <c r="X4" s="12" t="n">
        <v>4907353830.096</v>
      </c>
      <c r="Y4" s="12" t="n">
        <v>5546496088.2694</v>
      </c>
      <c r="Z4" s="12" t="n">
        <v>6411264751.6418</v>
      </c>
      <c r="AA4" s="12" t="n">
        <v>7136293442.0281</v>
      </c>
      <c r="AB4" s="12" t="n">
        <v>7913375601.1755</v>
      </c>
      <c r="AC4" s="12" t="n">
        <v>9089866238.5356</v>
      </c>
      <c r="AD4" s="12" t="n">
        <v>10217513102.2748</v>
      </c>
      <c r="AE4" s="12" t="n">
        <v>10855608350.6266</v>
      </c>
      <c r="AF4" s="12" t="n">
        <v>10977985775.4851</v>
      </c>
      <c r="AG4" s="12" t="n">
        <v>9799333336.5306</v>
      </c>
      <c r="AH4" s="12" t="n">
        <v>9826696229.7005</v>
      </c>
      <c r="AI4" s="12" t="n">
        <v>8090717492.0668</v>
      </c>
      <c r="AJ4" s="12" t="n">
        <v>8057469208.7341</v>
      </c>
      <c r="AK4" s="12" t="n">
        <v>7981850323.014</v>
      </c>
      <c r="AL4" s="12" t="n">
        <v>8709609402.1173</v>
      </c>
      <c r="AM4" s="12" t="n">
        <v>8943055092.3056</v>
      </c>
      <c r="AN4" s="12" t="n">
        <v>11356012250.4584</v>
      </c>
      <c r="AO4" s="12" t="n">
        <v>12079985688.9346</v>
      </c>
      <c r="AP4" s="12" t="n">
        <v>12433688603.5886</v>
      </c>
      <c r="AQ4" s="12" t="n">
        <v>12326135023.1393</v>
      </c>
      <c r="AR4" s="12" t="n">
        <v>13252228945.3628</v>
      </c>
      <c r="AS4" s="12" t="n">
        <v>6630127812.5056</v>
      </c>
      <c r="AT4" s="12"/>
      <c r="AU4" s="12"/>
    </row>
    <row r="5">
      <c r="A5" t="str">
        <f>K5</f>
      </c>
      <c r="K5" t="s">
        <v>548</v>
      </c>
      <c r="L5" s="12" t="n">
        <v>2079626513</v>
      </c>
      <c r="M5" s="12" t="n">
        <v>2461068683</v>
      </c>
      <c r="N5" s="12" t="n">
        <v>2556014813</v>
      </c>
      <c r="O5" s="12" t="n">
        <v>2655462116</v>
      </c>
      <c r="P5" s="12" t="n">
        <v>2822407498</v>
      </c>
      <c r="Q5" s="12" t="n">
        <v>3222215366</v>
      </c>
      <c r="R5" s="12" t="n">
        <v>3101955830</v>
      </c>
      <c r="S5" s="12" t="n">
        <v>2739625620</v>
      </c>
      <c r="T5" s="12" t="n">
        <v>2484196797</v>
      </c>
      <c r="U5" s="12" t="n">
        <v>3324921213</v>
      </c>
      <c r="V5" s="12" t="n">
        <v>3610047251.8149</v>
      </c>
      <c r="W5" s="12" t="n">
        <v>3537508794.9115</v>
      </c>
      <c r="X5" s="12" t="n">
        <v>4237983163.6438</v>
      </c>
      <c r="Y5" s="12" t="n">
        <v>5281923526.7842</v>
      </c>
      <c r="Z5" s="12" t="n">
        <v>6061385700.5167</v>
      </c>
      <c r="AA5" s="12" t="n">
        <v>6960183526.5496</v>
      </c>
      <c r="AB5" s="12" t="n">
        <v>7906727651.4435</v>
      </c>
      <c r="AC5" s="12" t="n">
        <v>9104816947.8869</v>
      </c>
      <c r="AD5" s="12" t="n">
        <v>9866294508.0747</v>
      </c>
      <c r="AE5" s="12" t="n">
        <v>9648130192.394</v>
      </c>
      <c r="AF5" s="12" t="n">
        <v>9913829846.3568</v>
      </c>
      <c r="AG5" s="12" t="n">
        <v>9725575331.4056</v>
      </c>
      <c r="AH5" s="12" t="n">
        <v>9853576032.407</v>
      </c>
      <c r="AI5" s="12" t="n">
        <v>8488731839.7971</v>
      </c>
      <c r="AJ5" s="12" t="n">
        <v>9754617236.7375</v>
      </c>
      <c r="AK5" s="12" t="n">
        <v>10047514819.549</v>
      </c>
      <c r="AL5" s="12" t="n">
        <v>11039011775.4139</v>
      </c>
      <c r="AM5" s="12" t="n">
        <v>11445018953.4458</v>
      </c>
      <c r="AN5" s="12" t="n">
        <v>12060989736.8789</v>
      </c>
      <c r="AO5" s="12" t="n">
        <v>13460814522.7468</v>
      </c>
      <c r="AP5" s="12" t="n">
        <v>14276776578.0542</v>
      </c>
      <c r="AQ5" s="12" t="n">
        <v>13613027497.8496</v>
      </c>
      <c r="AR5" s="12" t="n">
        <v>14608978112.3296</v>
      </c>
      <c r="AS5" s="12" t="n">
        <v>5589467378.0171</v>
      </c>
      <c r="AT5" s="12"/>
      <c r="AU5" s="12"/>
    </row>
    <row r="6">
      <c r="A6" t="str">
        <f>K6</f>
      </c>
      <c r="K6" t="s">
        <v>38</v>
      </c>
      <c r="L6" s="12" t="n">
        <v>1775040600</v>
      </c>
      <c r="M6" s="12" t="n">
        <v>623383398</v>
      </c>
      <c r="N6" s="12" t="n">
        <v>566195616</v>
      </c>
      <c r="O6" s="12" t="n">
        <v>558743012</v>
      </c>
      <c r="P6" s="12" t="n">
        <v>610454246</v>
      </c>
      <c r="Q6" s="12" t="n">
        <v>869536416</v>
      </c>
      <c r="R6" s="12" t="n">
        <v>922096516</v>
      </c>
      <c r="S6" s="12" t="n">
        <v>748717777</v>
      </c>
      <c r="T6" s="12" t="n">
        <v>939176635</v>
      </c>
      <c r="U6" s="12" t="n">
        <v>10237860</v>
      </c>
      <c r="V6" s="12" t="n">
        <v>776856</v>
      </c>
      <c r="W6" s="12" t="n">
        <v>120529280</v>
      </c>
      <c r="X6" s="12" t="n">
        <v>3626925</v>
      </c>
      <c r="Y6" s="12" t="n">
        <v>261760607.6001</v>
      </c>
      <c r="Z6" s="12" t="n">
        <v>359924838.5707</v>
      </c>
      <c r="AA6" s="12" t="n">
        <v>57078589.5902</v>
      </c>
      <c r="AB6" s="12" t="n">
        <v>109878598.064</v>
      </c>
      <c r="AC6" s="12" t="n">
        <v>57648423.2075</v>
      </c>
      <c r="AD6" s="12" t="n">
        <v>23915803.4465</v>
      </c>
      <c r="AE6" s="12" t="n">
        <v>231731474.2134</v>
      </c>
      <c r="AF6" s="12" t="n">
        <v>195545001.035</v>
      </c>
      <c r="AG6" s="12" t="n">
        <v>267855260.2721</v>
      </c>
      <c r="AH6" s="12" t="n">
        <v>130437405.4545</v>
      </c>
      <c r="AI6" s="12" t="n">
        <v>81465539.2102</v>
      </c>
      <c r="AJ6" s="12" t="n">
        <v>18019319.2173</v>
      </c>
      <c r="AK6" s="12" t="n">
        <v>81658740.4724</v>
      </c>
      <c r="AL6" s="12" t="n">
        <v>78423426.2721</v>
      </c>
      <c r="AM6" s="12" t="n">
        <v>33824093.8633</v>
      </c>
      <c r="AN6" s="12" t="n">
        <v>16855374.0774</v>
      </c>
      <c r="AO6" s="12" t="n">
        <v>24440585.2982</v>
      </c>
      <c r="AP6" s="12" t="n">
        <v>53110025.8218</v>
      </c>
      <c r="AQ6" s="12" t="n">
        <v>21190681.0549</v>
      </c>
      <c r="AR6" s="12" t="n">
        <v>3122355.6603</v>
      </c>
      <c r="AS6" s="12" t="n">
        <v>1676186.702</v>
      </c>
      <c r="AT6" s="12"/>
      <c r="AU6" s="12"/>
    </row>
    <row r="7">
      <c r="A7" t="str">
        <f>K7</f>
      </c>
      <c r="K7" t="s">
        <v>542</v>
      </c>
      <c r="L7" s="12" t="str">
        <f>Sum(L2:L6)</f>
      </c>
      <c r="M7" s="12" t="str">
        <f>Sum(M2:M6)</f>
      </c>
      <c r="N7" s="12" t="str">
        <f>Sum(N2:N6)</f>
      </c>
      <c r="O7" s="12" t="str">
        <f>Sum(O2:O6)</f>
      </c>
      <c r="P7" s="12" t="str">
        <f>Sum(P2:P6)</f>
      </c>
      <c r="Q7" s="12" t="str">
        <f>Sum(Q2:Q6)</f>
      </c>
      <c r="R7" s="12" t="str">
        <f>Sum(R2:R6)</f>
      </c>
      <c r="S7" s="12" t="str">
        <f>Sum(S2:S6)</f>
      </c>
      <c r="T7" s="12" t="str">
        <f>Sum(T2:T6)</f>
      </c>
      <c r="U7" s="12" t="str">
        <f>Sum(U2:U6)</f>
      </c>
      <c r="V7" s="12" t="str">
        <f>Sum(V2:V6)</f>
      </c>
      <c r="W7" s="12" t="str">
        <f>Sum(W2:W6)</f>
      </c>
      <c r="X7" s="12" t="str">
        <f>Sum(X2:X6)</f>
      </c>
      <c r="Y7" s="12" t="str">
        <f>Sum(Y2:Y6)</f>
      </c>
      <c r="Z7" s="12" t="str">
        <f>Sum(Z2:Z6)</f>
      </c>
      <c r="AA7" s="12" t="str">
        <f>Sum(AA2:AA6)</f>
      </c>
      <c r="AB7" s="12" t="str">
        <f>Sum(AB2:AB6)</f>
      </c>
      <c r="AC7" s="12" t="str">
        <f>Sum(AC2:AC6)</f>
      </c>
      <c r="AD7" s="12" t="str">
        <f>Sum(AD2:AD6)</f>
      </c>
      <c r="AE7" s="12" t="str">
        <f>Sum(AE2:AE6)</f>
      </c>
      <c r="AF7" s="12" t="str">
        <f>Sum(AF2:AF6)</f>
      </c>
      <c r="AG7" s="12" t="str">
        <f>Sum(AG2:AG6)</f>
      </c>
      <c r="AH7" s="12" t="str">
        <f>Sum(AH2:AH6)</f>
      </c>
      <c r="AI7" s="12" t="str">
        <f>Sum(AI2:AI6)</f>
      </c>
      <c r="AJ7" s="12" t="str">
        <f>Sum(AJ2:AJ6)</f>
      </c>
      <c r="AK7" s="12" t="str">
        <f>Sum(AK2:AK6)</f>
      </c>
      <c r="AL7" s="12" t="str">
        <f>Sum(AL2:AL6)</f>
      </c>
      <c r="AM7" s="12" t="str">
        <f>Sum(AM2:AM6)</f>
      </c>
      <c r="AN7" s="12" t="str">
        <f>Sum(AN2:AN6)</f>
      </c>
      <c r="AO7" s="12" t="str">
        <f>Sum(AO2:AO6)</f>
      </c>
      <c r="AP7" s="12" t="str">
        <f>Sum(AP2:AP6)</f>
      </c>
      <c r="AQ7" s="12" t="str">
        <f>Sum(AQ2:AQ6)</f>
      </c>
      <c r="AR7" s="12" t="str">
        <f>Sum(AR2:AR6)</f>
      </c>
      <c r="AS7" s="12" t="str">
        <f>Sum(AS2:AS6)</f>
      </c>
      <c r="AT7" s="12"/>
      <c r="AU7" s="12"/>
    </row>
    <row r="10">
      <c r="A10" t="str">
        <f>K10</f>
      </c>
      <c r="K10" t="s">
        <v>544</v>
      </c>
      <c r="L10" t="s">
        <v>1</v>
      </c>
      <c r="M10" t="s">
        <v>2</v>
      </c>
      <c r="N10" t="s">
        <v>3</v>
      </c>
      <c r="O10" t="s">
        <v>4</v>
      </c>
      <c r="P10" t="s">
        <v>5</v>
      </c>
      <c r="Q10" t="s">
        <v>6</v>
      </c>
      <c r="R10" t="s">
        <v>7</v>
      </c>
      <c r="S10" t="s">
        <v>8</v>
      </c>
      <c r="T10" t="s">
        <v>9</v>
      </c>
      <c r="U10" t="s">
        <v>10</v>
      </c>
      <c r="V10" t="s">
        <v>11</v>
      </c>
      <c r="W10" t="s">
        <v>12</v>
      </c>
      <c r="X10" t="s">
        <v>13</v>
      </c>
      <c r="Y10" t="s">
        <v>14</v>
      </c>
      <c r="Z10" t="s">
        <v>15</v>
      </c>
      <c r="AA10" t="s">
        <v>16</v>
      </c>
      <c r="AB10" t="s">
        <v>17</v>
      </c>
      <c r="AC10" t="s">
        <v>18</v>
      </c>
      <c r="AD10" t="s">
        <v>19</v>
      </c>
      <c r="AE10" t="s">
        <v>20</v>
      </c>
      <c r="AF10" t="s">
        <v>21</v>
      </c>
      <c r="AG10" t="s">
        <v>22</v>
      </c>
      <c r="AH10" t="s">
        <v>23</v>
      </c>
      <c r="AI10" t="s">
        <v>24</v>
      </c>
      <c r="AJ10" t="s">
        <v>25</v>
      </c>
      <c r="AK10" t="s">
        <v>26</v>
      </c>
      <c r="AL10" t="s">
        <v>27</v>
      </c>
      <c r="AM10" t="s">
        <v>28</v>
      </c>
      <c r="AN10" t="s">
        <v>29</v>
      </c>
      <c r="AO10" t="s">
        <v>30</v>
      </c>
      <c r="AP10" t="s">
        <v>31</v>
      </c>
      <c r="AQ10" t="s">
        <v>32</v>
      </c>
      <c r="AR10" t="s">
        <v>33</v>
      </c>
      <c r="AS10" t="s">
        <v>34</v>
      </c>
    </row>
    <row r="11">
      <c r="A11" t="str">
        <f>K11</f>
      </c>
      <c r="K11" t="s">
        <v>545</v>
      </c>
      <c r="L11" s="12" t="n">
        <v>5945164047.80464</v>
      </c>
      <c r="M11" s="12" t="n">
        <v>3582401440.61771</v>
      </c>
      <c r="N11" s="12" t="n">
        <v>4190846036.72022</v>
      </c>
      <c r="O11" s="12" t="n">
        <v>5369670061.6802</v>
      </c>
      <c r="P11" s="12" t="n">
        <v>5111039495.36107</v>
      </c>
      <c r="Q11" s="12" t="n">
        <v>5997326770.65347</v>
      </c>
      <c r="R11" s="12" t="n">
        <v>5975935066.08665</v>
      </c>
      <c r="S11" s="12" t="n">
        <v>8453491630.6572</v>
      </c>
      <c r="T11" s="12" t="n">
        <v>8048796298.57112</v>
      </c>
      <c r="U11" s="12" t="n">
        <v>9952975399.15967</v>
      </c>
      <c r="V11" s="12" t="n">
        <v>10797005642.136</v>
      </c>
      <c r="W11" s="12" t="n">
        <v>11171315075.2349</v>
      </c>
      <c r="X11" s="12" t="n">
        <v>13353418927.0214</v>
      </c>
      <c r="Y11" s="12" t="n">
        <v>14588002349.1914</v>
      </c>
      <c r="Z11" s="12" t="n">
        <v>16297464516.3529</v>
      </c>
      <c r="AA11" s="12" t="n">
        <v>17524727261.2845</v>
      </c>
      <c r="AB11" s="12" t="n">
        <v>16824482648.2703</v>
      </c>
      <c r="AC11" s="12" t="n">
        <v>20333234834.4217</v>
      </c>
      <c r="AD11" s="12" t="n">
        <v>20266126864.1253</v>
      </c>
      <c r="AE11" s="12" t="n">
        <v>18586135530.5528</v>
      </c>
      <c r="AF11" s="12" t="n">
        <v>19931173314.2818</v>
      </c>
      <c r="AG11" s="12" t="n">
        <v>18037263872.4613</v>
      </c>
      <c r="AH11" s="12" t="n">
        <v>16550889588.1422</v>
      </c>
      <c r="AI11" s="12" t="n">
        <v>13345527053.059</v>
      </c>
      <c r="AJ11" s="12" t="n">
        <v>12687818433.4046</v>
      </c>
      <c r="AK11" s="12" t="n">
        <v>11943798023.9311</v>
      </c>
      <c r="AL11" s="12" t="n">
        <v>12318870051.2275</v>
      </c>
      <c r="AM11" s="12" t="n">
        <v>13110449174.0131</v>
      </c>
      <c r="AN11" s="12" t="n">
        <v>12848748937.4017</v>
      </c>
      <c r="AO11" s="12" t="n">
        <v>14007370309.9292</v>
      </c>
      <c r="AP11" s="12" t="n">
        <v>11941362723.53</v>
      </c>
      <c r="AQ11" s="12" t="n">
        <v>10194165664.7834</v>
      </c>
      <c r="AR11" s="12" t="n">
        <v>10668488366.195</v>
      </c>
      <c r="AS11" s="12" t="n">
        <v>5695598468.55633</v>
      </c>
      <c r="AT11" s="12"/>
      <c r="AU11" s="12"/>
    </row>
    <row r="12">
      <c r="A12" t="str">
        <f>K12</f>
      </c>
      <c r="K12" t="s">
        <v>546</v>
      </c>
      <c r="L12" s="12" t="n">
        <v>15135171695.8857</v>
      </c>
      <c r="M12" s="12" t="n">
        <v>15668381132.6761</v>
      </c>
      <c r="N12" s="12" t="n">
        <v>15827760837.8483</v>
      </c>
      <c r="O12" s="12" t="n">
        <v>12736612747.37</v>
      </c>
      <c r="P12" s="12" t="n">
        <v>11579907264.8186</v>
      </c>
      <c r="Q12" s="12" t="n">
        <v>11264530821.286</v>
      </c>
      <c r="R12" s="12" t="n">
        <v>10763435401.2389</v>
      </c>
      <c r="S12" s="12" t="n">
        <v>10531354910.4751</v>
      </c>
      <c r="T12" s="12" t="n">
        <v>9473718522.55992</v>
      </c>
      <c r="U12" s="12" t="n">
        <v>9231113026.83785</v>
      </c>
      <c r="V12" s="12" t="n">
        <v>10466935544.4798</v>
      </c>
      <c r="W12" s="12" t="n">
        <v>11216340601.5116</v>
      </c>
      <c r="X12" s="12" t="n">
        <v>12510184846.5154</v>
      </c>
      <c r="Y12" s="12" t="n">
        <v>16488406176.8598</v>
      </c>
      <c r="Z12" s="12" t="n">
        <v>20442487723.5805</v>
      </c>
      <c r="AA12" s="12" t="n">
        <v>23012649399.2707</v>
      </c>
      <c r="AB12" s="12" t="n">
        <v>24102450413.9047</v>
      </c>
      <c r="AC12" s="12" t="n">
        <v>26209345527.8169</v>
      </c>
      <c r="AD12" s="12" t="n">
        <v>28848483687.7699</v>
      </c>
      <c r="AE12" s="12" t="n">
        <v>27085711018.9622</v>
      </c>
      <c r="AF12" s="12" t="n">
        <v>25900721612.6273</v>
      </c>
      <c r="AG12" s="12" t="n">
        <v>23800878002.0599</v>
      </c>
      <c r="AH12" s="12" t="n">
        <v>20988221150.7416</v>
      </c>
      <c r="AI12" s="12" t="n">
        <v>16893156727.6736</v>
      </c>
      <c r="AJ12" s="12" t="n">
        <v>15244823286.958</v>
      </c>
      <c r="AK12" s="12" t="n">
        <v>13848872268.7657</v>
      </c>
      <c r="AL12" s="12" t="n">
        <v>15609301642.9277</v>
      </c>
      <c r="AM12" s="12" t="n">
        <v>16442329852.1885</v>
      </c>
      <c r="AN12" s="12" t="n">
        <v>18610702025.1175</v>
      </c>
      <c r="AO12" s="12" t="n">
        <v>18875109228.3327</v>
      </c>
      <c r="AP12" s="12" t="n">
        <v>19660618784.9269</v>
      </c>
      <c r="AQ12" s="12" t="n">
        <v>15088210194.4034</v>
      </c>
      <c r="AR12" s="12" t="n">
        <v>15055006086.3303</v>
      </c>
      <c r="AS12" s="12" t="n">
        <v>6392153400.55309</v>
      </c>
      <c r="AT12" s="12"/>
      <c r="AU12" s="12"/>
    </row>
    <row r="13">
      <c r="A13" t="str">
        <f>K13</f>
      </c>
      <c r="K13" t="s">
        <v>547</v>
      </c>
      <c r="L13" s="12" t="n">
        <v>10417612918.0234</v>
      </c>
      <c r="M13" s="12" t="n">
        <v>11905749608.5831</v>
      </c>
      <c r="N13" s="12" t="n">
        <v>10430086674.7019</v>
      </c>
      <c r="O13" s="12" t="n">
        <v>9383571019.62298</v>
      </c>
      <c r="P13" s="12" t="n">
        <v>8751170066.76055</v>
      </c>
      <c r="Q13" s="12" t="n">
        <v>8332440816.94983</v>
      </c>
      <c r="R13" s="12" t="n">
        <v>7622583706.29312</v>
      </c>
      <c r="S13" s="12" t="n">
        <v>6271126226.36321</v>
      </c>
      <c r="T13" s="12" t="n">
        <v>5950025804.21092</v>
      </c>
      <c r="U13" s="12" t="n">
        <v>7595428766.06835</v>
      </c>
      <c r="V13" s="12" t="n">
        <v>6429432992.03718</v>
      </c>
      <c r="W13" s="12" t="n">
        <v>7156413568.54862</v>
      </c>
      <c r="X13" s="12" t="n">
        <v>7620952864.98491</v>
      </c>
      <c r="Y13" s="12" t="n">
        <v>8451963367.97085</v>
      </c>
      <c r="Z13" s="12" t="n">
        <v>9536623788.79846</v>
      </c>
      <c r="AA13" s="12" t="n">
        <v>10302343611.911</v>
      </c>
      <c r="AB13" s="12" t="n">
        <v>11063965681.629</v>
      </c>
      <c r="AC13" s="12" t="n">
        <v>12369643995.3397</v>
      </c>
      <c r="AD13" s="12" t="n">
        <v>13620106112.3941</v>
      </c>
      <c r="AE13" s="12" t="n">
        <v>14325125855.9723</v>
      </c>
      <c r="AF13" s="12" t="n">
        <v>14361705258.2986</v>
      </c>
      <c r="AG13" s="12" t="n">
        <v>12566497418.5813</v>
      </c>
      <c r="AH13" s="12" t="n">
        <v>12374758559.7007</v>
      </c>
      <c r="AI13" s="12" t="n">
        <v>10005539166.4836</v>
      </c>
      <c r="AJ13" s="12" t="n">
        <v>9775309226.06989</v>
      </c>
      <c r="AK13" s="12" t="n">
        <v>9573810950.70057</v>
      </c>
      <c r="AL13" s="12" t="n">
        <v>10360864468.2637</v>
      </c>
      <c r="AM13" s="12" t="n">
        <v>10451962211.9326</v>
      </c>
      <c r="AN13" s="12" t="n">
        <v>12967560958.948</v>
      </c>
      <c r="AO13" s="12" t="n">
        <v>13529283156.1133</v>
      </c>
      <c r="AP13" s="12" t="n">
        <v>13742095898.7572</v>
      </c>
      <c r="AQ13" s="12" t="n">
        <v>13180183273.6047</v>
      </c>
      <c r="AR13" s="12" t="n">
        <v>13252228945.3628</v>
      </c>
      <c r="AS13" s="12" t="n">
        <v>6323805163.01688</v>
      </c>
      <c r="AT13" s="12"/>
      <c r="AU13" s="12"/>
    </row>
    <row r="14">
      <c r="A14" t="str">
        <f>K14</f>
      </c>
      <c r="K14" t="s">
        <v>548</v>
      </c>
      <c r="L14" s="12" t="n">
        <v>4133323341.21714</v>
      </c>
      <c r="M14" s="12" t="n">
        <v>4722986581.90517</v>
      </c>
      <c r="N14" s="12" t="n">
        <v>4785592404.13307</v>
      </c>
      <c r="O14" s="12" t="n">
        <v>4857674963.92071</v>
      </c>
      <c r="P14" s="12" t="n">
        <v>5052968098.6655</v>
      </c>
      <c r="Q14" s="12" t="n">
        <v>5649082290.95446</v>
      </c>
      <c r="R14" s="12" t="n">
        <v>5337924267.1056</v>
      </c>
      <c r="S14" s="12" t="n">
        <v>4632130157.90694</v>
      </c>
      <c r="T14" s="12" t="n">
        <v>4148453820.40526</v>
      </c>
      <c r="U14" s="12" t="n">
        <v>5484051454.5329</v>
      </c>
      <c r="V14" s="12" t="n">
        <v>5832861825.84395</v>
      </c>
      <c r="W14" s="12" t="n">
        <v>5580339255.81693</v>
      </c>
      <c r="X14" s="12" t="n">
        <v>6581443085.40663</v>
      </c>
      <c r="Y14" s="12" t="n">
        <v>8048797556.21223</v>
      </c>
      <c r="Z14" s="12" t="n">
        <v>9016185932.70971</v>
      </c>
      <c r="AA14" s="12" t="n">
        <v>10048101703.6343</v>
      </c>
      <c r="AB14" s="12" t="n">
        <v>11054670951.8708</v>
      </c>
      <c r="AC14" s="12" t="n">
        <v>12389989173.9485</v>
      </c>
      <c r="AD14" s="12" t="n">
        <v>13151926187.0279</v>
      </c>
      <c r="AE14" s="12" t="n">
        <v>12731730439.8581</v>
      </c>
      <c r="AF14" s="12" t="n">
        <v>12969546977.5746</v>
      </c>
      <c r="AG14" s="12" t="n">
        <v>12471911414.7</v>
      </c>
      <c r="AH14" s="12" t="n">
        <v>12408608295.2426</v>
      </c>
      <c r="AI14" s="12" t="n">
        <v>10497751154.9682</v>
      </c>
      <c r="AJ14" s="12" t="n">
        <v>11834286598.0423</v>
      </c>
      <c r="AK14" s="12" t="n">
        <v>12051467205.4639</v>
      </c>
      <c r="AL14" s="12" t="n">
        <v>13131898296.2457</v>
      </c>
      <c r="AM14" s="12" t="n">
        <v>13376067169.6173</v>
      </c>
      <c r="AN14" s="12" t="n">
        <v>13772582856.4433</v>
      </c>
      <c r="AO14" s="12" t="n">
        <v>15075777064.6189</v>
      </c>
      <c r="AP14" s="12" t="n">
        <v>15779133539.1918</v>
      </c>
      <c r="AQ14" s="12" t="n">
        <v>14556241432.8139</v>
      </c>
      <c r="AR14" s="12" t="n">
        <v>14608978112.3296</v>
      </c>
      <c r="AS14" s="12" t="n">
        <v>5331224927.05929</v>
      </c>
      <c r="AT14" s="12"/>
      <c r="AU14" s="12"/>
    </row>
    <row r="15">
      <c r="A15" t="str">
        <f>K15</f>
      </c>
      <c r="K15" t="s">
        <v>38</v>
      </c>
      <c r="L15" s="12" t="n">
        <v>3527949224.40387</v>
      </c>
      <c r="M15" s="12" t="n">
        <v>1196322331.21893</v>
      </c>
      <c r="N15" s="12" t="n">
        <v>1060080491.47524</v>
      </c>
      <c r="O15" s="12" t="n">
        <v>1022116611.75815</v>
      </c>
      <c r="P15" s="12" t="n">
        <v>1092898822.34181</v>
      </c>
      <c r="Q15" s="12" t="n">
        <v>1524442723.72253</v>
      </c>
      <c r="R15" s="12" t="n">
        <v>1586767071.84768</v>
      </c>
      <c r="S15" s="12" t="n">
        <v>1265924135.50387</v>
      </c>
      <c r="T15" s="12" t="n">
        <v>1568366445.12472</v>
      </c>
      <c r="U15" s="12" t="n">
        <v>16886099.6780269</v>
      </c>
      <c r="V15" s="12" t="n">
        <v>1255189.58354348</v>
      </c>
      <c r="W15" s="12" t="n">
        <v>190132183.876641</v>
      </c>
      <c r="X15" s="12" t="n">
        <v>5632490.63075908</v>
      </c>
      <c r="Y15" s="12" t="n">
        <v>398880848.630354</v>
      </c>
      <c r="Z15" s="12" t="n">
        <v>535380757.254455</v>
      </c>
      <c r="AA15" s="12" t="n">
        <v>82401774.4811749</v>
      </c>
      <c r="AB15" s="12" t="n">
        <v>153625089.897795</v>
      </c>
      <c r="AC15" s="12" t="n">
        <v>78448951.0908728</v>
      </c>
      <c r="AD15" s="12" t="n">
        <v>31880143.1859158</v>
      </c>
      <c r="AE15" s="12" t="n">
        <v>305794242.54057</v>
      </c>
      <c r="AF15" s="12" t="n">
        <v>255817390.096251</v>
      </c>
      <c r="AG15" s="12" t="n">
        <v>343493003.163263</v>
      </c>
      <c r="AH15" s="12" t="n">
        <v>164259824.657511</v>
      </c>
      <c r="AI15" s="12" t="n">
        <v>100745903.448686</v>
      </c>
      <c r="AJ15" s="12" t="n">
        <v>21861010.3035125</v>
      </c>
      <c r="AK15" s="12" t="n">
        <v>97945377.5900763</v>
      </c>
      <c r="AL15" s="12" t="n">
        <v>93291725.6363493</v>
      </c>
      <c r="AM15" s="12" t="n">
        <v>39531026.8429677</v>
      </c>
      <c r="AN15" s="12" t="n">
        <v>19247345.4601754</v>
      </c>
      <c r="AO15" s="12" t="n">
        <v>27372846.9151566</v>
      </c>
      <c r="AP15" s="12" t="n">
        <v>58698837.5933752</v>
      </c>
      <c r="AQ15" s="12" t="n">
        <v>22658932.3800019</v>
      </c>
      <c r="AR15" s="12" t="n">
        <v>3122355.6603</v>
      </c>
      <c r="AS15" s="12" t="n">
        <v>1598744.15999863</v>
      </c>
      <c r="AT15" s="12"/>
      <c r="AU15" s="12"/>
    </row>
    <row r="16">
      <c r="A16" t="str">
        <f>K16</f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../output/AcqTrends/Platform//Electronics_Comms_and_Sensors/DoD_Electronics_Comms_and_Sensors_Contracts.xlsx</dc:creator>
  <cp:lastModifiedBy>../output/AcqTrends/Platform//Electronics_Comms_and_Sensors/DoD_Electronics_Comms_and_Sensors_Contracts.xlsx</cp:lastModifiedBy>
  <dcterms:created xsi:type="dcterms:W3CDTF">2023-11-12T22:34:05Z</dcterms:created>
</coreProperties>
</file>