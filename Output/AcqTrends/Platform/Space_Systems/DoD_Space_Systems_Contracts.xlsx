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<sst xmlns="http://schemas.openxmlformats.org/spreadsheetml/2006/main" count="148" uniqueCount="148">
  <si>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</si>
  <si>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</si>
  <si>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</si>
  <si>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</si>
  <si>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</si>
  <si>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</si>
  <si>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</si>
  <si>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</si>
  <si>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</si>
  <si>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</si>
  <si>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</si>
  <si>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</si>
  <si>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</si>
  <si>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</si>
  <si>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</si>
  <si>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</si>
  <si>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</si>
  <si>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</si>
  <si>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</si>
  <si>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</si>
  <si>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</si>
  <si>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</si>
  <si>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</si>
  <si>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</si>
  <si>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</si>
  <si>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</si>
  <si>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</si>
  <si>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</si>
  <si>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</si>
  <si>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</si>
  <si>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</si>
  <si>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</si>
  <si>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</si>
  <si>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</si>
  <si>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</si>
  <si>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</si>
  <si>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</si>
  <si>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</si>
  <si>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</si>
  <si>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</si>
  <si>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</si>
  <si>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</si>
  <si>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</si>
  <si>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</si>
  <si>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</si>
  <si>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</si>
  <si>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</si>
  <si>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</si>
  <si>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</si>
  <si>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</si>
  <si>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</si>
  <si>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</si>
  <si>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</si>
  <si>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</si>
  <si>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</si>
  <si>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</si>
  <si>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</si>
  <si>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</si>
  <si>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</si>
  <si>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</si>
  <si>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</si>
  <si>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</si>
  <si>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</si>
  <si>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</si>
  <si>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</si>
  <si>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</si>
  <si>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</si>
  <si>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</si>
  <si>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</si>
  <si>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</si>
  <si>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</si>
  <si>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AEHF</t>
  </si>
  <si>
    <t xml:space="preserve">EELV</t>
  </si>
  <si>
    <t xml:space="preserve">MILSTAR</t>
  </si>
  <si>
    <t xml:space="preserve">MUOS</t>
  </si>
  <si>
    <t xml:space="preserve">NAVSTAR GPS</t>
  </si>
  <si>
    <t xml:space="preserve">Other Labeled Project</t>
  </si>
  <si>
    <t xml:space="preserve">SBIRS HIGH</t>
  </si>
  <si>
    <t xml:space="preserve">TITAN IV LAUNCH VEH PROGR</t>
  </si>
  <si>
    <t xml:space="preserve">WIDEBAND GAPFILLER</t>
  </si>
  <si>
    <t xml:space="preserve">TopPStext</t>
  </si>
  <si>
    <t xml:space="preserve">ENGINEERING AND
TECHNICAL SERVICES</t>
  </si>
  <si>
    <t xml:space="preserve">Other Labeled PSC</t>
  </si>
  <si>
    <t xml:space="preserve">R&amp;D- DEFENSE
SYSTEM:
MISSILE/SPACE
SYSTEMS (ADVANCED
DEVELOPMENT)</t>
  </si>
  <si>
    <t xml:space="preserve">R&amp;D- DEFENSE
SYSTEM:
MISSILE/SPACE
SYSTEMS (APPLIED
RESEARCH/EXPLORATORY
DEVELOPMENT)</t>
  </si>
  <si>
    <t xml:space="preserve">R&amp;D- DEFENSE
SYSTEM:
MISSILE/SPACE
SYSTEMS
(ENGINEERING
DEVELOPMENT)</t>
  </si>
  <si>
    <t xml:space="preserve">R&amp;D- DEFENSE
SYSTEM:
MISSILE/SPACE
SYSTEMS
(MANAGEMENT/SUPPORT)</t>
  </si>
  <si>
    <t xml:space="preserve">R&amp;D- DEFENSE
SYSTEM:
MISSILE/SPACE
SYSTEMS
(OPERATIONAL
SYSTEMS
DEVELOPMENT)</t>
  </si>
  <si>
    <t xml:space="preserve">R&amp;D- SPACE: OTHER
(APPLIED
RESEARCH/EXPLORATORY
DEVELOPMENT)</t>
  </si>
  <si>
    <t xml:space="preserve">R&amp;D- SPACE:
SCIENCE/APPLICATIONS
(OPERATIONAL
SYSTEMS
DEVELOPMENT)</t>
  </si>
  <si>
    <t xml:space="preserve">SPACE TRANSP &amp;
LAUNCH</t>
  </si>
  <si>
    <t xml:space="preserve">SPACE VEHICLES</t>
  </si>
  <si>
    <t xml:space="preserve">Project.Name</t>
  </si>
  <si>
    <t xml:space="preserve">ProjectID</t>
  </si>
  <si>
    <t xml:space="preserve">442</t>
  </si>
  <si>
    <t xml:space="preserve">470</t>
  </si>
  <si>
    <t xml:space="preserve">586</t>
  </si>
  <si>
    <t xml:space="preserve">ASMS ADV STRATEGIC MSL SY</t>
  </si>
  <si>
    <t xml:space="preserve">CNQ</t>
  </si>
  <si>
    <t xml:space="preserve">CNT</t>
  </si>
  <si>
    <t xml:space="preserve">CNY</t>
  </si>
  <si>
    <t xml:space="preserve">DEF METEOR SAT PROG</t>
  </si>
  <si>
    <t xml:space="preserve">DEF SATELLITE COMMS SYS</t>
  </si>
  <si>
    <t xml:space="preserve">DMSP</t>
  </si>
  <si>
    <t xml:space="preserve">DSCS II</t>
  </si>
  <si>
    <t xml:space="preserve">DSCS III</t>
  </si>
  <si>
    <t xml:space="preserve">DSCS-3 DEF STAT COMM SYS</t>
  </si>
  <si>
    <t xml:space="preserve">DSP</t>
  </si>
  <si>
    <t xml:space="preserve">EVOLVED EXPENDABLE LV PRO</t>
  </si>
  <si>
    <t xml:space="preserve">GAJ</t>
  </si>
  <si>
    <t xml:space="preserve">GBS</t>
  </si>
  <si>
    <t xml:space="preserve">GBSD</t>
  </si>
  <si>
    <t xml:space="preserve">GDE</t>
  </si>
  <si>
    <t xml:space="preserve">GEODSS</t>
  </si>
  <si>
    <t xml:space="preserve">GPS III</t>
  </si>
  <si>
    <t xml:space="preserve">H/LGM 25 TITAN</t>
  </si>
  <si>
    <t xml:space="preserve">IUS FULL SCALE DEVELOP SY</t>
  </si>
  <si>
    <t xml:space="preserve">Mk21A Reentry Vehicle</t>
  </si>
  <si>
    <t xml:space="preserve">NAVSTAR</t>
  </si>
  <si>
    <t xml:space="preserve">NESP</t>
  </si>
  <si>
    <t xml:space="preserve">NMT</t>
  </si>
  <si>
    <t xml:space="preserve">NON-SYSTEM TRAINING DEVIC</t>
  </si>
  <si>
    <t xml:space="preserve">NPOESS</t>
  </si>
  <si>
    <t xml:space="preserve">NPOESS (DOC/NOAA)</t>
  </si>
  <si>
    <t xml:space="preserve">Other UAS</t>
  </si>
  <si>
    <t xml:space="preserve">QM-107 GD MSL TGT SYS</t>
  </si>
  <si>
    <t xml:space="preserve">SATELLITE COMMUNICATIONS</t>
  </si>
  <si>
    <t xml:space="preserve">SBR</t>
  </si>
  <si>
    <t xml:space="preserve">SICBM SM INT BALL MSL</t>
  </si>
  <si>
    <t xml:space="preserve">SPACE DEF SYSTEM 64406F</t>
  </si>
  <si>
    <t xml:space="preserve">SPACE SHUTTLE 64411F</t>
  </si>
  <si>
    <t xml:space="preserve">SPS</t>
  </si>
  <si>
    <t xml:space="preserve">TELEPORT</t>
  </si>
  <si>
    <t xml:space="preserve">TITAN IV</t>
  </si>
  <si>
    <t xml:space="preserve">TSAT</t>
  </si>
  <si>
    <t xml:space="preserve">UHF FOLLOW-ON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</si>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</sst>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146</v>
      </c>
      <c r="AW1" t="s">
        <v>147</v>
      </c>
    </row>
    <row r="2">
      <c r="A2" t="str">
        <f>M2</f>
      </c>
      <c r="M2" t="s">
        <v>35</v>
      </c>
      <c r="N2" s="1" t="n">
        <v>988482000</v>
      </c>
      <c r="O2" s="1" t="n">
        <v>696008000</v>
      </c>
      <c r="P2" s="1" t="n">
        <v>394353864</v>
      </c>
      <c r="Q2" s="1" t="n">
        <v>352212293</v>
      </c>
      <c r="R2" s="1" t="n">
        <v>266756389</v>
      </c>
      <c r="S2" s="1" t="n">
        <v>300439028</v>
      </c>
      <c r="T2" s="1" t="n">
        <v>345659244</v>
      </c>
      <c r="U2" s="1" t="n">
        <v>431676542</v>
      </c>
      <c r="V2" s="1" t="n">
        <v>491550806</v>
      </c>
      <c r="W2" s="1" t="n">
        <v>403464692</v>
      </c>
      <c r="X2" s="1" t="n">
        <v>266733768</v>
      </c>
      <c r="Y2" s="1" t="n">
        <v>414212179</v>
      </c>
      <c r="Z2" s="1" t="n">
        <v>909008019.64</v>
      </c>
      <c r="AA2" s="1" t="n">
        <v>826341315</v>
      </c>
      <c r="AB2" s="1" t="n">
        <v>1194108794</v>
      </c>
      <c r="AC2" s="1" t="n">
        <v>1174917874</v>
      </c>
      <c r="AD2" s="1" t="n">
        <v>1477929696</v>
      </c>
      <c r="AE2" s="1" t="n">
        <v>1612576360.3002</v>
      </c>
      <c r="AF2" s="1" t="n">
        <v>2930660645.3989</v>
      </c>
      <c r="AG2" s="1" t="n">
        <v>3870303185.5442</v>
      </c>
      <c r="AH2" s="1" t="n">
        <v>3187840031.7252</v>
      </c>
      <c r="AI2" s="1" t="n">
        <v>3297423361.3847</v>
      </c>
      <c r="AJ2" s="1" t="n">
        <v>3953911181.5325</v>
      </c>
      <c r="AK2" s="1" t="n">
        <v>1681007607.54</v>
      </c>
      <c r="AL2" s="1" t="n">
        <v>2069549876.679</v>
      </c>
      <c r="AM2" s="1" t="n">
        <v>936202127.1475</v>
      </c>
      <c r="AN2" s="1" t="n">
        <v>1088928826.8696</v>
      </c>
      <c r="AO2" s="1" t="n">
        <v>400644270.6419</v>
      </c>
      <c r="AP2" s="1" t="n">
        <v>537632034.0415</v>
      </c>
      <c r="AQ2" s="1" t="n">
        <v>1045878744.9713</v>
      </c>
      <c r="AR2" s="1" t="n">
        <v>638436190.6472</v>
      </c>
      <c r="AS2" s="1" t="n">
        <v>966451028.14</v>
      </c>
      <c r="AT2" s="1" t="n">
        <v>1344484786.9534</v>
      </c>
      <c r="AU2" s="1" t="n">
        <v>1184193623.47</v>
      </c>
      <c r="AV2" s="1" t="n">
        <v>277739066.7</v>
      </c>
      <c r="AW2" s="1" t="n">
        <v>153649768.71</v>
      </c>
      <c r="AX2" s="1"/>
      <c r="AY2" s="1"/>
    </row>
    <row r="3">
      <c r="A3" t="str">
        <f>M3</f>
      </c>
      <c r="M3" t="s">
        <v>36</v>
      </c>
      <c r="N3" s="1" t="n">
        <v>4134914000</v>
      </c>
      <c r="O3" s="1" t="n">
        <v>3813592000</v>
      </c>
      <c r="P3" s="1" t="n">
        <v>2665925895</v>
      </c>
      <c r="Q3" s="1" t="n">
        <v>3008804869</v>
      </c>
      <c r="R3" s="1" t="n">
        <v>2900928713</v>
      </c>
      <c r="S3" s="1" t="n">
        <v>2751438255</v>
      </c>
      <c r="T3" s="1" t="n">
        <v>2184342168</v>
      </c>
      <c r="U3" s="1" t="n">
        <v>4259226766</v>
      </c>
      <c r="V3" s="1" t="n">
        <v>3048804600</v>
      </c>
      <c r="W3" s="1" t="n">
        <v>3545736631</v>
      </c>
      <c r="X3" s="1" t="n">
        <v>2818863206</v>
      </c>
      <c r="Y3" s="1" t="n">
        <v>3586603395</v>
      </c>
      <c r="Z3" s="1" t="n">
        <v>3461039703</v>
      </c>
      <c r="AA3" s="1" t="n">
        <v>4389439417.71</v>
      </c>
      <c r="AB3" s="1" t="n">
        <v>4976479729.22</v>
      </c>
      <c r="AC3" s="1" t="n">
        <v>5167249602.15</v>
      </c>
      <c r="AD3" s="1" t="n">
        <v>5935270507.6297</v>
      </c>
      <c r="AE3" s="1" t="n">
        <v>6348624970.9378</v>
      </c>
      <c r="AF3" s="1" t="n">
        <v>6003739099.8278</v>
      </c>
      <c r="AG3" s="1" t="n">
        <v>5821558374.2021</v>
      </c>
      <c r="AH3" s="1" t="n">
        <v>5756390584.2913</v>
      </c>
      <c r="AI3" s="1" t="n">
        <v>6918860951.7038</v>
      </c>
      <c r="AJ3" s="1" t="n">
        <v>5876530375.2724</v>
      </c>
      <c r="AK3" s="1" t="n">
        <v>4486645009.17</v>
      </c>
      <c r="AL3" s="1" t="n">
        <v>3244191142.4069</v>
      </c>
      <c r="AM3" s="1" t="n">
        <v>3037472849.9092</v>
      </c>
      <c r="AN3" s="1" t="n">
        <v>3063681194.0841</v>
      </c>
      <c r="AO3" s="1" t="n">
        <v>3289864177.656</v>
      </c>
      <c r="AP3" s="1" t="n">
        <v>3496002419.5086</v>
      </c>
      <c r="AQ3" s="1" t="n">
        <v>4100437213.8102</v>
      </c>
      <c r="AR3" s="1" t="n">
        <v>5149529979.4903</v>
      </c>
      <c r="AS3" s="1" t="n">
        <v>1247088264.6782</v>
      </c>
      <c r="AT3" s="1" t="n">
        <v>1077468024.9527</v>
      </c>
      <c r="AU3" s="1" t="n">
        <v>1591223032.4363</v>
      </c>
      <c r="AV3" s="1" t="n">
        <v>1939415317.17</v>
      </c>
      <c r="AW3" s="1" t="n">
        <v>924342638.44</v>
      </c>
      <c r="AX3" s="1"/>
      <c r="AY3" s="1"/>
    </row>
    <row r="4">
      <c r="A4" t="str">
        <f>M4</f>
      </c>
      <c r="M4" t="s">
        <v>37</v>
      </c>
      <c r="N4" s="1" t="n">
        <v>132083000</v>
      </c>
      <c r="O4" s="1" t="n">
        <v>181191000</v>
      </c>
      <c r="P4" s="1" t="n">
        <v>202412248</v>
      </c>
      <c r="Q4" s="1" t="n">
        <v>480788104</v>
      </c>
      <c r="R4" s="1" t="n">
        <v>764665627</v>
      </c>
      <c r="S4" s="1" t="n">
        <v>577899537</v>
      </c>
      <c r="T4" s="1" t="n">
        <v>518309730</v>
      </c>
      <c r="U4" s="1" t="n">
        <v>681116710</v>
      </c>
      <c r="V4" s="1" t="n">
        <v>620794852</v>
      </c>
      <c r="W4" s="1" t="n">
        <v>528824032</v>
      </c>
      <c r="X4" s="1" t="n">
        <v>97155149</v>
      </c>
      <c r="Y4" s="1" t="n">
        <v>153500144</v>
      </c>
      <c r="Z4" s="1" t="n">
        <v>123727814</v>
      </c>
      <c r="AA4" s="1" t="n">
        <v>73703415</v>
      </c>
      <c r="AB4" s="1" t="n">
        <v>108109992.9375</v>
      </c>
      <c r="AC4" s="1" t="n">
        <v>180128355</v>
      </c>
      <c r="AD4" s="1" t="n">
        <v>597284734.99</v>
      </c>
      <c r="AE4" s="1" t="n">
        <v>249207071.4601</v>
      </c>
      <c r="AF4" s="1" t="n">
        <v>643108304.0174</v>
      </c>
      <c r="AG4" s="1" t="n">
        <v>689173952.6348</v>
      </c>
      <c r="AH4" s="1" t="n">
        <v>259242737.7158</v>
      </c>
      <c r="AI4" s="1" t="n">
        <v>214867335.3807</v>
      </c>
      <c r="AJ4" s="1" t="n">
        <v>276873515.1988</v>
      </c>
      <c r="AK4" s="1" t="n">
        <v>1567515089.9143</v>
      </c>
      <c r="AL4" s="1" t="n">
        <v>2690882899.8337</v>
      </c>
      <c r="AM4" s="1" t="n">
        <v>2008048249.9083</v>
      </c>
      <c r="AN4" s="1" t="n">
        <v>1861241990.0695</v>
      </c>
      <c r="AO4" s="1" t="n">
        <v>2340611925.7349</v>
      </c>
      <c r="AP4" s="1" t="n">
        <v>1824835233.6229</v>
      </c>
      <c r="AQ4" s="1" t="n">
        <v>2066605796.3311</v>
      </c>
      <c r="AR4" s="1" t="n">
        <v>1535058335.5637</v>
      </c>
      <c r="AS4" s="1" t="n">
        <v>1412808136.1154</v>
      </c>
      <c r="AT4" s="1" t="n">
        <v>2216035423.0757</v>
      </c>
      <c r="AU4" s="1" t="n">
        <v>2355979267.1113</v>
      </c>
      <c r="AV4" s="1" t="n">
        <v>3709777383.22</v>
      </c>
      <c r="AW4" s="1" t="n">
        <v>484924932.35</v>
      </c>
      <c r="AX4" s="1"/>
      <c r="AY4" s="1"/>
    </row>
    <row r="5">
      <c r="A5" t="str">
        <f>M5</f>
      </c>
      <c r="M5" t="s">
        <v>137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 t="str">
        <f>Sum(AV2:AV4)</f>
      </c>
      <c r="AW5" s="1" t="str">
        <f>Sum(AW2:AW4)</f>
      </c>
      <c r="AX5" s="1" t="str">
        <f>Sum(AX2:AX4)</f>
      </c>
      <c r="AY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  <c r="AV8" t="s">
        <v>146</v>
      </c>
      <c r="AW8" t="s">
        <v>147</v>
      </c>
    </row>
    <row r="9">
      <c r="A9" t="str">
        <f>M9</f>
      </c>
      <c r="M9" t="s">
        <v>35</v>
      </c>
      <c r="N9" s="1" t="n">
        <v>2044459465.87057</v>
      </c>
      <c r="O9" s="1" t="n">
        <v>1389852716.48444</v>
      </c>
      <c r="P9" s="1" t="n">
        <v>768253689.528736</v>
      </c>
      <c r="Q9" s="1" t="n">
        <v>670428108.512407</v>
      </c>
      <c r="R9" s="1" t="n">
        <v>496916716.335105</v>
      </c>
      <c r="S9" s="1" t="n">
        <v>548036344.529354</v>
      </c>
      <c r="T9" s="1" t="n">
        <v>618870987.138982</v>
      </c>
      <c r="U9" s="1" t="n">
        <v>759399848.71166</v>
      </c>
      <c r="V9" s="1" t="n">
        <v>854022301.97358</v>
      </c>
      <c r="W9" s="1" t="n">
        <v>692407351.718861</v>
      </c>
      <c r="X9" s="1" t="n">
        <v>448425713.343263</v>
      </c>
      <c r="Y9" s="1" t="n">
        <v>679882757.321163</v>
      </c>
      <c r="Z9" s="1" t="n">
        <v>1468925191.84543</v>
      </c>
      <c r="AA9" s="1" t="n">
        <v>1310189430.55344</v>
      </c>
      <c r="AB9" s="1" t="n">
        <v>1848166102.31902</v>
      </c>
      <c r="AC9" s="1" t="n">
        <v>1764762211.84556</v>
      </c>
      <c r="AD9" s="1" t="n">
        <v>2150052173.97781</v>
      </c>
      <c r="AE9" s="1" t="n">
        <v>2283080449.41972</v>
      </c>
      <c r="AF9" s="1" t="n">
        <v>4064830642.41625</v>
      </c>
      <c r="AG9" s="1" t="n">
        <v>5313776960.84404</v>
      </c>
      <c r="AH9" s="1" t="n">
        <v>4339201968.44409</v>
      </c>
      <c r="AI9" s="1" t="n">
        <v>4400048862.94063</v>
      </c>
      <c r="AJ9" s="1" t="n">
        <v>5182026391.61068</v>
      </c>
      <c r="AK9" s="1" t="n">
        <v>2163878504.50525</v>
      </c>
      <c r="AL9" s="1" t="n">
        <v>2616300263.57752</v>
      </c>
      <c r="AM9" s="1" t="n">
        <v>1171404199.04672</v>
      </c>
      <c r="AN9" s="1" t="n">
        <v>1351693532.16213</v>
      </c>
      <c r="AO9" s="1" t="n">
        <v>489066461.266517</v>
      </c>
      <c r="AP9" s="1" t="n">
        <v>642034263.089921</v>
      </c>
      <c r="AQ9" s="1" t="n">
        <v>1226303126.03131</v>
      </c>
      <c r="AR9" s="1" t="n">
        <v>738920126.867801</v>
      </c>
      <c r="AS9" s="1" t="n">
        <v>1081344427.17577</v>
      </c>
      <c r="AT9" s="1" t="n">
        <v>1405990387.60752</v>
      </c>
      <c r="AU9" s="1" t="n">
        <v>1184193623.47</v>
      </c>
      <c r="AV9" s="1" t="n">
        <v>270514704.25436</v>
      </c>
      <c r="AW9" s="1" t="n">
        <v>146439938.063161</v>
      </c>
      <c r="AX9" s="1"/>
      <c r="AY9" s="1"/>
    </row>
    <row r="10">
      <c r="A10" t="str">
        <f>M10</f>
      </c>
      <c r="M10" t="s">
        <v>36</v>
      </c>
      <c r="N10" s="1" t="n">
        <v>8552167938.17263</v>
      </c>
      <c r="O10" s="1" t="n">
        <v>7615330859.3627</v>
      </c>
      <c r="P10" s="1" t="n">
        <v>5193577626.11893</v>
      </c>
      <c r="Q10" s="1" t="n">
        <v>5727191802.49222</v>
      </c>
      <c r="R10" s="1" t="n">
        <v>5403881705.66435</v>
      </c>
      <c r="S10" s="1" t="n">
        <v>5018949014.40177</v>
      </c>
      <c r="T10" s="1" t="n">
        <v>3910863132.47698</v>
      </c>
      <c r="U10" s="1" t="n">
        <v>7492777223.29663</v>
      </c>
      <c r="V10" s="1" t="n">
        <v>5297005092.81565</v>
      </c>
      <c r="W10" s="1" t="n">
        <v>6085028403.33614</v>
      </c>
      <c r="X10" s="1" t="n">
        <v>4738997815.8582</v>
      </c>
      <c r="Y10" s="1" t="n">
        <v>5887006537.31875</v>
      </c>
      <c r="Z10" s="1" t="n">
        <v>5592919204.08731</v>
      </c>
      <c r="AA10" s="1" t="n">
        <v>6959590458.2579</v>
      </c>
      <c r="AB10" s="1" t="n">
        <v>7702280722.35612</v>
      </c>
      <c r="AC10" s="1" t="n">
        <v>7761365316.54152</v>
      </c>
      <c r="AD10" s="1" t="n">
        <v>8634471106.85543</v>
      </c>
      <c r="AE10" s="1" t="n">
        <v>8988362913.33678</v>
      </c>
      <c r="AF10" s="1" t="n">
        <v>8327194996.24321</v>
      </c>
      <c r="AG10" s="1" t="n">
        <v>7992775057.15463</v>
      </c>
      <c r="AH10" s="1" t="n">
        <v>7835443781.96797</v>
      </c>
      <c r="AI10" s="1" t="n">
        <v>9232459083.02308</v>
      </c>
      <c r="AJ10" s="1" t="n">
        <v>7701825887.74297</v>
      </c>
      <c r="AK10" s="1" t="n">
        <v>5775437689.3608</v>
      </c>
      <c r="AL10" s="1" t="n">
        <v>4101267737.79202</v>
      </c>
      <c r="AM10" s="1" t="n">
        <v>3800577191.29007</v>
      </c>
      <c r="AN10" s="1" t="n">
        <v>3802964851.75716</v>
      </c>
      <c r="AO10" s="1" t="n">
        <v>4015937202.43614</v>
      </c>
      <c r="AP10" s="1" t="n">
        <v>4174887646.2903</v>
      </c>
      <c r="AQ10" s="1" t="n">
        <v>4807803005.43211</v>
      </c>
      <c r="AR10" s="1" t="n">
        <v>5960018246.92487</v>
      </c>
      <c r="AS10" s="1" t="n">
        <v>1395344312.27355</v>
      </c>
      <c r="AT10" s="1" t="n">
        <v>1126758518.0125</v>
      </c>
      <c r="AU10" s="1" t="n">
        <v>1591223032.4363</v>
      </c>
      <c r="AV10" s="1" t="n">
        <v>1888968545.8521</v>
      </c>
      <c r="AW10" s="1" t="n">
        <v>880968971.56919</v>
      </c>
      <c r="AX10" s="1"/>
      <c r="AY10" s="1"/>
    </row>
    <row r="11">
      <c r="A11" t="str">
        <f>M11</f>
      </c>
      <c r="M11" t="s">
        <v>37</v>
      </c>
      <c r="N11" s="1" t="n">
        <v>273184883.114294</v>
      </c>
      <c r="O11" s="1" t="n">
        <v>361818834.772778</v>
      </c>
      <c r="P11" s="1" t="n">
        <v>394325935.479627</v>
      </c>
      <c r="Q11" s="1" t="n">
        <v>915169247.54238</v>
      </c>
      <c r="R11" s="1" t="n">
        <v>1424427485.64558</v>
      </c>
      <c r="S11" s="1" t="n">
        <v>1054157150.85687</v>
      </c>
      <c r="T11" s="1" t="n">
        <v>927985754.226898</v>
      </c>
      <c r="U11" s="1" t="n">
        <v>1198211800.2812</v>
      </c>
      <c r="V11" s="1" t="n">
        <v>1078571415.37957</v>
      </c>
      <c r="W11" s="1" t="n">
        <v>907543224.432661</v>
      </c>
      <c r="X11" s="1" t="n">
        <v>163334651.334045</v>
      </c>
      <c r="Y11" s="1" t="n">
        <v>251953241.461583</v>
      </c>
      <c r="Z11" s="1" t="n">
        <v>199939823.400617</v>
      </c>
      <c r="AA11" s="1" t="n">
        <v>116859018.877319</v>
      </c>
      <c r="AB11" s="1" t="n">
        <v>167325812.583402</v>
      </c>
      <c r="AC11" s="1" t="n">
        <v>270558241.746437</v>
      </c>
      <c r="AD11" s="1" t="n">
        <v>868913688.130542</v>
      </c>
      <c r="AE11" s="1" t="n">
        <v>352826574.117568</v>
      </c>
      <c r="AF11" s="1" t="n">
        <v>891992167.249531</v>
      </c>
      <c r="AG11" s="1" t="n">
        <v>946209249.239913</v>
      </c>
      <c r="AH11" s="1" t="n">
        <v>352874230.389928</v>
      </c>
      <c r="AI11" s="1" t="n">
        <v>286716830.418741</v>
      </c>
      <c r="AJ11" s="1" t="n">
        <v>362872557.582869</v>
      </c>
      <c r="AK11" s="1" t="n">
        <v>2017785162.50556</v>
      </c>
      <c r="AL11" s="1" t="n">
        <v>3401782058.70954</v>
      </c>
      <c r="AM11" s="1" t="n">
        <v>2512530236.39028</v>
      </c>
      <c r="AN11" s="1" t="n">
        <v>2310370244.30504</v>
      </c>
      <c r="AO11" s="1" t="n">
        <v>2857184978.29346</v>
      </c>
      <c r="AP11" s="1" t="n">
        <v>2179198169.55916</v>
      </c>
      <c r="AQ11" s="1" t="n">
        <v>2423115643.66365</v>
      </c>
      <c r="AR11" s="1" t="n">
        <v>1776662283.06129</v>
      </c>
      <c r="AS11" s="1" t="n">
        <v>1580765253.66961</v>
      </c>
      <c r="AT11" s="1" t="n">
        <v>2317411497.45728</v>
      </c>
      <c r="AU11" s="1" t="n">
        <v>2355979267.1113</v>
      </c>
      <c r="AV11" s="1" t="n">
        <v>3613281140.44271</v>
      </c>
      <c r="AW11" s="1" t="n">
        <v>462170412.977621</v>
      </c>
      <c r="AX11" s="1"/>
      <c r="AY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146</v>
      </c>
      <c r="AX1" t="s">
        <v>147</v>
      </c>
    </row>
    <row r="2">
      <c r="A2" t="str">
        <f>M2</f>
      </c>
      <c r="B2" t="str">
        <f>N2</f>
      </c>
      <c r="M2" t="s">
        <v>40</v>
      </c>
      <c r="N2" t="s">
        <v>40</v>
      </c>
      <c r="O2" s="12" t="n">
        <v>4876880000</v>
      </c>
      <c r="P2" s="12" t="n">
        <v>4293768000</v>
      </c>
      <c r="Q2" s="12" t="n">
        <v>2808252422</v>
      </c>
      <c r="R2" s="12" t="n">
        <v>3485991281</v>
      </c>
      <c r="S2" s="12" t="n">
        <v>3554550710</v>
      </c>
      <c r="T2" s="12" t="n">
        <v>2986544765</v>
      </c>
      <c r="U2" s="12" t="n">
        <v>2583426407</v>
      </c>
      <c r="V2" s="12" t="n">
        <v>4821393077</v>
      </c>
      <c r="W2" s="12" t="n">
        <v>3791926519</v>
      </c>
      <c r="X2" s="12" t="n">
        <v>3963892943</v>
      </c>
      <c r="Y2" s="12" t="n">
        <v>2947261479</v>
      </c>
      <c r="Z2" s="12" t="n">
        <v>3838784967</v>
      </c>
      <c r="AA2" s="12" t="n">
        <v>4026203913.64</v>
      </c>
      <c r="AB2" s="12" t="n">
        <v>4384296465</v>
      </c>
      <c r="AC2" s="12" t="n">
        <v>5102620909</v>
      </c>
      <c r="AD2" s="12" t="n">
        <v>4993848566</v>
      </c>
      <c r="AE2" s="12" t="n">
        <v>6377188800.38</v>
      </c>
      <c r="AF2" s="12" t="n">
        <v>6083706574.5737</v>
      </c>
      <c r="AG2" s="12" t="n">
        <v>7476462321.533</v>
      </c>
      <c r="AH2" s="12" t="n">
        <v>8425205720.1234</v>
      </c>
      <c r="AI2" s="12" t="n">
        <v>7473761993.8058</v>
      </c>
      <c r="AJ2" s="12" t="n">
        <v>8225319510.0353</v>
      </c>
      <c r="AK2" s="12" t="n">
        <v>8583466438.0459</v>
      </c>
      <c r="AL2" s="12" t="n">
        <v>6113608024.8</v>
      </c>
      <c r="AM2" s="12" t="n">
        <v>6941988659.9375</v>
      </c>
      <c r="AN2" s="12" t="n">
        <v>5269225592.9449</v>
      </c>
      <c r="AO2" s="12" t="n">
        <v>5394397040.0481</v>
      </c>
      <c r="AP2" s="12" t="n">
        <v>5346950886.2841</v>
      </c>
      <c r="AQ2" s="12" t="n">
        <v>4951115240.9665</v>
      </c>
      <c r="AR2" s="12" t="n">
        <v>6120770622.8614</v>
      </c>
      <c r="AS2" s="12" t="n">
        <v>5997909796.0004</v>
      </c>
      <c r="AT2" s="12" t="n">
        <v>3468950790.35</v>
      </c>
      <c r="AU2" s="12" t="n">
        <v>4314285919.5994</v>
      </c>
      <c r="AV2" s="12" t="n">
        <v>4938290602.7362</v>
      </c>
      <c r="AW2" s="12" t="n">
        <v>5647974083.39</v>
      </c>
      <c r="AX2" s="12" t="n">
        <v>1409212633.81</v>
      </c>
      <c r="AY2" s="12"/>
    </row>
    <row r="3">
      <c r="A3" t="str">
        <f>M3</f>
      </c>
      <c r="B3" t="str">
        <f>N3</f>
      </c>
      <c r="M3" t="s">
        <v>41</v>
      </c>
      <c r="N3" t="s">
        <v>41</v>
      </c>
      <c r="O3" s="12" t="n">
        <v>259225000</v>
      </c>
      <c r="P3" s="12" t="n">
        <v>241444000</v>
      </c>
      <c r="Q3" s="12" t="n">
        <v>374499923</v>
      </c>
      <c r="R3" s="12" t="n">
        <v>258213057</v>
      </c>
      <c r="S3" s="12" t="n">
        <v>137668221</v>
      </c>
      <c r="T3" s="12" t="n">
        <v>262957314</v>
      </c>
      <c r="U3" s="12" t="n">
        <v>260732470</v>
      </c>
      <c r="V3" s="12" t="n">
        <v>278511419</v>
      </c>
      <c r="W3" s="12" t="n">
        <v>210840874</v>
      </c>
      <c r="X3" s="12" t="n">
        <v>170352914</v>
      </c>
      <c r="Y3" s="12" t="n">
        <v>121118986</v>
      </c>
      <c r="Z3" s="12" t="n">
        <v>166552028</v>
      </c>
      <c r="AA3" s="12" t="n">
        <v>345266551</v>
      </c>
      <c r="AB3" s="12" t="n">
        <v>527672266</v>
      </c>
      <c r="AC3" s="12" t="n">
        <v>606725161</v>
      </c>
      <c r="AD3" s="12" t="n">
        <v>542127731.39</v>
      </c>
      <c r="AE3" s="12" t="n">
        <v>575756666.19</v>
      </c>
      <c r="AF3" s="12" t="n">
        <v>776655284.96</v>
      </c>
      <c r="AG3" s="12" t="n">
        <v>1121498547.2053</v>
      </c>
      <c r="AH3" s="12" t="n">
        <v>774549924.8542</v>
      </c>
      <c r="AI3" s="12" t="n">
        <v>1007904078.8927</v>
      </c>
      <c r="AJ3" s="12" t="n">
        <v>957433307.8275</v>
      </c>
      <c r="AK3" s="12" t="n">
        <v>932364227.4486</v>
      </c>
      <c r="AL3" s="12" t="n">
        <v>767521304.76</v>
      </c>
      <c r="AM3" s="12" t="n">
        <v>598203850.9769</v>
      </c>
      <c r="AN3" s="12" t="n">
        <v>430934495.7795</v>
      </c>
      <c r="AO3" s="12" t="n">
        <v>325333452.65</v>
      </c>
      <c r="AP3" s="12" t="n">
        <v>449579834.6139</v>
      </c>
      <c r="AQ3" s="12" t="n">
        <v>638432061.056</v>
      </c>
      <c r="AR3" s="12" t="n">
        <v>559093928.9555</v>
      </c>
      <c r="AS3" s="12" t="n">
        <v>655629821.7379</v>
      </c>
      <c r="AT3" s="12" t="n">
        <v>62277174.37</v>
      </c>
      <c r="AU3" s="12" t="n">
        <v>30712452.2168</v>
      </c>
      <c r="AV3" s="12" t="n">
        <v>19576.8691</v>
      </c>
      <c r="AW3" s="12" t="n">
        <v>-18492.32</v>
      </c>
      <c r="AX3" s="12" t="n">
        <v>0</v>
      </c>
      <c r="AY3" s="12"/>
    </row>
    <row r="4">
      <c r="A4" t="str">
        <f>M4</f>
      </c>
      <c r="B4" t="str">
        <f>N4</f>
      </c>
      <c r="M4" t="s">
        <v>42</v>
      </c>
      <c r="N4" t="s">
        <v>43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 t="n">
        <v>457792</v>
      </c>
      <c r="Z4" s="12" t="n">
        <v>166969</v>
      </c>
      <c r="AA4" s="12" t="n">
        <v>2616567</v>
      </c>
      <c r="AB4" s="12"/>
      <c r="AC4" s="12" t="n">
        <v>59325</v>
      </c>
      <c r="AD4" s="12" t="n">
        <v>1219878</v>
      </c>
      <c r="AE4" s="12" t="n">
        <v>12525</v>
      </c>
      <c r="AF4" s="12" t="n">
        <v>26595</v>
      </c>
      <c r="AG4" s="12" t="n">
        <v>14661</v>
      </c>
      <c r="AH4" s="12" t="n">
        <v>19756</v>
      </c>
      <c r="AI4" s="12" t="n">
        <v>12053</v>
      </c>
      <c r="AJ4" s="12" t="n">
        <v>4102399.7376</v>
      </c>
      <c r="AK4" s="12" t="n">
        <v>809585.1602</v>
      </c>
      <c r="AL4" s="12" t="n">
        <v>852850.8</v>
      </c>
      <c r="AM4" s="12" t="n">
        <v>25355612.11</v>
      </c>
      <c r="AN4" s="12" t="n">
        <v>-143816.6</v>
      </c>
      <c r="AO4" s="12"/>
      <c r="AP4" s="12" t="n">
        <v>800</v>
      </c>
      <c r="AQ4" s="12" t="n">
        <v>35734</v>
      </c>
      <c r="AR4" s="12" t="n">
        <v>2141935.9693</v>
      </c>
      <c r="AS4" s="12" t="n">
        <v>86587.0703</v>
      </c>
      <c r="AT4" s="12" t="n">
        <v>372764.0703</v>
      </c>
      <c r="AU4" s="12" t="n">
        <v>681814.1094</v>
      </c>
      <c r="AV4" s="12" t="n">
        <v>44058.9922</v>
      </c>
      <c r="AW4" s="12"/>
      <c r="AX4" s="12"/>
      <c r="AY4" s="12"/>
    </row>
    <row r="5">
      <c r="A5" t="str">
        <f>M5</f>
      </c>
      <c r="B5" t="str">
        <f>N5</f>
      </c>
      <c r="M5" t="s">
        <v>44</v>
      </c>
      <c r="N5" t="s">
        <v>44</v>
      </c>
      <c r="O5" s="12" t="n">
        <v>111830000</v>
      </c>
      <c r="P5" s="12" t="n">
        <v>143370000</v>
      </c>
      <c r="Q5" s="12" t="n">
        <v>64731723</v>
      </c>
      <c r="R5" s="12" t="n">
        <v>91006504</v>
      </c>
      <c r="S5" s="12" t="n">
        <v>186251487</v>
      </c>
      <c r="T5" s="12" t="n">
        <v>378726635</v>
      </c>
      <c r="U5" s="12" t="n">
        <v>203762534</v>
      </c>
      <c r="V5" s="12" t="n">
        <v>270955854</v>
      </c>
      <c r="W5" s="12" t="n">
        <v>157390436</v>
      </c>
      <c r="X5" s="12" t="n">
        <v>341987778</v>
      </c>
      <c r="Y5" s="12" t="n">
        <v>113222498</v>
      </c>
      <c r="Z5" s="12" t="n">
        <v>148811754</v>
      </c>
      <c r="AA5" s="12" t="n">
        <v>119688505</v>
      </c>
      <c r="AB5" s="12" t="n">
        <v>376943158.71</v>
      </c>
      <c r="AC5" s="12" t="n">
        <v>565574117.22</v>
      </c>
      <c r="AD5" s="12" t="n">
        <v>957453408.76</v>
      </c>
      <c r="AE5" s="12" t="n">
        <v>1047308539.1797</v>
      </c>
      <c r="AF5" s="12" t="n">
        <v>1326292983.1244</v>
      </c>
      <c r="AG5" s="12" t="n">
        <v>963684021.6229</v>
      </c>
      <c r="AH5" s="12" t="n">
        <v>1169162804.3443</v>
      </c>
      <c r="AI5" s="12" t="n">
        <v>730779193.1186</v>
      </c>
      <c r="AJ5" s="12" t="n">
        <v>1096046235.0507</v>
      </c>
      <c r="AK5" s="12" t="n">
        <v>611423800.3671</v>
      </c>
      <c r="AL5" s="12" t="n">
        <v>860166723.855</v>
      </c>
      <c r="AM5" s="12" t="n">
        <v>442792804.0052</v>
      </c>
      <c r="AN5" s="12" t="n">
        <v>314935080.78</v>
      </c>
      <c r="AO5" s="12" t="n">
        <v>325836721.4849</v>
      </c>
      <c r="AP5" s="12" t="n">
        <v>228965842.2299</v>
      </c>
      <c r="AQ5" s="12" t="n">
        <v>275823456.0692</v>
      </c>
      <c r="AR5" s="12" t="n">
        <v>531924293.4918</v>
      </c>
      <c r="AS5" s="12" t="n">
        <v>606064059.7368</v>
      </c>
      <c r="AT5" s="12" t="n">
        <v>82231384.2135</v>
      </c>
      <c r="AU5" s="12" t="n">
        <v>174678382.864</v>
      </c>
      <c r="AV5" s="12" t="n">
        <v>203585165.3616</v>
      </c>
      <c r="AW5" s="12" t="n">
        <v>290992440.42</v>
      </c>
      <c r="AX5" s="12" t="n">
        <v>154837923.18</v>
      </c>
      <c r="AY5" s="12"/>
    </row>
    <row r="6">
      <c r="A6" t="str">
        <f>M6</f>
      </c>
      <c r="B6" t="str">
        <f>N6</f>
      </c>
      <c r="M6" t="s">
        <v>43</v>
      </c>
      <c r="N6" t="s">
        <v>43</v>
      </c>
      <c r="O6" s="12" t="n">
        <v>7544000</v>
      </c>
      <c r="P6" s="12" t="n">
        <v>12209000</v>
      </c>
      <c r="Q6" s="12" t="n">
        <v>15207939</v>
      </c>
      <c r="R6" s="12" t="n">
        <v>6594424</v>
      </c>
      <c r="S6" s="12" t="n">
        <v>53880311</v>
      </c>
      <c r="T6" s="12" t="n">
        <v>1548106</v>
      </c>
      <c r="U6" s="12" t="n">
        <v>389731</v>
      </c>
      <c r="V6" s="12" t="n">
        <v>1159668</v>
      </c>
      <c r="W6" s="12" t="n">
        <v>992429</v>
      </c>
      <c r="X6" s="12" t="n">
        <v>1791720</v>
      </c>
      <c r="Y6" s="12" t="n">
        <v>691368</v>
      </c>
      <c r="Z6" s="12"/>
      <c r="AA6" s="12"/>
      <c r="AB6" s="12" t="n">
        <v>572258</v>
      </c>
      <c r="AC6" s="12" t="n">
        <v>3719003.9375</v>
      </c>
      <c r="AD6" s="12" t="n">
        <v>27646247</v>
      </c>
      <c r="AE6" s="12" t="n">
        <v>10218407.87</v>
      </c>
      <c r="AF6" s="12" t="n">
        <v>23726965.04</v>
      </c>
      <c r="AG6" s="12" t="n">
        <v>15848497.8829</v>
      </c>
      <c r="AH6" s="12" t="n">
        <v>12097307.0592</v>
      </c>
      <c r="AI6" s="12" t="n">
        <v>-8983965.0848</v>
      </c>
      <c r="AJ6" s="12" t="n">
        <v>148250195.8181</v>
      </c>
      <c r="AK6" s="12" t="n">
        <v>-20748979.0181</v>
      </c>
      <c r="AL6" s="12" t="n">
        <v>-6981197.5907</v>
      </c>
      <c r="AM6" s="12" t="n">
        <v>-3717008.11</v>
      </c>
      <c r="AN6" s="12" t="n">
        <v>-33228125.9394</v>
      </c>
      <c r="AO6" s="12" t="n">
        <v>-31715203.1598</v>
      </c>
      <c r="AP6" s="12" t="n">
        <v>5623010.9049</v>
      </c>
      <c r="AQ6" s="12" t="n">
        <v>-6936804.9187</v>
      </c>
      <c r="AR6" s="12" t="n">
        <v>-1009026.1654</v>
      </c>
      <c r="AS6" s="12" t="n">
        <v>63334241.1558</v>
      </c>
      <c r="AT6" s="12" t="n">
        <v>12515315.9298</v>
      </c>
      <c r="AU6" s="12" t="n">
        <v>117629666.1922</v>
      </c>
      <c r="AV6" s="12" t="n">
        <v>-10543480.9415</v>
      </c>
      <c r="AW6" s="12" t="n">
        <v>-12016264.4</v>
      </c>
      <c r="AX6" s="12" t="n">
        <v>-1133217.49</v>
      </c>
      <c r="AY6" s="12"/>
    </row>
    <row r="7">
      <c r="A7" t="str">
        <f>M7</f>
      </c>
      <c r="B7" t="str">
        <f>N7</f>
      </c>
      <c r="M7" t="s">
        <v>137</v>
      </c>
      <c r="N7" t="s">
        <v>138</v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 t="str">
        <f>Sum(AT2:AT6)</f>
      </c>
      <c r="AU7" s="12" t="str">
        <f>Sum(AU2:AU6)</f>
      </c>
      <c r="AV7" s="12" t="str">
        <f>Sum(AV2:AV6)</f>
      </c>
      <c r="AW7" s="12" t="str">
        <f>Sum(AW2:AW6)</f>
      </c>
      <c r="AX7" s="12" t="str">
        <f>Sum(AX2:AX6)</f>
      </c>
      <c r="AY7" s="1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146</v>
      </c>
      <c r="AX10" t="s">
        <v>147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12" t="n">
        <v>10086762814.0066</v>
      </c>
      <c r="P11" s="12" t="n">
        <v>8574190409.81417</v>
      </c>
      <c r="Q11" s="12" t="n">
        <v>5470848598.88557</v>
      </c>
      <c r="R11" s="12" t="n">
        <v>6635505311.03005</v>
      </c>
      <c r="S11" s="12" t="n">
        <v>6621455903.94769</v>
      </c>
      <c r="T11" s="12" t="n">
        <v>5447811113.88724</v>
      </c>
      <c r="U11" s="12" t="n">
        <v>4625386644.37108</v>
      </c>
      <c r="V11" s="12" t="n">
        <v>8481733003.81294</v>
      </c>
      <c r="W11" s="12" t="n">
        <v>6588108035.10521</v>
      </c>
      <c r="X11" s="12" t="n">
        <v>6802648830.44515</v>
      </c>
      <c r="Y11" s="12" t="n">
        <v>4954857575.92453</v>
      </c>
      <c r="Z11" s="12" t="n">
        <v>6300934256.51541</v>
      </c>
      <c r="AA11" s="12" t="n">
        <v>6506204817.19699</v>
      </c>
      <c r="AB11" s="12" t="n">
        <v>6951436149.42671</v>
      </c>
      <c r="AC11" s="12" t="n">
        <v>7897514066.04082</v>
      </c>
      <c r="AD11" s="12" t="n">
        <v>7500911711.34564</v>
      </c>
      <c r="AE11" s="12" t="n">
        <v>9277361894.29946</v>
      </c>
      <c r="AF11" s="12" t="n">
        <v>8613292295.70853</v>
      </c>
      <c r="AG11" s="12" t="n">
        <v>10369864279.2882</v>
      </c>
      <c r="AH11" s="12" t="n">
        <v>11567482416.6697</v>
      </c>
      <c r="AI11" s="12" t="n">
        <v>10173083477.3582</v>
      </c>
      <c r="AJ11" s="12" t="n">
        <v>10975784359.7784</v>
      </c>
      <c r="AK11" s="12" t="n">
        <v>11249557102.1447</v>
      </c>
      <c r="AL11" s="12" t="n">
        <v>7869747245.9361</v>
      </c>
      <c r="AM11" s="12" t="n">
        <v>8775979243.31821</v>
      </c>
      <c r="AN11" s="12" t="n">
        <v>6593013203.36309</v>
      </c>
      <c r="AO11" s="12" t="n">
        <v>6696095657.51789</v>
      </c>
      <c r="AP11" s="12" t="n">
        <v>6527022948.14084</v>
      </c>
      <c r="AQ11" s="12" t="n">
        <v>5912567376.8201</v>
      </c>
      <c r="AR11" s="12" t="n">
        <v>7176663819.41966</v>
      </c>
      <c r="AS11" s="12" t="n">
        <v>6941925179.56952</v>
      </c>
      <c r="AT11" s="12" t="n">
        <v>3881345765.14577</v>
      </c>
      <c r="AU11" s="12" t="n">
        <v>4511649809.06361</v>
      </c>
      <c r="AV11" s="12" t="n">
        <v>4938290602.7362</v>
      </c>
      <c r="AW11" s="12" t="n">
        <v>5501062767.14342</v>
      </c>
      <c r="AX11" s="12" t="n">
        <v>1343087025.41854</v>
      </c>
      <c r="AY11" s="12"/>
    </row>
    <row r="12">
      <c r="A12" t="str">
        <f>M12</f>
      </c>
      <c r="B12" t="str">
        <f>N12</f>
      </c>
      <c r="M12" t="s">
        <v>41</v>
      </c>
      <c r="N12" t="s">
        <v>41</v>
      </c>
      <c r="O12" s="12" t="n">
        <v>536150385.176766</v>
      </c>
      <c r="P12" s="12" t="n">
        <v>482137560.601125</v>
      </c>
      <c r="Q12" s="12" t="n">
        <v>729575576.246864</v>
      </c>
      <c r="R12" s="12" t="n">
        <v>491502695.499945</v>
      </c>
      <c r="S12" s="12" t="n">
        <v>256449866.409818</v>
      </c>
      <c r="T12" s="12" t="n">
        <v>479665262.170325</v>
      </c>
      <c r="U12" s="12" t="n">
        <v>466817433.321948</v>
      </c>
      <c r="V12" s="12" t="n">
        <v>489953724.316735</v>
      </c>
      <c r="W12" s="12" t="n">
        <v>366315763.021252</v>
      </c>
      <c r="X12" s="12" t="n">
        <v>292351753.150015</v>
      </c>
      <c r="Y12" s="12" t="n">
        <v>203622016.453735</v>
      </c>
      <c r="Z12" s="12" t="n">
        <v>273376442.738714</v>
      </c>
      <c r="AA12" s="12" t="n">
        <v>557938680.085951</v>
      </c>
      <c r="AB12" s="12" t="n">
        <v>836640517.85839</v>
      </c>
      <c r="AC12" s="12" t="n">
        <v>939050848.313447</v>
      </c>
      <c r="AD12" s="12" t="n">
        <v>814292262.908097</v>
      </c>
      <c r="AE12" s="12" t="n">
        <v>837595235.534145</v>
      </c>
      <c r="AF12" s="12" t="n">
        <v>1099586066.54793</v>
      </c>
      <c r="AG12" s="12" t="n">
        <v>1555520140.91516</v>
      </c>
      <c r="AH12" s="12" t="n">
        <v>1063427165.36689</v>
      </c>
      <c r="AI12" s="12" t="n">
        <v>1371931878.51624</v>
      </c>
      <c r="AJ12" s="12" t="n">
        <v>1277589461.75441</v>
      </c>
      <c r="AK12" s="12" t="n">
        <v>1221963724.37473</v>
      </c>
      <c r="AL12" s="12" t="n">
        <v>987992466.940974</v>
      </c>
      <c r="AM12" s="12" t="n">
        <v>756242171.604694</v>
      </c>
      <c r="AN12" s="12" t="n">
        <v>539198174.445778</v>
      </c>
      <c r="AO12" s="12" t="n">
        <v>403838260.951504</v>
      </c>
      <c r="AP12" s="12" t="n">
        <v>548802104.218613</v>
      </c>
      <c r="AQ12" s="12" t="n">
        <v>762408546.923431</v>
      </c>
      <c r="AR12" s="12" t="n">
        <v>655543136.448454</v>
      </c>
      <c r="AS12" s="12" t="n">
        <v>758819876.056485</v>
      </c>
      <c r="AT12" s="12" t="n">
        <v>69680794.4576971</v>
      </c>
      <c r="AU12" s="12" t="n">
        <v>32117442.3211773</v>
      </c>
      <c r="AV12" s="12" t="n">
        <v>19576.8691</v>
      </c>
      <c r="AW12" s="12" t="n">
        <v>-18011.3101668206</v>
      </c>
      <c r="AX12" s="12" t="n">
        <v>0</v>
      </c>
      <c r="AY12" s="12"/>
    </row>
    <row r="13">
      <c r="A13" t="str">
        <f>M13</f>
      </c>
      <c r="B13" t="str">
        <f>N13</f>
      </c>
      <c r="M13" t="s">
        <v>42</v>
      </c>
      <c r="N13" t="s">
        <v>43</v>
      </c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 t="n">
        <v>769627.729185152</v>
      </c>
      <c r="Z13" s="12" t="n">
        <v>274060.855432156</v>
      </c>
      <c r="AA13" s="12" t="n">
        <v>4228280.82856035</v>
      </c>
      <c r="AB13" s="12"/>
      <c r="AC13" s="12" t="n">
        <v>91819.4845988845</v>
      </c>
      <c r="AD13" s="12" t="n">
        <v>1832293.68205333</v>
      </c>
      <c r="AE13" s="12" t="n">
        <v>18221.0314549848</v>
      </c>
      <c r="AF13" s="12" t="n">
        <v>37653.115875402</v>
      </c>
      <c r="AG13" s="12" t="n">
        <v>20334.8286476045</v>
      </c>
      <c r="AH13" s="12" t="n">
        <v>27124.2258308179</v>
      </c>
      <c r="AI13" s="12" t="n">
        <v>16406.2188833712</v>
      </c>
      <c r="AJ13" s="12" t="n">
        <v>5474201.31492448</v>
      </c>
      <c r="AK13" s="12" t="n">
        <v>1061048.5349311</v>
      </c>
      <c r="AL13" s="12" t="n">
        <v>1097832.93388587</v>
      </c>
      <c r="AM13" s="12" t="n">
        <v>32054262.3273302</v>
      </c>
      <c r="AN13" s="12" t="n">
        <v>-179947.646183974</v>
      </c>
      <c r="AO13" s="12"/>
      <c r="AP13" s="12" t="n">
        <v>976.560000187597</v>
      </c>
      <c r="AQ13" s="12" t="n">
        <v>42673.1498582622</v>
      </c>
      <c r="AR13" s="12" t="n">
        <v>2511441.01315835</v>
      </c>
      <c r="AS13" s="12" t="n">
        <v>100215.072247593</v>
      </c>
      <c r="AT13" s="12" t="n">
        <v>417078.918986749</v>
      </c>
      <c r="AU13" s="12" t="n">
        <v>713004.783136167</v>
      </c>
      <c r="AV13" s="12" t="n">
        <v>44058.9922</v>
      </c>
      <c r="AW13" s="12"/>
      <c r="AX13" s="12"/>
      <c r="AY13" s="12"/>
    </row>
    <row r="14">
      <c r="A14" t="str">
        <f>M14</f>
      </c>
      <c r="B14" t="str">
        <f>N14</f>
      </c>
      <c r="M14" t="s">
        <v>44</v>
      </c>
      <c r="N14" t="s">
        <v>44</v>
      </c>
      <c r="O14" s="12" t="n">
        <v>231295969.039706</v>
      </c>
      <c r="P14" s="12" t="n">
        <v>286294387.366774</v>
      </c>
      <c r="Q14" s="12" t="n">
        <v>126105991.506913</v>
      </c>
      <c r="R14" s="12" t="n">
        <v>173228815.55144</v>
      </c>
      <c r="S14" s="12" t="n">
        <v>346951305.194683</v>
      </c>
      <c r="T14" s="12" t="n">
        <v>690842205.165512</v>
      </c>
      <c r="U14" s="12" t="n">
        <v>364818018.749472</v>
      </c>
      <c r="V14" s="12" t="n">
        <v>476662071.053976</v>
      </c>
      <c r="W14" s="12" t="n">
        <v>273450761.997826</v>
      </c>
      <c r="X14" s="12" t="n">
        <v>586903529.306098</v>
      </c>
      <c r="Y14" s="12" t="n">
        <v>190346650.942809</v>
      </c>
      <c r="Z14" s="12" t="n">
        <v>244257775.991948</v>
      </c>
      <c r="AA14" s="12" t="n">
        <v>193412441.221857</v>
      </c>
      <c r="AB14" s="12" t="n">
        <v>597654907.840678</v>
      </c>
      <c r="AC14" s="12" t="n">
        <v>875359864.232777</v>
      </c>
      <c r="AD14" s="12" t="n">
        <v>1438124002.34398</v>
      </c>
      <c r="AE14" s="12" t="n">
        <v>1523596154.52834</v>
      </c>
      <c r="AF14" s="12" t="n">
        <v>1877761360.34276</v>
      </c>
      <c r="AG14" s="12" t="n">
        <v>1336631160.91236</v>
      </c>
      <c r="AH14" s="12" t="n">
        <v>1605215425.08743</v>
      </c>
      <c r="AI14" s="12" t="n">
        <v>994716949.947493</v>
      </c>
      <c r="AJ14" s="12" t="n">
        <v>1462553170.07277</v>
      </c>
      <c r="AK14" s="12" t="n">
        <v>801336733.298385</v>
      </c>
      <c r="AL14" s="12" t="n">
        <v>1107250363.22969</v>
      </c>
      <c r="AM14" s="12" t="n">
        <v>559773380.136188</v>
      </c>
      <c r="AN14" s="12" t="n">
        <v>394056224.991556</v>
      </c>
      <c r="AO14" s="12" t="n">
        <v>404462971.412177</v>
      </c>
      <c r="AP14" s="12" t="n">
        <v>279498603.663731</v>
      </c>
      <c r="AQ14" s="12" t="n">
        <v>329385338.200727</v>
      </c>
      <c r="AR14" s="12" t="n">
        <v>623686471.359443</v>
      </c>
      <c r="AS14" s="12" t="n">
        <v>701452922.737276</v>
      </c>
      <c r="AT14" s="12" t="n">
        <v>92007195.8838426</v>
      </c>
      <c r="AU14" s="12" t="n">
        <v>182669324.050985</v>
      </c>
      <c r="AV14" s="12" t="n">
        <v>203585165.3616</v>
      </c>
      <c r="AW14" s="12" t="n">
        <v>283423340.10036</v>
      </c>
      <c r="AX14" s="12" t="n">
        <v>147572339.813304</v>
      </c>
      <c r="AY14" s="12"/>
    </row>
    <row r="15">
      <c r="A15" t="str">
        <f>M15</f>
      </c>
      <c r="B15" t="str">
        <f>N15</f>
      </c>
      <c r="M15" t="s">
        <v>43</v>
      </c>
      <c r="N15" t="s">
        <v>43</v>
      </c>
      <c r="O15" s="12" t="n">
        <v>15603118.9344142</v>
      </c>
      <c r="P15" s="12" t="n">
        <v>24380052.8378388</v>
      </c>
      <c r="Q15" s="12" t="n">
        <v>29627084.487951</v>
      </c>
      <c r="R15" s="12" t="n">
        <v>12552336.4655782</v>
      </c>
      <c r="S15" s="12" t="n">
        <v>100368832.092843</v>
      </c>
      <c r="T15" s="12" t="n">
        <v>2823928.56491321</v>
      </c>
      <c r="U15" s="12" t="n">
        <v>697777.400359825</v>
      </c>
      <c r="V15" s="12" t="n">
        <v>2040073.10583894</v>
      </c>
      <c r="W15" s="12" t="n">
        <v>1724250.04451185</v>
      </c>
      <c r="X15" s="12" t="n">
        <v>3074866.5863969</v>
      </c>
      <c r="Y15" s="12" t="n">
        <v>1162309.48524937</v>
      </c>
      <c r="Z15" s="12"/>
      <c r="AA15" s="12"/>
      <c r="AB15" s="12" t="n">
        <v>907332.562876455</v>
      </c>
      <c r="AC15" s="12" t="n">
        <v>5756039.18689376</v>
      </c>
      <c r="AD15" s="12" t="n">
        <v>41525499.8537443</v>
      </c>
      <c r="AE15" s="12" t="n">
        <v>14865463.5703899</v>
      </c>
      <c r="AF15" s="12" t="n">
        <v>33592561.1589672</v>
      </c>
      <c r="AG15" s="12" t="n">
        <v>21981889.9645791</v>
      </c>
      <c r="AH15" s="12" t="n">
        <v>16609135.8887674</v>
      </c>
      <c r="AI15" s="12" t="n">
        <v>-12228731.2388445</v>
      </c>
      <c r="AJ15" s="12" t="n">
        <v>197823583.461916</v>
      </c>
      <c r="AK15" s="12" t="n">
        <v>-27193771.4162552</v>
      </c>
      <c r="AL15" s="12" t="n">
        <v>-8986552.66904266</v>
      </c>
      <c r="AM15" s="12" t="n">
        <v>-4698997.3073363</v>
      </c>
      <c r="AN15" s="12" t="n">
        <v>-41576028.4271751</v>
      </c>
      <c r="AO15" s="12" t="n">
        <v>-39368261.6572363</v>
      </c>
      <c r="AP15" s="12" t="n">
        <v>6864009.41293001</v>
      </c>
      <c r="AQ15" s="12" t="n">
        <v>-8283856.15473262</v>
      </c>
      <c r="AR15" s="12" t="n">
        <v>-1183093.11363944</v>
      </c>
      <c r="AS15" s="12" t="n">
        <v>73302463.4184323</v>
      </c>
      <c r="AT15" s="12" t="n">
        <v>14003158.7126347</v>
      </c>
      <c r="AU15" s="12" t="n">
        <v>123010822.858383</v>
      </c>
      <c r="AV15" s="12" t="n">
        <v>-10543480.9415</v>
      </c>
      <c r="AW15" s="12" t="n">
        <v>-11703705.3844474</v>
      </c>
      <c r="AX15" s="12" t="n">
        <v>-1080042.62187276</v>
      </c>
      <c r="AY15" s="12"/>
    </row>
    <row r="16">
      <c r="A16" t="str">
        <f>M16</f>
      </c>
      <c r="B16" t="str">
        <f>N16</f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146</v>
      </c>
      <c r="AY1" t="s">
        <v>147</v>
      </c>
    </row>
    <row r="2">
      <c r="A2" t="str">
        <f>N2</f>
      </c>
      <c r="B2" t="str">
        <f>O2</f>
      </c>
      <c r="M2" t="s">
        <v>47</v>
      </c>
      <c r="N2" t="s">
        <v>52</v>
      </c>
      <c r="O2" t="s">
        <v>52</v>
      </c>
      <c r="P2" s="3" t="n">
        <v>121289000</v>
      </c>
      <c r="Q2" s="3" t="n">
        <v>91841000</v>
      </c>
      <c r="R2" s="3" t="n">
        <v>9737000</v>
      </c>
      <c r="S2" s="3" t="n">
        <v>7817000</v>
      </c>
      <c r="T2" s="3" t="n">
        <v>17638000</v>
      </c>
      <c r="U2" s="3" t="n">
        <v>38434000</v>
      </c>
      <c r="V2" s="3" t="n">
        <v>24166000</v>
      </c>
      <c r="W2" s="3" t="n">
        <v>1733317246</v>
      </c>
      <c r="X2" s="3" t="n">
        <v>32375530</v>
      </c>
      <c r="Y2" s="3" t="n">
        <v>39560431</v>
      </c>
      <c r="Z2" s="3" t="n">
        <v>142126379</v>
      </c>
      <c r="AA2" s="3" t="n">
        <v>84925188</v>
      </c>
      <c r="AB2" s="3" t="n">
        <v>151641248</v>
      </c>
      <c r="AC2" s="3" t="n">
        <v>706106010</v>
      </c>
      <c r="AD2" s="3" t="n">
        <v>883972082</v>
      </c>
      <c r="AE2" s="3" t="n">
        <v>502235051</v>
      </c>
      <c r="AF2" s="3" t="n">
        <v>763339162</v>
      </c>
      <c r="AG2" s="3" t="n">
        <v>989242225.82</v>
      </c>
      <c r="AH2" s="3" t="n">
        <v>751531095.68</v>
      </c>
      <c r="AI2" s="3" t="n">
        <v>884082493.0025</v>
      </c>
      <c r="AJ2" s="3" t="n">
        <v>1709704073.2179</v>
      </c>
      <c r="AK2" s="3" t="n">
        <v>2471076994.0037</v>
      </c>
      <c r="AL2" s="3" t="n">
        <v>2576087215.6511</v>
      </c>
      <c r="AM2" s="3" t="n">
        <v>2574998946.53</v>
      </c>
      <c r="AN2" s="3" t="n">
        <v>3397974933.74</v>
      </c>
      <c r="AO2" s="3" t="n">
        <v>2096597526.27</v>
      </c>
      <c r="AP2" s="3" t="n">
        <v>2008544425.8726</v>
      </c>
      <c r="AQ2" s="3" t="n">
        <v>1867007218.7972</v>
      </c>
      <c r="AR2" s="3" t="n">
        <v>1888821223.8225</v>
      </c>
      <c r="AS2" s="3" t="n">
        <v>2154302159.9724</v>
      </c>
      <c r="AT2" s="3" t="n">
        <v>2110794259.8031</v>
      </c>
      <c r="AU2" s="3" t="n">
        <v>1429533118.9</v>
      </c>
      <c r="AV2" s="3" t="n">
        <v>1837524676.4</v>
      </c>
      <c r="AW2" s="3" t="n">
        <v>2241900214.41</v>
      </c>
      <c r="AX2" s="3" t="n">
        <v>1249374074.92</v>
      </c>
      <c r="AY2" s="3" t="n">
        <v>655137133.17</v>
      </c>
      <c r="AZ2" s="3"/>
    </row>
    <row r="3">
      <c r="A3" t="str">
        <f>N3</f>
      </c>
      <c r="B3" t="str">
        <f>O3</f>
      </c>
      <c r="M3" t="s">
        <v>49</v>
      </c>
      <c r="N3"/>
      <c r="O3" t="s">
        <v>58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 t="n">
        <v>0</v>
      </c>
      <c r="AF3" s="3" t="n">
        <v>38902563</v>
      </c>
      <c r="AG3" s="3" t="n">
        <v>193615862</v>
      </c>
      <c r="AH3" s="3" t="n">
        <v>736952723.5569</v>
      </c>
      <c r="AI3" s="3" t="n">
        <v>1140578800.7506</v>
      </c>
      <c r="AJ3" s="3" t="n">
        <v>-701265.21</v>
      </c>
      <c r="AK3" s="3" t="n">
        <v>-821630.9967</v>
      </c>
      <c r="AL3" s="3" t="n">
        <v>1926650.5795</v>
      </c>
      <c r="AM3" s="3" t="n">
        <v>335784.2</v>
      </c>
      <c r="AN3" s="3" t="n">
        <v>0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49</v>
      </c>
      <c r="N4"/>
      <c r="O4" t="s">
        <v>48</v>
      </c>
      <c r="P4" s="3" t="n">
        <v>24872000</v>
      </c>
      <c r="Q4" s="3" t="n">
        <v>62751000</v>
      </c>
      <c r="R4" s="3" t="n">
        <v>41129000</v>
      </c>
      <c r="S4" s="3" t="n">
        <v>42130000</v>
      </c>
      <c r="T4" s="3" t="n">
        <v>16745000</v>
      </c>
      <c r="U4" s="3" t="n">
        <v>43749000</v>
      </c>
      <c r="V4" s="3" t="n">
        <v>24955000</v>
      </c>
      <c r="W4" s="3" t="n">
        <v>182113947</v>
      </c>
      <c r="X4" s="3" t="n">
        <v>282932106</v>
      </c>
      <c r="Y4" s="3" t="n">
        <v>333813499</v>
      </c>
      <c r="Z4" s="3" t="n">
        <v>660568306</v>
      </c>
      <c r="AA4" s="3" t="n">
        <v>1255193655</v>
      </c>
      <c r="AB4" s="3" t="n">
        <v>1117734286</v>
      </c>
      <c r="AC4" s="3" t="n">
        <v>619128853</v>
      </c>
      <c r="AD4" s="3" t="n">
        <v>917858095.9375</v>
      </c>
      <c r="AE4" s="3" t="n">
        <v>1624622963.39</v>
      </c>
      <c r="AF4" s="3" t="n">
        <v>839071178.8</v>
      </c>
      <c r="AG4" s="3" t="n">
        <v>577754851.6143</v>
      </c>
      <c r="AH4" s="3" t="n">
        <v>755447172.4327</v>
      </c>
      <c r="AI4" s="3" t="n">
        <v>1164638105.4596</v>
      </c>
      <c r="AJ4" s="3" t="n">
        <v>2261281761.1265</v>
      </c>
      <c r="AK4" s="3" t="n">
        <v>3227791376.3345</v>
      </c>
      <c r="AL4" s="3" t="n">
        <v>2836866677.7479</v>
      </c>
      <c r="AM4" s="3" t="n">
        <v>2729787925.7304</v>
      </c>
      <c r="AN4" s="3" t="n">
        <v>2072266592.2502</v>
      </c>
      <c r="AO4" s="3" t="n">
        <v>1390494473.6922</v>
      </c>
      <c r="AP4" s="3" t="n">
        <v>1059293833.6573</v>
      </c>
      <c r="AQ4" s="3" t="n">
        <v>1620631667.3273</v>
      </c>
      <c r="AR4" s="3" t="n">
        <v>1222168596.9061</v>
      </c>
      <c r="AS4" s="3" t="n">
        <v>1922060261.619</v>
      </c>
      <c r="AT4" s="3" t="n">
        <v>2462275578.687</v>
      </c>
      <c r="AU4" s="3" t="n">
        <v>1463062865.5414</v>
      </c>
      <c r="AV4" s="3" t="n">
        <v>1895929923.3344</v>
      </c>
      <c r="AW4" s="3" t="n">
        <v>2150703556.5433</v>
      </c>
      <c r="AX4" s="3" t="n">
        <v>3793886933.95</v>
      </c>
      <c r="AY4" s="3" t="n">
        <v>456144700.6</v>
      </c>
      <c r="AZ4" s="3"/>
    </row>
    <row r="5">
      <c r="A5" t="str">
        <f>N5</f>
      </c>
      <c r="B5" t="str">
        <f>O5</f>
      </c>
      <c r="M5" t="s">
        <v>52</v>
      </c>
      <c r="N5"/>
      <c r="O5" t="s">
        <v>54</v>
      </c>
      <c r="P5" s="3"/>
      <c r="Q5" s="3" t="n">
        <v>158000</v>
      </c>
      <c r="R5" s="3" t="n">
        <v>3330000</v>
      </c>
      <c r="S5" s="3" t="n">
        <v>15962000</v>
      </c>
      <c r="T5" s="3" t="n">
        <v>193150000</v>
      </c>
      <c r="U5" s="3" t="n">
        <v>98281000</v>
      </c>
      <c r="V5" s="3" t="n">
        <v>49052000</v>
      </c>
      <c r="W5" s="3" t="n">
        <v>271318280</v>
      </c>
      <c r="X5" s="3" t="n">
        <v>285678910</v>
      </c>
      <c r="Y5" s="3" t="n">
        <v>556012643</v>
      </c>
      <c r="Z5" s="3" t="n">
        <v>2161469492</v>
      </c>
      <c r="AA5" s="3" t="n">
        <v>2279862270</v>
      </c>
      <c r="AB5" s="3" t="n">
        <v>2600195785.64</v>
      </c>
      <c r="AC5" s="3" t="n">
        <v>3076776477.71</v>
      </c>
      <c r="AD5" s="3" t="n">
        <v>3329314211.22</v>
      </c>
      <c r="AE5" s="3" t="n">
        <v>3257780980.76</v>
      </c>
      <c r="AF5" s="3" t="n">
        <v>4820257427.8197</v>
      </c>
      <c r="AG5" s="3" t="n">
        <v>4938626470.1672</v>
      </c>
      <c r="AH5" s="3" t="n">
        <v>5422282109.1998</v>
      </c>
      <c r="AI5" s="3" t="n">
        <v>6147278352.9886</v>
      </c>
      <c r="AJ5" s="3" t="n">
        <v>4672183243.6555</v>
      </c>
      <c r="AK5" s="3" t="n">
        <v>3913055809.1869</v>
      </c>
      <c r="AL5" s="3" t="n">
        <v>2656866130.2144</v>
      </c>
      <c r="AM5" s="3" t="n">
        <v>2256931799.173</v>
      </c>
      <c r="AN5" s="3" t="n">
        <v>2001151545.7006</v>
      </c>
      <c r="AO5" s="3" t="n">
        <v>2000718603.9947</v>
      </c>
      <c r="AP5" s="3" t="n">
        <v>1862278869.35</v>
      </c>
      <c r="AQ5" s="3" t="n">
        <v>1864685119.2765</v>
      </c>
      <c r="AR5" s="3" t="n">
        <v>2173519674.2358</v>
      </c>
      <c r="AS5" s="3" t="n">
        <v>1882589679.7529</v>
      </c>
      <c r="AT5" s="3" t="n">
        <v>1928470612.9137</v>
      </c>
      <c r="AU5" s="3" t="n">
        <v>485275659.6572</v>
      </c>
      <c r="AV5" s="3" t="n">
        <v>591471906.0574</v>
      </c>
      <c r="AW5" s="3" t="n">
        <v>635989140.9293</v>
      </c>
      <c r="AX5" s="3" t="n">
        <v>732102109.9</v>
      </c>
      <c r="AY5" s="3" t="n">
        <v>402493450.86</v>
      </c>
      <c r="AZ5" s="3"/>
    </row>
    <row r="6">
      <c r="A6" t="str">
        <f>N6</f>
      </c>
      <c r="B6" t="str">
        <f>O6</f>
      </c>
      <c r="M6" t="s">
        <v>53</v>
      </c>
      <c r="N6"/>
      <c r="O6" t="s">
        <v>50</v>
      </c>
      <c r="P6" s="3"/>
      <c r="Q6" s="3"/>
      <c r="R6" s="3"/>
      <c r="S6" s="3"/>
      <c r="T6" s="3" t="n">
        <v>190000</v>
      </c>
      <c r="U6" s="3"/>
      <c r="V6" s="3"/>
      <c r="W6" s="3" t="n">
        <v>0</v>
      </c>
      <c r="X6" s="3" t="n">
        <v>170000</v>
      </c>
      <c r="Y6" s="3" t="n">
        <v>49992</v>
      </c>
      <c r="Z6" s="3" t="n">
        <v>50867488</v>
      </c>
      <c r="AA6" s="3" t="n">
        <v>44451176</v>
      </c>
      <c r="AB6" s="3" t="n">
        <v>38065170</v>
      </c>
      <c r="AC6" s="3" t="n">
        <v>13189917</v>
      </c>
      <c r="AD6" s="3" t="n">
        <v>816632</v>
      </c>
      <c r="AE6" s="3" t="n">
        <v>74337045</v>
      </c>
      <c r="AF6" s="3" t="n">
        <v>3568079</v>
      </c>
      <c r="AG6" s="3" t="n">
        <v>-117149</v>
      </c>
      <c r="AH6" s="3" t="n">
        <v>-182452.3</v>
      </c>
      <c r="AI6" s="3" t="n">
        <v>-775437.1</v>
      </c>
      <c r="AJ6" s="3" t="n">
        <v>1995733</v>
      </c>
      <c r="AK6" s="3" t="n">
        <v>3188451.1899</v>
      </c>
      <c r="AL6" s="3" t="n">
        <v>-38309.8789</v>
      </c>
      <c r="AM6" s="3" t="n">
        <v>-304973.85</v>
      </c>
      <c r="AN6" s="3"/>
      <c r="AO6" s="3" t="n">
        <v>0</v>
      </c>
      <c r="AP6" s="3" t="n">
        <v>55404.1707</v>
      </c>
      <c r="AQ6" s="3" t="n">
        <v>0</v>
      </c>
      <c r="AR6" s="3" t="n">
        <v>10152000</v>
      </c>
      <c r="AS6" s="3" t="n">
        <v>332379305.49</v>
      </c>
      <c r="AT6" s="3" t="n">
        <v>299719396.45</v>
      </c>
      <c r="AU6" s="3" t="n">
        <v>240248622.21</v>
      </c>
      <c r="AV6" s="3" t="n">
        <v>302908851.27</v>
      </c>
      <c r="AW6" s="3" t="n">
        <v>97727424.29</v>
      </c>
      <c r="AX6" s="3" t="n">
        <v>124710297.76</v>
      </c>
      <c r="AY6" s="3" t="n">
        <v>48450252.48</v>
      </c>
      <c r="AZ6" s="3"/>
    </row>
    <row r="7">
      <c r="A7" t="str">
        <f>N7</f>
      </c>
      <c r="B7" t="str">
        <f>O7</f>
      </c>
      <c r="M7" t="s">
        <v>55</v>
      </c>
      <c r="N7"/>
      <c r="O7" t="s">
        <v>51</v>
      </c>
      <c r="P7" s="3"/>
      <c r="Q7" s="3"/>
      <c r="R7" s="3"/>
      <c r="S7" s="3"/>
      <c r="T7" s="3"/>
      <c r="U7" s="3"/>
      <c r="V7" s="3"/>
      <c r="W7" s="3" t="n">
        <v>3154946</v>
      </c>
      <c r="X7" s="3" t="n">
        <v>7951793</v>
      </c>
      <c r="Y7" s="3" t="n">
        <v>6548417</v>
      </c>
      <c r="Z7" s="3" t="n">
        <v>7232135</v>
      </c>
      <c r="AA7" s="3" t="n">
        <v>11989370</v>
      </c>
      <c r="AB7" s="3" t="n">
        <v>4892070</v>
      </c>
      <c r="AC7" s="3" t="n">
        <v>17522856</v>
      </c>
      <c r="AD7" s="3" t="n">
        <v>35578117</v>
      </c>
      <c r="AE7" s="3" t="n">
        <v>42478443</v>
      </c>
      <c r="AF7" s="3" t="n">
        <v>52699731</v>
      </c>
      <c r="AG7" s="3" t="n">
        <v>44945586.5066</v>
      </c>
      <c r="AH7" s="3" t="n">
        <v>47763138.8949</v>
      </c>
      <c r="AI7" s="3" t="n">
        <v>31557043.6796</v>
      </c>
      <c r="AJ7" s="3" t="n">
        <v>59754399.5342</v>
      </c>
      <c r="AK7" s="3" t="n">
        <v>37554990.1876</v>
      </c>
      <c r="AL7" s="3" t="n">
        <v>46437871.1681</v>
      </c>
      <c r="AM7" s="3" t="n">
        <v>48330551.9709</v>
      </c>
      <c r="AN7" s="3" t="n">
        <v>37832921.3988</v>
      </c>
      <c r="AO7" s="3" t="n">
        <v>71208969.7281</v>
      </c>
      <c r="AP7" s="3" t="n">
        <v>89906383.76</v>
      </c>
      <c r="AQ7" s="3" t="n">
        <v>91827386.4654</v>
      </c>
      <c r="AR7" s="3" t="n">
        <v>53948223.6886</v>
      </c>
      <c r="AS7" s="3" t="n">
        <v>49098720.5863</v>
      </c>
      <c r="AT7" s="3" t="n">
        <v>52821945.0167</v>
      </c>
      <c r="AU7" s="3" t="n">
        <v>-699074.375</v>
      </c>
      <c r="AV7" s="3" t="n">
        <v>3842652.89</v>
      </c>
      <c r="AW7" s="3" t="n">
        <v>2678375.845</v>
      </c>
      <c r="AX7" s="3" t="n">
        <v>1696543</v>
      </c>
      <c r="AY7" s="3" t="n">
        <v>691802.39</v>
      </c>
      <c r="AZ7" s="3"/>
    </row>
    <row r="8">
      <c r="A8" t="str">
        <f>N8</f>
      </c>
      <c r="B8" t="str">
        <f>O8</f>
      </c>
      <c r="M8" t="s">
        <v>57</v>
      </c>
      <c r="N8"/>
      <c r="O8" t="s">
        <v>56</v>
      </c>
      <c r="P8" s="3"/>
      <c r="Q8" s="3"/>
      <c r="R8" s="3" t="n">
        <v>1440000</v>
      </c>
      <c r="S8" s="3"/>
      <c r="T8" s="3"/>
      <c r="U8" s="3"/>
      <c r="V8" s="3"/>
      <c r="W8" s="3" t="n">
        <v>2050000</v>
      </c>
      <c r="X8" s="3" t="n">
        <v>560193</v>
      </c>
      <c r="Y8" s="3" t="n">
        <v>31347993</v>
      </c>
      <c r="Z8" s="3" t="n">
        <v>153274049</v>
      </c>
      <c r="AA8" s="3" t="n">
        <v>473017362</v>
      </c>
      <c r="AB8" s="3" t="n">
        <v>572574574</v>
      </c>
      <c r="AC8" s="3" t="n">
        <v>854680577</v>
      </c>
      <c r="AD8" s="3" t="n">
        <v>1107264124</v>
      </c>
      <c r="AE8" s="3" t="n">
        <v>1015410327</v>
      </c>
      <c r="AF8" s="3" t="n">
        <v>1490691606</v>
      </c>
      <c r="AG8" s="3" t="n">
        <v>1465268227.59</v>
      </c>
      <c r="AH8" s="3" t="n">
        <v>1842174703.82</v>
      </c>
      <c r="AI8" s="3" t="n">
        <v>993400054.6417</v>
      </c>
      <c r="AJ8" s="3" t="n">
        <v>499231058.4082</v>
      </c>
      <c r="AK8" s="3" t="n">
        <v>779386508.703</v>
      </c>
      <c r="AL8" s="3" t="n">
        <v>1989325189.2404</v>
      </c>
      <c r="AM8" s="3" t="n">
        <v>125087672.87</v>
      </c>
      <c r="AN8" s="3" t="n">
        <v>492660425.83</v>
      </c>
      <c r="AO8" s="3" t="n">
        <v>422705433.84</v>
      </c>
      <c r="AP8" s="3" t="n">
        <v>990878259.0233</v>
      </c>
      <c r="AQ8" s="3" t="n">
        <v>587024487.7685</v>
      </c>
      <c r="AR8" s="3" t="n">
        <v>509859968.52</v>
      </c>
      <c r="AS8" s="3" t="n">
        <v>872491627.692</v>
      </c>
      <c r="AT8" s="3" t="n">
        <v>468942712.8307</v>
      </c>
      <c r="AU8" s="3" t="n">
        <v>8926237</v>
      </c>
      <c r="AV8" s="3" t="n">
        <v>6310225.03</v>
      </c>
      <c r="AW8" s="3" t="n">
        <v>2397211</v>
      </c>
      <c r="AX8" s="3" t="n">
        <v>25161807.56</v>
      </c>
      <c r="AY8" s="3" t="n">
        <v>0</v>
      </c>
      <c r="AZ8" s="3"/>
    </row>
    <row r="9">
      <c r="A9" t="str">
        <f>N9</f>
      </c>
      <c r="B9" t="str">
        <f>O9</f>
      </c>
      <c r="M9" t="s">
        <v>57</v>
      </c>
      <c r="N9"/>
      <c r="O9"/>
      <c r="P9" s="3" t="n">
        <v>5109318000</v>
      </c>
      <c r="Q9" s="3" t="n">
        <v>4536041000</v>
      </c>
      <c r="R9" s="3" t="n">
        <v>3207056007</v>
      </c>
      <c r="S9" s="3" t="n">
        <v>3775896266</v>
      </c>
      <c r="T9" s="3" t="n">
        <v>3704627729</v>
      </c>
      <c r="U9" s="3" t="n">
        <v>3449312820</v>
      </c>
      <c r="V9" s="3" t="n">
        <v>2950138142</v>
      </c>
      <c r="W9" s="3" t="n">
        <v>3180065599</v>
      </c>
      <c r="X9" s="3" t="n">
        <v>3551481726</v>
      </c>
      <c r="Y9" s="3" t="n">
        <v>3510692380</v>
      </c>
      <c r="Z9" s="3" t="n">
        <v>7214274</v>
      </c>
      <c r="AA9" s="3" t="n">
        <v>4876697</v>
      </c>
      <c r="AB9" s="3" t="n">
        <v>8672403</v>
      </c>
      <c r="AC9" s="3" t="n">
        <v>2079457</v>
      </c>
      <c r="AD9" s="3" t="n">
        <v>3895254</v>
      </c>
      <c r="AE9" s="3" t="n">
        <v>5431021</v>
      </c>
      <c r="AF9" s="3" t="n">
        <v>1955191</v>
      </c>
      <c r="AG9" s="3" t="n">
        <v>1072328</v>
      </c>
      <c r="AH9" s="3" t="n">
        <v>21539557.9598</v>
      </c>
      <c r="AI9" s="3" t="n">
        <v>20276098.9585</v>
      </c>
      <c r="AJ9" s="3" t="n">
        <v>24350</v>
      </c>
      <c r="AK9" s="3" t="n">
        <v>-80850.1397</v>
      </c>
      <c r="AL9" s="3" t="n">
        <v>-156352.7188</v>
      </c>
      <c r="AM9" s="3" t="n">
        <v>0</v>
      </c>
      <c r="AN9" s="3" t="n">
        <v>2737500</v>
      </c>
      <c r="AO9" s="3" t="n">
        <v>-1780.56</v>
      </c>
      <c r="AP9" s="3" t="n">
        <v>2894835.1893</v>
      </c>
      <c r="AQ9" s="3" t="n">
        <v>-55505.6021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137</v>
      </c>
      <c r="O10" t="s">
        <v>138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146</v>
      </c>
      <c r="AY13" t="s">
        <v>147</v>
      </c>
    </row>
    <row r="14">
      <c r="A14" t="str">
        <f>N14</f>
      </c>
      <c r="B14" t="str">
        <f>O14</f>
      </c>
      <c r="M14" t="s">
        <v>47</v>
      </c>
      <c r="N14" t="s">
        <v>52</v>
      </c>
      <c r="O14" t="s">
        <v>52</v>
      </c>
      <c r="P14" s="3" t="n">
        <v>250859847.883903</v>
      </c>
      <c r="Q14" s="3" t="n">
        <v>183396546.210169</v>
      </c>
      <c r="R14" s="3" t="n">
        <v>18968968.8825803</v>
      </c>
      <c r="S14" s="3" t="n">
        <v>14879482.1430082</v>
      </c>
      <c r="T14" s="3" t="n">
        <v>32856259.1343167</v>
      </c>
      <c r="U14" s="3" t="n">
        <v>70108164.7276571</v>
      </c>
      <c r="V14" s="3" t="n">
        <v>43266993.5342468</v>
      </c>
      <c r="W14" s="3" t="n">
        <v>3049229518.66518</v>
      </c>
      <c r="X14" s="3" t="n">
        <v>56249373.0469332</v>
      </c>
      <c r="Y14" s="3" t="n">
        <v>67891772.9474249</v>
      </c>
      <c r="Z14" s="3" t="n">
        <v>238939086.587529</v>
      </c>
      <c r="AA14" s="3" t="n">
        <v>139395155.214541</v>
      </c>
      <c r="AB14" s="3" t="n">
        <v>245046957.229594</v>
      </c>
      <c r="AC14" s="3" t="n">
        <v>1119552676.79223</v>
      </c>
      <c r="AD14" s="3" t="n">
        <v>1368156105.67287</v>
      </c>
      <c r="AE14" s="3" t="n">
        <v>754372249.399557</v>
      </c>
      <c r="AF14" s="3" t="n">
        <v>1110485180.16956</v>
      </c>
      <c r="AG14" s="3" t="n">
        <v>1400565976.97466</v>
      </c>
      <c r="AH14" s="3" t="n">
        <v>1042374739.37653</v>
      </c>
      <c r="AI14" s="3" t="n">
        <v>1213811155.76394</v>
      </c>
      <c r="AJ14" s="3" t="n">
        <v>2327203123.78695</v>
      </c>
      <c r="AK14" s="3" t="n">
        <v>3297380507.77285</v>
      </c>
      <c r="AL14" s="3" t="n">
        <v>3376239709.41623</v>
      </c>
      <c r="AM14" s="3" t="n">
        <v>3314669632.97925</v>
      </c>
      <c r="AN14" s="3" t="n">
        <v>4295679372.09599</v>
      </c>
      <c r="AO14" s="3" t="n">
        <v>2623325748.53966</v>
      </c>
      <c r="AP14" s="3" t="n">
        <v>2493217593.76788</v>
      </c>
      <c r="AQ14" s="3" t="n">
        <v>2279055712.42355</v>
      </c>
      <c r="AR14" s="3" t="n">
        <v>2255609535.44646</v>
      </c>
      <c r="AS14" s="3" t="n">
        <v>2525940493.47724</v>
      </c>
      <c r="AT14" s="3" t="n">
        <v>2443013703.00517</v>
      </c>
      <c r="AU14" s="3" t="n">
        <v>1599478531.84113</v>
      </c>
      <c r="AV14" s="3" t="n">
        <v>1921585173.05676</v>
      </c>
      <c r="AW14" s="3" t="n">
        <v>2241900214.41</v>
      </c>
      <c r="AX14" s="3" t="n">
        <v>1216876193.88853</v>
      </c>
      <c r="AY14" s="3" t="n">
        <v>624395610.938839</v>
      </c>
      <c r="AZ14" s="3"/>
    </row>
    <row r="15">
      <c r="A15" t="str">
        <f>N15</f>
      </c>
      <c r="B15" t="str">
        <f>O15</f>
      </c>
      <c r="M15" t="s">
        <v>49</v>
      </c>
      <c r="N15"/>
      <c r="O15" t="s">
        <v>58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 t="n">
        <v>0</v>
      </c>
      <c r="AF15" s="3" t="n">
        <v>56594397.1339343</v>
      </c>
      <c r="AG15" s="3" t="n">
        <v>274120717.698885</v>
      </c>
      <c r="AH15" s="3" t="n">
        <v>1022154515.71619</v>
      </c>
      <c r="AI15" s="3" t="n">
        <v>1565970690.89911</v>
      </c>
      <c r="AJ15" s="3" t="n">
        <v>-954543.31125473</v>
      </c>
      <c r="AK15" s="3" t="n">
        <v>-1096376.21153641</v>
      </c>
      <c r="AL15" s="3" t="n">
        <v>2525083.06130218</v>
      </c>
      <c r="AM15" s="3" t="n">
        <v>432238.503427001</v>
      </c>
      <c r="AN15" s="3" t="n">
        <v>0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49</v>
      </c>
      <c r="N16"/>
      <c r="O16" t="s">
        <v>48</v>
      </c>
      <c r="P16" s="3" t="n">
        <v>51442308.3426233</v>
      </c>
      <c r="Q16" s="3" t="n">
        <v>125306961.718996</v>
      </c>
      <c r="R16" s="3" t="n">
        <v>80124753.1243345</v>
      </c>
      <c r="S16" s="3" t="n">
        <v>80193499.1281741</v>
      </c>
      <c r="T16" s="3" t="n">
        <v>31192768.9763087</v>
      </c>
      <c r="U16" s="3" t="n">
        <v>79803353.7667241</v>
      </c>
      <c r="V16" s="3" t="n">
        <v>44679625.2440259</v>
      </c>
      <c r="W16" s="3" t="n">
        <v>320372525.130363</v>
      </c>
      <c r="X16" s="3" t="n">
        <v>491567352.792323</v>
      </c>
      <c r="Y16" s="3" t="n">
        <v>572875211.619749</v>
      </c>
      <c r="Z16" s="3" t="n">
        <v>1110529859.23402</v>
      </c>
      <c r="AA16" s="3" t="n">
        <v>2060259370.43592</v>
      </c>
      <c r="AB16" s="3" t="n">
        <v>1806219543.74507</v>
      </c>
      <c r="AC16" s="3" t="n">
        <v>981647733.964838</v>
      </c>
      <c r="AD16" s="3" t="n">
        <v>1420602735.84315</v>
      </c>
      <c r="AE16" s="3" t="n">
        <v>2440232868.81004</v>
      </c>
      <c r="AF16" s="3" t="n">
        <v>1220658071.20846</v>
      </c>
      <c r="AG16" s="3" t="n">
        <v>817983469.652526</v>
      </c>
      <c r="AH16" s="3" t="n">
        <v>1047806343.61478</v>
      </c>
      <c r="AI16" s="3" t="n">
        <v>1599003188.07765</v>
      </c>
      <c r="AJ16" s="3" t="n">
        <v>3077995812.66211</v>
      </c>
      <c r="AK16" s="3" t="n">
        <v>4307132636.21876</v>
      </c>
      <c r="AL16" s="3" t="n">
        <v>3718019277.27488</v>
      </c>
      <c r="AM16" s="3" t="n">
        <v>3513921881.04981</v>
      </c>
      <c r="AN16" s="3" t="n">
        <v>2619734702.99118</v>
      </c>
      <c r="AO16" s="3" t="n">
        <v>1739828417.39225</v>
      </c>
      <c r="AP16" s="3" t="n">
        <v>1314907446.91734</v>
      </c>
      <c r="AQ16" s="3" t="n">
        <v>1978305076.68647</v>
      </c>
      <c r="AR16" s="3" t="n">
        <v>1459500299.09431</v>
      </c>
      <c r="AS16" s="3" t="n">
        <v>2253634581.04182</v>
      </c>
      <c r="AT16" s="3" t="n">
        <v>2849814922.21249</v>
      </c>
      <c r="AU16" s="3" t="n">
        <v>1636994353.77064</v>
      </c>
      <c r="AV16" s="3" t="n">
        <v>1982662261.15211</v>
      </c>
      <c r="AW16" s="3" t="n">
        <v>2150703556.5433</v>
      </c>
      <c r="AX16" s="3" t="n">
        <v>3695202889.91438</v>
      </c>
      <c r="AY16" s="3" t="n">
        <v>434740658.996877</v>
      </c>
      <c r="AZ16" s="3"/>
    </row>
    <row r="17">
      <c r="A17" t="str">
        <f>N17</f>
      </c>
      <c r="B17" t="str">
        <f>O17</f>
      </c>
      <c r="M17" t="s">
        <v>52</v>
      </c>
      <c r="N17"/>
      <c r="O17" t="s">
        <v>54</v>
      </c>
      <c r="P17" s="3"/>
      <c r="Q17" s="3" t="n">
        <v>315508.915421289</v>
      </c>
      <c r="R17" s="3" t="n">
        <v>6487282.15867232</v>
      </c>
      <c r="S17" s="3" t="n">
        <v>30383304.844147</v>
      </c>
      <c r="T17" s="3" t="n">
        <v>359801930.592656</v>
      </c>
      <c r="U17" s="3" t="n">
        <v>179276175.719386</v>
      </c>
      <c r="V17" s="3" t="n">
        <v>87823080.6439574</v>
      </c>
      <c r="W17" s="3" t="n">
        <v>477299646.23537</v>
      </c>
      <c r="X17" s="3" t="n">
        <v>496339660.855938</v>
      </c>
      <c r="Y17" s="3" t="n">
        <v>954203054.927628</v>
      </c>
      <c r="Z17" s="3" t="n">
        <v>3633804996.22305</v>
      </c>
      <c r="AA17" s="3" t="n">
        <v>3742137785.95845</v>
      </c>
      <c r="AB17" s="3" t="n">
        <v>4201825518.29364</v>
      </c>
      <c r="AC17" s="3" t="n">
        <v>4878323215.9596</v>
      </c>
      <c r="AD17" s="3" t="n">
        <v>5152902063.91845</v>
      </c>
      <c r="AE17" s="3" t="n">
        <v>4893285647.05656</v>
      </c>
      <c r="AF17" s="3" t="n">
        <v>7012380216.64086</v>
      </c>
      <c r="AG17" s="3" t="n">
        <v>6992091549.03302</v>
      </c>
      <c r="AH17" s="3" t="n">
        <v>7520713291.69562</v>
      </c>
      <c r="AI17" s="3" t="n">
        <v>8439976022.03691</v>
      </c>
      <c r="AJ17" s="3" t="n">
        <v>6359649959.23266</v>
      </c>
      <c r="AK17" s="3" t="n">
        <v>5221542664.33225</v>
      </c>
      <c r="AL17" s="3" t="n">
        <v>3482109175.85944</v>
      </c>
      <c r="AM17" s="3" t="n">
        <v>2905237420.9726</v>
      </c>
      <c r="AN17" s="3" t="n">
        <v>2529831909.57283</v>
      </c>
      <c r="AO17" s="3" t="n">
        <v>2503359163.4438</v>
      </c>
      <c r="AP17" s="3" t="n">
        <v>2311657328.43993</v>
      </c>
      <c r="AQ17" s="3" t="n">
        <v>2276221125.53809</v>
      </c>
      <c r="AR17" s="3" t="n">
        <v>2595593294.30082</v>
      </c>
      <c r="AS17" s="3" t="n">
        <v>2207354935.18288</v>
      </c>
      <c r="AT17" s="3" t="n">
        <v>2231994004.77356</v>
      </c>
      <c r="AU17" s="3" t="n">
        <v>542966084.090445</v>
      </c>
      <c r="AV17" s="3" t="n">
        <v>618529731.631264</v>
      </c>
      <c r="AW17" s="3" t="n">
        <v>635989140.9293</v>
      </c>
      <c r="AX17" s="3" t="n">
        <v>713059160.51597</v>
      </c>
      <c r="AY17" s="3" t="n">
        <v>383606929.640177</v>
      </c>
      <c r="AZ17" s="3"/>
    </row>
    <row r="18">
      <c r="A18" t="str">
        <f>N18</f>
      </c>
      <c r="B18" t="str">
        <f>O18</f>
      </c>
      <c r="M18" t="s">
        <v>53</v>
      </c>
      <c r="N18"/>
      <c r="O18" t="s">
        <v>50</v>
      </c>
      <c r="P18" s="3"/>
      <c r="Q18" s="3"/>
      <c r="R18" s="3"/>
      <c r="S18" s="3"/>
      <c r="T18" s="3" t="n">
        <v>353934.076171911</v>
      </c>
      <c r="U18" s="3"/>
      <c r="V18" s="3"/>
      <c r="W18" s="3" t="n">
        <v>0</v>
      </c>
      <c r="X18" s="3" t="n">
        <v>295358.668042767</v>
      </c>
      <c r="Y18" s="3" t="n">
        <v>85793.9468148784</v>
      </c>
      <c r="Z18" s="3" t="n">
        <v>85517067.3117768</v>
      </c>
      <c r="AA18" s="3" t="n">
        <v>72961611.5537934</v>
      </c>
      <c r="AB18" s="3" t="n">
        <v>61511984.4234414</v>
      </c>
      <c r="AC18" s="3" t="n">
        <v>20913016.8485853</v>
      </c>
      <c r="AD18" s="3" t="n">
        <v>1263931.38385093</v>
      </c>
      <c r="AE18" s="3" t="n">
        <v>111656491.793453</v>
      </c>
      <c r="AF18" s="3" t="n">
        <v>5190744.88565834</v>
      </c>
      <c r="AG18" s="3" t="n">
        <v>-165859.179232467</v>
      </c>
      <c r="AH18" s="3" t="n">
        <v>-253061.609498761</v>
      </c>
      <c r="AI18" s="3" t="n">
        <v>-1064645.22261564</v>
      </c>
      <c r="AJ18" s="3" t="n">
        <v>2716537.99309442</v>
      </c>
      <c r="AK18" s="3" t="n">
        <v>4254637.48360472</v>
      </c>
      <c r="AL18" s="3" t="n">
        <v>-50209.221807118</v>
      </c>
      <c r="AM18" s="3" t="n">
        <v>-392577.853598742</v>
      </c>
      <c r="AN18" s="3"/>
      <c r="AO18" s="3" t="n">
        <v>0</v>
      </c>
      <c r="AP18" s="3" t="n">
        <v>68773.5114932033</v>
      </c>
      <c r="AQ18" s="3" t="n">
        <v>0</v>
      </c>
      <c r="AR18" s="3" t="n">
        <v>12123406.7655756</v>
      </c>
      <c r="AS18" s="3" t="n">
        <v>389718008.23975</v>
      </c>
      <c r="AT18" s="3" t="n">
        <v>346892450.168068</v>
      </c>
      <c r="AU18" s="3" t="n">
        <v>268809801.220272</v>
      </c>
      <c r="AV18" s="3" t="n">
        <v>316765899.725735</v>
      </c>
      <c r="AW18" s="3" t="n">
        <v>97727424.29</v>
      </c>
      <c r="AX18" s="3" t="n">
        <v>121466417.082979</v>
      </c>
      <c r="AY18" s="3" t="n">
        <v>46176782.6393998</v>
      </c>
      <c r="AZ18" s="3"/>
    </row>
    <row r="19">
      <c r="A19" t="str">
        <f>N19</f>
      </c>
      <c r="B19" t="str">
        <f>O19</f>
      </c>
      <c r="M19" t="s">
        <v>55</v>
      </c>
      <c r="N19"/>
      <c r="O19" t="s">
        <v>51</v>
      </c>
      <c r="P19" s="3"/>
      <c r="Q19" s="3"/>
      <c r="R19" s="3"/>
      <c r="S19" s="3"/>
      <c r="T19" s="3"/>
      <c r="U19" s="3"/>
      <c r="V19" s="3"/>
      <c r="W19" s="3" t="n">
        <v>5550140.63074443</v>
      </c>
      <c r="X19" s="3" t="n">
        <v>13815476.4060694</v>
      </c>
      <c r="Y19" s="3" t="n">
        <v>11238088.8906154</v>
      </c>
      <c r="Z19" s="3" t="n">
        <v>12158472.9248446</v>
      </c>
      <c r="AA19" s="3" t="n">
        <v>19679203.913856</v>
      </c>
      <c r="AB19" s="3" t="n">
        <v>7905414.15258056</v>
      </c>
      <c r="AC19" s="3" t="n">
        <v>27783024.1663639</v>
      </c>
      <c r="AD19" s="3" t="n">
        <v>55065560.3192383</v>
      </c>
      <c r="AE19" s="3" t="n">
        <v>63803907.2205275</v>
      </c>
      <c r="AF19" s="3" t="n">
        <v>76666144.2092005</v>
      </c>
      <c r="AG19" s="3" t="n">
        <v>63633817.5153568</v>
      </c>
      <c r="AH19" s="3" t="n">
        <v>66247544.1715794</v>
      </c>
      <c r="AI19" s="3" t="n">
        <v>43326603.5289763</v>
      </c>
      <c r="AJ19" s="3" t="n">
        <v>81336078.8187587</v>
      </c>
      <c r="AK19" s="3" t="n">
        <v>50113004.5379749</v>
      </c>
      <c r="AL19" s="3" t="n">
        <v>60861830.9605124</v>
      </c>
      <c r="AM19" s="3" t="n">
        <v>62213545.0497752</v>
      </c>
      <c r="AN19" s="3" t="n">
        <v>47827927.8711682</v>
      </c>
      <c r="AO19" s="3" t="n">
        <v>89098800.0672901</v>
      </c>
      <c r="AP19" s="3" t="n">
        <v>111601304.355066</v>
      </c>
      <c r="AQ19" s="3" t="n">
        <v>112093690.679847</v>
      </c>
      <c r="AR19" s="3" t="n">
        <v>64424375.498144</v>
      </c>
      <c r="AS19" s="3" t="n">
        <v>57568733.305475</v>
      </c>
      <c r="AT19" s="3" t="n">
        <v>61135629.3470409</v>
      </c>
      <c r="AU19" s="3" t="n">
        <v>-782181.566967231</v>
      </c>
      <c r="AV19" s="3" t="n">
        <v>4018441.17440321</v>
      </c>
      <c r="AW19" s="3" t="n">
        <v>2678375.845</v>
      </c>
      <c r="AX19" s="3" t="n">
        <v>1652413.66060875</v>
      </c>
      <c r="AY19" s="3" t="n">
        <v>659340.394678729</v>
      </c>
      <c r="AZ19" s="3"/>
    </row>
    <row r="20">
      <c r="A20" t="str">
        <f>N20</f>
      </c>
      <c r="B20" t="str">
        <f>O20</f>
      </c>
      <c r="M20" t="s">
        <v>57</v>
      </c>
      <c r="N20"/>
      <c r="O20" t="s">
        <v>56</v>
      </c>
      <c r="P20" s="3"/>
      <c r="Q20" s="3"/>
      <c r="R20" s="3" t="n">
        <v>2805311.20375019</v>
      </c>
      <c r="S20" s="3"/>
      <c r="T20" s="3"/>
      <c r="U20" s="3"/>
      <c r="V20" s="3"/>
      <c r="W20" s="3" t="n">
        <v>3606333.76705214</v>
      </c>
      <c r="X20" s="3" t="n">
        <v>973281.519569893</v>
      </c>
      <c r="Y20" s="3" t="n">
        <v>53797968.558873</v>
      </c>
      <c r="Z20" s="3" t="n">
        <v>257680252.767378</v>
      </c>
      <c r="AA20" s="3" t="n">
        <v>776404858.770082</v>
      </c>
      <c r="AB20" s="3" t="n">
        <v>925260501.323036</v>
      </c>
      <c r="AC20" s="3" t="n">
        <v>1355122197.27839</v>
      </c>
      <c r="AD20" s="3" t="n">
        <v>1713753412.2295</v>
      </c>
      <c r="AE20" s="3" t="n">
        <v>1525177047.91283</v>
      </c>
      <c r="AF20" s="3" t="n">
        <v>2168617855.69723</v>
      </c>
      <c r="AG20" s="3" t="n">
        <v>2074522066.62873</v>
      </c>
      <c r="AH20" s="3" t="n">
        <v>2555099034.24946</v>
      </c>
      <c r="AI20" s="3" t="n">
        <v>1363899950.51874</v>
      </c>
      <c r="AJ20" s="3" t="n">
        <v>679539867.05567</v>
      </c>
      <c r="AK20" s="3" t="n">
        <v>1040005587.86901</v>
      </c>
      <c r="AL20" s="3" t="n">
        <v>2607224886.66124</v>
      </c>
      <c r="AM20" s="3" t="n">
        <v>161019215.670347</v>
      </c>
      <c r="AN20" s="3" t="n">
        <v>622815432.707335</v>
      </c>
      <c r="AO20" s="3" t="n">
        <v>528901725.174169</v>
      </c>
      <c r="AP20" s="3" t="n">
        <v>1229982805.88476</v>
      </c>
      <c r="AQ20" s="3" t="n">
        <v>716580792.356663</v>
      </c>
      <c r="AR20" s="3" t="n">
        <v>608869167.834074</v>
      </c>
      <c r="AS20" s="3" t="n">
        <v>1023005023.8799</v>
      </c>
      <c r="AT20" s="3" t="n">
        <v>542749947.347634</v>
      </c>
      <c r="AU20" s="3" t="n">
        <v>9987403.7634134</v>
      </c>
      <c r="AV20" s="3" t="n">
        <v>6598896.33703078</v>
      </c>
      <c r="AW20" s="3" t="n">
        <v>2397211</v>
      </c>
      <c r="AX20" s="3" t="n">
        <v>24507315.4867</v>
      </c>
      <c r="AY20" s="3" t="n">
        <v>0</v>
      </c>
      <c r="AZ20" s="3"/>
    </row>
    <row r="21">
      <c r="A21" t="str">
        <f>N21</f>
      </c>
      <c r="B21" t="str">
        <f>O21</f>
      </c>
      <c r="M21" t="s">
        <v>57</v>
      </c>
      <c r="N21"/>
      <c r="O21"/>
      <c r="P21" s="3" t="n">
        <v>10567510130.931</v>
      </c>
      <c r="Q21" s="3" t="n">
        <v>9057983393.77532</v>
      </c>
      <c r="R21" s="3" t="n">
        <v>6247770935.75796</v>
      </c>
      <c r="S21" s="3" t="n">
        <v>7187332872.43168</v>
      </c>
      <c r="T21" s="3" t="n">
        <v>6901021014.86558</v>
      </c>
      <c r="U21" s="3" t="n">
        <v>6291954815.57422</v>
      </c>
      <c r="V21" s="3" t="n">
        <v>5281950174.42063</v>
      </c>
      <c r="W21" s="3" t="n">
        <v>5594330707.86078</v>
      </c>
      <c r="X21" s="3" t="n">
        <v>6170358306.87992</v>
      </c>
      <c r="Y21" s="3" t="n">
        <v>6024887088.59656</v>
      </c>
      <c r="Z21" s="3" t="n">
        <v>12128445.4869012</v>
      </c>
      <c r="AA21" s="3" t="n">
        <v>8004550.25485826</v>
      </c>
      <c r="AB21" s="3" t="n">
        <v>14014300.1659997</v>
      </c>
      <c r="AC21" s="3" t="n">
        <v>3297042.67865436</v>
      </c>
      <c r="AD21" s="3" t="n">
        <v>6028827.89147481</v>
      </c>
      <c r="AE21" s="3" t="n">
        <v>8157557.94054731</v>
      </c>
      <c r="AF21" s="3" t="n">
        <v>2844359.01888249</v>
      </c>
      <c r="AG21" s="3" t="n">
        <v>1518198.55011987</v>
      </c>
      <c r="AH21" s="3" t="n">
        <v>29875398.6943373</v>
      </c>
      <c r="AI21" s="3" t="n">
        <v>27838301.635876</v>
      </c>
      <c r="AJ21" s="3" t="n">
        <v>33144.563993204</v>
      </c>
      <c r="AK21" s="3" t="n">
        <v>-107885.620457965</v>
      </c>
      <c r="AL21" s="3" t="n">
        <v>-204917.075276245</v>
      </c>
      <c r="AM21" s="3" t="n">
        <v>0</v>
      </c>
      <c r="AN21" s="3" t="n">
        <v>3460714.84057997</v>
      </c>
      <c r="AO21" s="3" t="n">
        <v>-2227.89011066411</v>
      </c>
      <c r="AP21" s="3" t="n">
        <v>3593375.34786443</v>
      </c>
      <c r="AQ21" s="3" t="n">
        <v>-67755.6884964859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146</v>
      </c>
      <c r="AY1" t="s">
        <v>147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146161000</v>
      </c>
      <c r="Q2" s="4" t="n">
        <v>155034000</v>
      </c>
      <c r="R2" s="4" t="n">
        <v>54014000</v>
      </c>
      <c r="S2" s="4" t="n">
        <v>61145000</v>
      </c>
      <c r="T2" s="4" t="n">
        <v>227723000</v>
      </c>
      <c r="U2" s="4" t="n">
        <v>180833000</v>
      </c>
      <c r="V2" s="4" t="n">
        <v>98010000</v>
      </c>
      <c r="W2" s="4" t="n">
        <v>2174256568</v>
      </c>
      <c r="X2" s="4" t="n">
        <v>586215222</v>
      </c>
      <c r="Y2" s="4" t="n">
        <v>827188281</v>
      </c>
      <c r="Z2" s="4" t="n">
        <v>2929244709</v>
      </c>
      <c r="AA2" s="4" t="n">
        <v>3593094023</v>
      </c>
      <c r="AB2" s="4" t="n">
        <v>4246686735.64</v>
      </c>
      <c r="AC2" s="4" t="n">
        <v>4748712477.71</v>
      </c>
      <c r="AD2" s="4" t="n">
        <v>5371395489.22</v>
      </c>
      <c r="AE2" s="4" t="n">
        <v>5785723606.15</v>
      </c>
      <c r="AF2" s="4" t="n">
        <v>7380482191.94</v>
      </c>
      <c r="AG2" s="4" t="n">
        <v>7551341401.82</v>
      </c>
      <c r="AH2" s="4" t="n">
        <v>8654047870.41</v>
      </c>
      <c r="AI2" s="4" t="n">
        <v>9613301540.6</v>
      </c>
      <c r="AJ2" s="4" t="n">
        <v>8187094151.1456</v>
      </c>
      <c r="AK2" s="4" t="n">
        <v>9708516553.0017</v>
      </c>
      <c r="AL2" s="4" t="n">
        <v>9479517076.3262</v>
      </c>
      <c r="AM2" s="4" t="n">
        <v>7023508896.28</v>
      </c>
      <c r="AN2" s="4" t="n">
        <v>7666227374.0876</v>
      </c>
      <c r="AO2" s="4" t="n">
        <v>5622559130.2197</v>
      </c>
      <c r="AP2" s="4" t="n">
        <v>5664429347.2168</v>
      </c>
      <c r="AQ2" s="4" t="n">
        <v>5601672367.335</v>
      </c>
      <c r="AR2" s="4" t="n">
        <v>5328483089.25</v>
      </c>
      <c r="AS2" s="4" t="n">
        <v>6462278914.15</v>
      </c>
      <c r="AT2" s="4" t="n">
        <v>5967795072.31</v>
      </c>
      <c r="AU2" s="4" t="n">
        <v>2660782693.18</v>
      </c>
      <c r="AV2" s="4" t="n">
        <v>3134292153.39</v>
      </c>
      <c r="AW2" s="4" t="n">
        <v>3194372041.98</v>
      </c>
      <c r="AX2" s="4" t="n">
        <v>2588657842.81</v>
      </c>
      <c r="AY2" s="4" t="n">
        <v>1144262610.82</v>
      </c>
      <c r="AZ2" s="4"/>
    </row>
    <row r="3">
      <c r="A3" t="str">
        <f>N3</f>
      </c>
      <c r="B3" t="str">
        <f>O3</f>
      </c>
      <c r="N3" t="s">
        <v>61</v>
      </c>
      <c r="O3" t="s">
        <v>63</v>
      </c>
      <c r="P3" s="4"/>
      <c r="Q3" s="4" t="n">
        <v>-284000</v>
      </c>
      <c r="R3" s="4" t="n">
        <v>1622000</v>
      </c>
      <c r="S3" s="4" t="n">
        <v>4764000</v>
      </c>
      <c r="T3" s="4"/>
      <c r="U3" s="4" t="n">
        <v>-369000</v>
      </c>
      <c r="V3" s="4" t="n">
        <v>163000</v>
      </c>
      <c r="W3" s="4" t="n">
        <v>295588</v>
      </c>
      <c r="X3" s="4" t="n">
        <v>449843</v>
      </c>
      <c r="Y3" s="4" t="n">
        <v>1133898</v>
      </c>
      <c r="Z3" s="4" t="n">
        <v>2746911</v>
      </c>
      <c r="AA3" s="4" t="n">
        <v>3941884</v>
      </c>
      <c r="AB3" s="4" t="n">
        <v>3749025</v>
      </c>
      <c r="AC3" s="4" t="n">
        <v>16809462</v>
      </c>
      <c r="AD3" s="4" t="n">
        <v>16266497</v>
      </c>
      <c r="AE3" s="4" t="n">
        <v>16471041</v>
      </c>
      <c r="AF3" s="4" t="n">
        <v>11620145</v>
      </c>
      <c r="AG3" s="4" t="n">
        <v>13220806.78</v>
      </c>
      <c r="AH3" s="4" t="n">
        <v>14159994.04</v>
      </c>
      <c r="AI3" s="4" t="n">
        <v>14903232.19</v>
      </c>
      <c r="AJ3" s="4" t="n">
        <v>18135284.5837</v>
      </c>
      <c r="AK3" s="4" t="n">
        <v>15028409.0642</v>
      </c>
      <c r="AL3" s="4" t="n">
        <v>30299449.7448</v>
      </c>
      <c r="AM3" s="4" t="n">
        <v>25531725.7</v>
      </c>
      <c r="AN3" s="4" t="n">
        <v>34552124.64</v>
      </c>
      <c r="AO3" s="4" t="n">
        <v>21511607.58</v>
      </c>
      <c r="AP3" s="4" t="n">
        <v>20119128.4358</v>
      </c>
      <c r="AQ3" s="4" t="n">
        <v>19009075.8597</v>
      </c>
      <c r="AR3" s="4" t="n">
        <v>8026539.13</v>
      </c>
      <c r="AS3" s="4" t="n">
        <v>22724990.49</v>
      </c>
      <c r="AT3" s="4" t="n">
        <v>1540197.4</v>
      </c>
      <c r="AU3" s="4" t="n">
        <v>1416485.91</v>
      </c>
      <c r="AV3" s="4" t="n">
        <v>1238514.38</v>
      </c>
      <c r="AW3" s="4" t="n">
        <v>2728083.78</v>
      </c>
      <c r="AX3" s="4" t="n">
        <v>3037684</v>
      </c>
      <c r="AY3" s="4" t="n">
        <v>137306</v>
      </c>
      <c r="AZ3" s="4"/>
    </row>
    <row r="4">
      <c r="A4" t="str">
        <f>N4</f>
      </c>
      <c r="B4" t="str">
        <f>O4</f>
      </c>
      <c r="N4" t="s">
        <v>64</v>
      </c>
      <c r="O4" t="s">
        <v>65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 t="n">
        <v>-8990</v>
      </c>
      <c r="AF4" s="4"/>
      <c r="AG4" s="4"/>
      <c r="AH4" s="4"/>
      <c r="AI4" s="4"/>
      <c r="AJ4" s="4" t="n">
        <v>0</v>
      </c>
      <c r="AK4" s="4"/>
      <c r="AL4" s="4" t="n">
        <v>3801.12</v>
      </c>
      <c r="AM4" s="4" t="n">
        <v>631424.1</v>
      </c>
      <c r="AN4" s="4" t="n">
        <v>18016.7902</v>
      </c>
      <c r="AO4" s="4" t="n">
        <v>936877.2</v>
      </c>
      <c r="AP4" s="4" t="n">
        <v>13076623.2109</v>
      </c>
      <c r="AQ4" s="4" t="n">
        <v>3171330.6616</v>
      </c>
      <c r="AR4" s="4" t="n">
        <v>1557946.2404</v>
      </c>
      <c r="AS4" s="4" t="n">
        <v>7339874.5</v>
      </c>
      <c r="AT4" s="4" t="n">
        <v>1339871</v>
      </c>
      <c r="AU4" s="4" t="n">
        <v>245418</v>
      </c>
      <c r="AV4" s="4" t="n">
        <v>3697414.52</v>
      </c>
      <c r="AW4" s="4" t="n">
        <v>6565850.625</v>
      </c>
      <c r="AX4" s="4" t="n">
        <v>6811893.33</v>
      </c>
      <c r="AY4" s="4" t="n">
        <v>62415</v>
      </c>
      <c r="AZ4" s="4"/>
    </row>
    <row r="5">
      <c r="A5" t="str">
        <f>N5</f>
      </c>
      <c r="B5" t="str">
        <f>O5</f>
      </c>
      <c r="N5" t="s">
        <v>64</v>
      </c>
      <c r="O5" t="s">
        <v>66</v>
      </c>
      <c r="P5" s="4"/>
      <c r="Q5" s="4"/>
      <c r="R5" s="4"/>
      <c r="S5" s="4"/>
      <c r="T5" s="4"/>
      <c r="U5" s="4"/>
      <c r="V5" s="4"/>
      <c r="W5" s="4"/>
      <c r="X5" s="4"/>
      <c r="Y5" s="4" t="n">
        <v>452242</v>
      </c>
      <c r="Z5" s="4" t="n">
        <v>5387765</v>
      </c>
      <c r="AA5" s="4" t="n">
        <v>3484273</v>
      </c>
      <c r="AB5" s="4" t="n">
        <v>13430151</v>
      </c>
      <c r="AC5" s="4" t="n">
        <v>11924872</v>
      </c>
      <c r="AD5" s="4" t="n">
        <v>27711504</v>
      </c>
      <c r="AE5" s="4" t="n">
        <v>29715201</v>
      </c>
      <c r="AF5" s="4" t="n">
        <v>23051849</v>
      </c>
      <c r="AG5" s="4" t="n">
        <v>28381830.2364</v>
      </c>
      <c r="AH5" s="4" t="n">
        <v>48133935.8389</v>
      </c>
      <c r="AI5" s="4" t="n">
        <v>25681037.0773</v>
      </c>
      <c r="AJ5" s="4" t="n">
        <v>45161554.1091</v>
      </c>
      <c r="AK5" s="4" t="n">
        <v>18708592.6554</v>
      </c>
      <c r="AL5" s="4" t="n">
        <v>18721760.7503</v>
      </c>
      <c r="AM5" s="4" t="n">
        <v>22354229.1009</v>
      </c>
      <c r="AN5" s="4" t="n">
        <v>903081.3687</v>
      </c>
      <c r="AO5" s="4" t="n">
        <v>-171183.4481</v>
      </c>
      <c r="AP5" s="4" t="n">
        <v>-219671.1015</v>
      </c>
      <c r="AQ5" s="4" t="n">
        <v>-344970.4034</v>
      </c>
      <c r="AR5" s="4" t="n">
        <v>-77013.6016</v>
      </c>
      <c r="AS5" s="4" t="n">
        <v>1495616.3311</v>
      </c>
      <c r="AT5" s="4" t="n">
        <v>4762040.8001</v>
      </c>
      <c r="AU5" s="4"/>
      <c r="AV5" s="4"/>
      <c r="AW5" s="4" t="n">
        <v>0</v>
      </c>
      <c r="AX5" s="4" t="n">
        <v>-42858.8</v>
      </c>
      <c r="AY5" s="4"/>
      <c r="AZ5" s="4"/>
    </row>
    <row r="6">
      <c r="A6" t="str">
        <f>N6</f>
      </c>
      <c r="B6" t="str">
        <f>O6</f>
      </c>
      <c r="N6" t="s">
        <v>64</v>
      </c>
      <c r="O6" t="s">
        <v>67</v>
      </c>
      <c r="P6" s="4"/>
      <c r="Q6" s="4"/>
      <c r="R6" s="4"/>
      <c r="S6" s="4"/>
      <c r="T6" s="4"/>
      <c r="U6" s="4"/>
      <c r="V6" s="4"/>
      <c r="W6" s="4" t="n">
        <v>6474318</v>
      </c>
      <c r="X6" s="4" t="n">
        <v>8253909</v>
      </c>
      <c r="Y6" s="4" t="n">
        <v>19140890</v>
      </c>
      <c r="Z6" s="4" t="n">
        <v>114826157</v>
      </c>
      <c r="AA6" s="4" t="n">
        <v>417793085</v>
      </c>
      <c r="AB6" s="4" t="n">
        <v>10274049</v>
      </c>
      <c r="AC6" s="4" t="n">
        <v>180840769</v>
      </c>
      <c r="AD6" s="4" t="n">
        <v>642827161.9375</v>
      </c>
      <c r="AE6" s="4" t="n">
        <v>472444461</v>
      </c>
      <c r="AF6" s="4" t="n">
        <v>142571387.6797</v>
      </c>
      <c r="AG6" s="4" t="n">
        <v>100777326.2937</v>
      </c>
      <c r="AH6" s="4" t="n">
        <v>196008740.809</v>
      </c>
      <c r="AI6" s="4" t="n">
        <v>335542401.417</v>
      </c>
      <c r="AJ6" s="4" t="n">
        <v>364760431.2007</v>
      </c>
      <c r="AK6" s="4" t="n">
        <v>316707870.6605</v>
      </c>
      <c r="AL6" s="4" t="n">
        <v>269018571.0573</v>
      </c>
      <c r="AM6" s="4" t="n">
        <v>446865176.8734</v>
      </c>
      <c r="AN6" s="4" t="n">
        <v>139835359.545</v>
      </c>
      <c r="AO6" s="4" t="n">
        <v>162124959.532</v>
      </c>
      <c r="AP6" s="4" t="n">
        <v>165592358.392</v>
      </c>
      <c r="AQ6" s="4" t="n">
        <v>187149456.8762</v>
      </c>
      <c r="AR6" s="4" t="n">
        <v>291981928.9384</v>
      </c>
      <c r="AS6" s="4" t="n">
        <v>409219408.2338</v>
      </c>
      <c r="AT6" s="4" t="n">
        <v>473398285.7045</v>
      </c>
      <c r="AU6" s="4" t="n">
        <v>136913607.9734</v>
      </c>
      <c r="AV6" s="4" t="n">
        <v>140460649.3837</v>
      </c>
      <c r="AW6" s="4" t="n">
        <v>136315112.0383</v>
      </c>
      <c r="AX6" s="4" t="n">
        <v>105633019.35</v>
      </c>
      <c r="AY6" s="4" t="n">
        <v>277141908.72</v>
      </c>
      <c r="AZ6" s="4"/>
    </row>
    <row r="7">
      <c r="A7" t="str">
        <f>N7</f>
      </c>
      <c r="B7" t="str">
        <f>O7</f>
      </c>
      <c r="N7" t="s">
        <v>64</v>
      </c>
      <c r="O7" t="s">
        <v>68</v>
      </c>
      <c r="P7" s="4"/>
      <c r="Q7" s="4"/>
      <c r="R7" s="4"/>
      <c r="S7" s="4"/>
      <c r="T7" s="4"/>
      <c r="U7" s="4"/>
      <c r="V7" s="4"/>
      <c r="W7" s="4" t="n">
        <v>10916144</v>
      </c>
      <c r="X7" s="4" t="n">
        <v>14549558</v>
      </c>
      <c r="Y7" s="4" t="n">
        <v>120631242</v>
      </c>
      <c r="Z7" s="4" t="n">
        <v>132875413</v>
      </c>
      <c r="AA7" s="4" t="n">
        <v>130947353</v>
      </c>
      <c r="AB7" s="4" t="n">
        <v>216574576</v>
      </c>
      <c r="AC7" s="4" t="n">
        <v>331066499</v>
      </c>
      <c r="AD7" s="4" t="n">
        <v>220497864</v>
      </c>
      <c r="AE7" s="4" t="n">
        <v>217950512</v>
      </c>
      <c r="AF7" s="4" t="n">
        <v>452759365</v>
      </c>
      <c r="AG7" s="4" t="n">
        <v>516687037.568</v>
      </c>
      <c r="AH7" s="4" t="n">
        <v>665157508.1462</v>
      </c>
      <c r="AI7" s="4" t="n">
        <v>391607301.0968</v>
      </c>
      <c r="AJ7" s="4" t="n">
        <v>588321932.6932</v>
      </c>
      <c r="AK7" s="4" t="n">
        <v>372190223.0874</v>
      </c>
      <c r="AL7" s="4" t="n">
        <v>309754413.0051</v>
      </c>
      <c r="AM7" s="4" t="n">
        <v>216276254.57</v>
      </c>
      <c r="AN7" s="4" t="n">
        <v>163087962.4881</v>
      </c>
      <c r="AO7" s="4" t="n">
        <v>174761835.8814</v>
      </c>
      <c r="AP7" s="4" t="n">
        <v>150854224.8692</v>
      </c>
      <c r="AQ7" s="4" t="n">
        <v>220463113.7037</v>
      </c>
      <c r="AR7" s="4" t="n">
        <v>228497197.2158</v>
      </c>
      <c r="AS7" s="4" t="n">
        <v>309862951.4077</v>
      </c>
      <c r="AT7" s="4" t="n">
        <v>874189038.4866</v>
      </c>
      <c r="AU7" s="4" t="n">
        <v>826989223.8702</v>
      </c>
      <c r="AV7" s="4" t="n">
        <v>1358299503.3081</v>
      </c>
      <c r="AW7" s="4" t="n">
        <v>1791414834.5943</v>
      </c>
      <c r="AX7" s="4" t="n">
        <v>3222834186.4</v>
      </c>
      <c r="AY7" s="4" t="n">
        <v>141313098.96</v>
      </c>
      <c r="AZ7" s="4"/>
    </row>
    <row r="8">
      <c r="A8" t="str">
        <f>N8</f>
      </c>
      <c r="B8" t="str">
        <f>O8</f>
      </c>
      <c r="N8" t="s">
        <v>64</v>
      </c>
      <c r="O8" t="s">
        <v>69</v>
      </c>
      <c r="P8" s="4"/>
      <c r="Q8" s="4"/>
      <c r="R8" s="4"/>
      <c r="S8" s="4"/>
      <c r="T8" s="4"/>
      <c r="U8" s="4"/>
      <c r="V8" s="4"/>
      <c r="W8" s="4" t="n">
        <v>11801</v>
      </c>
      <c r="X8" s="4" t="n">
        <v>200000</v>
      </c>
      <c r="Y8" s="4" t="n">
        <v>-761336</v>
      </c>
      <c r="Z8" s="4" t="n">
        <v>-2328832</v>
      </c>
      <c r="AA8" s="4" t="n">
        <v>5055100</v>
      </c>
      <c r="AB8" s="4" t="n">
        <v>3061000</v>
      </c>
      <c r="AC8" s="4" t="n">
        <v>130068</v>
      </c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5109318000</v>
      </c>
      <c r="Q9" s="4" t="n">
        <v>4536041000</v>
      </c>
      <c r="R9" s="4" t="n">
        <v>3207056007</v>
      </c>
      <c r="S9" s="4" t="n">
        <v>3775896266</v>
      </c>
      <c r="T9" s="4" t="n">
        <v>3704627729</v>
      </c>
      <c r="U9" s="4" t="n">
        <v>3449312820</v>
      </c>
      <c r="V9" s="4" t="n">
        <v>2950138142</v>
      </c>
      <c r="W9" s="4" t="n">
        <v>3180065599</v>
      </c>
      <c r="X9" s="4" t="n">
        <v>3551481726</v>
      </c>
      <c r="Y9" s="4" t="n">
        <v>3510240138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 t="n">
        <v>0</v>
      </c>
      <c r="AX9" s="4"/>
      <c r="AY9" s="4" t="n">
        <v>0</v>
      </c>
      <c r="AZ9" s="4"/>
    </row>
    <row r="10">
      <c r="A10" t="str">
        <f>N10</f>
      </c>
      <c r="B10" t="str">
        <f>O10</f>
      </c>
      <c r="N10" t="s">
        <v>137</v>
      </c>
      <c r="O10" t="s">
        <v>138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146</v>
      </c>
      <c r="AY13" t="s">
        <v>147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302302156.226526</v>
      </c>
      <c r="Q14" s="4" t="n">
        <v>309586134.135596</v>
      </c>
      <c r="R14" s="4" t="n">
        <v>105226443.999558</v>
      </c>
      <c r="S14" s="4" t="n">
        <v>116388120.203945</v>
      </c>
      <c r="T14" s="4" t="n">
        <v>424204892.779453</v>
      </c>
      <c r="U14" s="4" t="n">
        <v>329860793.885529</v>
      </c>
      <c r="V14" s="4" t="n">
        <v>175477862.960007</v>
      </c>
      <c r="W14" s="4" t="n">
        <v>3824924331.42112</v>
      </c>
      <c r="X14" s="4" t="n">
        <v>1018492630.33126</v>
      </c>
      <c r="Y14" s="4" t="n">
        <v>1419582080.85303</v>
      </c>
      <c r="Z14" s="4" t="n">
        <v>4924568261.60197</v>
      </c>
      <c r="AA14" s="4" t="n">
        <v>5897660173.99366</v>
      </c>
      <c r="AB14" s="4" t="n">
        <v>6862497352.1443</v>
      </c>
      <c r="AC14" s="4" t="n">
        <v>7529228884.11174</v>
      </c>
      <c r="AD14" s="4" t="n">
        <v>8313506369.94444</v>
      </c>
      <c r="AE14" s="4" t="n">
        <v>8690331991.93318</v>
      </c>
      <c r="AF14" s="4" t="n">
        <v>10736926001.7799</v>
      </c>
      <c r="AG14" s="4" t="n">
        <v>10691164986.5557</v>
      </c>
      <c r="AH14" s="4" t="n">
        <v>12003177174.337</v>
      </c>
      <c r="AI14" s="4" t="n">
        <v>13198692142.4876</v>
      </c>
      <c r="AJ14" s="4" t="n">
        <v>11144051992.2395</v>
      </c>
      <c r="AK14" s="4" t="n">
        <v>12954947708.6063</v>
      </c>
      <c r="AL14" s="4" t="n">
        <v>12423927957.3819</v>
      </c>
      <c r="AM14" s="4" t="n">
        <v>9041017933.94178</v>
      </c>
      <c r="AN14" s="4" t="n">
        <v>9691553185.30243</v>
      </c>
      <c r="AO14" s="4" t="n">
        <v>7035114729.54614</v>
      </c>
      <c r="AP14" s="4" t="n">
        <v>7031288292.7648</v>
      </c>
      <c r="AQ14" s="4" t="n">
        <v>6837961460.11941</v>
      </c>
      <c r="AR14" s="4" t="n">
        <v>6363215911.59067</v>
      </c>
      <c r="AS14" s="4" t="n">
        <v>7577085653.39078</v>
      </c>
      <c r="AT14" s="4" t="n">
        <v>6907070677.62259</v>
      </c>
      <c r="AU14" s="4" t="n">
        <v>2977101222.3282</v>
      </c>
      <c r="AV14" s="4" t="n">
        <v>3277675346.26092</v>
      </c>
      <c r="AW14" s="4" t="n">
        <v>3194372041.98</v>
      </c>
      <c r="AX14" s="4" t="n">
        <v>2521323410.07638</v>
      </c>
      <c r="AY14" s="4" t="n">
        <v>1090569463.67903</v>
      </c>
      <c r="AZ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/>
      <c r="Q15" s="4" t="n">
        <v>-567117.291010419</v>
      </c>
      <c r="R15" s="4" t="n">
        <v>3159871.36977973</v>
      </c>
      <c r="S15" s="4" t="n">
        <v>9068165.91138432</v>
      </c>
      <c r="T15" s="4"/>
      <c r="U15" s="4" t="n">
        <v>-673099.671762124</v>
      </c>
      <c r="V15" s="4" t="n">
        <v>291836.46222305</v>
      </c>
      <c r="W15" s="4" t="n">
        <v>519994.627090443</v>
      </c>
      <c r="X15" s="4" t="n">
        <v>781558.995931544</v>
      </c>
      <c r="Y15" s="4" t="n">
        <v>1945943.04499714</v>
      </c>
      <c r="Z15" s="4" t="n">
        <v>4618033.68168014</v>
      </c>
      <c r="AA15" s="4" t="n">
        <v>6470159.73656385</v>
      </c>
      <c r="AB15" s="4" t="n">
        <v>6058293.379567</v>
      </c>
      <c r="AC15" s="4" t="n">
        <v>26651916.1585061</v>
      </c>
      <c r="AD15" s="4" t="n">
        <v>25176255.7230392</v>
      </c>
      <c r="AE15" s="4" t="n">
        <v>24740002.1650865</v>
      </c>
      <c r="AF15" s="4" t="n">
        <v>16904672.8588011</v>
      </c>
      <c r="AG15" s="4" t="n">
        <v>18717975.9223027</v>
      </c>
      <c r="AH15" s="4" t="n">
        <v>19639932.6413274</v>
      </c>
      <c r="AI15" s="4" t="n">
        <v>20461562.843221</v>
      </c>
      <c r="AJ15" s="4" t="n">
        <v>24685260.7975118</v>
      </c>
      <c r="AK15" s="4" t="n">
        <v>20053759.243997</v>
      </c>
      <c r="AL15" s="4" t="n">
        <v>39710691.7732984</v>
      </c>
      <c r="AM15" s="4" t="n">
        <v>32865736.1081215</v>
      </c>
      <c r="AN15" s="4" t="n">
        <v>43680383.749851</v>
      </c>
      <c r="AO15" s="4" t="n">
        <v>26915969.0164719</v>
      </c>
      <c r="AP15" s="4" t="n">
        <v>24973988.2978291</v>
      </c>
      <c r="AQ15" s="4" t="n">
        <v>23204378.9063933</v>
      </c>
      <c r="AR15" s="4" t="n">
        <v>9585204.76682418</v>
      </c>
      <c r="AS15" s="4" t="n">
        <v>26645275.096095</v>
      </c>
      <c r="AT15" s="4" t="n">
        <v>1782610.18858557</v>
      </c>
      <c r="AU15" s="4" t="n">
        <v>1584880.24778594</v>
      </c>
      <c r="AV15" s="4" t="n">
        <v>1295172.19539506</v>
      </c>
      <c r="AW15" s="4" t="n">
        <v>2728083.78</v>
      </c>
      <c r="AX15" s="4" t="n">
        <v>2958669.79982978</v>
      </c>
      <c r="AY15" s="4" t="n">
        <v>130863.081047982</v>
      </c>
      <c r="AZ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 t="n">
        <v>-13503.2521298519</v>
      </c>
      <c r="AF16" s="4"/>
      <c r="AG16" s="4"/>
      <c r="AH16" s="4"/>
      <c r="AI16" s="4"/>
      <c r="AJ16" s="4" t="n">
        <v>0</v>
      </c>
      <c r="AK16" s="4"/>
      <c r="AL16" s="4" t="n">
        <v>4981.7770944578</v>
      </c>
      <c r="AM16" s="4" t="n">
        <v>812801.221772022</v>
      </c>
      <c r="AN16" s="4" t="n">
        <v>22776.6112236551</v>
      </c>
      <c r="AO16" s="4" t="n">
        <v>1172248.87046024</v>
      </c>
      <c r="AP16" s="4" t="n">
        <v>16232086.597898</v>
      </c>
      <c r="AQ16" s="4" t="n">
        <v>3871243.33935879</v>
      </c>
      <c r="AR16" s="4" t="n">
        <v>1860482.26864346</v>
      </c>
      <c r="AS16" s="4" t="n">
        <v>8606075.11846368</v>
      </c>
      <c r="AT16" s="4" t="n">
        <v>1550754.27084238</v>
      </c>
      <c r="AU16" s="4" t="n">
        <v>274593.723739286</v>
      </c>
      <c r="AV16" s="4" t="n">
        <v>3866558.64355322</v>
      </c>
      <c r="AW16" s="4" t="n">
        <v>6565850.625</v>
      </c>
      <c r="AX16" s="4" t="n">
        <v>6634706.926439</v>
      </c>
      <c r="AY16" s="4" t="n">
        <v>59486.2511733631</v>
      </c>
      <c r="AZ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/>
      <c r="Q17" s="4"/>
      <c r="R17" s="4"/>
      <c r="S17" s="4"/>
      <c r="T17" s="4"/>
      <c r="U17" s="4"/>
      <c r="V17" s="4"/>
      <c r="W17" s="4"/>
      <c r="X17" s="4"/>
      <c r="Y17" s="4" t="n">
        <v>776116.700581178</v>
      </c>
      <c r="Z17" s="4" t="n">
        <v>9057767.15699103</v>
      </c>
      <c r="AA17" s="4" t="n">
        <v>5719042.69019497</v>
      </c>
      <c r="AB17" s="4" t="n">
        <v>21702654.6608478</v>
      </c>
      <c r="AC17" s="4" t="n">
        <v>18907249.3066653</v>
      </c>
      <c r="AD17" s="4" t="n">
        <v>42890114.0284859</v>
      </c>
      <c r="AE17" s="4" t="n">
        <v>44633131.3895692</v>
      </c>
      <c r="AF17" s="4" t="n">
        <v>33535206.8442762</v>
      </c>
      <c r="AG17" s="4" t="n">
        <v>40182904.4048565</v>
      </c>
      <c r="AH17" s="4" t="n">
        <v>66761840.0804053</v>
      </c>
      <c r="AI17" s="4" t="n">
        <v>35259073.1552082</v>
      </c>
      <c r="AJ17" s="4" t="n">
        <v>61472690.7680333</v>
      </c>
      <c r="AK17" s="4" t="n">
        <v>24964559.5420431</v>
      </c>
      <c r="AL17" s="4" t="n">
        <v>24536883.5695173</v>
      </c>
      <c r="AM17" s="4" t="n">
        <v>28775500.8479772</v>
      </c>
      <c r="AN17" s="4" t="n">
        <v>1141664.69220507</v>
      </c>
      <c r="AO17" s="4" t="n">
        <v>-214189.867868184</v>
      </c>
      <c r="AP17" s="4" t="n">
        <v>-272678.984864489</v>
      </c>
      <c r="AQ17" s="4" t="n">
        <v>-421105.371511274</v>
      </c>
      <c r="AR17" s="4" t="n">
        <v>-91968.7961661527</v>
      </c>
      <c r="AS17" s="4" t="n">
        <v>1753624.87381053</v>
      </c>
      <c r="AT17" s="4" t="n">
        <v>5511541.86386656</v>
      </c>
      <c r="AU17" s="4"/>
      <c r="AV17" s="4"/>
      <c r="AW17" s="4" t="n">
        <v>0</v>
      </c>
      <c r="AX17" s="4" t="n">
        <v>-41743.9856209351</v>
      </c>
      <c r="AY17" s="4"/>
      <c r="AZ17" s="4"/>
    </row>
    <row r="18">
      <c r="A18" t="str">
        <f>N18</f>
      </c>
      <c r="B18" t="str">
        <f>O18</f>
      </c>
      <c r="N18" t="s">
        <v>64</v>
      </c>
      <c r="O18" t="s">
        <v>67</v>
      </c>
      <c r="P18" s="4"/>
      <c r="Q18" s="4"/>
      <c r="R18" s="4"/>
      <c r="S18" s="4"/>
      <c r="T18" s="4"/>
      <c r="U18" s="4"/>
      <c r="V18" s="4"/>
      <c r="W18" s="4" t="n">
        <v>11389537.3766017</v>
      </c>
      <c r="X18" s="4" t="n">
        <v>14340373.9316836</v>
      </c>
      <c r="Y18" s="4" t="n">
        <v>32848705.7659113</v>
      </c>
      <c r="Z18" s="4" t="n">
        <v>193042679.782451</v>
      </c>
      <c r="AA18" s="4" t="n">
        <v>685760412.224661</v>
      </c>
      <c r="AB18" s="4" t="n">
        <v>16602504.1278858</v>
      </c>
      <c r="AC18" s="4" t="n">
        <v>286728570.695943</v>
      </c>
      <c r="AD18" s="4" t="n">
        <v>994927243.072312</v>
      </c>
      <c r="AE18" s="4" t="n">
        <v>709625881.449942</v>
      </c>
      <c r="AF18" s="4" t="n">
        <v>207409001.157097</v>
      </c>
      <c r="AG18" s="4" t="n">
        <v>142680216.001124</v>
      </c>
      <c r="AH18" s="4" t="n">
        <v>271864412.917519</v>
      </c>
      <c r="AI18" s="4" t="n">
        <v>460686772.213488</v>
      </c>
      <c r="AJ18" s="4" t="n">
        <v>496502072.037795</v>
      </c>
      <c r="AK18" s="4" t="n">
        <v>422611825.494829</v>
      </c>
      <c r="AL18" s="4" t="n">
        <v>352577807.403351</v>
      </c>
      <c r="AM18" s="4" t="n">
        <v>575227587.496376</v>
      </c>
      <c r="AN18" s="4" t="n">
        <v>176778193.247568</v>
      </c>
      <c r="AO18" s="4" t="n">
        <v>202855615.106013</v>
      </c>
      <c r="AP18" s="4" t="n">
        <v>205550734.162669</v>
      </c>
      <c r="AQ18" s="4" t="n">
        <v>228453342.052663</v>
      </c>
      <c r="AR18" s="4" t="n">
        <v>348681608.817731</v>
      </c>
      <c r="AS18" s="4" t="n">
        <v>479813785.262042</v>
      </c>
      <c r="AT18" s="4" t="n">
        <v>547906786.075463</v>
      </c>
      <c r="AU18" s="4" t="n">
        <v>153190138.636924</v>
      </c>
      <c r="AV18" s="4" t="n">
        <v>146886245.784972</v>
      </c>
      <c r="AW18" s="4" t="n">
        <v>136315112.0383</v>
      </c>
      <c r="AX18" s="4" t="n">
        <v>102885364.052245</v>
      </c>
      <c r="AY18" s="4" t="n">
        <v>264137357.891263</v>
      </c>
      <c r="AZ18" s="4"/>
    </row>
    <row r="19">
      <c r="A19" t="str">
        <f>N19</f>
      </c>
      <c r="B19" t="str">
        <f>O19</f>
      </c>
      <c r="N19" t="s">
        <v>64</v>
      </c>
      <c r="O19" t="s">
        <v>68</v>
      </c>
      <c r="P19" s="4"/>
      <c r="Q19" s="4"/>
      <c r="R19" s="4"/>
      <c r="S19" s="4"/>
      <c r="T19" s="4"/>
      <c r="U19" s="4"/>
      <c r="V19" s="4"/>
      <c r="W19" s="4" t="n">
        <v>19203540.8357091</v>
      </c>
      <c r="X19" s="4" t="n">
        <v>25278459.2440646</v>
      </c>
      <c r="Y19" s="4" t="n">
        <v>207021730.684124</v>
      </c>
      <c r="Z19" s="4" t="n">
        <v>223386608.703798</v>
      </c>
      <c r="AA19" s="4" t="n">
        <v>214935368.719682</v>
      </c>
      <c r="AB19" s="4" t="n">
        <v>349976945.99618</v>
      </c>
      <c r="AC19" s="4" t="n">
        <v>524916060.623365</v>
      </c>
      <c r="AD19" s="4" t="n">
        <v>341272654.490264</v>
      </c>
      <c r="AE19" s="4" t="n">
        <v>327368266.447865</v>
      </c>
      <c r="AF19" s="4" t="n">
        <v>658662086.323668</v>
      </c>
      <c r="AG19" s="4" t="n">
        <v>731523853.990077</v>
      </c>
      <c r="AH19" s="4" t="n">
        <v>922574445.932786</v>
      </c>
      <c r="AI19" s="4" t="n">
        <v>537661716.539113</v>
      </c>
      <c r="AJ19" s="4" t="n">
        <v>800807964.959148</v>
      </c>
      <c r="AK19" s="4" t="n">
        <v>496646923.495328</v>
      </c>
      <c r="AL19" s="4" t="n">
        <v>405966515.031367</v>
      </c>
      <c r="AM19" s="4" t="n">
        <v>278401796.755577</v>
      </c>
      <c r="AN19" s="4" t="n">
        <v>206173856.475806</v>
      </c>
      <c r="AO19" s="4" t="n">
        <v>218667254.055845</v>
      </c>
      <c r="AP19" s="4" t="n">
        <v>187256205.386</v>
      </c>
      <c r="AQ19" s="4" t="n">
        <v>269119322.949804</v>
      </c>
      <c r="AR19" s="4" t="n">
        <v>272868840.291675</v>
      </c>
      <c r="AS19" s="4" t="n">
        <v>363317361.385883</v>
      </c>
      <c r="AT19" s="4" t="n">
        <v>1011778286.83261</v>
      </c>
      <c r="AU19" s="4" t="n">
        <v>925303158.182285</v>
      </c>
      <c r="AV19" s="4" t="n">
        <v>1420437080.19245</v>
      </c>
      <c r="AW19" s="4" t="n">
        <v>1791414834.5943</v>
      </c>
      <c r="AX19" s="4" t="n">
        <v>3139003983.67989</v>
      </c>
      <c r="AY19" s="4" t="n">
        <v>134682151.707456</v>
      </c>
      <c r="AZ19" s="4"/>
    </row>
    <row r="20">
      <c r="A20" t="str">
        <f>N20</f>
      </c>
      <c r="B20" t="str">
        <f>O20</f>
      </c>
      <c r="N20" t="s">
        <v>64</v>
      </c>
      <c r="O20" t="s">
        <v>69</v>
      </c>
      <c r="P20" s="4"/>
      <c r="Q20" s="4"/>
      <c r="R20" s="4"/>
      <c r="S20" s="4"/>
      <c r="T20" s="4"/>
      <c r="U20" s="4"/>
      <c r="V20" s="4"/>
      <c r="W20" s="4" t="n">
        <v>20760.1681877963</v>
      </c>
      <c r="X20" s="4" t="n">
        <v>347480.785932667</v>
      </c>
      <c r="Y20" s="4" t="n">
        <v>-1306569.45695816</v>
      </c>
      <c r="Z20" s="4" t="n">
        <v>-3915170.39138673</v>
      </c>
      <c r="AA20" s="4" t="n">
        <v>8297378.7367421</v>
      </c>
      <c r="AB20" s="4" t="n">
        <v>4946469.02457428</v>
      </c>
      <c r="AC20" s="4" t="n">
        <v>206226.792440149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10567510130.931</v>
      </c>
      <c r="Q21" s="4" t="n">
        <v>9057983393.77532</v>
      </c>
      <c r="R21" s="4" t="n">
        <v>6247770935.75796</v>
      </c>
      <c r="S21" s="4" t="n">
        <v>7187332872.43168</v>
      </c>
      <c r="T21" s="4" t="n">
        <v>6901021014.86558</v>
      </c>
      <c r="U21" s="4" t="n">
        <v>6291954815.57422</v>
      </c>
      <c r="V21" s="4" t="n">
        <v>5281950174.42063</v>
      </c>
      <c r="W21" s="4" t="n">
        <v>5594330707.86078</v>
      </c>
      <c r="X21" s="4" t="n">
        <v>6170358306.87992</v>
      </c>
      <c r="Y21" s="4" t="n">
        <v>6024110971.89597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 t="n">
        <v>0</v>
      </c>
      <c r="AX21" s="4"/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146</v>
      </c>
      <c r="AX1" t="s">
        <v>147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146161000</v>
      </c>
      <c r="P2" s="5" t="n">
        <v>155034000</v>
      </c>
      <c r="Q2" s="5" t="n">
        <v>54014000</v>
      </c>
      <c r="R2" s="5" t="n">
        <v>61145000</v>
      </c>
      <c r="S2" s="5" t="n">
        <v>227723000</v>
      </c>
      <c r="T2" s="5" t="n">
        <v>180833000</v>
      </c>
      <c r="U2" s="5" t="n">
        <v>98010000</v>
      </c>
      <c r="V2" s="5" t="n">
        <v>2174256568</v>
      </c>
      <c r="W2" s="5" t="n">
        <v>586215222</v>
      </c>
      <c r="X2" s="5" t="n">
        <v>827188281</v>
      </c>
      <c r="Y2" s="5" t="n">
        <v>2929244709</v>
      </c>
      <c r="Z2" s="5" t="n">
        <v>3593094023</v>
      </c>
      <c r="AA2" s="5" t="n">
        <v>4246686735.64</v>
      </c>
      <c r="AB2" s="5" t="n">
        <v>4748712477.71</v>
      </c>
      <c r="AC2" s="5" t="n">
        <v>5371395489.22</v>
      </c>
      <c r="AD2" s="5" t="n">
        <v>5785723606.15</v>
      </c>
      <c r="AE2" s="5" t="n">
        <v>7380482191.94</v>
      </c>
      <c r="AF2" s="5" t="n">
        <v>7551341401.82</v>
      </c>
      <c r="AG2" s="5" t="n">
        <v>8654047870.41</v>
      </c>
      <c r="AH2" s="5" t="n">
        <v>9613301540.6</v>
      </c>
      <c r="AI2" s="5" t="n">
        <v>8187094151.1456</v>
      </c>
      <c r="AJ2" s="5" t="n">
        <v>9708516553.0017</v>
      </c>
      <c r="AK2" s="5" t="n">
        <v>9479517076.3262</v>
      </c>
      <c r="AL2" s="5" t="n">
        <v>7023508896.28</v>
      </c>
      <c r="AM2" s="5" t="n">
        <v>7666227374.0876</v>
      </c>
      <c r="AN2" s="5" t="n">
        <v>5622559130.2197</v>
      </c>
      <c r="AO2" s="5" t="n">
        <v>5664429347.2168</v>
      </c>
      <c r="AP2" s="5" t="n">
        <v>5601672367.335</v>
      </c>
      <c r="AQ2" s="5" t="n">
        <v>5328483089.25</v>
      </c>
      <c r="AR2" s="5" t="n">
        <v>6462278914.15</v>
      </c>
      <c r="AS2" s="5" t="n">
        <v>5967795072.31</v>
      </c>
      <c r="AT2" s="5" t="n">
        <v>2660782693.18</v>
      </c>
      <c r="AU2" s="5" t="n">
        <v>3134292153.39</v>
      </c>
      <c r="AV2" s="5" t="n">
        <v>3194372041.98</v>
      </c>
      <c r="AW2" s="5" t="n">
        <v>2588657842.81</v>
      </c>
      <c r="AX2" s="5" t="n">
        <v>1144262610.82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/>
      <c r="P3" s="5" t="n">
        <v>-284000</v>
      </c>
      <c r="Q3" s="5" t="n">
        <v>1622000</v>
      </c>
      <c r="R3" s="5" t="n">
        <v>4764000</v>
      </c>
      <c r="S3" s="5"/>
      <c r="T3" s="5" t="n">
        <v>-369000</v>
      </c>
      <c r="U3" s="5" t="n">
        <v>163000</v>
      </c>
      <c r="V3" s="5" t="n">
        <v>295588</v>
      </c>
      <c r="W3" s="5" t="n">
        <v>449843</v>
      </c>
      <c r="X3" s="5" t="n">
        <v>1133898</v>
      </c>
      <c r="Y3" s="5" t="n">
        <v>2746911</v>
      </c>
      <c r="Z3" s="5" t="n">
        <v>3941884</v>
      </c>
      <c r="AA3" s="5" t="n">
        <v>3749025</v>
      </c>
      <c r="AB3" s="5" t="n">
        <v>16809462</v>
      </c>
      <c r="AC3" s="5" t="n">
        <v>16266497</v>
      </c>
      <c r="AD3" s="5" t="n">
        <v>16471041</v>
      </c>
      <c r="AE3" s="5" t="n">
        <v>11620145</v>
      </c>
      <c r="AF3" s="5" t="n">
        <v>13220806.78</v>
      </c>
      <c r="AG3" s="5" t="n">
        <v>14159994.04</v>
      </c>
      <c r="AH3" s="5" t="n">
        <v>14903232.19</v>
      </c>
      <c r="AI3" s="5" t="n">
        <v>18135284.5837</v>
      </c>
      <c r="AJ3" s="5" t="n">
        <v>15028409.0642</v>
      </c>
      <c r="AK3" s="5" t="n">
        <v>30299449.7448</v>
      </c>
      <c r="AL3" s="5" t="n">
        <v>25531725.7</v>
      </c>
      <c r="AM3" s="5" t="n">
        <v>34552124.64</v>
      </c>
      <c r="AN3" s="5" t="n">
        <v>21511607.58</v>
      </c>
      <c r="AO3" s="5" t="n">
        <v>20119128.4358</v>
      </c>
      <c r="AP3" s="5" t="n">
        <v>19009075.8597</v>
      </c>
      <c r="AQ3" s="5" t="n">
        <v>8026539.13</v>
      </c>
      <c r="AR3" s="5" t="n">
        <v>22724990.49</v>
      </c>
      <c r="AS3" s="5" t="n">
        <v>1540197.4</v>
      </c>
      <c r="AT3" s="5" t="n">
        <v>1416485.91</v>
      </c>
      <c r="AU3" s="5" t="n">
        <v>1238514.38</v>
      </c>
      <c r="AV3" s="5" t="n">
        <v>2728083.78</v>
      </c>
      <c r="AW3" s="5" t="n">
        <v>3037684</v>
      </c>
      <c r="AX3" s="5" t="n">
        <v>137306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 t="n">
        <v>-8990</v>
      </c>
      <c r="AE4" s="5"/>
      <c r="AF4" s="5"/>
      <c r="AG4" s="5"/>
      <c r="AH4" s="5"/>
      <c r="AI4" s="5" t="n">
        <v>0</v>
      </c>
      <c r="AJ4" s="5"/>
      <c r="AK4" s="5" t="n">
        <v>3801.12</v>
      </c>
      <c r="AL4" s="5" t="n">
        <v>631424.1</v>
      </c>
      <c r="AM4" s="5" t="n">
        <v>18016.7902</v>
      </c>
      <c r="AN4" s="5" t="n">
        <v>936877.2</v>
      </c>
      <c r="AO4" s="5" t="n">
        <v>13076623.2109</v>
      </c>
      <c r="AP4" s="5" t="n">
        <v>3171330.6616</v>
      </c>
      <c r="AQ4" s="5" t="n">
        <v>1557946.2404</v>
      </c>
      <c r="AR4" s="5" t="n">
        <v>7339874.5</v>
      </c>
      <c r="AS4" s="5" t="n">
        <v>1339871</v>
      </c>
      <c r="AT4" s="5" t="n">
        <v>245418</v>
      </c>
      <c r="AU4" s="5" t="n">
        <v>3697414.52</v>
      </c>
      <c r="AV4" s="5" t="n">
        <v>6565850.625</v>
      </c>
      <c r="AW4" s="5" t="n">
        <v>6811893.33</v>
      </c>
      <c r="AX4" s="5" t="n">
        <v>62415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/>
      <c r="P5" s="5"/>
      <c r="Q5" s="5"/>
      <c r="R5" s="5"/>
      <c r="S5" s="5"/>
      <c r="T5" s="5"/>
      <c r="U5" s="5"/>
      <c r="V5" s="5"/>
      <c r="W5" s="5"/>
      <c r="X5" s="5" t="n">
        <v>452242</v>
      </c>
      <c r="Y5" s="5" t="n">
        <v>5387765</v>
      </c>
      <c r="Z5" s="5" t="n">
        <v>3484273</v>
      </c>
      <c r="AA5" s="5" t="n">
        <v>13430151</v>
      </c>
      <c r="AB5" s="5" t="n">
        <v>11924872</v>
      </c>
      <c r="AC5" s="5" t="n">
        <v>27711504</v>
      </c>
      <c r="AD5" s="5" t="n">
        <v>29715201</v>
      </c>
      <c r="AE5" s="5" t="n">
        <v>23051849</v>
      </c>
      <c r="AF5" s="5" t="n">
        <v>28381830.2364</v>
      </c>
      <c r="AG5" s="5" t="n">
        <v>48133935.8389</v>
      </c>
      <c r="AH5" s="5" t="n">
        <v>25681037.0773</v>
      </c>
      <c r="AI5" s="5" t="n">
        <v>45161554.1091</v>
      </c>
      <c r="AJ5" s="5" t="n">
        <v>18708592.6554</v>
      </c>
      <c r="AK5" s="5" t="n">
        <v>18721760.7503</v>
      </c>
      <c r="AL5" s="5" t="n">
        <v>22354229.1009</v>
      </c>
      <c r="AM5" s="5" t="n">
        <v>903081.3687</v>
      </c>
      <c r="AN5" s="5" t="n">
        <v>-171183.4481</v>
      </c>
      <c r="AO5" s="5" t="n">
        <v>-219671.1015</v>
      </c>
      <c r="AP5" s="5" t="n">
        <v>-344970.4034</v>
      </c>
      <c r="AQ5" s="5" t="n">
        <v>-77013.6016</v>
      </c>
      <c r="AR5" s="5" t="n">
        <v>1495616.3311</v>
      </c>
      <c r="AS5" s="5" t="n">
        <v>4762040.8001</v>
      </c>
      <c r="AT5" s="5"/>
      <c r="AU5" s="5"/>
      <c r="AV5" s="5" t="n">
        <v>0</v>
      </c>
      <c r="AW5" s="5" t="n">
        <v>-42858.8</v>
      </c>
      <c r="AX5" s="5"/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/>
      <c r="U6" s="5"/>
      <c r="V6" s="5" t="n">
        <v>6474318</v>
      </c>
      <c r="W6" s="5" t="n">
        <v>8253909</v>
      </c>
      <c r="X6" s="5" t="n">
        <v>19140890</v>
      </c>
      <c r="Y6" s="5" t="n">
        <v>114826157</v>
      </c>
      <c r="Z6" s="5" t="n">
        <v>417793085</v>
      </c>
      <c r="AA6" s="5" t="n">
        <v>10274049</v>
      </c>
      <c r="AB6" s="5" t="n">
        <v>180840769</v>
      </c>
      <c r="AC6" s="5" t="n">
        <v>642827161.9375</v>
      </c>
      <c r="AD6" s="5" t="n">
        <v>472444461</v>
      </c>
      <c r="AE6" s="5" t="n">
        <v>142571387.6797</v>
      </c>
      <c r="AF6" s="5" t="n">
        <v>100777326.2937</v>
      </c>
      <c r="AG6" s="5" t="n">
        <v>196008740.809</v>
      </c>
      <c r="AH6" s="5" t="n">
        <v>335542401.417</v>
      </c>
      <c r="AI6" s="5" t="n">
        <v>364760431.2007</v>
      </c>
      <c r="AJ6" s="5" t="n">
        <v>316707870.6605</v>
      </c>
      <c r="AK6" s="5" t="n">
        <v>269018571.0573</v>
      </c>
      <c r="AL6" s="5" t="n">
        <v>446865176.8734</v>
      </c>
      <c r="AM6" s="5" t="n">
        <v>139835359.545</v>
      </c>
      <c r="AN6" s="5" t="n">
        <v>162124959.532</v>
      </c>
      <c r="AO6" s="5" t="n">
        <v>165592358.392</v>
      </c>
      <c r="AP6" s="5" t="n">
        <v>187149456.8762</v>
      </c>
      <c r="AQ6" s="5" t="n">
        <v>291981928.9384</v>
      </c>
      <c r="AR6" s="5" t="n">
        <v>409219408.2338</v>
      </c>
      <c r="AS6" s="5" t="n">
        <v>473398285.7045</v>
      </c>
      <c r="AT6" s="5" t="n">
        <v>136913607.9734</v>
      </c>
      <c r="AU6" s="5" t="n">
        <v>140460649.3837</v>
      </c>
      <c r="AV6" s="5" t="n">
        <v>136315112.0383</v>
      </c>
      <c r="AW6" s="5" t="n">
        <v>105633019.35</v>
      </c>
      <c r="AX6" s="5" t="n">
        <v>277141908.72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/>
      <c r="P7" s="5"/>
      <c r="Q7" s="5"/>
      <c r="R7" s="5"/>
      <c r="S7" s="5"/>
      <c r="T7" s="5"/>
      <c r="U7" s="5"/>
      <c r="V7" s="5" t="n">
        <v>10916144</v>
      </c>
      <c r="W7" s="5" t="n">
        <v>14549558</v>
      </c>
      <c r="X7" s="5" t="n">
        <v>120631242</v>
      </c>
      <c r="Y7" s="5" t="n">
        <v>132875413</v>
      </c>
      <c r="Z7" s="5" t="n">
        <v>130947353</v>
      </c>
      <c r="AA7" s="5" t="n">
        <v>216574576</v>
      </c>
      <c r="AB7" s="5" t="n">
        <v>331066499</v>
      </c>
      <c r="AC7" s="5" t="n">
        <v>220497864</v>
      </c>
      <c r="AD7" s="5" t="n">
        <v>217950512</v>
      </c>
      <c r="AE7" s="5" t="n">
        <v>452759365</v>
      </c>
      <c r="AF7" s="5" t="n">
        <v>516687037.568</v>
      </c>
      <c r="AG7" s="5" t="n">
        <v>665157508.1462</v>
      </c>
      <c r="AH7" s="5" t="n">
        <v>391607301.0968</v>
      </c>
      <c r="AI7" s="5" t="n">
        <v>588321932.6932</v>
      </c>
      <c r="AJ7" s="5" t="n">
        <v>372190223.0874</v>
      </c>
      <c r="AK7" s="5" t="n">
        <v>309754413.0051</v>
      </c>
      <c r="AL7" s="5" t="n">
        <v>216276254.57</v>
      </c>
      <c r="AM7" s="5" t="n">
        <v>163087962.4881</v>
      </c>
      <c r="AN7" s="5" t="n">
        <v>174761835.8814</v>
      </c>
      <c r="AO7" s="5" t="n">
        <v>150854224.8692</v>
      </c>
      <c r="AP7" s="5" t="n">
        <v>220463113.7037</v>
      </c>
      <c r="AQ7" s="5" t="n">
        <v>228497197.2158</v>
      </c>
      <c r="AR7" s="5" t="n">
        <v>309862951.4077</v>
      </c>
      <c r="AS7" s="5" t="n">
        <v>874189038.4866</v>
      </c>
      <c r="AT7" s="5" t="n">
        <v>826989223.8702</v>
      </c>
      <c r="AU7" s="5" t="n">
        <v>1358299503.3081</v>
      </c>
      <c r="AV7" s="5" t="n">
        <v>1791414834.5943</v>
      </c>
      <c r="AW7" s="5" t="n">
        <v>3222834186.4</v>
      </c>
      <c r="AX7" s="5" t="n">
        <v>141313098.96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/>
      <c r="Q8" s="5"/>
      <c r="R8" s="5"/>
      <c r="S8" s="5"/>
      <c r="T8" s="5"/>
      <c r="U8" s="5"/>
      <c r="V8" s="5" t="n">
        <v>11801</v>
      </c>
      <c r="W8" s="5" t="n">
        <v>200000</v>
      </c>
      <c r="X8" s="5" t="n">
        <v>-761336</v>
      </c>
      <c r="Y8" s="5" t="n">
        <v>-2328832</v>
      </c>
      <c r="Z8" s="5" t="n">
        <v>5055100</v>
      </c>
      <c r="AA8" s="5" t="n">
        <v>3061000</v>
      </c>
      <c r="AB8" s="5" t="n">
        <v>130068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5109318000</v>
      </c>
      <c r="P9" s="5" t="n">
        <v>4536041000</v>
      </c>
      <c r="Q9" s="5" t="n">
        <v>3207056007</v>
      </c>
      <c r="R9" s="5" t="n">
        <v>3775896266</v>
      </c>
      <c r="S9" s="5" t="n">
        <v>3704627729</v>
      </c>
      <c r="T9" s="5" t="n">
        <v>3449312820</v>
      </c>
      <c r="U9" s="5" t="n">
        <v>2950138142</v>
      </c>
      <c r="V9" s="5" t="n">
        <v>3180065599</v>
      </c>
      <c r="W9" s="5" t="n">
        <v>3551481726</v>
      </c>
      <c r="X9" s="5" t="n">
        <v>3510240138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 t="n">
        <v>0</v>
      </c>
      <c r="AW9" s="5"/>
      <c r="AX9" s="5" t="n">
        <v>0</v>
      </c>
      <c r="AY9" s="5"/>
    </row>
    <row r="10">
      <c r="A10" t="str">
        <f>M10</f>
      </c>
      <c r="B10" t="str">
        <f>N10</f>
      </c>
      <c r="M10" t="s">
        <v>137</v>
      </c>
      <c r="N10" t="s">
        <v>138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146</v>
      </c>
      <c r="AX13" t="s">
        <v>147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302302156.226526</v>
      </c>
      <c r="P14" s="5" t="n">
        <v>309586134.135596</v>
      </c>
      <c r="Q14" s="5" t="n">
        <v>105226443.999558</v>
      </c>
      <c r="R14" s="5" t="n">
        <v>116388120.203945</v>
      </c>
      <c r="S14" s="5" t="n">
        <v>424204892.779453</v>
      </c>
      <c r="T14" s="5" t="n">
        <v>329860793.885529</v>
      </c>
      <c r="U14" s="5" t="n">
        <v>175477862.960007</v>
      </c>
      <c r="V14" s="5" t="n">
        <v>3824924331.42112</v>
      </c>
      <c r="W14" s="5" t="n">
        <v>1018492630.33126</v>
      </c>
      <c r="X14" s="5" t="n">
        <v>1419582080.85303</v>
      </c>
      <c r="Y14" s="5" t="n">
        <v>4924568261.60197</v>
      </c>
      <c r="Z14" s="5" t="n">
        <v>5897660173.99366</v>
      </c>
      <c r="AA14" s="5" t="n">
        <v>6862497352.1443</v>
      </c>
      <c r="AB14" s="5" t="n">
        <v>7529228884.11174</v>
      </c>
      <c r="AC14" s="5" t="n">
        <v>8313506369.94444</v>
      </c>
      <c r="AD14" s="5" t="n">
        <v>8690331991.93318</v>
      </c>
      <c r="AE14" s="5" t="n">
        <v>10736926001.7799</v>
      </c>
      <c r="AF14" s="5" t="n">
        <v>10691164986.5557</v>
      </c>
      <c r="AG14" s="5" t="n">
        <v>12003177174.337</v>
      </c>
      <c r="AH14" s="5" t="n">
        <v>13198692142.4876</v>
      </c>
      <c r="AI14" s="5" t="n">
        <v>11144051992.2395</v>
      </c>
      <c r="AJ14" s="5" t="n">
        <v>12954947708.6063</v>
      </c>
      <c r="AK14" s="5" t="n">
        <v>12423927957.3819</v>
      </c>
      <c r="AL14" s="5" t="n">
        <v>9041017933.94178</v>
      </c>
      <c r="AM14" s="5" t="n">
        <v>9691553185.30243</v>
      </c>
      <c r="AN14" s="5" t="n">
        <v>7035114729.54614</v>
      </c>
      <c r="AO14" s="5" t="n">
        <v>7031288292.7648</v>
      </c>
      <c r="AP14" s="5" t="n">
        <v>6837961460.11941</v>
      </c>
      <c r="AQ14" s="5" t="n">
        <v>6363215911.59067</v>
      </c>
      <c r="AR14" s="5" t="n">
        <v>7577085653.39078</v>
      </c>
      <c r="AS14" s="5" t="n">
        <v>6907070677.62259</v>
      </c>
      <c r="AT14" s="5" t="n">
        <v>2977101222.3282</v>
      </c>
      <c r="AU14" s="5" t="n">
        <v>3277675346.26092</v>
      </c>
      <c r="AV14" s="5" t="n">
        <v>3194372041.98</v>
      </c>
      <c r="AW14" s="5" t="n">
        <v>2521323410.07638</v>
      </c>
      <c r="AX14" s="5" t="n">
        <v>1090569463.67903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/>
      <c r="P15" s="5" t="n">
        <v>-567117.291010419</v>
      </c>
      <c r="Q15" s="5" t="n">
        <v>3159871.36977973</v>
      </c>
      <c r="R15" s="5" t="n">
        <v>9068165.91138432</v>
      </c>
      <c r="S15" s="5"/>
      <c r="T15" s="5" t="n">
        <v>-673099.671762124</v>
      </c>
      <c r="U15" s="5" t="n">
        <v>291836.46222305</v>
      </c>
      <c r="V15" s="5" t="n">
        <v>519994.627090443</v>
      </c>
      <c r="W15" s="5" t="n">
        <v>781558.995931544</v>
      </c>
      <c r="X15" s="5" t="n">
        <v>1945943.04499714</v>
      </c>
      <c r="Y15" s="5" t="n">
        <v>4618033.68168014</v>
      </c>
      <c r="Z15" s="5" t="n">
        <v>6470159.73656385</v>
      </c>
      <c r="AA15" s="5" t="n">
        <v>6058293.379567</v>
      </c>
      <c r="AB15" s="5" t="n">
        <v>26651916.1585061</v>
      </c>
      <c r="AC15" s="5" t="n">
        <v>25176255.7230392</v>
      </c>
      <c r="AD15" s="5" t="n">
        <v>24740002.1650865</v>
      </c>
      <c r="AE15" s="5" t="n">
        <v>16904672.8588011</v>
      </c>
      <c r="AF15" s="5" t="n">
        <v>18717975.9223027</v>
      </c>
      <c r="AG15" s="5" t="n">
        <v>19639932.6413274</v>
      </c>
      <c r="AH15" s="5" t="n">
        <v>20461562.843221</v>
      </c>
      <c r="AI15" s="5" t="n">
        <v>24685260.7975118</v>
      </c>
      <c r="AJ15" s="5" t="n">
        <v>20053759.243997</v>
      </c>
      <c r="AK15" s="5" t="n">
        <v>39710691.7732984</v>
      </c>
      <c r="AL15" s="5" t="n">
        <v>32865736.1081215</v>
      </c>
      <c r="AM15" s="5" t="n">
        <v>43680383.749851</v>
      </c>
      <c r="AN15" s="5" t="n">
        <v>26915969.0164719</v>
      </c>
      <c r="AO15" s="5" t="n">
        <v>24973988.2978291</v>
      </c>
      <c r="AP15" s="5" t="n">
        <v>23204378.9063933</v>
      </c>
      <c r="AQ15" s="5" t="n">
        <v>9585204.76682418</v>
      </c>
      <c r="AR15" s="5" t="n">
        <v>26645275.096095</v>
      </c>
      <c r="AS15" s="5" t="n">
        <v>1782610.18858557</v>
      </c>
      <c r="AT15" s="5" t="n">
        <v>1584880.24778594</v>
      </c>
      <c r="AU15" s="5" t="n">
        <v>1295172.19539506</v>
      </c>
      <c r="AV15" s="5" t="n">
        <v>2728083.78</v>
      </c>
      <c r="AW15" s="5" t="n">
        <v>2958669.79982978</v>
      </c>
      <c r="AX15" s="5" t="n">
        <v>130863.081047982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 t="n">
        <v>-13503.2521298519</v>
      </c>
      <c r="AE16" s="5"/>
      <c r="AF16" s="5"/>
      <c r="AG16" s="5"/>
      <c r="AH16" s="5"/>
      <c r="AI16" s="5" t="n">
        <v>0</v>
      </c>
      <c r="AJ16" s="5"/>
      <c r="AK16" s="5" t="n">
        <v>4981.7770944578</v>
      </c>
      <c r="AL16" s="5" t="n">
        <v>812801.221772022</v>
      </c>
      <c r="AM16" s="5" t="n">
        <v>22776.6112236551</v>
      </c>
      <c r="AN16" s="5" t="n">
        <v>1172248.87046024</v>
      </c>
      <c r="AO16" s="5" t="n">
        <v>16232086.597898</v>
      </c>
      <c r="AP16" s="5" t="n">
        <v>3871243.33935879</v>
      </c>
      <c r="AQ16" s="5" t="n">
        <v>1860482.26864346</v>
      </c>
      <c r="AR16" s="5" t="n">
        <v>8606075.11846368</v>
      </c>
      <c r="AS16" s="5" t="n">
        <v>1550754.27084238</v>
      </c>
      <c r="AT16" s="5" t="n">
        <v>274593.723739286</v>
      </c>
      <c r="AU16" s="5" t="n">
        <v>3866558.64355322</v>
      </c>
      <c r="AV16" s="5" t="n">
        <v>6565850.625</v>
      </c>
      <c r="AW16" s="5" t="n">
        <v>6634706.926439</v>
      </c>
      <c r="AX16" s="5" t="n">
        <v>59486.2511733631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/>
      <c r="P17" s="5"/>
      <c r="Q17" s="5"/>
      <c r="R17" s="5"/>
      <c r="S17" s="5"/>
      <c r="T17" s="5"/>
      <c r="U17" s="5"/>
      <c r="V17" s="5"/>
      <c r="W17" s="5"/>
      <c r="X17" s="5" t="n">
        <v>776116.700581178</v>
      </c>
      <c r="Y17" s="5" t="n">
        <v>9057767.15699103</v>
      </c>
      <c r="Z17" s="5" t="n">
        <v>5719042.69019497</v>
      </c>
      <c r="AA17" s="5" t="n">
        <v>21702654.6608478</v>
      </c>
      <c r="AB17" s="5" t="n">
        <v>18907249.3066653</v>
      </c>
      <c r="AC17" s="5" t="n">
        <v>42890114.0284859</v>
      </c>
      <c r="AD17" s="5" t="n">
        <v>44633131.3895692</v>
      </c>
      <c r="AE17" s="5" t="n">
        <v>33535206.8442762</v>
      </c>
      <c r="AF17" s="5" t="n">
        <v>40182904.4048565</v>
      </c>
      <c r="AG17" s="5" t="n">
        <v>66761840.0804053</v>
      </c>
      <c r="AH17" s="5" t="n">
        <v>35259073.1552082</v>
      </c>
      <c r="AI17" s="5" t="n">
        <v>61472690.7680333</v>
      </c>
      <c r="AJ17" s="5" t="n">
        <v>24964559.5420431</v>
      </c>
      <c r="AK17" s="5" t="n">
        <v>24536883.5695173</v>
      </c>
      <c r="AL17" s="5" t="n">
        <v>28775500.8479772</v>
      </c>
      <c r="AM17" s="5" t="n">
        <v>1141664.69220507</v>
      </c>
      <c r="AN17" s="5" t="n">
        <v>-214189.867868184</v>
      </c>
      <c r="AO17" s="5" t="n">
        <v>-272678.984864489</v>
      </c>
      <c r="AP17" s="5" t="n">
        <v>-421105.371511274</v>
      </c>
      <c r="AQ17" s="5" t="n">
        <v>-91968.7961661527</v>
      </c>
      <c r="AR17" s="5" t="n">
        <v>1753624.87381053</v>
      </c>
      <c r="AS17" s="5" t="n">
        <v>5511541.86386656</v>
      </c>
      <c r="AT17" s="5"/>
      <c r="AU17" s="5"/>
      <c r="AV17" s="5" t="n">
        <v>0</v>
      </c>
      <c r="AW17" s="5" t="n">
        <v>-41743.9856209351</v>
      </c>
      <c r="AX17" s="5"/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/>
      <c r="U18" s="5"/>
      <c r="V18" s="5" t="n">
        <v>11389537.3766017</v>
      </c>
      <c r="W18" s="5" t="n">
        <v>14340373.9316836</v>
      </c>
      <c r="X18" s="5" t="n">
        <v>32848705.7659113</v>
      </c>
      <c r="Y18" s="5" t="n">
        <v>193042679.782451</v>
      </c>
      <c r="Z18" s="5" t="n">
        <v>685760412.224661</v>
      </c>
      <c r="AA18" s="5" t="n">
        <v>16602504.1278858</v>
      </c>
      <c r="AB18" s="5" t="n">
        <v>286728570.695943</v>
      </c>
      <c r="AC18" s="5" t="n">
        <v>994927243.072312</v>
      </c>
      <c r="AD18" s="5" t="n">
        <v>709625881.449942</v>
      </c>
      <c r="AE18" s="5" t="n">
        <v>207409001.157097</v>
      </c>
      <c r="AF18" s="5" t="n">
        <v>142680216.001124</v>
      </c>
      <c r="AG18" s="5" t="n">
        <v>271864412.917519</v>
      </c>
      <c r="AH18" s="5" t="n">
        <v>460686772.213488</v>
      </c>
      <c r="AI18" s="5" t="n">
        <v>496502072.037795</v>
      </c>
      <c r="AJ18" s="5" t="n">
        <v>422611825.494829</v>
      </c>
      <c r="AK18" s="5" t="n">
        <v>352577807.403351</v>
      </c>
      <c r="AL18" s="5" t="n">
        <v>575227587.496376</v>
      </c>
      <c r="AM18" s="5" t="n">
        <v>176778193.247568</v>
      </c>
      <c r="AN18" s="5" t="n">
        <v>202855615.106013</v>
      </c>
      <c r="AO18" s="5" t="n">
        <v>205550734.162669</v>
      </c>
      <c r="AP18" s="5" t="n">
        <v>228453342.052663</v>
      </c>
      <c r="AQ18" s="5" t="n">
        <v>348681608.817731</v>
      </c>
      <c r="AR18" s="5" t="n">
        <v>479813785.262042</v>
      </c>
      <c r="AS18" s="5" t="n">
        <v>547906786.075463</v>
      </c>
      <c r="AT18" s="5" t="n">
        <v>153190138.636924</v>
      </c>
      <c r="AU18" s="5" t="n">
        <v>146886245.784972</v>
      </c>
      <c r="AV18" s="5" t="n">
        <v>136315112.0383</v>
      </c>
      <c r="AW18" s="5" t="n">
        <v>102885364.052245</v>
      </c>
      <c r="AX18" s="5" t="n">
        <v>264137357.891263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/>
      <c r="P19" s="5"/>
      <c r="Q19" s="5"/>
      <c r="R19" s="5"/>
      <c r="S19" s="5"/>
      <c r="T19" s="5"/>
      <c r="U19" s="5"/>
      <c r="V19" s="5" t="n">
        <v>19203540.8357091</v>
      </c>
      <c r="W19" s="5" t="n">
        <v>25278459.2440646</v>
      </c>
      <c r="X19" s="5" t="n">
        <v>207021730.684124</v>
      </c>
      <c r="Y19" s="5" t="n">
        <v>223386608.703798</v>
      </c>
      <c r="Z19" s="5" t="n">
        <v>214935368.719682</v>
      </c>
      <c r="AA19" s="5" t="n">
        <v>349976945.99618</v>
      </c>
      <c r="AB19" s="5" t="n">
        <v>524916060.623365</v>
      </c>
      <c r="AC19" s="5" t="n">
        <v>341272654.490264</v>
      </c>
      <c r="AD19" s="5" t="n">
        <v>327368266.447865</v>
      </c>
      <c r="AE19" s="5" t="n">
        <v>658662086.323668</v>
      </c>
      <c r="AF19" s="5" t="n">
        <v>731523853.990077</v>
      </c>
      <c r="AG19" s="5" t="n">
        <v>922574445.932786</v>
      </c>
      <c r="AH19" s="5" t="n">
        <v>537661716.539113</v>
      </c>
      <c r="AI19" s="5" t="n">
        <v>800807964.959148</v>
      </c>
      <c r="AJ19" s="5" t="n">
        <v>496646923.495328</v>
      </c>
      <c r="AK19" s="5" t="n">
        <v>405966515.031367</v>
      </c>
      <c r="AL19" s="5" t="n">
        <v>278401796.755577</v>
      </c>
      <c r="AM19" s="5" t="n">
        <v>206173856.475806</v>
      </c>
      <c r="AN19" s="5" t="n">
        <v>218667254.055845</v>
      </c>
      <c r="AO19" s="5" t="n">
        <v>187256205.386</v>
      </c>
      <c r="AP19" s="5" t="n">
        <v>269119322.949804</v>
      </c>
      <c r="AQ19" s="5" t="n">
        <v>272868840.291675</v>
      </c>
      <c r="AR19" s="5" t="n">
        <v>363317361.385883</v>
      </c>
      <c r="AS19" s="5" t="n">
        <v>1011778286.83261</v>
      </c>
      <c r="AT19" s="5" t="n">
        <v>925303158.182285</v>
      </c>
      <c r="AU19" s="5" t="n">
        <v>1420437080.19245</v>
      </c>
      <c r="AV19" s="5" t="n">
        <v>1791414834.5943</v>
      </c>
      <c r="AW19" s="5" t="n">
        <v>3139003983.67989</v>
      </c>
      <c r="AX19" s="5" t="n">
        <v>134682151.707456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/>
      <c r="Q20" s="5"/>
      <c r="R20" s="5"/>
      <c r="S20" s="5"/>
      <c r="T20" s="5"/>
      <c r="U20" s="5"/>
      <c r="V20" s="5" t="n">
        <v>20760.1681877963</v>
      </c>
      <c r="W20" s="5" t="n">
        <v>347480.785932667</v>
      </c>
      <c r="X20" s="5" t="n">
        <v>-1306569.45695816</v>
      </c>
      <c r="Y20" s="5" t="n">
        <v>-3915170.39138673</v>
      </c>
      <c r="Z20" s="5" t="n">
        <v>8297378.7367421</v>
      </c>
      <c r="AA20" s="5" t="n">
        <v>4946469.02457428</v>
      </c>
      <c r="AB20" s="5" t="n">
        <v>206226.792440149</v>
      </c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10567510130.931</v>
      </c>
      <c r="P21" s="5" t="n">
        <v>9057983393.77532</v>
      </c>
      <c r="Q21" s="5" t="n">
        <v>6247770935.75796</v>
      </c>
      <c r="R21" s="5" t="n">
        <v>7187332872.43168</v>
      </c>
      <c r="S21" s="5" t="n">
        <v>6901021014.86558</v>
      </c>
      <c r="T21" s="5" t="n">
        <v>6291954815.57422</v>
      </c>
      <c r="U21" s="5" t="n">
        <v>5281950174.42063</v>
      </c>
      <c r="V21" s="5" t="n">
        <v>5594330707.86078</v>
      </c>
      <c r="W21" s="5" t="n">
        <v>6170358306.87992</v>
      </c>
      <c r="X21" s="5" t="n">
        <v>6024110971.89597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 t="n">
        <v>0</v>
      </c>
      <c r="AW21" s="5"/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7"/>
      <c r="O2" s="7"/>
      <c r="P2" s="7"/>
      <c r="Q2" s="7"/>
      <c r="R2" s="7" t="n">
        <v>1301064</v>
      </c>
      <c r="S2" s="7" t="n">
        <v>2064362</v>
      </c>
      <c r="T2" s="7" t="n">
        <v>1300000</v>
      </c>
      <c r="U2" s="7" t="n">
        <v>22669147.5</v>
      </c>
      <c r="V2" s="7" t="n">
        <v>29821767.25</v>
      </c>
      <c r="W2" s="7" t="n">
        <v>23213687.4719</v>
      </c>
      <c r="X2" s="7" t="n">
        <v>17655783.9345</v>
      </c>
      <c r="Y2" s="7" t="n">
        <v>13925704.3359</v>
      </c>
      <c r="Z2" s="7" t="n">
        <v>257017479.9208</v>
      </c>
      <c r="AA2" s="7" t="n">
        <v>737956607.2</v>
      </c>
      <c r="AB2" s="7" t="n">
        <v>340571748.19</v>
      </c>
      <c r="AC2" s="7" t="n">
        <v>314915404.2618</v>
      </c>
      <c r="AD2" s="7" t="n">
        <v>297738836.2032</v>
      </c>
      <c r="AE2" s="7" t="n">
        <v>534122877.6797</v>
      </c>
      <c r="AF2" s="7" t="n">
        <v>134496690.2868</v>
      </c>
      <c r="AG2" s="7" t="n">
        <v>199152993.0385</v>
      </c>
      <c r="AH2" s="7" t="n">
        <v>185877325.723</v>
      </c>
      <c r="AI2" s="7" t="n">
        <v>63044278.26</v>
      </c>
      <c r="AJ2" s="7" t="n">
        <v>30680273.4291</v>
      </c>
      <c r="AK2" s="7" t="n">
        <v>9820311.25</v>
      </c>
      <c r="AL2" s="7"/>
      <c r="AM2" s="7"/>
    </row>
    <row r="3">
      <c r="A3" t="str">
        <f>M3</f>
      </c>
      <c r="M3" t="s">
        <v>72</v>
      </c>
      <c r="N3" s="7"/>
      <c r="O3" s="7"/>
      <c r="P3" s="7"/>
      <c r="Q3" s="7"/>
      <c r="R3" s="7" t="n">
        <v>1188918</v>
      </c>
      <c r="S3" s="7" t="n">
        <v>940864</v>
      </c>
      <c r="T3" s="7" t="n">
        <v>887502610.6101</v>
      </c>
      <c r="U3" s="7" t="n">
        <v>309254818.8501</v>
      </c>
      <c r="V3" s="7" t="n">
        <v>1452836014.0667</v>
      </c>
      <c r="W3" s="7" t="n">
        <v>1408366777.7144</v>
      </c>
      <c r="X3" s="7" t="n">
        <v>1309035292.8859</v>
      </c>
      <c r="Y3" s="7" t="n">
        <v>1675661578.3354</v>
      </c>
      <c r="Z3" s="7" t="n">
        <v>2460436023.9666</v>
      </c>
      <c r="AA3" s="7" t="n">
        <v>1295284212.66</v>
      </c>
      <c r="AB3" s="7" t="n">
        <v>2574970473.8961</v>
      </c>
      <c r="AC3" s="7" t="n">
        <v>1769915183.1825</v>
      </c>
      <c r="AD3" s="7" t="n">
        <v>1617007977.7999</v>
      </c>
      <c r="AE3" s="7" t="n">
        <v>2094715754.5127</v>
      </c>
      <c r="AF3" s="7" t="n">
        <v>1553999439.0235</v>
      </c>
      <c r="AG3" s="7" t="n">
        <v>1276084913.7849</v>
      </c>
      <c r="AH3" s="7" t="n">
        <v>578227435.8985</v>
      </c>
      <c r="AI3" s="7" t="n">
        <v>400110589.9015</v>
      </c>
      <c r="AJ3" s="7" t="n">
        <v>478920083.1773</v>
      </c>
      <c r="AK3" s="7" t="n">
        <v>212819465.5391</v>
      </c>
      <c r="AL3" s="7"/>
      <c r="AM3" s="7"/>
    </row>
    <row r="4">
      <c r="A4" t="str">
        <f>M4</f>
      </c>
      <c r="M4" t="s">
        <v>73</v>
      </c>
      <c r="N4" s="7" t="n">
        <v>352723493</v>
      </c>
      <c r="O4" s="7" t="n">
        <v>358942381</v>
      </c>
      <c r="P4" s="7" t="n">
        <v>137521314</v>
      </c>
      <c r="Q4" s="7" t="n">
        <v>58006794</v>
      </c>
      <c r="R4" s="7" t="n">
        <v>156953983</v>
      </c>
      <c r="S4" s="7" t="n">
        <v>236022787</v>
      </c>
      <c r="T4" s="7" t="n">
        <v>228589758</v>
      </c>
      <c r="U4" s="7" t="n">
        <v>370051876.4043</v>
      </c>
      <c r="V4" s="7" t="n">
        <v>357654800.9502</v>
      </c>
      <c r="W4" s="7" t="n">
        <v>257906420.9344</v>
      </c>
      <c r="X4" s="7" t="n">
        <v>97106121.1456</v>
      </c>
      <c r="Y4" s="7" t="n">
        <v>106445139.7824</v>
      </c>
      <c r="Z4" s="7" t="n">
        <v>90147962.2618</v>
      </c>
      <c r="AA4" s="7" t="n">
        <v>108986164.0209</v>
      </c>
      <c r="AB4" s="7" t="n">
        <v>81052687.0587</v>
      </c>
      <c r="AC4" s="7" t="n">
        <v>34977120.6919</v>
      </c>
      <c r="AD4" s="7" t="n">
        <v>-33686.6484</v>
      </c>
      <c r="AE4" s="7" t="n">
        <v>20078.2998</v>
      </c>
      <c r="AF4" s="7" t="n">
        <v>-16706.3105</v>
      </c>
      <c r="AG4" s="7" t="n">
        <v>-1269.08</v>
      </c>
      <c r="AH4" s="7" t="n">
        <v>-696607.0625</v>
      </c>
      <c r="AI4" s="7"/>
      <c r="AJ4" s="7"/>
      <c r="AK4" s="7"/>
      <c r="AL4" s="7"/>
      <c r="AM4" s="7"/>
    </row>
    <row r="5">
      <c r="A5" t="str">
        <f>M5</f>
      </c>
      <c r="M5" t="s">
        <v>74</v>
      </c>
      <c r="N5" s="7"/>
      <c r="O5" s="7"/>
      <c r="P5" s="7"/>
      <c r="Q5" s="7"/>
      <c r="R5" s="7" t="n">
        <v>47000000</v>
      </c>
      <c r="S5" s="7" t="n">
        <v>362286363</v>
      </c>
      <c r="T5" s="7" t="n">
        <v>422510715</v>
      </c>
      <c r="U5" s="7" t="n">
        <v>599440734.4375</v>
      </c>
      <c r="V5" s="7" t="n">
        <v>631666388.25</v>
      </c>
      <c r="W5" s="7" t="n">
        <v>868280428.3848</v>
      </c>
      <c r="X5" s="7" t="n">
        <v>428605488.4688</v>
      </c>
      <c r="Y5" s="7" t="n">
        <v>769640648.711</v>
      </c>
      <c r="Z5" s="7" t="n">
        <v>295655263.2396</v>
      </c>
      <c r="AA5" s="7" t="n">
        <v>560169225.375</v>
      </c>
      <c r="AB5" s="7" t="n">
        <v>95428554.6852</v>
      </c>
      <c r="AC5" s="7" t="n">
        <v>85777054.2987</v>
      </c>
      <c r="AD5" s="7" t="n">
        <v>90135204.5507</v>
      </c>
      <c r="AE5" s="7" t="n">
        <v>68150674.836</v>
      </c>
      <c r="AF5" s="7" t="n">
        <v>77988821.3254</v>
      </c>
      <c r="AG5" s="7" t="n">
        <v>102773489.1406</v>
      </c>
      <c r="AH5" s="7" t="n">
        <v>21312163.0088</v>
      </c>
      <c r="AI5" s="7" t="n">
        <v>494693.3501</v>
      </c>
      <c r="AJ5" s="7" t="n">
        <v>6013449.3887</v>
      </c>
      <c r="AK5" s="7" t="n">
        <v>1750276.5501</v>
      </c>
      <c r="AL5" s="7"/>
      <c r="AM5" s="7"/>
    </row>
    <row r="6">
      <c r="A6" t="str">
        <f>M6</f>
      </c>
      <c r="M6" t="s">
        <v>75</v>
      </c>
      <c r="N6" s="7"/>
      <c r="O6" s="7"/>
      <c r="P6" s="7"/>
      <c r="Q6" s="7"/>
      <c r="R6" s="7" t="n">
        <v>223719545</v>
      </c>
      <c r="S6" s="7" t="n">
        <v>233039169</v>
      </c>
      <c r="T6" s="7" t="n">
        <v>250051053</v>
      </c>
      <c r="U6" s="7" t="n">
        <v>361930826.6172</v>
      </c>
      <c r="V6" s="7" t="n">
        <v>687510417.1691</v>
      </c>
      <c r="W6" s="7" t="n">
        <v>911017190.1799</v>
      </c>
      <c r="X6" s="7" t="n">
        <v>1043143690.2457</v>
      </c>
      <c r="Y6" s="7" t="n">
        <v>982302281.8416</v>
      </c>
      <c r="Z6" s="7" t="n">
        <v>1240424995.444</v>
      </c>
      <c r="AA6" s="7" t="n">
        <v>894775969.045</v>
      </c>
      <c r="AB6" s="7" t="n">
        <v>1359417460.3782</v>
      </c>
      <c r="AC6" s="7" t="n">
        <v>683197110.1984</v>
      </c>
      <c r="AD6" s="7" t="n">
        <v>1017002072.4655</v>
      </c>
      <c r="AE6" s="7" t="n">
        <v>626910598.1056</v>
      </c>
      <c r="AF6" s="7" t="n">
        <v>709494739.4825</v>
      </c>
      <c r="AG6" s="7" t="n">
        <v>553340072.3239</v>
      </c>
      <c r="AH6" s="7" t="n">
        <v>489031560.4714</v>
      </c>
      <c r="AI6" s="7" t="n">
        <v>368299916.9922</v>
      </c>
      <c r="AJ6" s="7" t="n">
        <v>362597635.0343</v>
      </c>
      <c r="AK6" s="7" t="n">
        <v>179566379.6875</v>
      </c>
      <c r="AL6" s="7"/>
      <c r="AM6" s="7"/>
    </row>
    <row r="7">
      <c r="A7" t="str">
        <f>M7</f>
      </c>
      <c r="M7" t="s">
        <v>76</v>
      </c>
      <c r="N7" s="7" t="n">
        <v>434679955</v>
      </c>
      <c r="O7" s="7" t="n">
        <v>863275362</v>
      </c>
      <c r="P7" s="7" t="n">
        <v>687696323</v>
      </c>
      <c r="Q7" s="7" t="n">
        <v>655164273</v>
      </c>
      <c r="R7" s="7" t="n">
        <v>397603975.9375</v>
      </c>
      <c r="S7" s="7" t="n">
        <v>550763544</v>
      </c>
      <c r="T7" s="7" t="n">
        <v>628843122</v>
      </c>
      <c r="U7" s="7" t="n">
        <v>822589239.217</v>
      </c>
      <c r="V7" s="7" t="n">
        <v>511837534.3363</v>
      </c>
      <c r="W7" s="7" t="n">
        <v>410408115.2195</v>
      </c>
      <c r="X7" s="7" t="n">
        <v>393135476.1019</v>
      </c>
      <c r="Y7" s="7" t="n">
        <v>401994391.3912</v>
      </c>
      <c r="Z7" s="7" t="n">
        <v>329856014.0083</v>
      </c>
      <c r="AA7" s="7" t="n">
        <v>252450021.4401</v>
      </c>
      <c r="AB7" s="7" t="n">
        <v>218110421.09</v>
      </c>
      <c r="AC7" s="7" t="n">
        <v>173899797.7716</v>
      </c>
      <c r="AD7" s="7" t="n">
        <v>141420465.3499</v>
      </c>
      <c r="AE7" s="7" t="n">
        <v>96287736.4952</v>
      </c>
      <c r="AF7" s="7" t="n">
        <v>113115249.6555</v>
      </c>
      <c r="AG7" s="7" t="n">
        <v>142009548.0508</v>
      </c>
      <c r="AH7" s="7" t="n">
        <v>322261083.4034</v>
      </c>
      <c r="AI7" s="7" t="n">
        <v>74522853.8193</v>
      </c>
      <c r="AJ7" s="7" t="n">
        <v>36036009.0728</v>
      </c>
      <c r="AK7" s="7" t="n">
        <v>29802117.9511</v>
      </c>
      <c r="AL7" s="7"/>
      <c r="AM7" s="7"/>
    </row>
    <row r="8">
      <c r="A8" t="str">
        <f>M8</f>
      </c>
      <c r="M8" t="s">
        <v>77</v>
      </c>
      <c r="N8" s="7"/>
      <c r="O8" s="7"/>
      <c r="P8" s="7"/>
      <c r="Q8" s="7"/>
      <c r="R8" s="7" t="n">
        <v>13018224</v>
      </c>
      <c r="S8" s="7" t="n">
        <v>37434444</v>
      </c>
      <c r="T8" s="7" t="n">
        <v>33928043</v>
      </c>
      <c r="U8" s="7" t="n">
        <v>44974570.8515</v>
      </c>
      <c r="V8" s="7" t="n">
        <v>243036895.1251</v>
      </c>
      <c r="W8" s="7" t="n">
        <v>1558779816.1015</v>
      </c>
      <c r="X8" s="7" t="n">
        <v>707363117.8773</v>
      </c>
      <c r="Y8" s="7" t="n">
        <v>497016133.5361</v>
      </c>
      <c r="Z8" s="7" t="n">
        <v>425078575.4986</v>
      </c>
      <c r="AA8" s="7" t="n">
        <v>818013002.82</v>
      </c>
      <c r="AB8" s="7" t="n">
        <v>1105181783.06</v>
      </c>
      <c r="AC8" s="7" t="n">
        <v>703269183.1259</v>
      </c>
      <c r="AD8" s="7" t="n">
        <v>813848674.2716</v>
      </c>
      <c r="AE8" s="7" t="n">
        <v>432348401.0835</v>
      </c>
      <c r="AF8" s="7" t="n">
        <v>509553307.2709</v>
      </c>
      <c r="AG8" s="7" t="n">
        <v>766870549.2379</v>
      </c>
      <c r="AH8" s="7" t="n">
        <v>430986861.8139</v>
      </c>
      <c r="AI8" s="7" t="n">
        <v>319084073.3188</v>
      </c>
      <c r="AJ8" s="7" t="n">
        <v>400697867.3355</v>
      </c>
      <c r="AK8" s="7" t="n">
        <v>221213412.3143</v>
      </c>
      <c r="AL8" s="7"/>
      <c r="AM8" s="7"/>
    </row>
    <row r="9">
      <c r="A9" t="str">
        <f>M9</f>
      </c>
      <c r="M9" t="s">
        <v>78</v>
      </c>
      <c r="N9" s="7" t="n">
        <v>264915250</v>
      </c>
      <c r="O9" s="7" t="n">
        <v>272968677</v>
      </c>
      <c r="P9" s="7" t="n">
        <v>263552182</v>
      </c>
      <c r="Q9" s="7" t="n">
        <v>103756010</v>
      </c>
      <c r="R9" s="7"/>
      <c r="S9" s="7"/>
      <c r="T9" s="7"/>
      <c r="U9" s="7"/>
      <c r="V9" s="7"/>
      <c r="W9" s="7"/>
      <c r="X9" s="7" t="n">
        <v>-7179128.375</v>
      </c>
      <c r="Y9" s="7" t="n">
        <v>-1372634.2539</v>
      </c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</row>
    <row r="10">
      <c r="A10" t="str">
        <f>M10</f>
      </c>
      <c r="M10" t="s">
        <v>79</v>
      </c>
      <c r="N10" s="7"/>
      <c r="O10" s="7"/>
      <c r="P10" s="7"/>
      <c r="Q10" s="7"/>
      <c r="R10" s="7" t="n">
        <v>45000</v>
      </c>
      <c r="S10" s="7" t="n">
        <v>1838805</v>
      </c>
      <c r="T10" s="7" t="n">
        <v>120210352</v>
      </c>
      <c r="U10" s="7" t="n">
        <v>415437403</v>
      </c>
      <c r="V10" s="7" t="n">
        <v>297617737.422</v>
      </c>
      <c r="W10" s="7" t="n">
        <v>299061547.922</v>
      </c>
      <c r="X10" s="7" t="n">
        <v>227813103.0294</v>
      </c>
      <c r="Y10" s="7" t="n">
        <v>540385344.8359</v>
      </c>
      <c r="Z10" s="7" t="n">
        <v>1150879770.9279</v>
      </c>
      <c r="AA10" s="7" t="n">
        <v>49833426.4784</v>
      </c>
      <c r="AB10" s="7" t="n">
        <v>-32168503.2</v>
      </c>
      <c r="AC10" s="7" t="n">
        <v>25211031.2571</v>
      </c>
      <c r="AD10" s="7" t="n">
        <v>80607495.6761</v>
      </c>
      <c r="AE10" s="7" t="n">
        <v>60609532.0195</v>
      </c>
      <c r="AF10" s="7" t="n">
        <v>43317370.8417</v>
      </c>
      <c r="AG10" s="7" t="n">
        <v>329727761.087</v>
      </c>
      <c r="AH10" s="7" t="n">
        <v>322305904.5508</v>
      </c>
      <c r="AI10" s="7" t="n">
        <v>79077877.2734</v>
      </c>
      <c r="AJ10" s="7" t="n">
        <v>9410550.8594</v>
      </c>
      <c r="AK10" s="7" t="n">
        <v>46719363.75</v>
      </c>
      <c r="AL10" s="7"/>
      <c r="AM10" s="7"/>
    </row>
    <row r="11">
      <c r="A11" t="str">
        <f>M11</f>
      </c>
      <c r="M11"/>
      <c r="N11" s="7" t="n">
        <v>2130433426</v>
      </c>
      <c r="O11" s="7" t="n">
        <v>2659129293</v>
      </c>
      <c r="P11" s="7" t="n">
        <v>3405005709</v>
      </c>
      <c r="Q11" s="7" t="n">
        <v>4472557060.6601</v>
      </c>
      <c r="R11" s="7" t="n">
        <v>5437867806.2227</v>
      </c>
      <c r="S11" s="7" t="n">
        <v>5097905534.2656</v>
      </c>
      <c r="T11" s="7" t="n">
        <v>5437549282.9578</v>
      </c>
      <c r="U11" s="7" t="n">
        <v>5264059810.3561</v>
      </c>
      <c r="V11" s="7" t="n">
        <v>5365526514.9974</v>
      </c>
      <c r="W11" s="7" t="n">
        <v>4644002770.7245</v>
      </c>
      <c r="X11" s="7" t="n">
        <v>4872688462.0791</v>
      </c>
      <c r="Y11" s="7" t="n">
        <v>5312403121.4869</v>
      </c>
      <c r="Z11" s="7" t="n">
        <v>3699834291.2262</v>
      </c>
      <c r="AA11" s="7" t="n">
        <v>2853711040.31</v>
      </c>
      <c r="AB11" s="7" t="n">
        <v>2106920908.7069</v>
      </c>
      <c r="AC11" s="7" t="n">
        <v>2171900634.7106</v>
      </c>
      <c r="AD11" s="7" t="n">
        <v>2018138674.6137</v>
      </c>
      <c r="AE11" s="7" t="n">
        <v>2137412725.7423</v>
      </c>
      <c r="AF11" s="7" t="n">
        <v>2803575698.5768</v>
      </c>
      <c r="AG11" s="7" t="n">
        <v>3846487222.5523</v>
      </c>
      <c r="AH11" s="7" t="n">
        <v>4997451673.6407</v>
      </c>
      <c r="AI11" s="7" t="n">
        <v>2320433498.4623</v>
      </c>
      <c r="AJ11" s="7" t="n">
        <v>3318700267.4031</v>
      </c>
      <c r="AK11" s="7" t="n">
        <v>2027265328.7437</v>
      </c>
      <c r="AL11" s="7"/>
      <c r="AM11" s="7"/>
    </row>
    <row r="12">
      <c r="A12" t="str">
        <f>M12</f>
      </c>
      <c r="M12" t="s">
        <v>137</v>
      </c>
      <c r="N12" s="7" t="str">
        <f>Sum(N2:N11)</f>
      </c>
      <c r="O12" s="7" t="str">
        <f>Sum(O2:O11)</f>
      </c>
      <c r="P12" s="7" t="str">
        <f>Sum(P2:P11)</f>
      </c>
      <c r="Q12" s="7" t="str">
        <f>Sum(Q2:Q11)</f>
      </c>
      <c r="R12" s="7" t="str">
        <f>Sum(R2:R11)</f>
      </c>
      <c r="S12" s="7" t="str">
        <f>Sum(S2:S11)</f>
      </c>
      <c r="T12" s="7" t="str">
        <f>Sum(T2:T11)</f>
      </c>
      <c r="U12" s="7" t="str">
        <f>Sum(U2:U11)</f>
      </c>
      <c r="V12" s="7" t="str">
        <f>Sum(V2:V11)</f>
      </c>
      <c r="W12" s="7" t="str">
        <f>Sum(W2:W11)</f>
      </c>
      <c r="X12" s="7" t="str">
        <f>Sum(X2:X11)</f>
      </c>
      <c r="Y12" s="7" t="str">
        <f>Sum(Y2:Y11)</f>
      </c>
      <c r="Z12" s="7" t="str">
        <f>Sum(Z2:Z11)</f>
      </c>
      <c r="AA12" s="7" t="str">
        <f>Sum(AA2:AA11)</f>
      </c>
      <c r="AB12" s="7" t="str">
        <f>Sum(AB2:AB11)</f>
      </c>
      <c r="AC12" s="7" t="str">
        <f>Sum(AC2:AC11)</f>
      </c>
      <c r="AD12" s="7" t="str">
        <f>Sum(AD2:AD11)</f>
      </c>
      <c r="AE12" s="7" t="str">
        <f>Sum(AE2:AE11)</f>
      </c>
      <c r="AF12" s="7" t="str">
        <f>Sum(AF2:AF11)</f>
      </c>
      <c r="AG12" s="7" t="str">
        <f>Sum(AG2:AG11)</f>
      </c>
      <c r="AH12" s="7" t="str">
        <f>Sum(AH2:AH11)</f>
      </c>
      <c r="AI12" s="7" t="str">
        <f>Sum(AI2:AI11)</f>
      </c>
      <c r="AJ12" s="7" t="str">
        <f>Sum(AJ2:AJ11)</f>
      </c>
      <c r="AK12" s="7" t="str">
        <f>Sum(AK2:AK11)</f>
      </c>
      <c r="AL12" s="7"/>
      <c r="AM12" s="7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71</v>
      </c>
      <c r="N16" s="7"/>
      <c r="O16" s="7"/>
      <c r="P16" s="7"/>
      <c r="Q16" s="7"/>
      <c r="R16" s="7" t="n">
        <v>1935305.80529714</v>
      </c>
      <c r="S16" s="7" t="n">
        <v>2980225.91645666</v>
      </c>
      <c r="T16" s="7" t="n">
        <v>1817575.21834059</v>
      </c>
      <c r="U16" s="7" t="n">
        <v>30848560.0221571</v>
      </c>
      <c r="V16" s="7" t="n">
        <v>39752886.0827876</v>
      </c>
      <c r="W16" s="7" t="n">
        <v>30632921.1478029</v>
      </c>
      <c r="X16" s="7" t="n">
        <v>23097785.8923567</v>
      </c>
      <c r="Y16" s="7" t="n">
        <v>17858084.9920318</v>
      </c>
      <c r="Z16" s="7" t="n">
        <v>323662112.402509</v>
      </c>
      <c r="AA16" s="7" t="n">
        <v>912608028.11924</v>
      </c>
      <c r="AB16" s="7" t="n">
        <v>413181120.023604</v>
      </c>
      <c r="AC16" s="7" t="n">
        <v>377724515.476438</v>
      </c>
      <c r="AD16" s="7" t="n">
        <v>354187149.665976</v>
      </c>
      <c r="AE16" s="7" t="n">
        <v>624242171.877043</v>
      </c>
      <c r="AF16" s="7" t="n">
        <v>153583317.06629</v>
      </c>
      <c r="AG16" s="7" t="n">
        <v>223046392.900402</v>
      </c>
      <c r="AH16" s="7" t="n">
        <v>205437349.842649</v>
      </c>
      <c r="AI16" s="7" t="n">
        <v>67412464.6743734</v>
      </c>
      <c r="AJ16" s="7" t="n">
        <v>30680273.4291</v>
      </c>
      <c r="AK16" s="7" t="n">
        <v>9366596.95580044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72</v>
      </c>
      <c r="N17" s="7"/>
      <c r="O17" s="7"/>
      <c r="P17" s="7"/>
      <c r="Q17" s="7"/>
      <c r="R17" s="7" t="n">
        <v>1768490.94850235</v>
      </c>
      <c r="S17" s="7" t="n">
        <v>1358282.74142862</v>
      </c>
      <c r="T17" s="7" t="n">
        <v>1240848270.19808</v>
      </c>
      <c r="U17" s="7" t="n">
        <v>420839197.479246</v>
      </c>
      <c r="V17" s="7" t="n">
        <v>1936653320.37506</v>
      </c>
      <c r="W17" s="7" t="n">
        <v>1858489242.65625</v>
      </c>
      <c r="X17" s="7" t="n">
        <v>1712516251.48942</v>
      </c>
      <c r="Y17" s="7" t="n">
        <v>2148839739.95142</v>
      </c>
      <c r="Z17" s="7" t="n">
        <v>3098427084.38996</v>
      </c>
      <c r="AA17" s="7" t="n">
        <v>1601837776.95923</v>
      </c>
      <c r="AB17" s="7" t="n">
        <v>3123950210.45184</v>
      </c>
      <c r="AC17" s="7" t="n">
        <v>2122920460.39838</v>
      </c>
      <c r="AD17" s="7" t="n">
        <v>1923576561.08127</v>
      </c>
      <c r="AE17" s="7" t="n">
        <v>2448144362.85241</v>
      </c>
      <c r="AF17" s="7" t="n">
        <v>1774529827.13142</v>
      </c>
      <c r="AG17" s="7" t="n">
        <v>1429183326.40534</v>
      </c>
      <c r="AH17" s="7" t="n">
        <v>639074785.346988</v>
      </c>
      <c r="AI17" s="7" t="n">
        <v>427833290.379516</v>
      </c>
      <c r="AJ17" s="7" t="n">
        <v>478920083.1773</v>
      </c>
      <c r="AK17" s="7" t="n">
        <v>202986861.343484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73</v>
      </c>
      <c r="N18" s="7" t="n">
        <v>569905946.899646</v>
      </c>
      <c r="O18" s="7" t="n">
        <v>566223400.533144</v>
      </c>
      <c r="P18" s="7" t="n">
        <v>213565902.971437</v>
      </c>
      <c r="Q18" s="7" t="n">
        <v>88392976.4267451</v>
      </c>
      <c r="R18" s="7" t="n">
        <v>233465805.267387</v>
      </c>
      <c r="S18" s="7" t="n">
        <v>340735407.206551</v>
      </c>
      <c r="T18" s="7" t="n">
        <v>319599291.774826</v>
      </c>
      <c r="U18" s="7" t="n">
        <v>503572863.539307</v>
      </c>
      <c r="V18" s="7" t="n">
        <v>476759490.473703</v>
      </c>
      <c r="W18" s="7" t="n">
        <v>340334859.145447</v>
      </c>
      <c r="X18" s="7" t="n">
        <v>127036919.084377</v>
      </c>
      <c r="Y18" s="7" t="n">
        <v>136503426.137113</v>
      </c>
      <c r="Z18" s="7" t="n">
        <v>113523328.854624</v>
      </c>
      <c r="AA18" s="7" t="n">
        <v>134779805.843567</v>
      </c>
      <c r="AB18" s="7" t="n">
        <v>98332995.0232779</v>
      </c>
      <c r="AC18" s="7" t="n">
        <v>41953222.3172083</v>
      </c>
      <c r="AD18" s="7" t="n">
        <v>-40073.3009195112</v>
      </c>
      <c r="AE18" s="7" t="n">
        <v>23465.988817402</v>
      </c>
      <c r="AF18" s="7" t="n">
        <v>-19077.1280472261</v>
      </c>
      <c r="AG18" s="7" t="n">
        <v>-1421.33799740243</v>
      </c>
      <c r="AH18" s="7" t="n">
        <v>-769911.597582044</v>
      </c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74</v>
      </c>
      <c r="N19" s="7"/>
      <c r="O19" s="7"/>
      <c r="P19" s="7"/>
      <c r="Q19" s="7"/>
      <c r="R19" s="7" t="n">
        <v>69911528.4482281</v>
      </c>
      <c r="S19" s="7" t="n">
        <v>523016412.911798</v>
      </c>
      <c r="T19" s="7" t="n">
        <v>590726926.974896</v>
      </c>
      <c r="U19" s="7" t="n">
        <v>815729108.296692</v>
      </c>
      <c r="V19" s="7" t="n">
        <v>842021257.959759</v>
      </c>
      <c r="W19" s="7" t="n">
        <v>1145788058.40686</v>
      </c>
      <c r="X19" s="7" t="n">
        <v>560713579.281897</v>
      </c>
      <c r="Y19" s="7" t="n">
        <v>986974000.487082</v>
      </c>
      <c r="Z19" s="7" t="n">
        <v>372318672.92659</v>
      </c>
      <c r="AA19" s="7" t="n">
        <v>692743891.977936</v>
      </c>
      <c r="AB19" s="7" t="n">
        <v>115773775.472027</v>
      </c>
      <c r="AC19" s="7" t="n">
        <v>102885079.089486</v>
      </c>
      <c r="AD19" s="7" t="n">
        <v>107223940.254083</v>
      </c>
      <c r="AE19" s="7" t="n">
        <v>79649322.3793766</v>
      </c>
      <c r="AF19" s="7" t="n">
        <v>89056331.7781561</v>
      </c>
      <c r="AG19" s="7" t="n">
        <v>115103748.574685</v>
      </c>
      <c r="AH19" s="7" t="n">
        <v>23554859.480102</v>
      </c>
      <c r="AI19" s="7" t="n">
        <v>528969.462553472</v>
      </c>
      <c r="AJ19" s="7" t="n">
        <v>6013449.3887</v>
      </c>
      <c r="AK19" s="7" t="n">
        <v>1669410.93704902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75</v>
      </c>
      <c r="N20" s="7"/>
      <c r="O20" s="7"/>
      <c r="P20" s="7"/>
      <c r="Q20" s="7"/>
      <c r="R20" s="7" t="n">
        <v>332778198.610471</v>
      </c>
      <c r="S20" s="7" t="n">
        <v>336428093.039556</v>
      </c>
      <c r="T20" s="7" t="n">
        <v>349605074.809823</v>
      </c>
      <c r="U20" s="7" t="n">
        <v>492521601.386627</v>
      </c>
      <c r="V20" s="7" t="n">
        <v>916462229.261514</v>
      </c>
      <c r="W20" s="7" t="n">
        <v>1202183745.4672</v>
      </c>
      <c r="X20" s="7" t="n">
        <v>1364669487.44071</v>
      </c>
      <c r="Y20" s="7" t="n">
        <v>1259687640.4859</v>
      </c>
      <c r="Z20" s="7" t="n">
        <v>1562067196.46459</v>
      </c>
      <c r="AA20" s="7" t="n">
        <v>1106541664.85067</v>
      </c>
      <c r="AB20" s="7" t="n">
        <v>1649243167.83127</v>
      </c>
      <c r="AC20" s="7" t="n">
        <v>819459111.660537</v>
      </c>
      <c r="AD20" s="7" t="n">
        <v>1209815521.02632</v>
      </c>
      <c r="AE20" s="7" t="n">
        <v>732685398.22564</v>
      </c>
      <c r="AF20" s="7" t="n">
        <v>810180200.705654</v>
      </c>
      <c r="AG20" s="7" t="n">
        <v>619727101.742497</v>
      </c>
      <c r="AH20" s="7" t="n">
        <v>540492754.465256</v>
      </c>
      <c r="AI20" s="7" t="n">
        <v>393818532.451407</v>
      </c>
      <c r="AJ20" s="7" t="n">
        <v>362597635.0343</v>
      </c>
      <c r="AK20" s="7" t="n">
        <v>171270121.947005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76</v>
      </c>
      <c r="N21" s="7" t="n">
        <v>702325465.325811</v>
      </c>
      <c r="O21" s="7" t="n">
        <v>1361797148.9082</v>
      </c>
      <c r="P21" s="7" t="n">
        <v>1067968898.20026</v>
      </c>
      <c r="Q21" s="7" t="n">
        <v>998364435.361393</v>
      </c>
      <c r="R21" s="7" t="n">
        <v>591427695.210279</v>
      </c>
      <c r="S21" s="7" t="n">
        <v>795112382.260629</v>
      </c>
      <c r="T21" s="7" t="n">
        <v>879207442.131638</v>
      </c>
      <c r="U21" s="7" t="n">
        <v>1119393374.61041</v>
      </c>
      <c r="V21" s="7" t="n">
        <v>682287505.793803</v>
      </c>
      <c r="W21" s="7" t="n">
        <v>541577009.131171</v>
      </c>
      <c r="X21" s="7" t="n">
        <v>514310726.013569</v>
      </c>
      <c r="Y21" s="7" t="n">
        <v>515510729.987087</v>
      </c>
      <c r="Z21" s="7" t="n">
        <v>415387678.361396</v>
      </c>
      <c r="AA21" s="7" t="n">
        <v>312197104.839621</v>
      </c>
      <c r="AB21" s="7" t="n">
        <v>264611226.720162</v>
      </c>
      <c r="AC21" s="7" t="n">
        <v>208583689.352081</v>
      </c>
      <c r="AD21" s="7" t="n">
        <v>168232374.941279</v>
      </c>
      <c r="AE21" s="7" t="n">
        <v>112533778.773903</v>
      </c>
      <c r="AF21" s="7" t="n">
        <v>129167604.168013</v>
      </c>
      <c r="AG21" s="7" t="n">
        <v>159047157.498777</v>
      </c>
      <c r="AH21" s="7" t="n">
        <v>356172882.702624</v>
      </c>
      <c r="AI21" s="7" t="n">
        <v>79686363.1273341</v>
      </c>
      <c r="AJ21" s="7" t="n">
        <v>36036009.0728</v>
      </c>
      <c r="AK21" s="7" t="n">
        <v>28425211.8054994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77</v>
      </c>
      <c r="N22" s="7"/>
      <c r="O22" s="7"/>
      <c r="P22" s="7"/>
      <c r="Q22" s="7"/>
      <c r="R22" s="7" t="n">
        <v>19364339.0962001</v>
      </c>
      <c r="S22" s="7" t="n">
        <v>54042411.251973</v>
      </c>
      <c r="T22" s="7" t="n">
        <v>47435977.0489185</v>
      </c>
      <c r="U22" s="7" t="n">
        <v>61202158.0601237</v>
      </c>
      <c r="V22" s="7" t="n">
        <v>323972014.295112</v>
      </c>
      <c r="W22" s="7" t="n">
        <v>2056975189.79804</v>
      </c>
      <c r="X22" s="7" t="n">
        <v>925392036.144809</v>
      </c>
      <c r="Y22" s="7" t="n">
        <v>637364986.431408</v>
      </c>
      <c r="Z22" s="7" t="n">
        <v>535301450.023251</v>
      </c>
      <c r="AA22" s="7" t="n">
        <v>1011611287.43324</v>
      </c>
      <c r="AB22" s="7" t="n">
        <v>1340804835.93038</v>
      </c>
      <c r="AC22" s="7" t="n">
        <v>843534510.69959</v>
      </c>
      <c r="AD22" s="7" t="n">
        <v>968146264.946651</v>
      </c>
      <c r="AE22" s="7" t="n">
        <v>505295908.822272</v>
      </c>
      <c r="AF22" s="7" t="n">
        <v>581864780.359164</v>
      </c>
      <c r="AG22" s="7" t="n">
        <v>858875918.555725</v>
      </c>
      <c r="AH22" s="7" t="n">
        <v>476339964.348282</v>
      </c>
      <c r="AI22" s="7" t="n">
        <v>341192641.337707</v>
      </c>
      <c r="AJ22" s="7" t="n">
        <v>400697867.3355</v>
      </c>
      <c r="AK22" s="7" t="n">
        <v>210992994.174736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78</v>
      </c>
      <c r="N23" s="7" t="n">
        <v>428031530.067112</v>
      </c>
      <c r="O23" s="7" t="n">
        <v>430601847.84915</v>
      </c>
      <c r="P23" s="7" t="n">
        <v>409287535.813702</v>
      </c>
      <c r="Q23" s="7" t="n">
        <v>158107385.594576</v>
      </c>
      <c r="R23" s="7"/>
      <c r="S23" s="7"/>
      <c r="T23" s="7"/>
      <c r="U23" s="7"/>
      <c r="V23" s="7"/>
      <c r="W23" s="7"/>
      <c r="X23" s="7" t="n">
        <v>-9391934.71752172</v>
      </c>
      <c r="Y23" s="7" t="n">
        <v>-1760242.68344745</v>
      </c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79</v>
      </c>
      <c r="N24" s="7"/>
      <c r="O24" s="7"/>
      <c r="P24" s="7"/>
      <c r="Q24" s="7"/>
      <c r="R24" s="7" t="n">
        <v>66936.5697908567</v>
      </c>
      <c r="S24" s="7" t="n">
        <v>2654599.49190601</v>
      </c>
      <c r="T24" s="7" t="n">
        <v>168070274.448615</v>
      </c>
      <c r="U24" s="7" t="n">
        <v>565334257.139338</v>
      </c>
      <c r="V24" s="7" t="n">
        <v>396729137.906935</v>
      </c>
      <c r="W24" s="7" t="n">
        <v>394643411.432327</v>
      </c>
      <c r="X24" s="7" t="n">
        <v>298031415.470847</v>
      </c>
      <c r="Y24" s="7" t="n">
        <v>692980921.018831</v>
      </c>
      <c r="Z24" s="7" t="n">
        <v>1449302895.25298</v>
      </c>
      <c r="AA24" s="7" t="n">
        <v>61627451.5725723</v>
      </c>
      <c r="AB24" s="7" t="n">
        <v>-39026778.5049622</v>
      </c>
      <c r="AC24" s="7" t="n">
        <v>30239310.104795</v>
      </c>
      <c r="AD24" s="7" t="n">
        <v>95889872.8137215</v>
      </c>
      <c r="AE24" s="7" t="n">
        <v>70835808.5477712</v>
      </c>
      <c r="AF24" s="7" t="n">
        <v>49464603.8223873</v>
      </c>
      <c r="AG24" s="7" t="n">
        <v>369286881.545201</v>
      </c>
      <c r="AH24" s="7" t="n">
        <v>356222420.416291</v>
      </c>
      <c r="AI24" s="7" t="n">
        <v>84556993.2013925</v>
      </c>
      <c r="AJ24" s="7" t="n">
        <v>9410550.8594</v>
      </c>
      <c r="AK24" s="7" t="n">
        <v>44560853.4329992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7" t="n">
        <v>3442205305.42089</v>
      </c>
      <c r="O25" s="7" t="n">
        <v>4194715671.48198</v>
      </c>
      <c r="P25" s="7" t="n">
        <v>5287857552.50624</v>
      </c>
      <c r="Q25" s="7" t="n">
        <v>6815453907.52333</v>
      </c>
      <c r="R25" s="7" t="n">
        <v>8088715953.88175</v>
      </c>
      <c r="S25" s="7" t="n">
        <v>7359615315.95048</v>
      </c>
      <c r="T25" s="7" t="n">
        <v>7602426788.62289</v>
      </c>
      <c r="U25" s="7" t="n">
        <v>7163421783.72589</v>
      </c>
      <c r="V25" s="7" t="n">
        <v>7152331467.70898</v>
      </c>
      <c r="W25" s="7" t="n">
        <v>6128253895.80977</v>
      </c>
      <c r="X25" s="7" t="n">
        <v>6374586097.94928</v>
      </c>
      <c r="Y25" s="7" t="n">
        <v>6812534875.58817</v>
      </c>
      <c r="Z25" s="7" t="n">
        <v>4659201322.05218</v>
      </c>
      <c r="AA25" s="7" t="n">
        <v>3529095857.2766</v>
      </c>
      <c r="AB25" s="7" t="n">
        <v>2556113199.31037</v>
      </c>
      <c r="AC25" s="7" t="n">
        <v>2605080932.23353</v>
      </c>
      <c r="AD25" s="7" t="n">
        <v>2400757636.81787</v>
      </c>
      <c r="AE25" s="7" t="n">
        <v>2498045333.52179</v>
      </c>
      <c r="AF25" s="7" t="n">
        <v>3201435325.40239</v>
      </c>
      <c r="AG25" s="7" t="n">
        <v>4307969904.13254</v>
      </c>
      <c r="AH25" s="7" t="n">
        <v>5523337630.37576</v>
      </c>
      <c r="AI25" s="7" t="n">
        <v>2481210754.75252</v>
      </c>
      <c r="AJ25" s="7" t="n">
        <v>3318700267.4031</v>
      </c>
      <c r="AK25" s="7" t="n">
        <v>1933602385.24115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137</v>
      </c>
      <c r="N26" s="7" t="str">
        <f>Sum(N16:N25)</f>
      </c>
      <c r="O26" s="7" t="str">
        <f>Sum(O16:O25)</f>
      </c>
      <c r="P26" s="7" t="str">
        <f>Sum(P16:P25)</f>
      </c>
      <c r="Q26" s="7" t="str">
        <f>Sum(Q16:Q25)</f>
      </c>
      <c r="R26" s="7" t="str">
        <f>Sum(R16:R25)</f>
      </c>
      <c r="S26" s="7" t="str">
        <f>Sum(S16:S25)</f>
      </c>
      <c r="T26" s="7" t="str">
        <f>Sum(T16:T25)</f>
      </c>
      <c r="U26" s="7" t="str">
        <f>Sum(U16:U25)</f>
      </c>
      <c r="V26" s="7" t="str">
        <f>Sum(V16:V25)</f>
      </c>
      <c r="W26" s="7" t="str">
        <f>Sum(W16:W25)</f>
      </c>
      <c r="X26" s="7" t="str">
        <f>Sum(X16:X25)</f>
      </c>
      <c r="Y26" s="7" t="str">
        <f>Sum(Y16:Y25)</f>
      </c>
      <c r="Z26" s="7" t="str">
        <f>Sum(Z16:Z25)</f>
      </c>
      <c r="AA26" s="7" t="str">
        <f>Sum(AA16:AA25)</f>
      </c>
      <c r="AB26" s="7" t="str">
        <f>Sum(AB16:AB25)</f>
      </c>
      <c r="AC26" s="7" t="str">
        <f>Sum(AC16:AC25)</f>
      </c>
      <c r="AD26" s="7" t="str">
        <f>Sum(AD16:AD25)</f>
      </c>
      <c r="AE26" s="7" t="str">
        <f>Sum(AE16:AE25)</f>
      </c>
      <c r="AF26" s="7" t="str">
        <f>Sum(AF16:AF25)</f>
      </c>
      <c r="AG26" s="7" t="str">
        <f>Sum(AG16:AG25)</f>
      </c>
      <c r="AH26" s="7" t="str">
        <f>Sum(AH16:AH25)</f>
      </c>
      <c r="AI26" s="7" t="str">
        <f>Sum(AI16:AI25)</f>
      </c>
      <c r="AJ26" s="7" t="str">
        <f>Sum(AJ16:AJ25)</f>
      </c>
      <c r="AK26" s="7" t="str">
        <f>Sum(AK16:AK25)</f>
      </c>
      <c r="AL26" s="7"/>
      <c r="AM26" s="7"/>
    </row>
    <row r="27">
      <c r="M27" t="str">
        <f>Sum(A16:A25)</f>
      </c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/>
      <c r="O2" s="8" t="n">
        <v>-114669</v>
      </c>
      <c r="P2" s="8" t="n">
        <v>11269352</v>
      </c>
      <c r="Q2" s="8" t="n">
        <v>1084838</v>
      </c>
      <c r="R2" s="8" t="n">
        <v>67394425</v>
      </c>
      <c r="S2" s="8" t="n">
        <v>87576992</v>
      </c>
      <c r="T2" s="8" t="n">
        <v>84546127</v>
      </c>
      <c r="U2" s="8" t="n">
        <v>128921185.8242</v>
      </c>
      <c r="V2" s="8" t="n">
        <v>126693387.7188</v>
      </c>
      <c r="W2" s="8" t="n">
        <v>123730165.3477</v>
      </c>
      <c r="X2" s="8" t="n">
        <v>39174057.9738</v>
      </c>
      <c r="Y2" s="8" t="n">
        <v>33603663.6106</v>
      </c>
      <c r="Z2" s="8" t="n">
        <v>58765381.5278</v>
      </c>
      <c r="AA2" s="8" t="n">
        <v>56349096.9459</v>
      </c>
      <c r="AB2" s="8" t="n">
        <v>55728881.1637</v>
      </c>
      <c r="AC2" s="8" t="n">
        <v>74551215.6157</v>
      </c>
      <c r="AD2" s="8" t="n">
        <v>126997722.5115</v>
      </c>
      <c r="AE2" s="8" t="n">
        <v>123076895.581</v>
      </c>
      <c r="AF2" s="8" t="n">
        <v>140673513.4058</v>
      </c>
      <c r="AG2" s="8" t="n">
        <v>132363674.049</v>
      </c>
      <c r="AH2" s="8" t="n">
        <v>72894962.9203</v>
      </c>
      <c r="AI2" s="8" t="n">
        <v>183718472.9111</v>
      </c>
      <c r="AJ2" s="8" t="n">
        <v>346110901.3641</v>
      </c>
      <c r="AK2" s="8" t="n">
        <v>256871969.7187</v>
      </c>
      <c r="AL2" s="8"/>
      <c r="AM2" s="8"/>
    </row>
    <row r="3">
      <c r="A3" t="str">
        <f>M3</f>
      </c>
      <c r="M3" t="s">
        <v>82</v>
      </c>
      <c r="N3" s="8" t="n">
        <v>825702692</v>
      </c>
      <c r="O3" s="8" t="n">
        <v>1081127866</v>
      </c>
      <c r="P3" s="8" t="n">
        <v>808740848</v>
      </c>
      <c r="Q3" s="8" t="n">
        <v>1076805769.582</v>
      </c>
      <c r="R3" s="8" t="n">
        <v>1158748685.7383</v>
      </c>
      <c r="S3" s="8" t="n">
        <v>1659078667.5625</v>
      </c>
      <c r="T3" s="8" t="n">
        <v>2166108625.2429</v>
      </c>
      <c r="U3" s="8" t="n">
        <v>2028464698.9988</v>
      </c>
      <c r="V3" s="8" t="n">
        <v>2410490744.2688</v>
      </c>
      <c r="W3" s="8" t="n">
        <v>3356019004.2473</v>
      </c>
      <c r="X3" s="8" t="n">
        <v>2683636311.1551</v>
      </c>
      <c r="Y3" s="8" t="n">
        <v>2206148367.5793</v>
      </c>
      <c r="Z3" s="8" t="n">
        <v>1716374180.8418</v>
      </c>
      <c r="AA3" s="8" t="n">
        <v>1684162989.3935</v>
      </c>
      <c r="AB3" s="8" t="n">
        <v>1235324658.5965</v>
      </c>
      <c r="AC3" s="8" t="n">
        <v>1136474483.2882</v>
      </c>
      <c r="AD3" s="8" t="n">
        <v>1046106488.5442</v>
      </c>
      <c r="AE3" s="8" t="n">
        <v>882785364.447</v>
      </c>
      <c r="AF3" s="8" t="n">
        <v>1298427118.4237</v>
      </c>
      <c r="AG3" s="8" t="n">
        <v>1805400003.5032</v>
      </c>
      <c r="AH3" s="8" t="n">
        <v>1719735836.8831</v>
      </c>
      <c r="AI3" s="8" t="n">
        <v>1797647219.4667</v>
      </c>
      <c r="AJ3" s="8" t="n">
        <v>2162783273.3105</v>
      </c>
      <c r="AK3" s="8" t="n">
        <v>2113406273.7478</v>
      </c>
      <c r="AL3" s="8"/>
      <c r="AM3" s="8"/>
    </row>
    <row r="4">
      <c r="A4" t="str">
        <f>M4</f>
      </c>
      <c r="M4" t="s">
        <v>83</v>
      </c>
      <c r="N4" s="8" t="n">
        <v>540759198</v>
      </c>
      <c r="O4" s="8" t="n">
        <v>731937365</v>
      </c>
      <c r="P4" s="8" t="n">
        <v>763691606</v>
      </c>
      <c r="Q4" s="8" t="n">
        <v>1097828229</v>
      </c>
      <c r="R4" s="8" t="n">
        <v>1316961140</v>
      </c>
      <c r="S4" s="8" t="n">
        <v>1151898633</v>
      </c>
      <c r="T4" s="8" t="n">
        <v>1411764317.87</v>
      </c>
      <c r="U4" s="8" t="n">
        <v>1777645318.7919</v>
      </c>
      <c r="V4" s="8" t="n">
        <v>1827089812.9624</v>
      </c>
      <c r="W4" s="8" t="n">
        <v>1342088828.7871</v>
      </c>
      <c r="X4" s="8" t="n">
        <v>1290520663.7128</v>
      </c>
      <c r="Y4" s="8" t="n">
        <v>1166036112.3084</v>
      </c>
      <c r="Z4" s="8" t="n">
        <v>1140881016.0236</v>
      </c>
      <c r="AA4" s="8" t="n">
        <v>777882164.92</v>
      </c>
      <c r="AB4" s="8" t="n">
        <v>451814364.9988</v>
      </c>
      <c r="AC4" s="8" t="n">
        <v>501971454.3389</v>
      </c>
      <c r="AD4" s="8" t="n">
        <v>439631500.5668</v>
      </c>
      <c r="AE4" s="8" t="n">
        <v>460563791.2264</v>
      </c>
      <c r="AF4" s="8" t="n">
        <v>225377684.0834</v>
      </c>
      <c r="AG4" s="8" t="n">
        <v>234467037.5392</v>
      </c>
      <c r="AH4" s="8" t="n">
        <v>317374951.2365</v>
      </c>
      <c r="AI4" s="8"/>
      <c r="AJ4" s="8"/>
      <c r="AK4" s="8"/>
      <c r="AL4" s="8"/>
      <c r="AM4" s="8"/>
    </row>
    <row r="5">
      <c r="A5" t="str">
        <f>M5</f>
      </c>
      <c r="M5" t="s">
        <v>84</v>
      </c>
      <c r="N5" s="8" t="n">
        <v>254748063</v>
      </c>
      <c r="O5" s="8" t="n">
        <v>320041774</v>
      </c>
      <c r="P5" s="8" t="n">
        <v>279954752</v>
      </c>
      <c r="Q5" s="8" t="n">
        <v>342494802.0781</v>
      </c>
      <c r="R5" s="8" t="n">
        <v>398360815.4219</v>
      </c>
      <c r="S5" s="8" t="n">
        <v>359897416.7031</v>
      </c>
      <c r="T5" s="8" t="n">
        <v>397722883.3691</v>
      </c>
      <c r="U5" s="8" t="n">
        <v>538342329.8131</v>
      </c>
      <c r="V5" s="8" t="n">
        <v>618234882.5905</v>
      </c>
      <c r="W5" s="8" t="n">
        <v>277157816.8654</v>
      </c>
      <c r="X5" s="8" t="n">
        <v>144183602.9663</v>
      </c>
      <c r="Y5" s="8" t="n">
        <v>236969937.8839</v>
      </c>
      <c r="Z5" s="8" t="n">
        <v>137998453.4992</v>
      </c>
      <c r="AA5" s="8" t="n">
        <v>110331062.15</v>
      </c>
      <c r="AB5" s="8" t="n">
        <v>121611756.82</v>
      </c>
      <c r="AC5" s="8" t="n">
        <v>126616605.2187</v>
      </c>
      <c r="AD5" s="8" t="n">
        <v>198305225.7006</v>
      </c>
      <c r="AE5" s="8" t="n">
        <v>212121804.1816</v>
      </c>
      <c r="AF5" s="8" t="n">
        <v>251029542.685</v>
      </c>
      <c r="AG5" s="8" t="n">
        <v>600588163.4671</v>
      </c>
      <c r="AH5" s="8" t="n">
        <v>666841718.3999</v>
      </c>
      <c r="AI5" s="8" t="n">
        <v>2059997.9766</v>
      </c>
      <c r="AJ5" s="8" t="n">
        <v>1672161.125</v>
      </c>
      <c r="AK5" s="8" t="n">
        <v>246725</v>
      </c>
      <c r="AL5" s="8"/>
      <c r="AM5" s="8"/>
    </row>
    <row r="6">
      <c r="A6" t="str">
        <f>M6</f>
      </c>
      <c r="M6" t="s">
        <v>85</v>
      </c>
      <c r="N6" s="8" t="n">
        <v>28077522</v>
      </c>
      <c r="O6" s="8" t="n">
        <v>24922374</v>
      </c>
      <c r="P6" s="8" t="n">
        <v>46637715</v>
      </c>
      <c r="Q6" s="8" t="n">
        <v>290910895</v>
      </c>
      <c r="R6" s="8" t="n">
        <v>300029567</v>
      </c>
      <c r="S6" s="8" t="n">
        <v>278199887</v>
      </c>
      <c r="T6" s="8" t="n">
        <v>334263457.6797</v>
      </c>
      <c r="U6" s="8" t="n">
        <v>458244028.0625</v>
      </c>
      <c r="V6" s="8" t="n">
        <v>444495389.8949</v>
      </c>
      <c r="W6" s="8" t="n">
        <v>304408893.4103</v>
      </c>
      <c r="X6" s="8" t="n">
        <v>209905228.3602</v>
      </c>
      <c r="Y6" s="8" t="n">
        <v>142070875.4943</v>
      </c>
      <c r="Z6" s="8" t="n">
        <v>145787191.4735</v>
      </c>
      <c r="AA6" s="8" t="n">
        <v>96424870.36</v>
      </c>
      <c r="AB6" s="8" t="n">
        <v>58616849.81</v>
      </c>
      <c r="AC6" s="8" t="n">
        <v>64858619.6932</v>
      </c>
      <c r="AD6" s="8" t="n">
        <v>92814532.7753</v>
      </c>
      <c r="AE6" s="8" t="n">
        <v>180078479.3096</v>
      </c>
      <c r="AF6" s="8" t="n">
        <v>415097565.7491</v>
      </c>
      <c r="AG6" s="8" t="n">
        <v>867782205.7997</v>
      </c>
      <c r="AH6" s="8" t="n">
        <v>1651253484.5547</v>
      </c>
      <c r="AI6" s="8"/>
      <c r="AJ6" s="8" t="n">
        <v>6068033</v>
      </c>
      <c r="AK6" s="8" t="n">
        <v>1750276.5501</v>
      </c>
      <c r="AL6" s="8"/>
      <c r="AM6" s="8"/>
    </row>
    <row r="7">
      <c r="A7" t="str">
        <f>M7</f>
      </c>
      <c r="M7" t="s">
        <v>86</v>
      </c>
      <c r="N7" s="8" t="n">
        <v>55539996</v>
      </c>
      <c r="O7" s="8" t="n">
        <v>117021321</v>
      </c>
      <c r="P7" s="8" t="n">
        <v>236979623</v>
      </c>
      <c r="Q7" s="8" t="n">
        <v>187640019</v>
      </c>
      <c r="R7" s="8" t="n">
        <v>189401669</v>
      </c>
      <c r="S7" s="8" t="n">
        <v>165907085</v>
      </c>
      <c r="T7" s="8" t="n">
        <v>198465045</v>
      </c>
      <c r="U7" s="8" t="n">
        <v>174226547.6569</v>
      </c>
      <c r="V7" s="8" t="n">
        <v>232546191.8576</v>
      </c>
      <c r="W7" s="8" t="n">
        <v>276924346.8465</v>
      </c>
      <c r="X7" s="8" t="n">
        <v>424103401.0004</v>
      </c>
      <c r="Y7" s="8" t="n">
        <v>410020466.9781</v>
      </c>
      <c r="Z7" s="8" t="n">
        <v>348588430.274</v>
      </c>
      <c r="AA7" s="8" t="n">
        <v>324402532.26</v>
      </c>
      <c r="AB7" s="8" t="n">
        <v>330431730.6</v>
      </c>
      <c r="AC7" s="8" t="n">
        <v>94177582.1336</v>
      </c>
      <c r="AD7" s="8" t="n">
        <v>123775771.0213</v>
      </c>
      <c r="AE7" s="8" t="n">
        <v>144186773.9946</v>
      </c>
      <c r="AF7" s="8" t="n">
        <v>268796527.3347</v>
      </c>
      <c r="AG7" s="8" t="n">
        <v>222050917.1062</v>
      </c>
      <c r="AH7" s="8" t="n">
        <v>158483929.1231</v>
      </c>
      <c r="AI7" s="8" t="n">
        <v>107826183.9629</v>
      </c>
      <c r="AJ7" s="8" t="n">
        <v>84243507.6939</v>
      </c>
      <c r="AK7" s="8" t="n">
        <v>43900311.441</v>
      </c>
      <c r="AL7" s="8"/>
      <c r="AM7" s="8"/>
    </row>
    <row r="8">
      <c r="A8" t="str">
        <f>M8</f>
      </c>
      <c r="M8" t="s">
        <v>87</v>
      </c>
      <c r="N8" s="8" t="n">
        <v>786754007</v>
      </c>
      <c r="O8" s="8" t="n">
        <v>788725447</v>
      </c>
      <c r="P8" s="8" t="n">
        <v>702312210</v>
      </c>
      <c r="Q8" s="8" t="n">
        <v>280213684</v>
      </c>
      <c r="R8" s="8" t="n">
        <v>461035630</v>
      </c>
      <c r="S8" s="8" t="n">
        <v>659944888</v>
      </c>
      <c r="T8" s="8" t="n">
        <v>588905370.4062</v>
      </c>
      <c r="U8" s="8" t="n">
        <v>692051633.8643</v>
      </c>
      <c r="V8" s="8" t="n">
        <v>250423806.7812</v>
      </c>
      <c r="W8" s="8" t="n">
        <v>223089558.7753</v>
      </c>
      <c r="X8" s="8" t="n">
        <v>382428157.085</v>
      </c>
      <c r="Y8" s="8" t="n">
        <v>689116760.8992</v>
      </c>
      <c r="Z8" s="8" t="n">
        <v>1298776358.5286</v>
      </c>
      <c r="AA8" s="8" t="n">
        <v>228651093.58</v>
      </c>
      <c r="AB8" s="8" t="n">
        <v>227903341.39</v>
      </c>
      <c r="AC8" s="8" t="n">
        <v>320628732.026</v>
      </c>
      <c r="AD8" s="8" t="n">
        <v>385635852.89</v>
      </c>
      <c r="AE8" s="8" t="n">
        <v>275073608.5224</v>
      </c>
      <c r="AF8" s="8" t="n">
        <v>402036340.0158</v>
      </c>
      <c r="AG8" s="8" t="n">
        <v>960038220.0031</v>
      </c>
      <c r="AH8" s="8" t="n">
        <v>1151587092.1584</v>
      </c>
      <c r="AI8" s="8" t="n">
        <v>242973767.6625</v>
      </c>
      <c r="AJ8" s="8" t="n">
        <v>43889566.3232</v>
      </c>
      <c r="AK8" s="8" t="n">
        <v>42551149</v>
      </c>
      <c r="AL8" s="8"/>
      <c r="AM8" s="8"/>
    </row>
    <row r="9">
      <c r="A9" t="str">
        <f>M9</f>
      </c>
      <c r="M9" t="s">
        <v>88</v>
      </c>
      <c r="N9" s="8" t="n">
        <v>185156402</v>
      </c>
      <c r="O9" s="8" t="n">
        <v>346038142</v>
      </c>
      <c r="P9" s="8" t="n">
        <v>467656132</v>
      </c>
      <c r="Q9" s="8" t="n">
        <v>813111520</v>
      </c>
      <c r="R9" s="8" t="n">
        <v>841436395</v>
      </c>
      <c r="S9" s="8" t="n">
        <v>700985409</v>
      </c>
      <c r="T9" s="8" t="n">
        <v>981892565</v>
      </c>
      <c r="U9" s="8" t="n">
        <v>574629503.2295</v>
      </c>
      <c r="V9" s="8" t="n">
        <v>685751924.9805</v>
      </c>
      <c r="W9" s="8" t="n">
        <v>559670179.5723</v>
      </c>
      <c r="X9" s="8" t="n">
        <v>687171003.2738</v>
      </c>
      <c r="Y9" s="8" t="n">
        <v>1666381264.1907</v>
      </c>
      <c r="Z9" s="8" t="n">
        <v>735375894.7275</v>
      </c>
      <c r="AA9" s="8" t="n">
        <v>881638483.98</v>
      </c>
      <c r="AB9" s="8" t="n">
        <v>423603456.4</v>
      </c>
      <c r="AC9" s="8" t="n">
        <v>425003095.88</v>
      </c>
      <c r="AD9" s="8" t="n">
        <v>278504998.75</v>
      </c>
      <c r="AE9" s="8" t="n">
        <v>492228346.9688</v>
      </c>
      <c r="AF9" s="8" t="n">
        <v>114682756.2461</v>
      </c>
      <c r="AG9" s="8" t="n">
        <v>46691494.0214</v>
      </c>
      <c r="AH9" s="8" t="n">
        <v>14237217.4063</v>
      </c>
      <c r="AI9" s="8" t="n">
        <v>-5565163.4063</v>
      </c>
      <c r="AJ9" s="8" t="n">
        <v>-1320000</v>
      </c>
      <c r="AK9" s="8" t="n">
        <v>0</v>
      </c>
      <c r="AL9" s="8"/>
      <c r="AM9" s="8"/>
    </row>
    <row r="10">
      <c r="A10" t="str">
        <f>M10</f>
      </c>
      <c r="M10" t="s">
        <v>89</v>
      </c>
      <c r="N10" s="8" t="n">
        <v>334194048</v>
      </c>
      <c r="O10" s="8" t="n">
        <v>442933813</v>
      </c>
      <c r="P10" s="8" t="n">
        <v>473061326</v>
      </c>
      <c r="Q10" s="8" t="n">
        <v>539308696</v>
      </c>
      <c r="R10" s="8" t="n">
        <v>545618920</v>
      </c>
      <c r="S10" s="8" t="n">
        <v>611298296</v>
      </c>
      <c r="T10" s="8" t="n">
        <v>653969926</v>
      </c>
      <c r="U10" s="8" t="n">
        <v>612025234.25</v>
      </c>
      <c r="V10" s="8" t="n">
        <v>768870623.75</v>
      </c>
      <c r="W10" s="8" t="n">
        <v>791347972.5</v>
      </c>
      <c r="X10" s="8" t="n">
        <v>797355880.1249</v>
      </c>
      <c r="Y10" s="8" t="n">
        <v>886148713.5</v>
      </c>
      <c r="Z10" s="8" t="n">
        <v>829346402.3125</v>
      </c>
      <c r="AA10" s="8" t="n">
        <v>812794640</v>
      </c>
      <c r="AB10" s="8" t="n">
        <v>729239965.95</v>
      </c>
      <c r="AC10" s="8" t="n">
        <v>840444751.69</v>
      </c>
      <c r="AD10" s="8" t="n">
        <v>866000000</v>
      </c>
      <c r="AE10" s="8" t="n">
        <v>886027470.625</v>
      </c>
      <c r="AF10" s="8" t="n">
        <v>965430000.75</v>
      </c>
      <c r="AG10" s="8" t="n">
        <v>-6661436.125</v>
      </c>
      <c r="AH10" s="8" t="n">
        <v>-2894529.5</v>
      </c>
      <c r="AI10" s="8" t="n">
        <v>-2398718.75</v>
      </c>
      <c r="AJ10" s="8" t="n">
        <v>-2208787.75</v>
      </c>
      <c r="AK10" s="8"/>
      <c r="AL10" s="8"/>
      <c r="AM10" s="8"/>
    </row>
    <row r="11">
      <c r="A11" t="str">
        <f>M11</f>
      </c>
      <c r="M11" t="s">
        <v>90</v>
      </c>
      <c r="N11" s="8"/>
      <c r="O11" s="8"/>
      <c r="P11" s="8" t="n">
        <v>3384713</v>
      </c>
      <c r="Q11" s="8" t="n">
        <v>7631864</v>
      </c>
      <c r="R11" s="8" t="n">
        <v>7974208</v>
      </c>
      <c r="S11" s="8" t="n">
        <v>8945970</v>
      </c>
      <c r="T11" s="8" t="n">
        <v>8855782</v>
      </c>
      <c r="U11" s="8" t="n">
        <v>9178324</v>
      </c>
      <c r="V11" s="8" t="n">
        <v>10666429</v>
      </c>
      <c r="W11" s="8" t="n">
        <v>10189237.9492</v>
      </c>
      <c r="X11" s="8" t="n">
        <v>11922318.8125</v>
      </c>
      <c r="Y11" s="8" t="n">
        <v>117966.46</v>
      </c>
      <c r="Z11" s="8" t="n">
        <v>178053.7325</v>
      </c>
      <c r="AA11" s="8" t="n">
        <v>1284897459.49</v>
      </c>
      <c r="AB11" s="8" t="n">
        <v>2448060318.6861</v>
      </c>
      <c r="AC11" s="8" t="n">
        <v>1746132089.711</v>
      </c>
      <c r="AD11" s="8" t="n">
        <v>1575060740.8302</v>
      </c>
      <c r="AE11" s="8" t="n">
        <v>2086384111.75</v>
      </c>
      <c r="AF11" s="8" t="n">
        <v>1560960626.4609</v>
      </c>
      <c r="AG11" s="8" t="n">
        <v>1829322115.6587</v>
      </c>
      <c r="AH11" s="8" t="n">
        <v>1423511208.8282</v>
      </c>
      <c r="AI11" s="8" t="n">
        <v>1188396802.722</v>
      </c>
      <c r="AJ11" s="8" t="n">
        <v>1778304990.0626</v>
      </c>
      <c r="AK11" s="8" t="n">
        <v>267879045.7032</v>
      </c>
      <c r="AL11" s="8"/>
      <c r="AM11" s="8"/>
    </row>
    <row r="12">
      <c r="A12" t="str">
        <f>M12</f>
      </c>
      <c r="M12" t="s">
        <v>91</v>
      </c>
      <c r="N12" s="8" t="n">
        <v>171820196</v>
      </c>
      <c r="O12" s="8" t="n">
        <v>301682280</v>
      </c>
      <c r="P12" s="8" t="n">
        <v>700087251</v>
      </c>
      <c r="Q12" s="8" t="n">
        <v>652453821</v>
      </c>
      <c r="R12" s="8" t="n">
        <v>991737061</v>
      </c>
      <c r="S12" s="8" t="n">
        <v>838562628</v>
      </c>
      <c r="T12" s="8" t="n">
        <v>1183990837</v>
      </c>
      <c r="U12" s="8" t="n">
        <v>1216679622.7425</v>
      </c>
      <c r="V12" s="8" t="n">
        <v>2202244875.7621</v>
      </c>
      <c r="W12" s="8" t="n">
        <v>3116410750.3518</v>
      </c>
      <c r="X12" s="8" t="n">
        <v>2418966782.9284</v>
      </c>
      <c r="Y12" s="8" t="n">
        <v>2861787581.098</v>
      </c>
      <c r="Z12" s="8" t="n">
        <v>3537259013.5528</v>
      </c>
      <c r="AA12" s="8" t="n">
        <v>1313645276.27</v>
      </c>
      <c r="AB12" s="8" t="n">
        <v>1767150209.45</v>
      </c>
      <c r="AC12" s="8" t="n">
        <v>632203889.9032</v>
      </c>
      <c r="AD12" s="8" t="n">
        <v>943032880.6923</v>
      </c>
      <c r="AE12" s="8" t="n">
        <v>308051732.1679</v>
      </c>
      <c r="AF12" s="8" t="n">
        <v>303012934.9981</v>
      </c>
      <c r="AG12" s="8" t="n">
        <v>524402885.1133</v>
      </c>
      <c r="AH12" s="8" t="n">
        <v>173731529.4375</v>
      </c>
      <c r="AI12" s="8" t="n">
        <v>110409218.8321</v>
      </c>
      <c r="AJ12" s="8" t="n">
        <v>223512490.5709</v>
      </c>
      <c r="AK12" s="8" t="n">
        <v>2350904.625</v>
      </c>
      <c r="AL12" s="8"/>
      <c r="AM12" s="8"/>
    </row>
    <row r="13">
      <c r="A13" t="str">
        <f>M13</f>
      </c>
      <c r="M13" t="s">
        <v>137</v>
      </c>
      <c r="N13" s="8" t="str">
        <f>Sum(N2:N12)</f>
      </c>
      <c r="O13" s="8" t="str">
        <f>Sum(O2:O12)</f>
      </c>
      <c r="P13" s="8" t="str">
        <f>Sum(P2:P12)</f>
      </c>
      <c r="Q13" s="8" t="str">
        <f>Sum(Q2:Q12)</f>
      </c>
      <c r="R13" s="8" t="str">
        <f>Sum(R2:R12)</f>
      </c>
      <c r="S13" s="8" t="str">
        <f>Sum(S2:S12)</f>
      </c>
      <c r="T13" s="8" t="str">
        <f>Sum(T2:T12)</f>
      </c>
      <c r="U13" s="8" t="str">
        <f>Sum(U2:U12)</f>
      </c>
      <c r="V13" s="8" t="str">
        <f>Sum(V2:V12)</f>
      </c>
      <c r="W13" s="8" t="str">
        <f>Sum(W2:W12)</f>
      </c>
      <c r="X13" s="8" t="str">
        <f>Sum(X2:X12)</f>
      </c>
      <c r="Y13" s="8" t="str">
        <f>Sum(Y2:Y12)</f>
      </c>
      <c r="Z13" s="8" t="str">
        <f>Sum(Z2:Z12)</f>
      </c>
      <c r="AA13" s="8" t="str">
        <f>Sum(AA2:AA12)</f>
      </c>
      <c r="AB13" s="8" t="str">
        <f>Sum(AB2:AB12)</f>
      </c>
      <c r="AC13" s="8" t="str">
        <f>Sum(AC2:AC12)</f>
      </c>
      <c r="AD13" s="8" t="str">
        <f>Sum(AD2:AD12)</f>
      </c>
      <c r="AE13" s="8" t="str">
        <f>Sum(AE2:AE12)</f>
      </c>
      <c r="AF13" s="8" t="str">
        <f>Sum(AF2:AF12)</f>
      </c>
      <c r="AG13" s="8" t="str">
        <f>Sum(AG2:AG12)</f>
      </c>
      <c r="AH13" s="8" t="str">
        <f>Sum(AH2:AH12)</f>
      </c>
      <c r="AI13" s="8" t="str">
        <f>Sum(AI2:AI12)</f>
      </c>
      <c r="AJ13" s="8" t="str">
        <f>Sum(AJ2:AJ12)</f>
      </c>
      <c r="AK13" s="8" t="str">
        <f>Sum(AK2:AK12)</f>
      </c>
      <c r="AL13" s="8"/>
      <c r="AM13" s="8"/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80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AJ17/Sum(AJ$16:AJ$27)</f>
      </c>
      <c r="J17" s="6" t="str">
        <f>AK17/Sum(AK16:AK$27)</f>
      </c>
      <c r="M17" t="s">
        <v>81</v>
      </c>
      <c r="N17" s="8"/>
      <c r="O17" s="8" t="n">
        <v>-180887.72614381</v>
      </c>
      <c r="P17" s="8" t="n">
        <v>17500918.6996495</v>
      </c>
      <c r="Q17" s="8" t="n">
        <v>1653117.73239592</v>
      </c>
      <c r="R17" s="8" t="n">
        <v>100247814.056159</v>
      </c>
      <c r="S17" s="8" t="n">
        <v>126430936.64954</v>
      </c>
      <c r="T17" s="8" t="n">
        <v>118206880.95529</v>
      </c>
      <c r="U17" s="8" t="n">
        <v>175438134.099463</v>
      </c>
      <c r="V17" s="8" t="n">
        <v>168884283.993193</v>
      </c>
      <c r="W17" s="8" t="n">
        <v>163275067.922265</v>
      </c>
      <c r="X17" s="8" t="n">
        <v>51248588.3929246</v>
      </c>
      <c r="Y17" s="8" t="n">
        <v>43092763.3049562</v>
      </c>
      <c r="Z17" s="8" t="n">
        <v>74003244.9438387</v>
      </c>
      <c r="AA17" s="8" t="n">
        <v>69685178.9771437</v>
      </c>
      <c r="AB17" s="8" t="n">
        <v>67610192.7398686</v>
      </c>
      <c r="AC17" s="8" t="n">
        <v>89420274.1927783</v>
      </c>
      <c r="AD17" s="8" t="n">
        <v>151075223.924501</v>
      </c>
      <c r="AE17" s="8" t="n">
        <v>143842909.218055</v>
      </c>
      <c r="AF17" s="8" t="n">
        <v>160636702.406293</v>
      </c>
      <c r="AG17" s="8" t="n">
        <v>148244018.818068</v>
      </c>
      <c r="AH17" s="8" t="n">
        <v>80565759.9224413</v>
      </c>
      <c r="AI17" s="8" t="n">
        <v>196447884.042274</v>
      </c>
      <c r="AJ17" s="8" t="n">
        <v>346110901.3641</v>
      </c>
      <c r="AK17" s="8" t="n">
        <v>245004068.440055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AJ18/Sum(AJ$16:AJ$27)</f>
      </c>
      <c r="J18" s="6" t="str">
        <f>AK18/Sum(AK16:AK$27)</f>
      </c>
      <c r="M18" t="s">
        <v>82</v>
      </c>
      <c r="N18" s="8" t="n">
        <v>1334112651.6397</v>
      </c>
      <c r="O18" s="8" t="n">
        <v>1705454493.81655</v>
      </c>
      <c r="P18" s="8" t="n">
        <v>1255946910.69491</v>
      </c>
      <c r="Q18" s="8" t="n">
        <v>1640877911.76401</v>
      </c>
      <c r="R18" s="8" t="n">
        <v>1723614717.17745</v>
      </c>
      <c r="S18" s="8" t="n">
        <v>2395136726.26707</v>
      </c>
      <c r="T18" s="8" t="n">
        <v>3028511813.44254</v>
      </c>
      <c r="U18" s="8" t="n">
        <v>2760369132.53537</v>
      </c>
      <c r="V18" s="8" t="n">
        <v>3213222179.53168</v>
      </c>
      <c r="W18" s="8" t="n">
        <v>4428622796.44626</v>
      </c>
      <c r="X18" s="8" t="n">
        <v>3510807402.15061</v>
      </c>
      <c r="Y18" s="8" t="n">
        <v>2829126922.6288</v>
      </c>
      <c r="Z18" s="8" t="n">
        <v>2161430005.52168</v>
      </c>
      <c r="AA18" s="8" t="n">
        <v>2082752088.38296</v>
      </c>
      <c r="AB18" s="8" t="n">
        <v>1498693971.95837</v>
      </c>
      <c r="AC18" s="8" t="n">
        <v>1363141554.02351</v>
      </c>
      <c r="AD18" s="8" t="n">
        <v>1244437844.0832</v>
      </c>
      <c r="AE18" s="8" t="n">
        <v>1031732352.67059</v>
      </c>
      <c r="AF18" s="8" t="n">
        <v>1482688855.69676</v>
      </c>
      <c r="AG18" s="8" t="n">
        <v>2022003045.89906</v>
      </c>
      <c r="AH18" s="8" t="n">
        <v>1900705055.79142</v>
      </c>
      <c r="AI18" s="8" t="n">
        <v>1922201871.82589</v>
      </c>
      <c r="AJ18" s="8" t="n">
        <v>2162783273.3105</v>
      </c>
      <c r="AK18" s="8" t="n">
        <v>2015763478.98909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AJ19/Sum(AJ$16:AJ$27)</f>
      </c>
      <c r="J19" s="6" t="str">
        <f>AK19/Sum(AK16:AK$27)</f>
      </c>
      <c r="M19" t="s">
        <v>83</v>
      </c>
      <c r="N19" s="8" t="n">
        <v>873720885.897677</v>
      </c>
      <c r="O19" s="8" t="n">
        <v>1154614461.05348</v>
      </c>
      <c r="P19" s="8" t="n">
        <v>1185986976.73218</v>
      </c>
      <c r="Q19" s="8" t="n">
        <v>1672912741.33531</v>
      </c>
      <c r="R19" s="8" t="n">
        <v>1958952472.43236</v>
      </c>
      <c r="S19" s="8" t="n">
        <v>1662943882.51556</v>
      </c>
      <c r="T19" s="8" t="n">
        <v>1973836798.69079</v>
      </c>
      <c r="U19" s="8" t="n">
        <v>2419049870.08702</v>
      </c>
      <c r="V19" s="8" t="n">
        <v>2435539536.90374</v>
      </c>
      <c r="W19" s="8" t="n">
        <v>1771028463.93311</v>
      </c>
      <c r="X19" s="8" t="n">
        <v>1688294900.45209</v>
      </c>
      <c r="Y19" s="8" t="n">
        <v>1495304761.26082</v>
      </c>
      <c r="Z19" s="8" t="n">
        <v>1436711463.20439</v>
      </c>
      <c r="AA19" s="8" t="n">
        <v>961982725.963141</v>
      </c>
      <c r="AB19" s="8" t="n">
        <v>548140491.291752</v>
      </c>
      <c r="AC19" s="8" t="n">
        <v>602088439.648184</v>
      </c>
      <c r="AD19" s="8" t="n">
        <v>522981247.843868</v>
      </c>
      <c r="AE19" s="8" t="n">
        <v>538271909.587631</v>
      </c>
      <c r="AF19" s="8" t="n">
        <v>257361368.822056</v>
      </c>
      <c r="AG19" s="8" t="n">
        <v>262597243.351756</v>
      </c>
      <c r="AH19" s="8" t="n">
        <v>350772578.822393</v>
      </c>
      <c r="AI19" s="8"/>
      <c r="AJ19" s="8"/>
      <c r="AK19" s="8"/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AJ20/Sum(AJ$16:AJ$27)</f>
      </c>
      <c r="J20" s="6" t="str">
        <f>AK20/Sum(AK16:AK$27)</f>
      </c>
      <c r="M20" t="s">
        <v>84</v>
      </c>
      <c r="N20" s="8" t="n">
        <v>411604100.50959</v>
      </c>
      <c r="O20" s="8" t="n">
        <v>504858582.266272</v>
      </c>
      <c r="P20" s="8" t="n">
        <v>434760166.718772</v>
      </c>
      <c r="Q20" s="8" t="n">
        <v>521906709.175691</v>
      </c>
      <c r="R20" s="8" t="n">
        <v>592553478.298458</v>
      </c>
      <c r="S20" s="8" t="n">
        <v>519567599.347585</v>
      </c>
      <c r="T20" s="8" t="n">
        <v>556070197.368186</v>
      </c>
      <c r="U20" s="8" t="n">
        <v>732585364.037502</v>
      </c>
      <c r="V20" s="8" t="n">
        <v>824116849.078611</v>
      </c>
      <c r="W20" s="8" t="n">
        <v>365739116.622995</v>
      </c>
      <c r="X20" s="8" t="n">
        <v>188624985.605799</v>
      </c>
      <c r="Y20" s="8" t="n">
        <v>303886194.135091</v>
      </c>
      <c r="Z20" s="8" t="n">
        <v>173781452.458385</v>
      </c>
      <c r="AA20" s="8" t="n">
        <v>136442999.610849</v>
      </c>
      <c r="AB20" s="8" t="n">
        <v>147539195.949082</v>
      </c>
      <c r="AC20" s="8" t="n">
        <v>151869979.080939</v>
      </c>
      <c r="AD20" s="8" t="n">
        <v>235901918.441127</v>
      </c>
      <c r="AE20" s="8" t="n">
        <v>247911821.938855</v>
      </c>
      <c r="AF20" s="8" t="n">
        <v>286653521.101404</v>
      </c>
      <c r="AG20" s="8" t="n">
        <v>672643787.252129</v>
      </c>
      <c r="AH20" s="8" t="n">
        <v>737014021.800307</v>
      </c>
      <c r="AI20" s="8" t="n">
        <v>2202730.28194753</v>
      </c>
      <c r="AJ20" s="8" t="n">
        <v>1672161.125</v>
      </c>
      <c r="AK20" s="8" t="n">
        <v>235325.905166179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AJ21/Sum(AJ$16:AJ$27)</f>
      </c>
      <c r="J21" s="6" t="str">
        <f>AK21/Sum(AK16:AK$27)</f>
      </c>
      <c r="M21" t="s">
        <v>85</v>
      </c>
      <c r="N21" s="8" t="n">
        <v>45365696.018455</v>
      </c>
      <c r="O21" s="8" t="n">
        <v>39314475.2545641</v>
      </c>
      <c r="P21" s="8" t="n">
        <v>72426778.2701634</v>
      </c>
      <c r="Q21" s="8" t="n">
        <v>443301174.066237</v>
      </c>
      <c r="R21" s="8" t="n">
        <v>446287778.907023</v>
      </c>
      <c r="S21" s="8" t="n">
        <v>401624576.112481</v>
      </c>
      <c r="T21" s="8" t="n">
        <v>467345366.981125</v>
      </c>
      <c r="U21" s="8" t="n">
        <v>623586237.836297</v>
      </c>
      <c r="V21" s="8" t="n">
        <v>592519365.156544</v>
      </c>
      <c r="W21" s="8" t="n">
        <v>401699800.594602</v>
      </c>
      <c r="X21" s="8" t="n">
        <v>274603837.492387</v>
      </c>
      <c r="Y21" s="8" t="n">
        <v>182189260.110096</v>
      </c>
      <c r="Z21" s="8" t="n">
        <v>183589810.18755</v>
      </c>
      <c r="AA21" s="8" t="n">
        <v>119245643.90687</v>
      </c>
      <c r="AB21" s="8" t="n">
        <v>71113871.850696</v>
      </c>
      <c r="AC21" s="8" t="n">
        <v>77794513.594889</v>
      </c>
      <c r="AD21" s="8" t="n">
        <v>110411242.38434</v>
      </c>
      <c r="AE21" s="8" t="n">
        <v>210462022.373718</v>
      </c>
      <c r="AF21" s="8" t="n">
        <v>474004683.073946</v>
      </c>
      <c r="AG21" s="8" t="n">
        <v>971894461.00546</v>
      </c>
      <c r="AH21" s="8" t="n">
        <v>1825016249.10877</v>
      </c>
      <c r="AI21" s="8"/>
      <c r="AJ21" s="8" t="n">
        <v>6068033</v>
      </c>
      <c r="AK21" s="8" t="n">
        <v>1669410.93704902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AJ22/Sum(AJ$16:AJ$27)</f>
      </c>
      <c r="J22" s="6" t="str">
        <f>AK22/Sum(AK16:AK$27)</f>
      </c>
      <c r="M22" t="s">
        <v>86</v>
      </c>
      <c r="N22" s="8" t="n">
        <v>89737640.5012596</v>
      </c>
      <c r="O22" s="8" t="n">
        <v>184598458.746783</v>
      </c>
      <c r="P22" s="8" t="n">
        <v>368021259.394203</v>
      </c>
      <c r="Q22" s="8" t="n">
        <v>285933054.2588</v>
      </c>
      <c r="R22" s="8" t="n">
        <v>281731067.456072</v>
      </c>
      <c r="S22" s="8" t="n">
        <v>239512544.040618</v>
      </c>
      <c r="T22" s="8" t="n">
        <v>277480882.691423</v>
      </c>
      <c r="U22" s="8" t="n">
        <v>237090438.131699</v>
      </c>
      <c r="V22" s="8" t="n">
        <v>309987741.383812</v>
      </c>
      <c r="W22" s="8" t="n">
        <v>365431028.186463</v>
      </c>
      <c r="X22" s="8" t="n">
        <v>554823823.675488</v>
      </c>
      <c r="Y22" s="8" t="n">
        <v>525803232.005375</v>
      </c>
      <c r="Z22" s="8" t="n">
        <v>438977410.160291</v>
      </c>
      <c r="AA22" s="8" t="n">
        <v>401178541.38604</v>
      </c>
      <c r="AB22" s="8" t="n">
        <v>400879266.310953</v>
      </c>
      <c r="AC22" s="8" t="n">
        <v>112961071.763207</v>
      </c>
      <c r="AD22" s="8" t="n">
        <v>147242422.570037</v>
      </c>
      <c r="AE22" s="8" t="n">
        <v>168514528.614348</v>
      </c>
      <c r="AF22" s="8" t="n">
        <v>306941845.155684</v>
      </c>
      <c r="AG22" s="8" t="n">
        <v>248691497.652709</v>
      </c>
      <c r="AH22" s="8" t="n">
        <v>175161323.550672</v>
      </c>
      <c r="AI22" s="8" t="n">
        <v>115297200.919554</v>
      </c>
      <c r="AJ22" s="8" t="n">
        <v>84243507.6939</v>
      </c>
      <c r="AK22" s="8" t="n">
        <v>41872045.9091316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AJ23/Sum(AJ$16:AJ$27)</f>
      </c>
      <c r="J23" s="6" t="str">
        <f>AK23/Sum(AK16:AK$27)</f>
      </c>
      <c r="M23" t="s">
        <v>87</v>
      </c>
      <c r="N23" s="8" t="n">
        <v>1271182090.8862</v>
      </c>
      <c r="O23" s="8" t="n">
        <v>1244196362.22161</v>
      </c>
      <c r="P23" s="8" t="n">
        <v>1090666871.43867</v>
      </c>
      <c r="Q23" s="8" t="n">
        <v>427000353.859643</v>
      </c>
      <c r="R23" s="8" t="n">
        <v>685780969.412591</v>
      </c>
      <c r="S23" s="8" t="n">
        <v>952732543.347865</v>
      </c>
      <c r="T23" s="8" t="n">
        <v>823369082.459997</v>
      </c>
      <c r="U23" s="8" t="n">
        <v>941755589.428089</v>
      </c>
      <c r="V23" s="8" t="n">
        <v>333818884.036494</v>
      </c>
      <c r="W23" s="8" t="n">
        <v>294390319.122469</v>
      </c>
      <c r="X23" s="8" t="n">
        <v>500303114.510675</v>
      </c>
      <c r="Y23" s="8" t="n">
        <v>883711544.402557</v>
      </c>
      <c r="Z23" s="8" t="n">
        <v>1635549067.983</v>
      </c>
      <c r="AA23" s="8" t="n">
        <v>282765709.532835</v>
      </c>
      <c r="AB23" s="8" t="n">
        <v>276491982.535523</v>
      </c>
      <c r="AC23" s="8" t="n">
        <v>384577352.563113</v>
      </c>
      <c r="AD23" s="8" t="n">
        <v>458748563.962609</v>
      </c>
      <c r="AE23" s="8" t="n">
        <v>321485100.125313</v>
      </c>
      <c r="AF23" s="8" t="n">
        <v>459089919.232588</v>
      </c>
      <c r="AG23" s="8" t="n">
        <v>1075218899.55637</v>
      </c>
      <c r="AH23" s="8" t="n">
        <v>1272769550.59372</v>
      </c>
      <c r="AI23" s="8" t="n">
        <v>259808835.653529</v>
      </c>
      <c r="AJ23" s="8" t="n">
        <v>43889566.3232</v>
      </c>
      <c r="AK23" s="8" t="n">
        <v>40585216.9593108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AJ24/Sum(AJ$16:AJ$27)</f>
      </c>
      <c r="J24" s="6" t="str">
        <f>AK24/Sum(AK16:AK$27)</f>
      </c>
      <c r="M24" t="s">
        <v>88</v>
      </c>
      <c r="N24" s="8" t="n">
        <v>299162762.618541</v>
      </c>
      <c r="O24" s="8" t="n">
        <v>545867258.504119</v>
      </c>
      <c r="P24" s="8" t="n">
        <v>726253998.058143</v>
      </c>
      <c r="Q24" s="8" t="n">
        <v>1239050505.35416</v>
      </c>
      <c r="R24" s="8" t="n">
        <v>1251619243.96632</v>
      </c>
      <c r="S24" s="8" t="n">
        <v>1011980884.63156</v>
      </c>
      <c r="T24" s="8" t="n">
        <v>1372818148.62837</v>
      </c>
      <c r="U24" s="8" t="n">
        <v>781965564.469399</v>
      </c>
      <c r="V24" s="8" t="n">
        <v>914118131.439783</v>
      </c>
      <c r="W24" s="8" t="n">
        <v>738544124.037511</v>
      </c>
      <c r="X24" s="8" t="n">
        <v>898976152.174105</v>
      </c>
      <c r="Y24" s="8" t="n">
        <v>2136938823.86479</v>
      </c>
      <c r="Z24" s="8" t="n">
        <v>926058864.053649</v>
      </c>
      <c r="AA24" s="8" t="n">
        <v>1090294944.89093</v>
      </c>
      <c r="AB24" s="8" t="n">
        <v>513915060.457622</v>
      </c>
      <c r="AC24" s="8" t="n">
        <v>509768929.352855</v>
      </c>
      <c r="AD24" s="8" t="n">
        <v>331306768.485073</v>
      </c>
      <c r="AE24" s="8" t="n">
        <v>575279032.618993</v>
      </c>
      <c r="AF24" s="8" t="n">
        <v>130957557.966833</v>
      </c>
      <c r="AG24" s="8" t="n">
        <v>52293310.5935829</v>
      </c>
      <c r="AH24" s="8" t="n">
        <v>15735411.5232033</v>
      </c>
      <c r="AI24" s="8" t="n">
        <v>-5950760.19408323</v>
      </c>
      <c r="AJ24" s="8" t="n">
        <v>-1320000</v>
      </c>
      <c r="AK24" s="8" t="n">
        <v>0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AJ25/Sum(AJ$16:AJ$27)</f>
      </c>
      <c r="J25" s="6" t="str">
        <f>AK25/Sum(AK16:AK$27)</f>
      </c>
      <c r="M25" t="s">
        <v>89</v>
      </c>
      <c r="N25" s="8" t="n">
        <v>539967365.807601</v>
      </c>
      <c r="O25" s="8" t="n">
        <v>698717964.452272</v>
      </c>
      <c r="P25" s="8" t="n">
        <v>734648079.700977</v>
      </c>
      <c r="Q25" s="8" t="n">
        <v>821819265.727161</v>
      </c>
      <c r="R25" s="8" t="n">
        <v>811596864.839819</v>
      </c>
      <c r="S25" s="8" t="n">
        <v>882503661.869863</v>
      </c>
      <c r="T25" s="8" t="n">
        <v>914338100.798178</v>
      </c>
      <c r="U25" s="8" t="n">
        <v>832854308.872264</v>
      </c>
      <c r="V25" s="8" t="n">
        <v>1024916667.81873</v>
      </c>
      <c r="W25" s="8" t="n">
        <v>1044267528.43167</v>
      </c>
      <c r="X25" s="8" t="n">
        <v>1043123061.96435</v>
      </c>
      <c r="Y25" s="8" t="n">
        <v>1136381949.49081</v>
      </c>
      <c r="Z25" s="8" t="n">
        <v>1044395924.23286</v>
      </c>
      <c r="AA25" s="8" t="n">
        <v>1005157900.12468</v>
      </c>
      <c r="AB25" s="8" t="n">
        <v>884712802.804478</v>
      </c>
      <c r="AC25" s="8" t="n">
        <v>1008069412.67601</v>
      </c>
      <c r="AD25" s="8" t="n">
        <v>1030184961.83481</v>
      </c>
      <c r="AE25" s="8" t="n">
        <v>1035521479.64228</v>
      </c>
      <c r="AF25" s="8" t="n">
        <v>1102435618.26181</v>
      </c>
      <c r="AG25" s="8" t="n">
        <v>-7460642.57708868</v>
      </c>
      <c r="AH25" s="8" t="n">
        <v>-3199123.22392418</v>
      </c>
      <c r="AI25" s="8" t="n">
        <v>-2564920.20308731</v>
      </c>
      <c r="AJ25" s="8" t="n">
        <v>-2208787.75</v>
      </c>
      <c r="AK25" s="8"/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AJ26/Sum(AJ$16:AJ$27)</f>
      </c>
      <c r="J26" s="6" t="str">
        <f>AK26/Sum(AK16:AK$27)</f>
      </c>
      <c r="M26" t="s">
        <v>90</v>
      </c>
      <c r="N26" s="8"/>
      <c r="O26" s="8"/>
      <c r="P26" s="8" t="n">
        <v>5256343.66861969</v>
      </c>
      <c r="Q26" s="8" t="n">
        <v>11629726.9358504</v>
      </c>
      <c r="R26" s="8" t="n">
        <v>11861469.5626402</v>
      </c>
      <c r="S26" s="8" t="n">
        <v>12914891.6914009</v>
      </c>
      <c r="T26" s="8" t="n">
        <v>12381576.8478667</v>
      </c>
      <c r="U26" s="8" t="n">
        <v>12490018.8159615</v>
      </c>
      <c r="V26" s="8" t="n">
        <v>14218518.0842072</v>
      </c>
      <c r="W26" s="8" t="n">
        <v>13445779.4795364</v>
      </c>
      <c r="X26" s="8" t="n">
        <v>15597107.9105381</v>
      </c>
      <c r="Y26" s="8" t="n">
        <v>151278.170071314</v>
      </c>
      <c r="Z26" s="8" t="n">
        <v>224223.065294468</v>
      </c>
      <c r="AA26" s="8" t="n">
        <v>1588992801.7445</v>
      </c>
      <c r="AB26" s="8" t="n">
        <v>2969983005.74177</v>
      </c>
      <c r="AC26" s="8" t="n">
        <v>2094393886.79646</v>
      </c>
      <c r="AD26" s="8" t="n">
        <v>1873676546.39685</v>
      </c>
      <c r="AE26" s="8" t="n">
        <v>2438406972.84193</v>
      </c>
      <c r="AF26" s="8" t="n">
        <v>1782478887.10514</v>
      </c>
      <c r="AG26" s="8" t="n">
        <v>2048795215.8054</v>
      </c>
      <c r="AH26" s="8" t="n">
        <v>1573308466.08358</v>
      </c>
      <c r="AI26" s="8" t="n">
        <v>1270737958.99833</v>
      </c>
      <c r="AJ26" s="8" t="n">
        <v>1778304990.0626</v>
      </c>
      <c r="AK26" s="8" t="n">
        <v>255502599.676392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AJ27/Sum(AJ$16:AJ$27)</f>
      </c>
      <c r="J27" s="6" t="str">
        <f>AK27/Sum(AK16:AK$27)</f>
      </c>
      <c r="M27" t="s">
        <v>91</v>
      </c>
      <c r="N27" s="8" t="n">
        <v>277615053.834429</v>
      </c>
      <c r="O27" s="8" t="n">
        <v>475896900.182963</v>
      </c>
      <c r="P27" s="8" t="n">
        <v>1087211586.11534</v>
      </c>
      <c r="Q27" s="8" t="n">
        <v>994234144.696788</v>
      </c>
      <c r="R27" s="8" t="n">
        <v>1475188377.72901</v>
      </c>
      <c r="S27" s="8" t="n">
        <v>1210594884.29723</v>
      </c>
      <c r="T27" s="8" t="n">
        <v>1655378772.36426</v>
      </c>
      <c r="U27" s="8" t="n">
        <v>1655678245.94672</v>
      </c>
      <c r="V27" s="8" t="n">
        <v>2935627152.43086</v>
      </c>
      <c r="W27" s="8" t="n">
        <v>4112434308.21799</v>
      </c>
      <c r="X27" s="8" t="n">
        <v>3164559389.72077</v>
      </c>
      <c r="Y27" s="8" t="n">
        <v>3669907433.02222</v>
      </c>
      <c r="Z27" s="8" t="n">
        <v>4454470274.91713</v>
      </c>
      <c r="AA27" s="8" t="n">
        <v>1624544334.35272</v>
      </c>
      <c r="AB27" s="8" t="n">
        <v>2143903910.61785</v>
      </c>
      <c r="AC27" s="8" t="n">
        <v>758295417.64011</v>
      </c>
      <c r="AD27" s="8" t="n">
        <v>1121822508.31983</v>
      </c>
      <c r="AE27" s="8" t="n">
        <v>360027421.357323</v>
      </c>
      <c r="AF27" s="8" t="n">
        <v>346013954.482921</v>
      </c>
      <c r="AG27" s="8" t="n">
        <v>587318172.659718</v>
      </c>
      <c r="AH27" s="8" t="n">
        <v>192013441.407792</v>
      </c>
      <c r="AI27" s="8" t="n">
        <v>118059208.062446</v>
      </c>
      <c r="AJ27" s="8" t="n">
        <v>223512490.5709</v>
      </c>
      <c r="AK27" s="8" t="n">
        <v>2242289.021532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Sum(I$16:I$27)</f>
      </c>
      <c r="J28" s="6" t="str">
        <f>Sum(J$16:J$27)</f>
      </c>
      <c r="M28" t="s">
        <v>137</v>
      </c>
      <c r="N28" s="8" t="str">
        <f>Sum(N17:N27)</f>
      </c>
      <c r="O28" s="8" t="str">
        <f>Sum(O17:O27)</f>
      </c>
      <c r="P28" s="8" t="str">
        <f>Sum(P17:P27)</f>
      </c>
      <c r="Q28" s="8" t="str">
        <f>Sum(Q17:Q27)</f>
      </c>
      <c r="R28" s="8" t="str">
        <f>Sum(R17:R27)</f>
      </c>
      <c r="S28" s="8" t="str">
        <f>Sum(S17:S27)</f>
      </c>
      <c r="T28" s="8" t="str">
        <f>Sum(T17:T27)</f>
      </c>
      <c r="U28" s="8" t="str">
        <f>Sum(U17:U27)</f>
      </c>
      <c r="V28" s="8" t="str">
        <f>Sum(V17:V27)</f>
      </c>
      <c r="W28" s="8" t="str">
        <f>Sum(W17:W27)</f>
      </c>
      <c r="X28" s="8" t="str">
        <f>Sum(X17:X27)</f>
      </c>
      <c r="Y28" s="8" t="str">
        <f>Sum(Y17:Y27)</f>
      </c>
      <c r="Z28" s="8" t="str">
        <f>Sum(Z17:Z27)</f>
      </c>
      <c r="AA28" s="8" t="str">
        <f>Sum(AA17:AA27)</f>
      </c>
      <c r="AB28" s="8" t="str">
        <f>Sum(AB17:AB27)</f>
      </c>
      <c r="AC28" s="8" t="str">
        <f>Sum(AC17:AC27)</f>
      </c>
      <c r="AD28" s="8" t="str">
        <f>Sum(AD17:AD27)</f>
      </c>
      <c r="AE28" s="8" t="str">
        <f>Sum(AE17:AE27)</f>
      </c>
      <c r="AF28" s="8" t="str">
        <f>Sum(AF17:AF27)</f>
      </c>
      <c r="AG28" s="8" t="str">
        <f>Sum(AG17:AG27)</f>
      </c>
      <c r="AH28" s="8" t="str">
        <f>Sum(AH17:AH27)</f>
      </c>
      <c r="AI28" s="8" t="str">
        <f>Sum(AI17:AI27)</f>
      </c>
      <c r="AJ28" s="8" t="str">
        <f>Sum(AJ17:AJ27)</f>
      </c>
      <c r="AK28" s="8" t="str">
        <f>Sum(AK17:AK27)</f>
      </c>
      <c r="AL28" s="8"/>
      <c r="AM28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92</v>
      </c>
      <c r="N1" t="s">
        <v>93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94</v>
      </c>
      <c r="N2" t="n">
        <v>2042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 t="n">
        <v>11173883.6290573</v>
      </c>
      <c r="AJ2" s="9"/>
      <c r="AK2" s="9"/>
      <c r="AL2" s="9"/>
      <c r="AM2" s="9"/>
    </row>
    <row r="3">
      <c r="M3" t="s">
        <v>95</v>
      </c>
      <c r="N3" t="n">
        <v>2046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 t="n">
        <v>10642550.0580806</v>
      </c>
      <c r="AE3" s="9" t="n">
        <v>27010563.3932382</v>
      </c>
      <c r="AF3" s="9" t="n">
        <v>12191491.3389343</v>
      </c>
      <c r="AG3" s="9" t="n">
        <v>19173245.8772322</v>
      </c>
      <c r="AH3" s="9" t="n">
        <v>4567488.72715664</v>
      </c>
      <c r="AI3" s="9" t="n">
        <v>5220355.19280446</v>
      </c>
      <c r="AJ3" s="9" t="n">
        <v>1198000.79596913</v>
      </c>
      <c r="AK3" s="9" t="n">
        <v>-376444.9053</v>
      </c>
      <c r="AL3" s="9" t="n">
        <v>-251339.106933721</v>
      </c>
      <c r="AM3" s="9"/>
    </row>
    <row r="4">
      <c r="M4" t="s">
        <v>96</v>
      </c>
      <c r="N4" t="n">
        <v>2249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 t="n">
        <v>67018137.8789467</v>
      </c>
      <c r="AJ4" s="9"/>
      <c r="AK4" s="9"/>
      <c r="AL4" s="9"/>
      <c r="AM4" s="9"/>
    </row>
    <row r="5">
      <c r="M5" t="s">
        <v>71</v>
      </c>
      <c r="N5" t="n">
        <v>668</v>
      </c>
      <c r="O5" s="9"/>
      <c r="P5" s="9"/>
      <c r="Q5" s="9"/>
      <c r="R5" s="9"/>
      <c r="S5" s="9" t="n">
        <v>1935305.80529714</v>
      </c>
      <c r="T5" s="9" t="n">
        <v>2980225.91645666</v>
      </c>
      <c r="U5" s="9" t="n">
        <v>1817575.21834059</v>
      </c>
      <c r="V5" s="9" t="n">
        <v>30848560.0221571</v>
      </c>
      <c r="W5" s="9" t="n">
        <v>39752886.0827876</v>
      </c>
      <c r="X5" s="9" t="n">
        <v>30632921.1478029</v>
      </c>
      <c r="Y5" s="9" t="n">
        <v>23097785.8923567</v>
      </c>
      <c r="Z5" s="9" t="n">
        <v>17858084.9920318</v>
      </c>
      <c r="AA5" s="9" t="n">
        <v>323662112.402509</v>
      </c>
      <c r="AB5" s="9" t="n">
        <v>912608028.11924</v>
      </c>
      <c r="AC5" s="9" t="n">
        <v>413181120.023604</v>
      </c>
      <c r="AD5" s="9" t="n">
        <v>377724515.476438</v>
      </c>
      <c r="AE5" s="9" t="n">
        <v>354187149.665976</v>
      </c>
      <c r="AF5" s="9" t="n">
        <v>624242171.877043</v>
      </c>
      <c r="AG5" s="9" t="n">
        <v>153583317.06629</v>
      </c>
      <c r="AH5" s="9" t="n">
        <v>223046392.900402</v>
      </c>
      <c r="AI5" s="9" t="n">
        <v>205437349.842649</v>
      </c>
      <c r="AJ5" s="9" t="n">
        <v>67412464.6743734</v>
      </c>
      <c r="AK5" s="9" t="n">
        <v>30680273.4291</v>
      </c>
      <c r="AL5" s="9" t="n">
        <v>9366596.95580044</v>
      </c>
      <c r="AM5" s="9"/>
    </row>
    <row r="6">
      <c r="M6" t="s">
        <v>97</v>
      </c>
      <c r="N6" t="n">
        <v>1543</v>
      </c>
      <c r="O6" s="9" t="n">
        <v>26770544.8598804</v>
      </c>
      <c r="P6" s="9" t="n">
        <v>15125708.9639735</v>
      </c>
      <c r="Q6" s="9" t="n">
        <v>7158636.75111334</v>
      </c>
      <c r="R6" s="9" t="n">
        <v>595118.299775792</v>
      </c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98</v>
      </c>
      <c r="N7" t="n">
        <v>1919</v>
      </c>
      <c r="O7" s="9" t="n">
        <v>37441614.5848203</v>
      </c>
      <c r="P7" s="9" t="n">
        <v>22076106.3689554</v>
      </c>
      <c r="Q7" s="9" t="n">
        <v>32092879.2467635</v>
      </c>
      <c r="R7" s="9" t="n">
        <v>26890413.1904714</v>
      </c>
      <c r="S7" s="9" t="n">
        <v>16523348.7770875</v>
      </c>
      <c r="T7" s="9" t="n">
        <v>9126390.93442129</v>
      </c>
      <c r="U7" s="9" t="n">
        <v>7290727.62254695</v>
      </c>
      <c r="V7" s="9" t="n">
        <v>6832649.62805553</v>
      </c>
      <c r="W7" s="9" t="n">
        <v>2498155.53606962</v>
      </c>
      <c r="X7" s="9" t="n">
        <v>533594.560424681</v>
      </c>
      <c r="Y7" s="9" t="n">
        <v>816797.53450672</v>
      </c>
      <c r="Z7" s="9" t="n">
        <v>0</v>
      </c>
      <c r="AA7" s="9" t="n">
        <v>-42769.6058918396</v>
      </c>
      <c r="AB7" s="9" t="n">
        <v>-635232.867528656</v>
      </c>
      <c r="AC7" s="9" t="n">
        <v>-23556.6744750141</v>
      </c>
      <c r="AD7" s="9" t="n">
        <v>-1580593.771501</v>
      </c>
      <c r="AE7" s="9"/>
      <c r="AF7" s="9"/>
      <c r="AG7" s="9" t="n">
        <v>-10604.9320808798</v>
      </c>
      <c r="AH7" s="9" t="n">
        <v>-44614.208029853</v>
      </c>
      <c r="AI7" s="9"/>
      <c r="AJ7" s="9"/>
      <c r="AK7" s="9"/>
      <c r="AL7" s="9"/>
      <c r="AM7" s="9"/>
    </row>
    <row r="8">
      <c r="M8" t="s">
        <v>99</v>
      </c>
      <c r="N8" t="n">
        <v>1920</v>
      </c>
      <c r="O8" s="9"/>
      <c r="P8" s="9"/>
      <c r="Q8" s="9"/>
      <c r="R8" s="9" t="n">
        <v>36154958.6449171</v>
      </c>
      <c r="S8" s="9" t="n">
        <v>4465161.56070794</v>
      </c>
      <c r="T8" s="9" t="n">
        <v>5495517.06018521</v>
      </c>
      <c r="U8" s="9" t="n">
        <v>2796269.56667783</v>
      </c>
      <c r="V8" s="9" t="n">
        <v>0</v>
      </c>
      <c r="W8" s="9" t="n">
        <v>-71792.2304138663</v>
      </c>
      <c r="X8" s="9" t="n">
        <v>0</v>
      </c>
      <c r="Y8" s="9" t="n">
        <v>0</v>
      </c>
      <c r="Z8" s="9" t="n">
        <v>-2334275.09096355</v>
      </c>
      <c r="AA8" s="9" t="n">
        <v>-1.43560199972609</v>
      </c>
      <c r="AB8" s="9"/>
      <c r="AC8" s="9"/>
      <c r="AD8" s="9"/>
      <c r="AE8" s="9" t="n">
        <v>0</v>
      </c>
      <c r="AF8" s="9" t="n">
        <v>211212.641246799</v>
      </c>
      <c r="AG8" s="9"/>
      <c r="AH8" s="9"/>
      <c r="AI8" s="9"/>
      <c r="AJ8" s="9"/>
      <c r="AK8" s="9"/>
      <c r="AL8" s="9"/>
      <c r="AM8" s="9"/>
    </row>
    <row r="9">
      <c r="M9" t="s">
        <v>100</v>
      </c>
      <c r="N9" t="n">
        <v>2071</v>
      </c>
      <c r="O9" s="9"/>
      <c r="P9" s="9"/>
      <c r="Q9" s="9"/>
      <c r="R9" s="9" t="n">
        <v>1224986.20895829</v>
      </c>
      <c r="S9" s="9" t="n">
        <v>14874796.2618157</v>
      </c>
      <c r="T9" s="9" t="n">
        <v>5334250.72392751</v>
      </c>
      <c r="U9" s="9" t="n">
        <v>6074115.47439849</v>
      </c>
      <c r="V9" s="9" t="n">
        <v>3617503.22815717</v>
      </c>
      <c r="W9" s="9" t="n">
        <v>-666507.885826042</v>
      </c>
      <c r="X9" s="9"/>
      <c r="Y9" s="9"/>
      <c r="Z9" s="9" t="n">
        <v>-359067.209611681</v>
      </c>
      <c r="AA9" s="9"/>
      <c r="AB9" s="9"/>
      <c r="AC9" s="9"/>
      <c r="AD9" s="9" t="n">
        <v>-62861.941219719</v>
      </c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101</v>
      </c>
      <c r="N10" t="n">
        <v>1517</v>
      </c>
      <c r="O10" s="9" t="n">
        <v>96981116.6559196</v>
      </c>
      <c r="P10" s="9" t="n">
        <v>65293515.6186832</v>
      </c>
      <c r="Q10" s="9" t="n">
        <v>69746674.481667</v>
      </c>
      <c r="R10" s="9" t="n">
        <v>20250825.5577044</v>
      </c>
      <c r="S10" s="9"/>
      <c r="T10" s="9"/>
      <c r="U10" s="9"/>
      <c r="V10" s="9"/>
      <c r="W10" s="9"/>
      <c r="X10" s="9"/>
      <c r="Y10" s="9"/>
      <c r="Z10" s="9"/>
      <c r="AA10" s="9" t="n">
        <v>0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102</v>
      </c>
      <c r="N11" t="n">
        <v>473</v>
      </c>
      <c r="O11" s="9" t="n">
        <v>11306361.8546687</v>
      </c>
      <c r="P11" s="9" t="n">
        <v>14096441.4122277</v>
      </c>
      <c r="Q11" s="9" t="n">
        <v>745999.753727571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103</v>
      </c>
      <c r="N12" t="n">
        <v>617</v>
      </c>
      <c r="O12" s="9"/>
      <c r="P12" s="9"/>
      <c r="Q12" s="9"/>
      <c r="R12" s="9"/>
      <c r="S12" s="9" t="n">
        <v>31836938.0535515</v>
      </c>
      <c r="T12" s="9" t="n">
        <v>49149119.0834142</v>
      </c>
      <c r="U12" s="9" t="n">
        <v>23409320.2111393</v>
      </c>
      <c r="V12" s="9" t="n">
        <v>45172797.4608941</v>
      </c>
      <c r="W12" s="9" t="n">
        <v>43672449.038877</v>
      </c>
      <c r="X12" s="9" t="n">
        <v>38690917.4443629</v>
      </c>
      <c r="Y12" s="9" t="n">
        <v>40956116.7873825</v>
      </c>
      <c r="Z12" s="9" t="n">
        <v>34724068.571419</v>
      </c>
      <c r="AA12" s="9" t="n">
        <v>30257635.7273918</v>
      </c>
      <c r="AB12" s="9" t="n">
        <v>41853289.1410341</v>
      </c>
      <c r="AC12" s="9" t="n">
        <v>8134919.07268691</v>
      </c>
      <c r="AD12" s="9" t="n">
        <v>14869351.1812922</v>
      </c>
      <c r="AE12" s="9" t="n">
        <v>13960252.9232081</v>
      </c>
      <c r="AF12" s="9" t="n">
        <v>2767894.65242456</v>
      </c>
      <c r="AG12" s="9" t="n">
        <v>0</v>
      </c>
      <c r="AH12" s="9" t="n">
        <v>-377193.508384657</v>
      </c>
      <c r="AI12" s="9" t="n">
        <v>-12007.2492222364</v>
      </c>
      <c r="AJ12" s="9"/>
      <c r="AK12" s="9"/>
      <c r="AL12" s="9"/>
      <c r="AM12" s="9"/>
    </row>
    <row r="13">
      <c r="M13" t="s">
        <v>104</v>
      </c>
      <c r="N13" t="n">
        <v>1794</v>
      </c>
      <c r="O13" s="9"/>
      <c r="P13" s="9"/>
      <c r="Q13" s="9"/>
      <c r="R13" s="9"/>
      <c r="S13" s="9"/>
      <c r="T13" s="9"/>
      <c r="U13" s="9"/>
      <c r="V13" s="9" t="n">
        <v>360082.879793912</v>
      </c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105</v>
      </c>
      <c r="N14" t="n">
        <v>19</v>
      </c>
      <c r="O14" s="9"/>
      <c r="P14" s="9"/>
      <c r="Q14" s="9"/>
      <c r="R14" s="9"/>
      <c r="S14" s="9"/>
      <c r="T14" s="9"/>
      <c r="U14" s="9"/>
      <c r="V14" s="9"/>
      <c r="W14" s="9" t="n">
        <v>0</v>
      </c>
      <c r="X14" s="9"/>
      <c r="Y14" s="9" t="n">
        <v>6048.74796347701</v>
      </c>
      <c r="Z14" s="9"/>
      <c r="AA14" s="9" t="n">
        <v>417967.966420252</v>
      </c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106</v>
      </c>
      <c r="N15" t="n">
        <v>1641</v>
      </c>
      <c r="O15" s="9" t="n">
        <v>47359285.5448533</v>
      </c>
      <c r="P15" s="9" t="n">
        <v>37452719.3819228</v>
      </c>
      <c r="Q15" s="9" t="n">
        <v>23548051.2098002</v>
      </c>
      <c r="R15" s="9" t="n">
        <v>11178821.6484861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 t="n">
        <v>0</v>
      </c>
      <c r="AI15" s="9"/>
      <c r="AJ15" s="9"/>
      <c r="AK15" s="9"/>
      <c r="AL15" s="9"/>
      <c r="AM15" s="9"/>
    </row>
    <row r="16">
      <c r="M16" t="s">
        <v>107</v>
      </c>
      <c r="N16" t="n">
        <v>618</v>
      </c>
      <c r="O16" s="9"/>
      <c r="P16" s="9"/>
      <c r="Q16" s="9"/>
      <c r="R16" s="9"/>
      <c r="S16" s="9"/>
      <c r="T16" s="9"/>
      <c r="U16" s="9"/>
      <c r="V16" s="9" t="n">
        <v>40552.3449287311</v>
      </c>
      <c r="W16" s="9" t="n">
        <v>396386.06987268</v>
      </c>
      <c r="X16" s="9" t="n">
        <v>250722.515226877</v>
      </c>
      <c r="Y16" s="9" t="n">
        <v>103753.094038677</v>
      </c>
      <c r="Z16" s="9" t="n">
        <v>70836.2661590359</v>
      </c>
      <c r="AA16" s="9" t="n">
        <v>-8594.47063836018</v>
      </c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72</v>
      </c>
      <c r="N17" t="n">
        <v>72</v>
      </c>
      <c r="O17" s="9"/>
      <c r="P17" s="9"/>
      <c r="Q17" s="9"/>
      <c r="R17" s="9"/>
      <c r="S17" s="9" t="n">
        <v>1768490.94850235</v>
      </c>
      <c r="T17" s="9" t="n">
        <v>1358282.74142862</v>
      </c>
      <c r="U17" s="9" t="n">
        <v>1240848270.19808</v>
      </c>
      <c r="V17" s="9" t="n">
        <v>420839197.479246</v>
      </c>
      <c r="W17" s="9" t="n">
        <v>1936653320.37506</v>
      </c>
      <c r="X17" s="9" t="n">
        <v>1858489242.65625</v>
      </c>
      <c r="Y17" s="9" t="n">
        <v>1712516251.48942</v>
      </c>
      <c r="Z17" s="9" t="n">
        <v>2148839739.95142</v>
      </c>
      <c r="AA17" s="9" t="n">
        <v>3098427084.38996</v>
      </c>
      <c r="AB17" s="9" t="n">
        <v>1601837776.95923</v>
      </c>
      <c r="AC17" s="9" t="n">
        <v>3123950210.45184</v>
      </c>
      <c r="AD17" s="9" t="n">
        <v>2122920460.39838</v>
      </c>
      <c r="AE17" s="9" t="n">
        <v>1923576561.08127</v>
      </c>
      <c r="AF17" s="9" t="n">
        <v>2448144362.85241</v>
      </c>
      <c r="AG17" s="9" t="n">
        <v>1774529827.13142</v>
      </c>
      <c r="AH17" s="9" t="n">
        <v>1429183326.40534</v>
      </c>
      <c r="AI17" s="9" t="n">
        <v>639074785.346988</v>
      </c>
      <c r="AJ17" s="9" t="n">
        <v>427833290.379516</v>
      </c>
      <c r="AK17" s="9" t="n">
        <v>478920083.1773</v>
      </c>
      <c r="AL17" s="9" t="n">
        <v>202986861.343484</v>
      </c>
      <c r="AM17" s="9"/>
    </row>
    <row r="18">
      <c r="M18" t="s">
        <v>108</v>
      </c>
      <c r="N18" t="n">
        <v>1521</v>
      </c>
      <c r="O18" s="9" t="n">
        <v>131326292.854271</v>
      </c>
      <c r="P18" s="9" t="n">
        <v>622900543.562025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109</v>
      </c>
      <c r="N19" t="n">
        <v>1937</v>
      </c>
      <c r="O19" s="9" t="n">
        <v>186458044.572078</v>
      </c>
      <c r="P19" s="9" t="n">
        <v>260977584.542016</v>
      </c>
      <c r="Q19" s="9" t="n">
        <v>360882337.544434</v>
      </c>
      <c r="R19" s="9" t="n">
        <v>324437792.951063</v>
      </c>
      <c r="S19" s="9" t="n">
        <v>224872613.385901</v>
      </c>
      <c r="T19" s="9" t="n">
        <v>549124005.987974</v>
      </c>
      <c r="U19" s="9" t="n">
        <v>651698810.309636</v>
      </c>
      <c r="V19" s="9" t="n">
        <v>372076863.02494</v>
      </c>
      <c r="W19" s="9" t="n">
        <v>417343573.065009</v>
      </c>
      <c r="X19" s="9" t="n">
        <v>317009354.430101</v>
      </c>
      <c r="Y19" s="9" t="n">
        <v>275080213.769432</v>
      </c>
      <c r="Z19" s="9" t="n">
        <v>240594755.362259</v>
      </c>
      <c r="AA19" s="9" t="n">
        <v>133840791.149759</v>
      </c>
      <c r="AB19" s="9" t="n">
        <v>24511805.8286679</v>
      </c>
      <c r="AC19" s="9" t="n">
        <v>-4992251.8352508</v>
      </c>
      <c r="AD19" s="9" t="n">
        <v>-4127870.01534899</v>
      </c>
      <c r="AE19" s="9" t="n">
        <v>0</v>
      </c>
      <c r="AF19" s="9" t="n">
        <v>0</v>
      </c>
      <c r="AG19" s="9" t="n">
        <v>-3652070.48783529</v>
      </c>
      <c r="AH19" s="9"/>
      <c r="AI19" s="9"/>
      <c r="AJ19" s="9"/>
      <c r="AK19" s="9"/>
      <c r="AL19" s="9"/>
      <c r="AM19" s="9"/>
    </row>
    <row r="20">
      <c r="M20" t="s">
        <v>110</v>
      </c>
      <c r="N20" t="n">
        <v>648</v>
      </c>
      <c r="O20" s="9"/>
      <c r="P20" s="9"/>
      <c r="Q20" s="9"/>
      <c r="R20" s="9"/>
      <c r="S20" s="9" t="n">
        <v>2408849.31202222</v>
      </c>
      <c r="T20" s="9" t="n">
        <v>46986219.7224879</v>
      </c>
      <c r="U20" s="9" t="n">
        <v>23121809.1724283</v>
      </c>
      <c r="V20" s="9" t="n">
        <v>9256112.19367425</v>
      </c>
      <c r="W20" s="9" t="n">
        <v>29422937.1325328</v>
      </c>
      <c r="X20" s="9" t="n">
        <v>53274568.7167687</v>
      </c>
      <c r="Y20" s="9" t="n">
        <v>52853580.9522683</v>
      </c>
      <c r="Z20" s="9" t="n">
        <v>50818499.1714928</v>
      </c>
      <c r="AA20" s="9" t="n">
        <v>99570185.5001538</v>
      </c>
      <c r="AB20" s="9" t="n">
        <v>55002261.8118732</v>
      </c>
      <c r="AC20" s="9" t="n">
        <v>26111219.3863776</v>
      </c>
      <c r="AD20" s="9" t="n">
        <v>42004624.7229384</v>
      </c>
      <c r="AE20" s="9" t="n">
        <v>21835519.8092767</v>
      </c>
      <c r="AF20" s="9" t="n">
        <v>8237572.10538511</v>
      </c>
      <c r="AG20" s="9" t="n">
        <v>14440366.6379096</v>
      </c>
      <c r="AH20" s="9" t="n">
        <v>10570965.5965545</v>
      </c>
      <c r="AI20" s="9" t="n">
        <v>8225486.23121455</v>
      </c>
      <c r="AJ20" s="9" t="n">
        <v>-134.730236960461</v>
      </c>
      <c r="AK20" s="9" t="n">
        <v>-722866.1666</v>
      </c>
      <c r="AL20" s="9"/>
      <c r="AM20" s="9"/>
    </row>
    <row r="21">
      <c r="M21" t="s">
        <v>111</v>
      </c>
      <c r="N21" t="n">
        <v>2187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 t="n">
        <v>121575390.62278</v>
      </c>
      <c r="AJ21" s="9"/>
      <c r="AK21" s="9"/>
      <c r="AL21" s="9"/>
      <c r="AM21" s="9"/>
    </row>
    <row r="22">
      <c r="M22" t="s">
        <v>112</v>
      </c>
      <c r="N22" t="n">
        <v>2229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 t="n">
        <v>0</v>
      </c>
      <c r="AG22" s="9"/>
      <c r="AH22" s="9"/>
      <c r="AI22" s="9"/>
      <c r="AJ22" s="9"/>
      <c r="AK22" s="9"/>
      <c r="AL22" s="9"/>
      <c r="AM22" s="9"/>
    </row>
    <row r="23">
      <c r="M23" t="s">
        <v>113</v>
      </c>
      <c r="N23" t="n">
        <v>1607</v>
      </c>
      <c r="O23" s="9" t="n">
        <v>-105368.219465647</v>
      </c>
      <c r="P23" s="9"/>
      <c r="Q23" s="9"/>
      <c r="R23" s="9" t="n">
        <v>2748993.69068756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114</v>
      </c>
      <c r="N24" t="n">
        <v>696</v>
      </c>
      <c r="O24" s="9"/>
      <c r="P24" s="9"/>
      <c r="Q24" s="9"/>
      <c r="R24" s="9"/>
      <c r="S24" s="9"/>
      <c r="T24" s="9"/>
      <c r="U24" s="9"/>
      <c r="V24" s="9" t="n">
        <v>60368240.1132539</v>
      </c>
      <c r="W24" s="9" t="n">
        <v>26149484.8875809</v>
      </c>
      <c r="X24" s="9" t="n">
        <v>4565181.75534446</v>
      </c>
      <c r="Y24" s="9" t="n">
        <v>8153168.43156986</v>
      </c>
      <c r="Z24" s="9" t="n">
        <v>4789089.6853852</v>
      </c>
      <c r="AA24" s="9" t="n">
        <v>23060.2254079501</v>
      </c>
      <c r="AB24" s="9" t="n">
        <v>497412.988092724</v>
      </c>
      <c r="AC24" s="9" t="n">
        <v>29914922.6382772</v>
      </c>
      <c r="AD24" s="9" t="n">
        <v>11647480.8871149</v>
      </c>
      <c r="AE24" s="9" t="n">
        <v>70225603.9430789</v>
      </c>
      <c r="AF24" s="9" t="n">
        <v>59358182.5086766</v>
      </c>
      <c r="AG24" s="9" t="n">
        <v>60251624.6248368</v>
      </c>
      <c r="AH24" s="9" t="n">
        <v>108387948.744048</v>
      </c>
      <c r="AI24" s="9" t="n">
        <v>60515172.8633949</v>
      </c>
      <c r="AJ24" s="9" t="n">
        <v>53311723.4655984</v>
      </c>
      <c r="AK24" s="9" t="n">
        <v>6893727.9219</v>
      </c>
      <c r="AL24" s="9" t="n">
        <v>-63729.558885828</v>
      </c>
      <c r="AM24" s="9"/>
    </row>
    <row r="25">
      <c r="M25" t="s">
        <v>115</v>
      </c>
      <c r="N25" t="n">
        <v>1524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 t="n">
        <v>-3968662.95591347</v>
      </c>
      <c r="AF25" s="9"/>
      <c r="AG25" s="9"/>
      <c r="AH25" s="9"/>
      <c r="AI25" s="9"/>
      <c r="AJ25" s="9"/>
      <c r="AK25" s="9"/>
      <c r="AL25" s="9"/>
      <c r="AM25" s="9"/>
    </row>
    <row r="26">
      <c r="M26" t="s">
        <v>116</v>
      </c>
      <c r="N26" t="n">
        <v>1539</v>
      </c>
      <c r="O26" s="9" t="n">
        <v>57001317.8055859</v>
      </c>
      <c r="P26" s="9" t="n">
        <v>56378152.7442341</v>
      </c>
      <c r="Q26" s="9" t="n">
        <v>57032780.7499361</v>
      </c>
      <c r="R26" s="9" t="n">
        <v>17352856.8598063</v>
      </c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>
      <c r="M27" t="s">
        <v>73</v>
      </c>
      <c r="N27" t="n">
        <v>1869</v>
      </c>
      <c r="O27" s="9" t="n">
        <v>569905946.899646</v>
      </c>
      <c r="P27" s="9" t="n">
        <v>566223400.533144</v>
      </c>
      <c r="Q27" s="9" t="n">
        <v>213565902.971437</v>
      </c>
      <c r="R27" s="9" t="n">
        <v>88392976.4267451</v>
      </c>
      <c r="S27" s="9" t="n">
        <v>233465805.267387</v>
      </c>
      <c r="T27" s="9" t="n">
        <v>340735407.206551</v>
      </c>
      <c r="U27" s="9" t="n">
        <v>319599291.774826</v>
      </c>
      <c r="V27" s="9" t="n">
        <v>503572863.539307</v>
      </c>
      <c r="W27" s="9" t="n">
        <v>476759490.473703</v>
      </c>
      <c r="X27" s="9" t="n">
        <v>340334859.145447</v>
      </c>
      <c r="Y27" s="9" t="n">
        <v>127036919.084377</v>
      </c>
      <c r="Z27" s="9" t="n">
        <v>136503426.137113</v>
      </c>
      <c r="AA27" s="9" t="n">
        <v>113523328.854624</v>
      </c>
      <c r="AB27" s="9" t="n">
        <v>134779805.843567</v>
      </c>
      <c r="AC27" s="9" t="n">
        <v>98332995.0232779</v>
      </c>
      <c r="AD27" s="9" t="n">
        <v>41953222.3172083</v>
      </c>
      <c r="AE27" s="9" t="n">
        <v>-40073.3009195112</v>
      </c>
      <c r="AF27" s="9" t="n">
        <v>23465.988817402</v>
      </c>
      <c r="AG27" s="9" t="n">
        <v>-19077.1280472261</v>
      </c>
      <c r="AH27" s="9" t="n">
        <v>-1421.33799740243</v>
      </c>
      <c r="AI27" s="9" t="n">
        <v>-769911.597582044</v>
      </c>
      <c r="AJ27" s="9"/>
      <c r="AK27" s="9"/>
      <c r="AL27" s="9"/>
      <c r="AM27" s="9"/>
    </row>
    <row r="28">
      <c r="M28" t="s">
        <v>74</v>
      </c>
      <c r="N28" t="n">
        <v>1343</v>
      </c>
      <c r="O28" s="9"/>
      <c r="P28" s="9"/>
      <c r="Q28" s="9"/>
      <c r="R28" s="9"/>
      <c r="S28" s="9" t="n">
        <v>69911528.4482281</v>
      </c>
      <c r="T28" s="9" t="n">
        <v>523016412.911798</v>
      </c>
      <c r="U28" s="9" t="n">
        <v>590726926.974896</v>
      </c>
      <c r="V28" s="9" t="n">
        <v>815729108.296692</v>
      </c>
      <c r="W28" s="9" t="n">
        <v>842021257.959759</v>
      </c>
      <c r="X28" s="9" t="n">
        <v>1145788058.40686</v>
      </c>
      <c r="Y28" s="9" t="n">
        <v>560713579.281897</v>
      </c>
      <c r="Z28" s="9" t="n">
        <v>986974000.487082</v>
      </c>
      <c r="AA28" s="9" t="n">
        <v>372318672.92659</v>
      </c>
      <c r="AB28" s="9" t="n">
        <v>692743891.977936</v>
      </c>
      <c r="AC28" s="9" t="n">
        <v>115773775.472027</v>
      </c>
      <c r="AD28" s="9" t="n">
        <v>102885079.089486</v>
      </c>
      <c r="AE28" s="9" t="n">
        <v>107223940.254083</v>
      </c>
      <c r="AF28" s="9" t="n">
        <v>79649322.3793766</v>
      </c>
      <c r="AG28" s="9" t="n">
        <v>89056331.7781561</v>
      </c>
      <c r="AH28" s="9" t="n">
        <v>115103748.574685</v>
      </c>
      <c r="AI28" s="9" t="n">
        <v>23554859.480102</v>
      </c>
      <c r="AJ28" s="9" t="n">
        <v>528969.462553472</v>
      </c>
      <c r="AK28" s="9" t="n">
        <v>6013449.3887</v>
      </c>
      <c r="AL28" s="9" t="n">
        <v>1669410.93704902</v>
      </c>
      <c r="AM28" s="9"/>
    </row>
    <row r="29">
      <c r="M29" t="s">
        <v>117</v>
      </c>
      <c r="N29" t="n">
        <v>2247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 t="n">
        <v>54959927.0160383</v>
      </c>
      <c r="AJ29" s="9"/>
      <c r="AK29" s="9"/>
      <c r="AL29" s="9"/>
      <c r="AM29" s="9"/>
    </row>
    <row r="30">
      <c r="M30" t="s">
        <v>118</v>
      </c>
      <c r="N30" t="n">
        <v>1613</v>
      </c>
      <c r="O30" s="9" t="n">
        <v>32176330.0491843</v>
      </c>
      <c r="P30" s="9" t="n">
        <v>115877438.658192</v>
      </c>
      <c r="Q30" s="9" t="n">
        <v>114372337.47792</v>
      </c>
      <c r="R30" s="9" t="n">
        <v>385024840.210617</v>
      </c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 t="n">
        <v>0</v>
      </c>
      <c r="AI30" s="9"/>
      <c r="AJ30" s="9"/>
      <c r="AK30" s="9"/>
      <c r="AL30" s="9"/>
      <c r="AM30" s="9"/>
    </row>
    <row r="31">
      <c r="M31" t="s">
        <v>75</v>
      </c>
      <c r="N31" t="n">
        <v>62</v>
      </c>
      <c r="O31" s="9"/>
      <c r="P31" s="9"/>
      <c r="Q31" s="9"/>
      <c r="R31" s="9"/>
      <c r="S31" s="9" t="n">
        <v>332778198.610471</v>
      </c>
      <c r="T31" s="9" t="n">
        <v>336428093.039556</v>
      </c>
      <c r="U31" s="9" t="n">
        <v>349605074.809823</v>
      </c>
      <c r="V31" s="9" t="n">
        <v>492521601.386627</v>
      </c>
      <c r="W31" s="9" t="n">
        <v>916462229.261514</v>
      </c>
      <c r="X31" s="9" t="n">
        <v>1202183745.4672</v>
      </c>
      <c r="Y31" s="9" t="n">
        <v>1364669487.44071</v>
      </c>
      <c r="Z31" s="9" t="n">
        <v>1259687640.4859</v>
      </c>
      <c r="AA31" s="9" t="n">
        <v>1562067196.46459</v>
      </c>
      <c r="AB31" s="9" t="n">
        <v>1106541664.85067</v>
      </c>
      <c r="AC31" s="9" t="n">
        <v>1649243167.83127</v>
      </c>
      <c r="AD31" s="9" t="n">
        <v>819459111.660537</v>
      </c>
      <c r="AE31" s="9" t="n">
        <v>1209815521.02632</v>
      </c>
      <c r="AF31" s="9" t="n">
        <v>732685398.22564</v>
      </c>
      <c r="AG31" s="9" t="n">
        <v>810180200.705654</v>
      </c>
      <c r="AH31" s="9" t="n">
        <v>619727101.742497</v>
      </c>
      <c r="AI31" s="9" t="n">
        <v>540492754.465256</v>
      </c>
      <c r="AJ31" s="9" t="n">
        <v>393818532.451407</v>
      </c>
      <c r="AK31" s="9" t="n">
        <v>362597635.0343</v>
      </c>
      <c r="AL31" s="9" t="n">
        <v>171270121.947005</v>
      </c>
      <c r="AM31" s="9"/>
    </row>
    <row r="32">
      <c r="M32" t="s">
        <v>119</v>
      </c>
      <c r="N32" t="n">
        <v>1829</v>
      </c>
      <c r="O32" s="9"/>
      <c r="P32" s="9"/>
      <c r="Q32" s="9"/>
      <c r="R32" s="9"/>
      <c r="S32" s="9" t="n">
        <v>37069484.2500111</v>
      </c>
      <c r="T32" s="9" t="n">
        <v>6536514.81395521</v>
      </c>
      <c r="U32" s="9" t="n">
        <v>23823087.0151902</v>
      </c>
      <c r="V32" s="9" t="n">
        <v>40653736.6775885</v>
      </c>
      <c r="W32" s="9" t="n">
        <v>19867550.993062</v>
      </c>
      <c r="X32" s="9" t="n">
        <v>6205878.70139733</v>
      </c>
      <c r="Y32" s="9" t="n">
        <v>1189194.69265569</v>
      </c>
      <c r="Z32" s="9" t="n">
        <v>-56424.8472246928</v>
      </c>
      <c r="AA32" s="9" t="n">
        <v>-89935.4017634703</v>
      </c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120</v>
      </c>
      <c r="N33" t="n">
        <v>695</v>
      </c>
      <c r="O33" s="9"/>
      <c r="P33" s="9"/>
      <c r="Q33" s="9"/>
      <c r="R33" s="9"/>
      <c r="S33" s="9" t="n">
        <v>41002852.6134826</v>
      </c>
      <c r="T33" s="9" t="n">
        <v>38421772.8260826</v>
      </c>
      <c r="U33" s="9" t="n">
        <v>36120500.3435042</v>
      </c>
      <c r="V33" s="9" t="n">
        <v>50523638.1670702</v>
      </c>
      <c r="W33" s="9" t="n">
        <v>98071588.455892</v>
      </c>
      <c r="X33" s="9" t="n">
        <v>106013379.296477</v>
      </c>
      <c r="Y33" s="9" t="n">
        <v>130135164.647922</v>
      </c>
      <c r="Z33" s="9" t="n">
        <v>186804416.384077</v>
      </c>
      <c r="AA33" s="9" t="n">
        <v>150857208.823307</v>
      </c>
      <c r="AB33" s="9" t="n">
        <v>158328283.678018</v>
      </c>
      <c r="AC33" s="9" t="n">
        <v>182792636.249314</v>
      </c>
      <c r="AD33" s="9" t="n">
        <v>93088725.4569878</v>
      </c>
      <c r="AE33" s="9" t="n">
        <v>9268708.82269815</v>
      </c>
      <c r="AF33" s="9" t="n">
        <v>989840.862954311</v>
      </c>
      <c r="AG33" s="9" t="n">
        <v>842996.037010992</v>
      </c>
      <c r="AH33" s="9" t="n">
        <v>4424583.3169887</v>
      </c>
      <c r="AI33" s="9" t="n">
        <v>1453557.40800003</v>
      </c>
      <c r="AJ33" s="9" t="n">
        <v>-76714.0335836031</v>
      </c>
      <c r="AK33" s="9" t="n">
        <v>-962030.7735</v>
      </c>
      <c r="AL33" s="9" t="n">
        <v>-9378.29896504797</v>
      </c>
      <c r="AM33" s="9"/>
    </row>
    <row r="34">
      <c r="M34" t="s">
        <v>121</v>
      </c>
      <c r="N34" t="n">
        <v>609</v>
      </c>
      <c r="O34" s="9"/>
      <c r="P34" s="9" t="n">
        <v>147407.351328679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122</v>
      </c>
      <c r="N35" t="n">
        <v>650</v>
      </c>
      <c r="O35" s="9"/>
      <c r="P35" s="9"/>
      <c r="Q35" s="9"/>
      <c r="R35" s="9"/>
      <c r="S35" s="9" t="n">
        <v>4026314.99680378</v>
      </c>
      <c r="T35" s="9" t="n">
        <v>37939.2456771056</v>
      </c>
      <c r="U35" s="9" t="n">
        <v>1507144.55612629</v>
      </c>
      <c r="V35" s="9" t="n">
        <v>3364164.02015895</v>
      </c>
      <c r="W35" s="9" t="n">
        <v>509941.18439819</v>
      </c>
      <c r="X35" s="9" t="n">
        <v>8052518.78256904</v>
      </c>
      <c r="Y35" s="9" t="n">
        <v>3154715.2601363</v>
      </c>
      <c r="Z35" s="9" t="n">
        <v>-470358.42438954</v>
      </c>
      <c r="AA35" s="9" t="n">
        <v>-19283.0558026708</v>
      </c>
      <c r="AB35" s="9" t="n">
        <v>9368966.92208452</v>
      </c>
      <c r="AC35" s="9" t="n">
        <v>0</v>
      </c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>
      <c r="M36" t="s">
        <v>123</v>
      </c>
      <c r="N36" t="n">
        <v>1731</v>
      </c>
      <c r="O36" s="9" t="n">
        <v>38438995.0501625</v>
      </c>
      <c r="P36" s="9" t="n">
        <v>101533125.108034</v>
      </c>
      <c r="Q36" s="9" t="n">
        <v>201955448.929059</v>
      </c>
      <c r="R36" s="9" t="n">
        <v>4238967.76702789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124</v>
      </c>
      <c r="N37" t="n">
        <v>2258</v>
      </c>
      <c r="O37" s="9"/>
      <c r="P37" s="9"/>
      <c r="Q37" s="9"/>
      <c r="R37" s="9"/>
      <c r="S37" s="9"/>
      <c r="T37" s="9"/>
      <c r="U37" s="9" t="n">
        <v>742409.569952965</v>
      </c>
      <c r="V37" s="9" t="n">
        <v>3512035.83255276</v>
      </c>
      <c r="W37" s="9" t="n">
        <v>79980.946299125</v>
      </c>
      <c r="X37" s="9"/>
      <c r="Y37" s="9"/>
      <c r="Z37" s="9"/>
      <c r="AA37" s="9"/>
      <c r="AB37" s="9"/>
      <c r="AC37" s="9" t="n">
        <v>-11550.1952673249</v>
      </c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>
      <c r="M38" t="s">
        <v>125</v>
      </c>
      <c r="N38" t="n">
        <v>154</v>
      </c>
      <c r="O38" s="9"/>
      <c r="P38" s="9"/>
      <c r="Q38" s="9" t="n">
        <v>-1703614.39769974</v>
      </c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126</v>
      </c>
      <c r="N39" t="n">
        <v>2114</v>
      </c>
      <c r="O39" s="9" t="n">
        <v>35642335.9856673</v>
      </c>
      <c r="P39" s="9" t="n">
        <v>49938405.1966085</v>
      </c>
      <c r="Q39" s="9" t="n">
        <v>202026580.976414</v>
      </c>
      <c r="R39" s="9" t="n">
        <v>147483762.252986</v>
      </c>
      <c r="S39" s="9" t="n">
        <v>36310053.1662299</v>
      </c>
      <c r="T39" s="9" t="n">
        <v>21453411.9929389</v>
      </c>
      <c r="U39" s="9" t="n">
        <v>5938465.64144938</v>
      </c>
      <c r="V39" s="9" t="n">
        <v>3264102.13646409</v>
      </c>
      <c r="W39" s="9" t="n">
        <v>-13063.1562570779</v>
      </c>
      <c r="X39" s="9" t="n">
        <v>-77009.3180269225</v>
      </c>
      <c r="Y39" s="9" t="n">
        <v>-143169.824923953</v>
      </c>
      <c r="Z39" s="9" t="n">
        <v>-103680.835924263</v>
      </c>
      <c r="AA39" s="9" t="n">
        <v>-511727.534487202</v>
      </c>
      <c r="AB39" s="9" t="n">
        <v>-28048.6660250441</v>
      </c>
      <c r="AC39" s="9" t="n">
        <v>-134193.495084635</v>
      </c>
      <c r="AD39" s="9"/>
      <c r="AE39" s="9" t="n">
        <v>0</v>
      </c>
      <c r="AF39" s="9"/>
      <c r="AG39" s="9"/>
      <c r="AH39" s="9"/>
      <c r="AI39" s="9"/>
      <c r="AJ39" s="9"/>
      <c r="AK39" s="9"/>
      <c r="AL39" s="9"/>
      <c r="AM39" s="9"/>
    </row>
    <row r="40">
      <c r="M40" t="s">
        <v>77</v>
      </c>
      <c r="N40" t="n">
        <v>622</v>
      </c>
      <c r="O40" s="9"/>
      <c r="P40" s="9"/>
      <c r="Q40" s="9"/>
      <c r="R40" s="9"/>
      <c r="S40" s="9" t="n">
        <v>19364339.0962001</v>
      </c>
      <c r="T40" s="9" t="n">
        <v>54042411.251973</v>
      </c>
      <c r="U40" s="9" t="n">
        <v>47435977.0489185</v>
      </c>
      <c r="V40" s="9" t="n">
        <v>61202158.0601237</v>
      </c>
      <c r="W40" s="9" t="n">
        <v>323972014.295112</v>
      </c>
      <c r="X40" s="9" t="n">
        <v>2056975189.79804</v>
      </c>
      <c r="Y40" s="9" t="n">
        <v>925392036.144809</v>
      </c>
      <c r="Z40" s="9" t="n">
        <v>637364986.431408</v>
      </c>
      <c r="AA40" s="9" t="n">
        <v>535301450.023251</v>
      </c>
      <c r="AB40" s="9" t="n">
        <v>1011611287.43324</v>
      </c>
      <c r="AC40" s="9" t="n">
        <v>1340804835.93038</v>
      </c>
      <c r="AD40" s="9" t="n">
        <v>843534510.69959</v>
      </c>
      <c r="AE40" s="9" t="n">
        <v>968146264.946651</v>
      </c>
      <c r="AF40" s="9" t="n">
        <v>505295908.822272</v>
      </c>
      <c r="AG40" s="9" t="n">
        <v>581864780.359164</v>
      </c>
      <c r="AH40" s="9" t="n">
        <v>858875918.555725</v>
      </c>
      <c r="AI40" s="9" t="n">
        <v>476339964.348282</v>
      </c>
      <c r="AJ40" s="9" t="n">
        <v>341192641.337707</v>
      </c>
      <c r="AK40" s="9" t="n">
        <v>400697867.3355</v>
      </c>
      <c r="AL40" s="9" t="n">
        <v>210992994.174736</v>
      </c>
      <c r="AM40" s="9"/>
    </row>
    <row r="41">
      <c r="M41" t="s">
        <v>127</v>
      </c>
      <c r="N41" t="n">
        <v>1354</v>
      </c>
      <c r="O41" s="9"/>
      <c r="P41" s="9"/>
      <c r="Q41" s="9"/>
      <c r="R41" s="9"/>
      <c r="S41" s="9" t="n">
        <v>92021373.5904739</v>
      </c>
      <c r="T41" s="9" t="n">
        <v>61583468.651059</v>
      </c>
      <c r="U41" s="9" t="n">
        <v>90862076.97466</v>
      </c>
      <c r="V41" s="9" t="n">
        <v>206035212.543059</v>
      </c>
      <c r="W41" s="9" t="n">
        <v>40505971.6767127</v>
      </c>
      <c r="X41" s="9" t="n">
        <v>-516.90286419729</v>
      </c>
      <c r="Y41" s="9"/>
      <c r="Z41" s="9" t="n">
        <v>-213454.067784639</v>
      </c>
      <c r="AA41" s="9" t="n">
        <v>57452.844415918</v>
      </c>
      <c r="AB41" s="9" t="n">
        <v>18913.615036274</v>
      </c>
      <c r="AC41" s="9" t="n">
        <v>-156329.07741292</v>
      </c>
      <c r="AD41" s="9"/>
      <c r="AE41" s="9"/>
      <c r="AF41" s="9"/>
      <c r="AG41" s="9" t="n">
        <v>0</v>
      </c>
      <c r="AH41" s="9" t="n">
        <v>0</v>
      </c>
      <c r="AI41" s="9"/>
      <c r="AJ41" s="9"/>
      <c r="AK41" s="9"/>
      <c r="AL41" s="9"/>
      <c r="AM41" s="9"/>
    </row>
    <row r="42">
      <c r="M42" t="s">
        <v>128</v>
      </c>
      <c r="N42" t="n">
        <v>1545</v>
      </c>
      <c r="O42" s="9" t="n">
        <v>1528593.72818512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129</v>
      </c>
      <c r="N43" t="n">
        <v>1541</v>
      </c>
      <c r="O43" s="9"/>
      <c r="P43" s="9"/>
      <c r="Q43" s="9" t="n">
        <v>110785.477123759</v>
      </c>
      <c r="R43" s="9" t="n">
        <v>22526892.9732389</v>
      </c>
      <c r="S43" s="9"/>
      <c r="T43" s="9"/>
      <c r="U43" s="9"/>
      <c r="V43" s="9"/>
      <c r="W43" s="9"/>
      <c r="X43" s="9" t="n">
        <v>-29725.0890035645</v>
      </c>
      <c r="Y43" s="9" t="n">
        <v>-246589.332538255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130</v>
      </c>
      <c r="N44" t="n">
        <v>1542</v>
      </c>
      <c r="O44" s="9"/>
      <c r="P44" s="9"/>
      <c r="Q44" s="9"/>
      <c r="R44" s="9" t="n">
        <v>586677.759234494</v>
      </c>
      <c r="S44" s="9"/>
      <c r="T44" s="9"/>
      <c r="U44" s="9"/>
      <c r="V44" s="9"/>
      <c r="W44" s="9"/>
      <c r="X44" s="9"/>
      <c r="Y44" s="9" t="n">
        <v>-202.644473221878</v>
      </c>
      <c r="Z44" s="9" t="n">
        <v>-56753.7032887175</v>
      </c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>
      <c r="M45" t="s">
        <v>131</v>
      </c>
      <c r="N45" t="n">
        <v>1961</v>
      </c>
      <c r="O45" s="9"/>
      <c r="P45" s="9"/>
      <c r="Q45" s="9"/>
      <c r="R45" s="9"/>
      <c r="S45" s="9"/>
      <c r="T45" s="9" t="n">
        <v>526828.58094403</v>
      </c>
      <c r="U45" s="9"/>
      <c r="V45" s="9" t="n">
        <v>378458.161089743</v>
      </c>
      <c r="W45" s="9"/>
      <c r="X45" s="9"/>
      <c r="Y45" s="9"/>
      <c r="Z45" s="9" t="n">
        <v>15339.1202374523</v>
      </c>
      <c r="AA45" s="9"/>
      <c r="AB45" s="9"/>
      <c r="AC45" s="9"/>
      <c r="AD45" s="9"/>
      <c r="AE45" s="9" t="n">
        <v>-8390.9161126048</v>
      </c>
      <c r="AF45" s="9"/>
      <c r="AG45" s="9"/>
      <c r="AH45" s="9"/>
      <c r="AI45" s="9"/>
      <c r="AJ45" s="9"/>
      <c r="AK45" s="9"/>
      <c r="AL45" s="9"/>
      <c r="AM45" s="9"/>
    </row>
    <row r="46">
      <c r="M46" t="s">
        <v>132</v>
      </c>
      <c r="N46" t="n">
        <v>1978</v>
      </c>
      <c r="O46" s="9"/>
      <c r="P46" s="9"/>
      <c r="Q46" s="9"/>
      <c r="R46" s="9"/>
      <c r="S46" s="9" t="n">
        <v>366989.31952655</v>
      </c>
      <c r="T46" s="9" t="n">
        <v>-90820.3175626602</v>
      </c>
      <c r="U46" s="9" t="n">
        <v>1307426.59486545</v>
      </c>
      <c r="V46" s="9" t="n">
        <v>1528541.77852809</v>
      </c>
      <c r="W46" s="9" t="n">
        <v>6030099.8677687</v>
      </c>
      <c r="X46" s="9" t="n">
        <v>6842452.81893593</v>
      </c>
      <c r="Y46" s="9" t="n">
        <v>1946794.88219277</v>
      </c>
      <c r="Z46" s="9" t="n">
        <v>1287739.60524441</v>
      </c>
      <c r="AA46" s="9" t="n">
        <v>1067167.45761872</v>
      </c>
      <c r="AB46" s="9" t="n">
        <v>174422.473339918</v>
      </c>
      <c r="AC46" s="9" t="n">
        <v>-5176.8998035771</v>
      </c>
      <c r="AD46" s="9"/>
      <c r="AE46" s="9"/>
      <c r="AF46" s="9"/>
      <c r="AG46" s="9" t="n">
        <v>0</v>
      </c>
      <c r="AH46" s="9" t="n">
        <v>-166140.422175397</v>
      </c>
      <c r="AI46" s="9"/>
      <c r="AJ46" s="9"/>
      <c r="AK46" s="9"/>
      <c r="AL46" s="9"/>
      <c r="AM46" s="9"/>
    </row>
    <row r="47">
      <c r="M47" t="s">
        <v>133</v>
      </c>
      <c r="N47" t="n">
        <v>675</v>
      </c>
      <c r="O47" s="9"/>
      <c r="P47" s="9"/>
      <c r="Q47" s="9"/>
      <c r="R47" s="9" t="n">
        <v>-2331472.65358124</v>
      </c>
      <c r="S47" s="9" t="n">
        <v>85648919.922666</v>
      </c>
      <c r="T47" s="9" t="n">
        <v>1427762.95512527</v>
      </c>
      <c r="U47" s="9" t="n">
        <v>4515279.0790626</v>
      </c>
      <c r="V47" s="9" t="n">
        <v>312408684.420204</v>
      </c>
      <c r="W47" s="9"/>
      <c r="X47" s="9"/>
      <c r="Y47" s="9"/>
      <c r="Z47" s="9"/>
      <c r="AA47" s="9" t="n">
        <v>-48243.6304895651</v>
      </c>
      <c r="AB47" s="9"/>
      <c r="AC47" s="9"/>
      <c r="AD47" s="9" t="n">
        <v>-8313680.60484552</v>
      </c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78</v>
      </c>
      <c r="N48" t="n">
        <v>1550</v>
      </c>
      <c r="O48" s="9" t="n">
        <v>428031530.067112</v>
      </c>
      <c r="P48" s="9" t="n">
        <v>430601847.84915</v>
      </c>
      <c r="Q48" s="9" t="n">
        <v>409287535.813702</v>
      </c>
      <c r="R48" s="9" t="n">
        <v>158107385.594576</v>
      </c>
      <c r="S48" s="9"/>
      <c r="T48" s="9"/>
      <c r="U48" s="9"/>
      <c r="V48" s="9"/>
      <c r="W48" s="9"/>
      <c r="X48" s="9"/>
      <c r="Y48" s="9" t="n">
        <v>-9391934.71752172</v>
      </c>
      <c r="Z48" s="9" t="n">
        <v>-1760242.68344745</v>
      </c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134</v>
      </c>
      <c r="N49" t="n">
        <v>1376</v>
      </c>
      <c r="O49" s="9"/>
      <c r="P49" s="9"/>
      <c r="Q49" s="9"/>
      <c r="R49" s="9"/>
      <c r="S49" s="9"/>
      <c r="T49" s="9"/>
      <c r="U49" s="9"/>
      <c r="V49" s="9" t="n">
        <v>0</v>
      </c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135</v>
      </c>
      <c r="N50" t="n">
        <v>1809</v>
      </c>
      <c r="O50" s="9"/>
      <c r="P50" s="9"/>
      <c r="Q50" s="9"/>
      <c r="R50" s="9"/>
      <c r="S50" s="9"/>
      <c r="T50" s="9"/>
      <c r="U50" s="9"/>
      <c r="V50" s="9"/>
      <c r="W50" s="9" t="n">
        <v>-1509249.78777489</v>
      </c>
      <c r="X50" s="9" t="n">
        <v>245691.419457189</v>
      </c>
      <c r="Y50" s="9" t="n">
        <v>305139.015436481</v>
      </c>
      <c r="Z50" s="9"/>
      <c r="AA50" s="9" t="n">
        <v>16763.8015968015</v>
      </c>
      <c r="AB50" s="9" t="n">
        <v>87390.9679529</v>
      </c>
      <c r="AC50" s="9" t="n">
        <v>76633.2578097073</v>
      </c>
      <c r="AD50" s="9" t="n">
        <v>0</v>
      </c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79</v>
      </c>
      <c r="N51" t="n">
        <v>1325</v>
      </c>
      <c r="O51" s="9"/>
      <c r="P51" s="9"/>
      <c r="Q51" s="9"/>
      <c r="R51" s="9"/>
      <c r="S51" s="9" t="n">
        <v>66936.5697908567</v>
      </c>
      <c r="T51" s="9" t="n">
        <v>2654599.49190601</v>
      </c>
      <c r="U51" s="9" t="n">
        <v>168070274.448615</v>
      </c>
      <c r="V51" s="9" t="n">
        <v>565334257.139338</v>
      </c>
      <c r="W51" s="9" t="n">
        <v>396729137.906935</v>
      </c>
      <c r="X51" s="9" t="n">
        <v>394643411.432327</v>
      </c>
      <c r="Y51" s="9" t="n">
        <v>298031415.470847</v>
      </c>
      <c r="Z51" s="9" t="n">
        <v>692980921.018831</v>
      </c>
      <c r="AA51" s="9" t="n">
        <v>1449302895.25298</v>
      </c>
      <c r="AB51" s="9" t="n">
        <v>61627451.5725723</v>
      </c>
      <c r="AC51" s="9" t="n">
        <v>-39026778.5049622</v>
      </c>
      <c r="AD51" s="9" t="n">
        <v>30239310.104795</v>
      </c>
      <c r="AE51" s="9" t="n">
        <v>95889872.8137215</v>
      </c>
      <c r="AF51" s="9" t="n">
        <v>70835808.5477712</v>
      </c>
      <c r="AG51" s="9" t="n">
        <v>49464603.8223873</v>
      </c>
      <c r="AH51" s="9" t="n">
        <v>369286881.545201</v>
      </c>
      <c r="AI51" s="9" t="n">
        <v>356222420.416291</v>
      </c>
      <c r="AJ51" s="9" t="n">
        <v>84556993.2013925</v>
      </c>
      <c r="AK51" s="9" t="n">
        <v>9410550.8594</v>
      </c>
      <c r="AL51" s="9" t="n">
        <v>44560853.4329992</v>
      </c>
      <c r="AM51" s="9"/>
    </row>
    <row r="52">
      <c r="M52" t="s">
        <v>136</v>
      </c>
      <c r="N52" t="n">
        <v>2015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 t="n">
        <v>23017638.9470754</v>
      </c>
      <c r="AC52" s="9" t="n">
        <v>22903954.2929907</v>
      </c>
      <c r="AD52" s="9" t="n">
        <v>50415963.378582</v>
      </c>
      <c r="AE52" s="9" t="n">
        <v>29908779.9218055</v>
      </c>
      <c r="AF52" s="9" t="n">
        <v>28777584.6642818</v>
      </c>
      <c r="AG52" s="9" t="n">
        <v>38122046.4109397</v>
      </c>
      <c r="AH52" s="9" t="n">
        <v>31684119.2526189</v>
      </c>
      <c r="AI52" s="9" t="n">
        <v>26042979.10961</v>
      </c>
      <c r="AJ52" s="9" t="n">
        <v>25253487.6295872</v>
      </c>
      <c r="AK52" s="9" t="n">
        <v>31203622.9963</v>
      </c>
      <c r="AL52" s="9" t="n">
        <v>28749658.770284</v>
      </c>
      <c r="AM52" s="9"/>
    </row>
    <row r="53">
      <c r="M53"/>
      <c r="N53"/>
      <c r="O53" s="9" t="n">
        <v>3442205305.42089</v>
      </c>
      <c r="P53" s="9" t="n">
        <v>4194715671.48198</v>
      </c>
      <c r="Q53" s="9" t="n">
        <v>5287857552.50624</v>
      </c>
      <c r="R53" s="9" t="n">
        <v>6815453907.52333</v>
      </c>
      <c r="S53" s="9" t="n">
        <v>8088715953.88175</v>
      </c>
      <c r="T53" s="9" t="n">
        <v>7359615315.95048</v>
      </c>
      <c r="U53" s="9" t="n">
        <v>7602426788.62289</v>
      </c>
      <c r="V53" s="9" t="n">
        <v>7163421783.72589</v>
      </c>
      <c r="W53" s="9" t="n">
        <v>7152331467.70898</v>
      </c>
      <c r="X53" s="9" t="n">
        <v>6128253895.80977</v>
      </c>
      <c r="Y53" s="9" t="n">
        <v>6374586097.94928</v>
      </c>
      <c r="Z53" s="9" t="n">
        <v>6812534875.58817</v>
      </c>
      <c r="AA53" s="9" t="n">
        <v>4659201322.05218</v>
      </c>
      <c r="AB53" s="9" t="n">
        <v>3529095857.2766</v>
      </c>
      <c r="AC53" s="9" t="n">
        <v>2556113199.31037</v>
      </c>
      <c r="AD53" s="9" t="n">
        <v>2605080932.23353</v>
      </c>
      <c r="AE53" s="9" t="n">
        <v>2400757636.81787</v>
      </c>
      <c r="AF53" s="9" t="n">
        <v>2498045333.52179</v>
      </c>
      <c r="AG53" s="9" t="n">
        <v>3201435325.40239</v>
      </c>
      <c r="AH53" s="9" t="n">
        <v>4307969904.13254</v>
      </c>
      <c r="AI53" s="9" t="n">
        <v>5523337630.37576</v>
      </c>
      <c r="AJ53" s="9" t="n">
        <v>2481210754.75252</v>
      </c>
      <c r="AK53" s="9" t="n">
        <v>3318700267.4031</v>
      </c>
      <c r="AL53" s="9" t="n">
        <v>1933602385.24115</v>
      </c>
      <c r="AM53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92</v>
      </c>
      <c r="P1" t="s">
        <v>93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AM2/Sum(AM$1:AM$53)</f>
      </c>
      <c r="K2" s="6" t="str">
        <f>AN2/Sum(AN1:AN$53)</f>
      </c>
      <c r="O2" t="s">
        <v>94</v>
      </c>
      <c r="P2" t="n">
        <v>2042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 t="n">
        <v>11173883.6290573</v>
      </c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AM3/Sum(AM$1:AM$53)</f>
      </c>
      <c r="K3" s="6" t="str">
        <f>AN3/Sum(AN1:AN$53)</f>
      </c>
      <c r="O3" t="s">
        <v>95</v>
      </c>
      <c r="P3" t="n">
        <v>2046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 t="n">
        <v>10642550.0580806</v>
      </c>
      <c r="AG3" s="10" t="n">
        <v>27010563.3932382</v>
      </c>
      <c r="AH3" s="10" t="n">
        <v>12191491.3389343</v>
      </c>
      <c r="AI3" s="10" t="n">
        <v>19173245.8772322</v>
      </c>
      <c r="AJ3" s="10" t="n">
        <v>4567488.72715664</v>
      </c>
      <c r="AK3" s="10" t="n">
        <v>5220355.19280446</v>
      </c>
      <c r="AL3" s="10" t="n">
        <v>1198000.79596913</v>
      </c>
      <c r="AM3" s="10" t="n">
        <v>-376444.9053</v>
      </c>
      <c r="AN3" s="10" t="n">
        <v>-251339.106933721</v>
      </c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AM4/Sum(AM$1:AM$53)</f>
      </c>
      <c r="K4" s="6" t="str">
        <f>AN4/Sum(AN1:AN$53)</f>
      </c>
      <c r="O4" t="s">
        <v>96</v>
      </c>
      <c r="P4" t="n">
        <v>2249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n">
        <v>67018137.8789467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AM5/Sum(AM$1:AM$53)</f>
      </c>
      <c r="K5" s="6" t="str">
        <f>AN5/Sum(AN1:AN$53)</f>
      </c>
      <c r="O5" t="s">
        <v>71</v>
      </c>
      <c r="P5" t="n">
        <v>668</v>
      </c>
      <c r="Q5" s="10"/>
      <c r="R5" s="10"/>
      <c r="S5" s="10"/>
      <c r="T5" s="10"/>
      <c r="U5" s="10" t="n">
        <v>1935305.80529714</v>
      </c>
      <c r="V5" s="10" t="n">
        <v>2980225.91645666</v>
      </c>
      <c r="W5" s="10" t="n">
        <v>1817575.21834059</v>
      </c>
      <c r="X5" s="10" t="n">
        <v>30848560.0221571</v>
      </c>
      <c r="Y5" s="10" t="n">
        <v>39752886.0827876</v>
      </c>
      <c r="Z5" s="10" t="n">
        <v>30632921.1478029</v>
      </c>
      <c r="AA5" s="10" t="n">
        <v>23097785.8923567</v>
      </c>
      <c r="AB5" s="10" t="n">
        <v>17858084.9920318</v>
      </c>
      <c r="AC5" s="10" t="n">
        <v>323662112.402509</v>
      </c>
      <c r="AD5" s="10" t="n">
        <v>912608028.11924</v>
      </c>
      <c r="AE5" s="10" t="n">
        <v>413181120.023604</v>
      </c>
      <c r="AF5" s="10" t="n">
        <v>377724515.476438</v>
      </c>
      <c r="AG5" s="10" t="n">
        <v>354187149.665976</v>
      </c>
      <c r="AH5" s="10" t="n">
        <v>624242171.877043</v>
      </c>
      <c r="AI5" s="10" t="n">
        <v>153583317.06629</v>
      </c>
      <c r="AJ5" s="10" t="n">
        <v>223046392.900402</v>
      </c>
      <c r="AK5" s="10" t="n">
        <v>205437349.842649</v>
      </c>
      <c r="AL5" s="10" t="n">
        <v>67412464.6743734</v>
      </c>
      <c r="AM5" s="10" t="n">
        <v>30680273.4291</v>
      </c>
      <c r="AN5" s="10" t="n">
        <v>9366596.95580044</v>
      </c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AM6/Sum(AM$1:AM$53)</f>
      </c>
      <c r="K6" s="6" t="str">
        <f>AN6/Sum(AN1:AN$53)</f>
      </c>
      <c r="O6" t="s">
        <v>97</v>
      </c>
      <c r="P6" t="n">
        <v>1543</v>
      </c>
      <c r="Q6" s="10" t="n">
        <v>26770544.8598804</v>
      </c>
      <c r="R6" s="10" t="n">
        <v>15125708.9639735</v>
      </c>
      <c r="S6" s="10" t="n">
        <v>7158636.75111334</v>
      </c>
      <c r="T6" s="10" t="n">
        <v>595118.299775792</v>
      </c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AM7/Sum(AM$1:AM$53)</f>
      </c>
      <c r="K7" s="6" t="str">
        <f>AN7/Sum(AN1:AN$53)</f>
      </c>
      <c r="O7" t="s">
        <v>98</v>
      </c>
      <c r="P7" t="n">
        <v>1919</v>
      </c>
      <c r="Q7" s="10" t="n">
        <v>37441614.5848203</v>
      </c>
      <c r="R7" s="10" t="n">
        <v>22076106.3689554</v>
      </c>
      <c r="S7" s="10" t="n">
        <v>32092879.2467635</v>
      </c>
      <c r="T7" s="10" t="n">
        <v>26890413.1904714</v>
      </c>
      <c r="U7" s="10" t="n">
        <v>16523348.7770875</v>
      </c>
      <c r="V7" s="10" t="n">
        <v>9126390.93442129</v>
      </c>
      <c r="W7" s="10" t="n">
        <v>7290727.62254695</v>
      </c>
      <c r="X7" s="10" t="n">
        <v>6832649.62805553</v>
      </c>
      <c r="Y7" s="10" t="n">
        <v>2498155.53606962</v>
      </c>
      <c r="Z7" s="10" t="n">
        <v>533594.560424681</v>
      </c>
      <c r="AA7" s="10" t="n">
        <v>816797.53450672</v>
      </c>
      <c r="AB7" s="10" t="n">
        <v>0</v>
      </c>
      <c r="AC7" s="10" t="n">
        <v>-42769.6058918396</v>
      </c>
      <c r="AD7" s="10" t="n">
        <v>-635232.867528656</v>
      </c>
      <c r="AE7" s="10" t="n">
        <v>-23556.6744750141</v>
      </c>
      <c r="AF7" s="10" t="n">
        <v>-1580593.771501</v>
      </c>
      <c r="AG7" s="10"/>
      <c r="AH7" s="10"/>
      <c r="AI7" s="10" t="n">
        <v>-10604.9320808798</v>
      </c>
      <c r="AJ7" s="10" t="n">
        <v>-44614.208029853</v>
      </c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AM8/Sum(AM$1:AM$53)</f>
      </c>
      <c r="K8" s="6" t="str">
        <f>AN8/Sum(AN1:AN$53)</f>
      </c>
      <c r="O8" t="s">
        <v>99</v>
      </c>
      <c r="P8" t="n">
        <v>1920</v>
      </c>
      <c r="Q8" s="10"/>
      <c r="R8" s="10"/>
      <c r="S8" s="10"/>
      <c r="T8" s="10" t="n">
        <v>36154958.6449171</v>
      </c>
      <c r="U8" s="10" t="n">
        <v>4465161.56070794</v>
      </c>
      <c r="V8" s="10" t="n">
        <v>5495517.06018521</v>
      </c>
      <c r="W8" s="10" t="n">
        <v>2796269.56667783</v>
      </c>
      <c r="X8" s="10" t="n">
        <v>0</v>
      </c>
      <c r="Y8" s="10" t="n">
        <v>-71792.2304138663</v>
      </c>
      <c r="Z8" s="10" t="n">
        <v>0</v>
      </c>
      <c r="AA8" s="10" t="n">
        <v>0</v>
      </c>
      <c r="AB8" s="10" t="n">
        <v>-2334275.09096355</v>
      </c>
      <c r="AC8" s="10" t="n">
        <v>-1.43560199972609</v>
      </c>
      <c r="AD8" s="10"/>
      <c r="AE8" s="10"/>
      <c r="AF8" s="10"/>
      <c r="AG8" s="10" t="n">
        <v>0</v>
      </c>
      <c r="AH8" s="10" t="n">
        <v>211212.641246799</v>
      </c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AM9/Sum(AM$1:AM$53)</f>
      </c>
      <c r="K9" s="6" t="str">
        <f>AN9/Sum(AN1:AN$53)</f>
      </c>
      <c r="O9" t="s">
        <v>100</v>
      </c>
      <c r="P9" t="n">
        <v>2071</v>
      </c>
      <c r="Q9" s="10"/>
      <c r="R9" s="10"/>
      <c r="S9" s="10"/>
      <c r="T9" s="10" t="n">
        <v>1224986.20895829</v>
      </c>
      <c r="U9" s="10" t="n">
        <v>14874796.2618157</v>
      </c>
      <c r="V9" s="10" t="n">
        <v>5334250.72392751</v>
      </c>
      <c r="W9" s="10" t="n">
        <v>6074115.47439849</v>
      </c>
      <c r="X9" s="10" t="n">
        <v>3617503.22815717</v>
      </c>
      <c r="Y9" s="10" t="n">
        <v>-666507.885826042</v>
      </c>
      <c r="Z9" s="10"/>
      <c r="AA9" s="10"/>
      <c r="AB9" s="10" t="n">
        <v>-359067.209611681</v>
      </c>
      <c r="AC9" s="10"/>
      <c r="AD9" s="10"/>
      <c r="AE9" s="10"/>
      <c r="AF9" s="10" t="n">
        <v>-62861.941219719</v>
      </c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AM10/Sum(AM$1:AM$53)</f>
      </c>
      <c r="K10" s="6" t="str">
        <f>AN10/Sum(AN1:AN$53)</f>
      </c>
      <c r="O10" t="s">
        <v>101</v>
      </c>
      <c r="P10" t="n">
        <v>1517</v>
      </c>
      <c r="Q10" s="10" t="n">
        <v>96981116.6559196</v>
      </c>
      <c r="R10" s="10" t="n">
        <v>65293515.6186832</v>
      </c>
      <c r="S10" s="10" t="n">
        <v>69746674.481667</v>
      </c>
      <c r="T10" s="10" t="n">
        <v>20250825.5577044</v>
      </c>
      <c r="U10" s="10"/>
      <c r="V10" s="10"/>
      <c r="W10" s="10"/>
      <c r="X10" s="10"/>
      <c r="Y10" s="10"/>
      <c r="Z10" s="10"/>
      <c r="AA10" s="10"/>
      <c r="AB10" s="10"/>
      <c r="AC10" s="10" t="n">
        <v>0</v>
      </c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AM11/Sum(AM$1:AM$53)</f>
      </c>
      <c r="K11" s="6" t="str">
        <f>AN11/Sum(AN1:AN$53)</f>
      </c>
      <c r="O11" t="s">
        <v>102</v>
      </c>
      <c r="P11" t="n">
        <v>473</v>
      </c>
      <c r="Q11" s="10" t="n">
        <v>11306361.8546687</v>
      </c>
      <c r="R11" s="10" t="n">
        <v>14096441.4122277</v>
      </c>
      <c r="S11" s="10" t="n">
        <v>745999.753727571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AM12/Sum(AM$1:AM$53)</f>
      </c>
      <c r="K12" s="6" t="str">
        <f>AN12/Sum(AN1:AN$53)</f>
      </c>
      <c r="O12" t="s">
        <v>103</v>
      </c>
      <c r="P12" t="n">
        <v>617</v>
      </c>
      <c r="Q12" s="10"/>
      <c r="R12" s="10"/>
      <c r="S12" s="10"/>
      <c r="T12" s="10"/>
      <c r="U12" s="10" t="n">
        <v>31836938.0535515</v>
      </c>
      <c r="V12" s="10" t="n">
        <v>49149119.0834142</v>
      </c>
      <c r="W12" s="10" t="n">
        <v>23409320.2111393</v>
      </c>
      <c r="X12" s="10" t="n">
        <v>45172797.4608941</v>
      </c>
      <c r="Y12" s="10" t="n">
        <v>43672449.038877</v>
      </c>
      <c r="Z12" s="10" t="n">
        <v>38690917.4443629</v>
      </c>
      <c r="AA12" s="10" t="n">
        <v>40956116.7873825</v>
      </c>
      <c r="AB12" s="10" t="n">
        <v>34724068.571419</v>
      </c>
      <c r="AC12" s="10" t="n">
        <v>30257635.7273918</v>
      </c>
      <c r="AD12" s="10" t="n">
        <v>41853289.1410341</v>
      </c>
      <c r="AE12" s="10" t="n">
        <v>8134919.07268691</v>
      </c>
      <c r="AF12" s="10" t="n">
        <v>14869351.1812922</v>
      </c>
      <c r="AG12" s="10" t="n">
        <v>13960252.9232081</v>
      </c>
      <c r="AH12" s="10" t="n">
        <v>2767894.65242456</v>
      </c>
      <c r="AI12" s="10" t="n">
        <v>0</v>
      </c>
      <c r="AJ12" s="10" t="n">
        <v>-377193.508384657</v>
      </c>
      <c r="AK12" s="10" t="n">
        <v>-12007.2492222364</v>
      </c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AM13/Sum(AM$1:AM$53)</f>
      </c>
      <c r="K13" s="6" t="str">
        <f>AN13/Sum(AN1:AN$53)</f>
      </c>
      <c r="O13" t="s">
        <v>104</v>
      </c>
      <c r="P13" t="n">
        <v>1794</v>
      </c>
      <c r="Q13" s="10"/>
      <c r="R13" s="10"/>
      <c r="S13" s="10"/>
      <c r="T13" s="10"/>
      <c r="U13" s="10"/>
      <c r="V13" s="10"/>
      <c r="W13" s="10"/>
      <c r="X13" s="10" t="n">
        <v>360082.879793912</v>
      </c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AM14/Sum(AM$1:AM$53)</f>
      </c>
      <c r="K14" s="6" t="str">
        <f>AN14/Sum(AN1:AN$53)</f>
      </c>
      <c r="O14" t="s">
        <v>105</v>
      </c>
      <c r="P14" t="n">
        <v>19</v>
      </c>
      <c r="Q14" s="10"/>
      <c r="R14" s="10"/>
      <c r="S14" s="10"/>
      <c r="T14" s="10"/>
      <c r="U14" s="10"/>
      <c r="V14" s="10"/>
      <c r="W14" s="10"/>
      <c r="X14" s="10"/>
      <c r="Y14" s="10" t="n">
        <v>0</v>
      </c>
      <c r="Z14" s="10"/>
      <c r="AA14" s="10" t="n">
        <v>6048.74796347701</v>
      </c>
      <c r="AB14" s="10"/>
      <c r="AC14" s="10" t="n">
        <v>417967.966420252</v>
      </c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AM15/Sum(AM$1:AM$53)</f>
      </c>
      <c r="K15" s="6" t="str">
        <f>AN15/Sum(AN1:AN$53)</f>
      </c>
      <c r="O15" t="s">
        <v>106</v>
      </c>
      <c r="P15" t="n">
        <v>1641</v>
      </c>
      <c r="Q15" s="10" t="n">
        <v>47359285.5448533</v>
      </c>
      <c r="R15" s="10" t="n">
        <v>37452719.3819228</v>
      </c>
      <c r="S15" s="10" t="n">
        <v>23548051.2098002</v>
      </c>
      <c r="T15" s="10" t="n">
        <v>11178821.6484861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 t="n">
        <v>0</v>
      </c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AM16/Sum(AM$1:AM$53)</f>
      </c>
      <c r="K16" s="6" t="str">
        <f>AN16/Sum(AN1:AN$53)</f>
      </c>
      <c r="O16" t="s">
        <v>107</v>
      </c>
      <c r="P16" t="n">
        <v>618</v>
      </c>
      <c r="Q16" s="10"/>
      <c r="R16" s="10"/>
      <c r="S16" s="10"/>
      <c r="T16" s="10"/>
      <c r="U16" s="10"/>
      <c r="V16" s="10"/>
      <c r="W16" s="10"/>
      <c r="X16" s="10" t="n">
        <v>40552.3449287311</v>
      </c>
      <c r="Y16" s="10" t="n">
        <v>396386.06987268</v>
      </c>
      <c r="Z16" s="10" t="n">
        <v>250722.515226877</v>
      </c>
      <c r="AA16" s="10" t="n">
        <v>103753.094038677</v>
      </c>
      <c r="AB16" s="10" t="n">
        <v>70836.2661590359</v>
      </c>
      <c r="AC16" s="10" t="n">
        <v>-8594.47063836018</v>
      </c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AM17/Sum(AM$1:AM$53)</f>
      </c>
      <c r="K17" s="6" t="str">
        <f>AN17/Sum(AN1:AN$53)</f>
      </c>
      <c r="O17" t="s">
        <v>72</v>
      </c>
      <c r="P17" t="n">
        <v>72</v>
      </c>
      <c r="Q17" s="10"/>
      <c r="R17" s="10"/>
      <c r="S17" s="10"/>
      <c r="T17" s="10"/>
      <c r="U17" s="10" t="n">
        <v>1768490.94850235</v>
      </c>
      <c r="V17" s="10" t="n">
        <v>1358282.74142862</v>
      </c>
      <c r="W17" s="10" t="n">
        <v>1240848270.19808</v>
      </c>
      <c r="X17" s="10" t="n">
        <v>420839197.479246</v>
      </c>
      <c r="Y17" s="10" t="n">
        <v>1936653320.37506</v>
      </c>
      <c r="Z17" s="10" t="n">
        <v>1858489242.65625</v>
      </c>
      <c r="AA17" s="10" t="n">
        <v>1712516251.48942</v>
      </c>
      <c r="AB17" s="10" t="n">
        <v>2148839739.95142</v>
      </c>
      <c r="AC17" s="10" t="n">
        <v>3098427084.38996</v>
      </c>
      <c r="AD17" s="10" t="n">
        <v>1601837776.95923</v>
      </c>
      <c r="AE17" s="10" t="n">
        <v>3123950210.45184</v>
      </c>
      <c r="AF17" s="10" t="n">
        <v>2122920460.39838</v>
      </c>
      <c r="AG17" s="10" t="n">
        <v>1923576561.08127</v>
      </c>
      <c r="AH17" s="10" t="n">
        <v>2448144362.85241</v>
      </c>
      <c r="AI17" s="10" t="n">
        <v>1774529827.13142</v>
      </c>
      <c r="AJ17" s="10" t="n">
        <v>1429183326.40534</v>
      </c>
      <c r="AK17" s="10" t="n">
        <v>639074785.346988</v>
      </c>
      <c r="AL17" s="10" t="n">
        <v>427833290.379516</v>
      </c>
      <c r="AM17" s="10" t="n">
        <v>478920083.1773</v>
      </c>
      <c r="AN17" s="10" t="n">
        <v>202986861.343484</v>
      </c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AM18/Sum(AM$1:AM$53)</f>
      </c>
      <c r="K18" s="6" t="str">
        <f>AN18/Sum(AN1:AN$53)</f>
      </c>
      <c r="O18" t="s">
        <v>108</v>
      </c>
      <c r="P18" t="n">
        <v>1521</v>
      </c>
      <c r="Q18" s="10" t="n">
        <v>131326292.854271</v>
      </c>
      <c r="R18" s="10" t="n">
        <v>622900543.562025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AM19/Sum(AM$1:AM$53)</f>
      </c>
      <c r="K19" s="6" t="str">
        <f>AN19/Sum(AN1:AN$53)</f>
      </c>
      <c r="O19" t="s">
        <v>109</v>
      </c>
      <c r="P19" t="n">
        <v>1937</v>
      </c>
      <c r="Q19" s="10" t="n">
        <v>186458044.572078</v>
      </c>
      <c r="R19" s="10" t="n">
        <v>260977584.542016</v>
      </c>
      <c r="S19" s="10" t="n">
        <v>360882337.544434</v>
      </c>
      <c r="T19" s="10" t="n">
        <v>324437792.951063</v>
      </c>
      <c r="U19" s="10" t="n">
        <v>224872613.385901</v>
      </c>
      <c r="V19" s="10" t="n">
        <v>549124005.987974</v>
      </c>
      <c r="W19" s="10" t="n">
        <v>651698810.309636</v>
      </c>
      <c r="X19" s="10" t="n">
        <v>372076863.02494</v>
      </c>
      <c r="Y19" s="10" t="n">
        <v>417343573.065009</v>
      </c>
      <c r="Z19" s="10" t="n">
        <v>317009354.430101</v>
      </c>
      <c r="AA19" s="10" t="n">
        <v>275080213.769432</v>
      </c>
      <c r="AB19" s="10" t="n">
        <v>240594755.362259</v>
      </c>
      <c r="AC19" s="10" t="n">
        <v>133840791.149759</v>
      </c>
      <c r="AD19" s="10" t="n">
        <v>24511805.8286679</v>
      </c>
      <c r="AE19" s="10" t="n">
        <v>-4992251.8352508</v>
      </c>
      <c r="AF19" s="10" t="n">
        <v>-4127870.01534899</v>
      </c>
      <c r="AG19" s="10" t="n">
        <v>0</v>
      </c>
      <c r="AH19" s="10" t="n">
        <v>0</v>
      </c>
      <c r="AI19" s="10" t="n">
        <v>-3652070.48783529</v>
      </c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AM20/Sum(AM$1:AM$53)</f>
      </c>
      <c r="K20" s="6" t="str">
        <f>AN20/Sum(AN1:AN$53)</f>
      </c>
      <c r="O20" t="s">
        <v>110</v>
      </c>
      <c r="P20" t="n">
        <v>648</v>
      </c>
      <c r="Q20" s="10"/>
      <c r="R20" s="10"/>
      <c r="S20" s="10"/>
      <c r="T20" s="10"/>
      <c r="U20" s="10" t="n">
        <v>2408849.31202222</v>
      </c>
      <c r="V20" s="10" t="n">
        <v>46986219.7224879</v>
      </c>
      <c r="W20" s="10" t="n">
        <v>23121809.1724283</v>
      </c>
      <c r="X20" s="10" t="n">
        <v>9256112.19367425</v>
      </c>
      <c r="Y20" s="10" t="n">
        <v>29422937.1325328</v>
      </c>
      <c r="Z20" s="10" t="n">
        <v>53274568.7167687</v>
      </c>
      <c r="AA20" s="10" t="n">
        <v>52853580.9522683</v>
      </c>
      <c r="AB20" s="10" t="n">
        <v>50818499.1714928</v>
      </c>
      <c r="AC20" s="10" t="n">
        <v>99570185.5001538</v>
      </c>
      <c r="AD20" s="10" t="n">
        <v>55002261.8118732</v>
      </c>
      <c r="AE20" s="10" t="n">
        <v>26111219.3863776</v>
      </c>
      <c r="AF20" s="10" t="n">
        <v>42004624.7229384</v>
      </c>
      <c r="AG20" s="10" t="n">
        <v>21835519.8092767</v>
      </c>
      <c r="AH20" s="10" t="n">
        <v>8237572.10538511</v>
      </c>
      <c r="AI20" s="10" t="n">
        <v>14440366.6379096</v>
      </c>
      <c r="AJ20" s="10" t="n">
        <v>10570965.5965545</v>
      </c>
      <c r="AK20" s="10" t="n">
        <v>8225486.23121455</v>
      </c>
      <c r="AL20" s="10" t="n">
        <v>-134.730236960461</v>
      </c>
      <c r="AM20" s="10" t="n">
        <v>-722866.1666</v>
      </c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AM21/Sum(AM$1:AM$53)</f>
      </c>
      <c r="K21" s="6" t="str">
        <f>AN21/Sum(AN1:AN$53)</f>
      </c>
      <c r="O21" t="s">
        <v>111</v>
      </c>
      <c r="P21" t="n">
        <v>2187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 t="n">
        <v>121575390.62278</v>
      </c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AM22/Sum(AM$1:AM$53)</f>
      </c>
      <c r="K22" s="6" t="str">
        <f>AN22/Sum(AN1:AN$53)</f>
      </c>
      <c r="O22" t="s">
        <v>112</v>
      </c>
      <c r="P22" t="n">
        <v>2229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 t="n">
        <v>0</v>
      </c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AM23/Sum(AM$1:AM$53)</f>
      </c>
      <c r="K23" s="6" t="str">
        <f>AN23/Sum(AN1:AN$53)</f>
      </c>
      <c r="O23" t="s">
        <v>113</v>
      </c>
      <c r="P23" t="n">
        <v>1607</v>
      </c>
      <c r="Q23" s="10" t="n">
        <v>-105368.219465647</v>
      </c>
      <c r="R23" s="10"/>
      <c r="S23" s="10"/>
      <c r="T23" s="10" t="n">
        <v>2748993.69068756</v>
      </c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AM24/Sum(AM$1:AM$53)</f>
      </c>
      <c r="K24" s="6" t="str">
        <f>AN24/Sum(AN1:AN$53)</f>
      </c>
      <c r="O24" t="s">
        <v>114</v>
      </c>
      <c r="P24" t="n">
        <v>696</v>
      </c>
      <c r="Q24" s="10"/>
      <c r="R24" s="10"/>
      <c r="S24" s="10"/>
      <c r="T24" s="10"/>
      <c r="U24" s="10"/>
      <c r="V24" s="10"/>
      <c r="W24" s="10"/>
      <c r="X24" s="10" t="n">
        <v>60368240.1132539</v>
      </c>
      <c r="Y24" s="10" t="n">
        <v>26149484.8875809</v>
      </c>
      <c r="Z24" s="10" t="n">
        <v>4565181.75534446</v>
      </c>
      <c r="AA24" s="10" t="n">
        <v>8153168.43156986</v>
      </c>
      <c r="AB24" s="10" t="n">
        <v>4789089.6853852</v>
      </c>
      <c r="AC24" s="10" t="n">
        <v>23060.2254079501</v>
      </c>
      <c r="AD24" s="10" t="n">
        <v>497412.988092724</v>
      </c>
      <c r="AE24" s="10" t="n">
        <v>29914922.6382772</v>
      </c>
      <c r="AF24" s="10" t="n">
        <v>11647480.8871149</v>
      </c>
      <c r="AG24" s="10" t="n">
        <v>70225603.9430789</v>
      </c>
      <c r="AH24" s="10" t="n">
        <v>59358182.5086766</v>
      </c>
      <c r="AI24" s="10" t="n">
        <v>60251624.6248368</v>
      </c>
      <c r="AJ24" s="10" t="n">
        <v>108387948.744048</v>
      </c>
      <c r="AK24" s="10" t="n">
        <v>60515172.8633949</v>
      </c>
      <c r="AL24" s="10" t="n">
        <v>53311723.4655984</v>
      </c>
      <c r="AM24" s="10" t="n">
        <v>6893727.9219</v>
      </c>
      <c r="AN24" s="10" t="n">
        <v>-63729.558885828</v>
      </c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AM25/Sum(AM$1:AM$53)</f>
      </c>
      <c r="K25" s="6" t="str">
        <f>AN25/Sum(AN1:AN$53)</f>
      </c>
      <c r="O25" t="s">
        <v>115</v>
      </c>
      <c r="P25" t="n">
        <v>1524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 t="n">
        <v>-3968662.95591347</v>
      </c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AM26/Sum(AM$1:AM$53)</f>
      </c>
      <c r="K26" s="6" t="str">
        <f>AN26/Sum(AN1:AN$53)</f>
      </c>
      <c r="O26" t="s">
        <v>116</v>
      </c>
      <c r="P26" t="n">
        <v>1539</v>
      </c>
      <c r="Q26" s="10" t="n">
        <v>57001317.8055859</v>
      </c>
      <c r="R26" s="10" t="n">
        <v>56378152.7442341</v>
      </c>
      <c r="S26" s="10" t="n">
        <v>57032780.7499361</v>
      </c>
      <c r="T26" s="10" t="n">
        <v>17352856.8598063</v>
      </c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AM27/Sum(AM$1:AM$53)</f>
      </c>
      <c r="K27" s="6" t="str">
        <f>AN27/Sum(AN1:AN$53)</f>
      </c>
      <c r="O27" t="s">
        <v>73</v>
      </c>
      <c r="P27" t="n">
        <v>1869</v>
      </c>
      <c r="Q27" s="10" t="n">
        <v>569905946.899646</v>
      </c>
      <c r="R27" s="10" t="n">
        <v>566223400.533144</v>
      </c>
      <c r="S27" s="10" t="n">
        <v>213565902.971437</v>
      </c>
      <c r="T27" s="10" t="n">
        <v>88392976.4267451</v>
      </c>
      <c r="U27" s="10" t="n">
        <v>233465805.267387</v>
      </c>
      <c r="V27" s="10" t="n">
        <v>340735407.206551</v>
      </c>
      <c r="W27" s="10" t="n">
        <v>319599291.774826</v>
      </c>
      <c r="X27" s="10" t="n">
        <v>503572863.539307</v>
      </c>
      <c r="Y27" s="10" t="n">
        <v>476759490.473703</v>
      </c>
      <c r="Z27" s="10" t="n">
        <v>340334859.145447</v>
      </c>
      <c r="AA27" s="10" t="n">
        <v>127036919.084377</v>
      </c>
      <c r="AB27" s="10" t="n">
        <v>136503426.137113</v>
      </c>
      <c r="AC27" s="10" t="n">
        <v>113523328.854624</v>
      </c>
      <c r="AD27" s="10" t="n">
        <v>134779805.843567</v>
      </c>
      <c r="AE27" s="10" t="n">
        <v>98332995.0232779</v>
      </c>
      <c r="AF27" s="10" t="n">
        <v>41953222.3172083</v>
      </c>
      <c r="AG27" s="10" t="n">
        <v>-40073.3009195112</v>
      </c>
      <c r="AH27" s="10" t="n">
        <v>23465.988817402</v>
      </c>
      <c r="AI27" s="10" t="n">
        <v>-19077.1280472261</v>
      </c>
      <c r="AJ27" s="10" t="n">
        <v>-1421.33799740243</v>
      </c>
      <c r="AK27" s="10" t="n">
        <v>-769911.597582044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AM28/Sum(AM$1:AM$53)</f>
      </c>
      <c r="K28" s="6" t="str">
        <f>AN28/Sum(AN1:AN$53)</f>
      </c>
      <c r="O28" t="s">
        <v>74</v>
      </c>
      <c r="P28" t="n">
        <v>1343</v>
      </c>
      <c r="Q28" s="10"/>
      <c r="R28" s="10"/>
      <c r="S28" s="10"/>
      <c r="T28" s="10"/>
      <c r="U28" s="10" t="n">
        <v>69911528.4482281</v>
      </c>
      <c r="V28" s="10" t="n">
        <v>523016412.911798</v>
      </c>
      <c r="W28" s="10" t="n">
        <v>590726926.974896</v>
      </c>
      <c r="X28" s="10" t="n">
        <v>815729108.296692</v>
      </c>
      <c r="Y28" s="10" t="n">
        <v>842021257.959759</v>
      </c>
      <c r="Z28" s="10" t="n">
        <v>1145788058.40686</v>
      </c>
      <c r="AA28" s="10" t="n">
        <v>560713579.281897</v>
      </c>
      <c r="AB28" s="10" t="n">
        <v>986974000.487082</v>
      </c>
      <c r="AC28" s="10" t="n">
        <v>372318672.92659</v>
      </c>
      <c r="AD28" s="10" t="n">
        <v>692743891.977936</v>
      </c>
      <c r="AE28" s="10" t="n">
        <v>115773775.472027</v>
      </c>
      <c r="AF28" s="10" t="n">
        <v>102885079.089486</v>
      </c>
      <c r="AG28" s="10" t="n">
        <v>107223940.254083</v>
      </c>
      <c r="AH28" s="10" t="n">
        <v>79649322.3793766</v>
      </c>
      <c r="AI28" s="10" t="n">
        <v>89056331.7781561</v>
      </c>
      <c r="AJ28" s="10" t="n">
        <v>115103748.574685</v>
      </c>
      <c r="AK28" s="10" t="n">
        <v>23554859.480102</v>
      </c>
      <c r="AL28" s="10" t="n">
        <v>528969.462553472</v>
      </c>
      <c r="AM28" s="10" t="n">
        <v>6013449.3887</v>
      </c>
      <c r="AN28" s="10" t="n">
        <v>1669410.93704902</v>
      </c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AM29/Sum(AM$1:AM$53)</f>
      </c>
      <c r="K29" s="6" t="str">
        <f>AN29/Sum(AN1:AN$53)</f>
      </c>
      <c r="O29" t="s">
        <v>117</v>
      </c>
      <c r="P29" t="n">
        <v>2247</v>
      </c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 t="n">
        <v>54959927.0160383</v>
      </c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AM30/Sum(AM$1:AM$53)</f>
      </c>
      <c r="K30" s="6" t="str">
        <f>AN30/Sum(AN1:AN$53)</f>
      </c>
      <c r="O30" t="s">
        <v>118</v>
      </c>
      <c r="P30" t="n">
        <v>1613</v>
      </c>
      <c r="Q30" s="10" t="n">
        <v>32176330.0491843</v>
      </c>
      <c r="R30" s="10" t="n">
        <v>115877438.658192</v>
      </c>
      <c r="S30" s="10" t="n">
        <v>114372337.47792</v>
      </c>
      <c r="T30" s="10" t="n">
        <v>385024840.210617</v>
      </c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 t="n">
        <v>0</v>
      </c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AM31/Sum(AM$1:AM$53)</f>
      </c>
      <c r="K31" s="6" t="str">
        <f>AN31/Sum(AN1:AN$53)</f>
      </c>
      <c r="O31" t="s">
        <v>75</v>
      </c>
      <c r="P31" t="n">
        <v>62</v>
      </c>
      <c r="Q31" s="10"/>
      <c r="R31" s="10"/>
      <c r="S31" s="10"/>
      <c r="T31" s="10"/>
      <c r="U31" s="10" t="n">
        <v>332778198.610471</v>
      </c>
      <c r="V31" s="10" t="n">
        <v>336428093.039556</v>
      </c>
      <c r="W31" s="10" t="n">
        <v>349605074.809823</v>
      </c>
      <c r="X31" s="10" t="n">
        <v>492521601.386627</v>
      </c>
      <c r="Y31" s="10" t="n">
        <v>916462229.261514</v>
      </c>
      <c r="Z31" s="10" t="n">
        <v>1202183745.4672</v>
      </c>
      <c r="AA31" s="10" t="n">
        <v>1364669487.44071</v>
      </c>
      <c r="AB31" s="10" t="n">
        <v>1259687640.4859</v>
      </c>
      <c r="AC31" s="10" t="n">
        <v>1562067196.46459</v>
      </c>
      <c r="AD31" s="10" t="n">
        <v>1106541664.85067</v>
      </c>
      <c r="AE31" s="10" t="n">
        <v>1649243167.83127</v>
      </c>
      <c r="AF31" s="10" t="n">
        <v>819459111.660537</v>
      </c>
      <c r="AG31" s="10" t="n">
        <v>1209815521.02632</v>
      </c>
      <c r="AH31" s="10" t="n">
        <v>732685398.22564</v>
      </c>
      <c r="AI31" s="10" t="n">
        <v>810180200.705654</v>
      </c>
      <c r="AJ31" s="10" t="n">
        <v>619727101.742497</v>
      </c>
      <c r="AK31" s="10" t="n">
        <v>540492754.465256</v>
      </c>
      <c r="AL31" s="10" t="n">
        <v>393818532.451407</v>
      </c>
      <c r="AM31" s="10" t="n">
        <v>362597635.0343</v>
      </c>
      <c r="AN31" s="10" t="n">
        <v>171270121.947005</v>
      </c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AM32/Sum(AM$1:AM$53)</f>
      </c>
      <c r="K32" s="6" t="str">
        <f>AN32/Sum(AN1:AN$53)</f>
      </c>
      <c r="O32" t="s">
        <v>119</v>
      </c>
      <c r="P32" t="n">
        <v>1829</v>
      </c>
      <c r="Q32" s="10"/>
      <c r="R32" s="10"/>
      <c r="S32" s="10"/>
      <c r="T32" s="10"/>
      <c r="U32" s="10" t="n">
        <v>37069484.2500111</v>
      </c>
      <c r="V32" s="10" t="n">
        <v>6536514.81395521</v>
      </c>
      <c r="W32" s="10" t="n">
        <v>23823087.0151902</v>
      </c>
      <c r="X32" s="10" t="n">
        <v>40653736.6775885</v>
      </c>
      <c r="Y32" s="10" t="n">
        <v>19867550.993062</v>
      </c>
      <c r="Z32" s="10" t="n">
        <v>6205878.70139733</v>
      </c>
      <c r="AA32" s="10" t="n">
        <v>1189194.69265569</v>
      </c>
      <c r="AB32" s="10" t="n">
        <v>-56424.8472246928</v>
      </c>
      <c r="AC32" s="10" t="n">
        <v>-89935.4017634703</v>
      </c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AM33/Sum(AM$1:AM$53)</f>
      </c>
      <c r="K33" s="6" t="str">
        <f>AN33/Sum(AN1:AN$53)</f>
      </c>
      <c r="O33" t="s">
        <v>120</v>
      </c>
      <c r="P33" t="n">
        <v>695</v>
      </c>
      <c r="Q33" s="10"/>
      <c r="R33" s="10"/>
      <c r="S33" s="10"/>
      <c r="T33" s="10"/>
      <c r="U33" s="10" t="n">
        <v>41002852.6134826</v>
      </c>
      <c r="V33" s="10" t="n">
        <v>38421772.8260826</v>
      </c>
      <c r="W33" s="10" t="n">
        <v>36120500.3435042</v>
      </c>
      <c r="X33" s="10" t="n">
        <v>50523638.1670702</v>
      </c>
      <c r="Y33" s="10" t="n">
        <v>98071588.455892</v>
      </c>
      <c r="Z33" s="10" t="n">
        <v>106013379.296477</v>
      </c>
      <c r="AA33" s="10" t="n">
        <v>130135164.647922</v>
      </c>
      <c r="AB33" s="10" t="n">
        <v>186804416.384077</v>
      </c>
      <c r="AC33" s="10" t="n">
        <v>150857208.823307</v>
      </c>
      <c r="AD33" s="10" t="n">
        <v>158328283.678018</v>
      </c>
      <c r="AE33" s="10" t="n">
        <v>182792636.249314</v>
      </c>
      <c r="AF33" s="10" t="n">
        <v>93088725.4569878</v>
      </c>
      <c r="AG33" s="10" t="n">
        <v>9268708.82269815</v>
      </c>
      <c r="AH33" s="10" t="n">
        <v>989840.862954311</v>
      </c>
      <c r="AI33" s="10" t="n">
        <v>842996.037010992</v>
      </c>
      <c r="AJ33" s="10" t="n">
        <v>4424583.3169887</v>
      </c>
      <c r="AK33" s="10" t="n">
        <v>1453557.40800003</v>
      </c>
      <c r="AL33" s="10" t="n">
        <v>-76714.0335836031</v>
      </c>
      <c r="AM33" s="10" t="n">
        <v>-962030.7735</v>
      </c>
      <c r="AN33" s="10" t="n">
        <v>-9378.29896504797</v>
      </c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AM34/Sum(AM$1:AM$53)</f>
      </c>
      <c r="K34" s="6" t="str">
        <f>AN34/Sum(AN1:AN$53)</f>
      </c>
      <c r="O34" t="s">
        <v>121</v>
      </c>
      <c r="P34" t="n">
        <v>609</v>
      </c>
      <c r="Q34" s="10"/>
      <c r="R34" s="10" t="n">
        <v>147407.351328679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AM35/Sum(AM$1:AM$53)</f>
      </c>
      <c r="K35" s="6" t="str">
        <f>AN35/Sum(AN1:AN$53)</f>
      </c>
      <c r="O35" t="s">
        <v>122</v>
      </c>
      <c r="P35" t="n">
        <v>650</v>
      </c>
      <c r="Q35" s="10"/>
      <c r="R35" s="10"/>
      <c r="S35" s="10"/>
      <c r="T35" s="10"/>
      <c r="U35" s="10" t="n">
        <v>4026314.99680378</v>
      </c>
      <c r="V35" s="10" t="n">
        <v>37939.2456771056</v>
      </c>
      <c r="W35" s="10" t="n">
        <v>1507144.55612629</v>
      </c>
      <c r="X35" s="10" t="n">
        <v>3364164.02015895</v>
      </c>
      <c r="Y35" s="10" t="n">
        <v>509941.18439819</v>
      </c>
      <c r="Z35" s="10" t="n">
        <v>8052518.78256904</v>
      </c>
      <c r="AA35" s="10" t="n">
        <v>3154715.2601363</v>
      </c>
      <c r="AB35" s="10" t="n">
        <v>-470358.42438954</v>
      </c>
      <c r="AC35" s="10" t="n">
        <v>-19283.0558026708</v>
      </c>
      <c r="AD35" s="10" t="n">
        <v>9368966.92208452</v>
      </c>
      <c r="AE35" s="10" t="n">
        <v>0</v>
      </c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AM36/Sum(AM$1:AM$53)</f>
      </c>
      <c r="K36" s="6" t="str">
        <f>AN36/Sum(AN1:AN$53)</f>
      </c>
      <c r="O36" t="s">
        <v>123</v>
      </c>
      <c r="P36" t="n">
        <v>1731</v>
      </c>
      <c r="Q36" s="10" t="n">
        <v>38438995.0501625</v>
      </c>
      <c r="R36" s="10" t="n">
        <v>101533125.108034</v>
      </c>
      <c r="S36" s="10" t="n">
        <v>201955448.929059</v>
      </c>
      <c r="T36" s="10" t="n">
        <v>4238967.76702789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AM37/Sum(AM$1:AM$53)</f>
      </c>
      <c r="K37" s="6" t="str">
        <f>AN37/Sum(AN1:AN$53)</f>
      </c>
      <c r="O37" t="s">
        <v>124</v>
      </c>
      <c r="P37" t="n">
        <v>2258</v>
      </c>
      <c r="Q37" s="10"/>
      <c r="R37" s="10"/>
      <c r="S37" s="10"/>
      <c r="T37" s="10"/>
      <c r="U37" s="10"/>
      <c r="V37" s="10"/>
      <c r="W37" s="10" t="n">
        <v>742409.569952965</v>
      </c>
      <c r="X37" s="10" t="n">
        <v>3512035.83255276</v>
      </c>
      <c r="Y37" s="10" t="n">
        <v>79980.946299125</v>
      </c>
      <c r="Z37" s="10"/>
      <c r="AA37" s="10"/>
      <c r="AB37" s="10"/>
      <c r="AC37" s="10"/>
      <c r="AD37" s="10"/>
      <c r="AE37" s="10" t="n">
        <v>-11550.1952673249</v>
      </c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AM38/Sum(AM$1:AM$53)</f>
      </c>
      <c r="K38" s="6" t="str">
        <f>AN38/Sum(AN1:AN$53)</f>
      </c>
      <c r="O38" t="s">
        <v>125</v>
      </c>
      <c r="P38" t="n">
        <v>154</v>
      </c>
      <c r="Q38" s="10"/>
      <c r="R38" s="10"/>
      <c r="S38" s="10" t="n">
        <v>-1703614.39769974</v>
      </c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AM39/Sum(AM$1:AM$53)</f>
      </c>
      <c r="K39" s="6" t="str">
        <f>AN39/Sum(AN1:AN$53)</f>
      </c>
      <c r="O39" t="s">
        <v>126</v>
      </c>
      <c r="P39" t="n">
        <v>2114</v>
      </c>
      <c r="Q39" s="10" t="n">
        <v>35642335.9856673</v>
      </c>
      <c r="R39" s="10" t="n">
        <v>49938405.1966085</v>
      </c>
      <c r="S39" s="10" t="n">
        <v>202026580.976414</v>
      </c>
      <c r="T39" s="10" t="n">
        <v>147483762.252986</v>
      </c>
      <c r="U39" s="10" t="n">
        <v>36310053.1662299</v>
      </c>
      <c r="V39" s="10" t="n">
        <v>21453411.9929389</v>
      </c>
      <c r="W39" s="10" t="n">
        <v>5938465.64144938</v>
      </c>
      <c r="X39" s="10" t="n">
        <v>3264102.13646409</v>
      </c>
      <c r="Y39" s="10" t="n">
        <v>-13063.1562570779</v>
      </c>
      <c r="Z39" s="10" t="n">
        <v>-77009.3180269225</v>
      </c>
      <c r="AA39" s="10" t="n">
        <v>-143169.824923953</v>
      </c>
      <c r="AB39" s="10" t="n">
        <v>-103680.835924263</v>
      </c>
      <c r="AC39" s="10" t="n">
        <v>-511727.534487202</v>
      </c>
      <c r="AD39" s="10" t="n">
        <v>-28048.6660250441</v>
      </c>
      <c r="AE39" s="10" t="n">
        <v>-134193.495084635</v>
      </c>
      <c r="AF39" s="10"/>
      <c r="AG39" s="10" t="n">
        <v>0</v>
      </c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AM40/Sum(AM$1:AM$53)</f>
      </c>
      <c r="K40" s="6" t="str">
        <f>AN40/Sum(AN1:AN$53)</f>
      </c>
      <c r="O40" t="s">
        <v>77</v>
      </c>
      <c r="P40" t="n">
        <v>622</v>
      </c>
      <c r="Q40" s="10"/>
      <c r="R40" s="10"/>
      <c r="S40" s="10"/>
      <c r="T40" s="10"/>
      <c r="U40" s="10" t="n">
        <v>19364339.0962001</v>
      </c>
      <c r="V40" s="10" t="n">
        <v>54042411.251973</v>
      </c>
      <c r="W40" s="10" t="n">
        <v>47435977.0489185</v>
      </c>
      <c r="X40" s="10" t="n">
        <v>61202158.0601237</v>
      </c>
      <c r="Y40" s="10" t="n">
        <v>323972014.295112</v>
      </c>
      <c r="Z40" s="10" t="n">
        <v>2056975189.79804</v>
      </c>
      <c r="AA40" s="10" t="n">
        <v>925392036.144809</v>
      </c>
      <c r="AB40" s="10" t="n">
        <v>637364986.431408</v>
      </c>
      <c r="AC40" s="10" t="n">
        <v>535301450.023251</v>
      </c>
      <c r="AD40" s="10" t="n">
        <v>1011611287.43324</v>
      </c>
      <c r="AE40" s="10" t="n">
        <v>1340804835.93038</v>
      </c>
      <c r="AF40" s="10" t="n">
        <v>843534510.69959</v>
      </c>
      <c r="AG40" s="10" t="n">
        <v>968146264.946651</v>
      </c>
      <c r="AH40" s="10" t="n">
        <v>505295908.822272</v>
      </c>
      <c r="AI40" s="10" t="n">
        <v>581864780.359164</v>
      </c>
      <c r="AJ40" s="10" t="n">
        <v>858875918.555725</v>
      </c>
      <c r="AK40" s="10" t="n">
        <v>476339964.348282</v>
      </c>
      <c r="AL40" s="10" t="n">
        <v>341192641.337707</v>
      </c>
      <c r="AM40" s="10" t="n">
        <v>400697867.3355</v>
      </c>
      <c r="AN40" s="10" t="n">
        <v>210992994.174736</v>
      </c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AM41/Sum(AM$1:AM$53)</f>
      </c>
      <c r="K41" s="6" t="str">
        <f>AN41/Sum(AN1:AN$53)</f>
      </c>
      <c r="O41" t="s">
        <v>127</v>
      </c>
      <c r="P41" t="n">
        <v>1354</v>
      </c>
      <c r="Q41" s="10"/>
      <c r="R41" s="10"/>
      <c r="S41" s="10"/>
      <c r="T41" s="10"/>
      <c r="U41" s="10" t="n">
        <v>92021373.5904739</v>
      </c>
      <c r="V41" s="10" t="n">
        <v>61583468.651059</v>
      </c>
      <c r="W41" s="10" t="n">
        <v>90862076.97466</v>
      </c>
      <c r="X41" s="10" t="n">
        <v>206035212.543059</v>
      </c>
      <c r="Y41" s="10" t="n">
        <v>40505971.6767127</v>
      </c>
      <c r="Z41" s="10" t="n">
        <v>-516.90286419729</v>
      </c>
      <c r="AA41" s="10"/>
      <c r="AB41" s="10" t="n">
        <v>-213454.067784639</v>
      </c>
      <c r="AC41" s="10" t="n">
        <v>57452.844415918</v>
      </c>
      <c r="AD41" s="10" t="n">
        <v>18913.615036274</v>
      </c>
      <c r="AE41" s="10" t="n">
        <v>-156329.07741292</v>
      </c>
      <c r="AF41" s="10"/>
      <c r="AG41" s="10"/>
      <c r="AH41" s="10"/>
      <c r="AI41" s="10" t="n">
        <v>0</v>
      </c>
      <c r="AJ41" s="10" t="n">
        <v>0</v>
      </c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AM42/Sum(AM$1:AM$53)</f>
      </c>
      <c r="K42" s="6" t="str">
        <f>AN42/Sum(AN1:AN$53)</f>
      </c>
      <c r="O42" t="s">
        <v>128</v>
      </c>
      <c r="P42" t="n">
        <v>1545</v>
      </c>
      <c r="Q42" s="10" t="n">
        <v>1528593.72818512</v>
      </c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AM43/Sum(AM$1:AM$53)</f>
      </c>
      <c r="K43" s="6" t="str">
        <f>AN43/Sum(AN1:AN$53)</f>
      </c>
      <c r="O43" t="s">
        <v>129</v>
      </c>
      <c r="P43" t="n">
        <v>1541</v>
      </c>
      <c r="Q43" s="10"/>
      <c r="R43" s="10"/>
      <c r="S43" s="10" t="n">
        <v>110785.477123759</v>
      </c>
      <c r="T43" s="10" t="n">
        <v>22526892.9732389</v>
      </c>
      <c r="U43" s="10"/>
      <c r="V43" s="10"/>
      <c r="W43" s="10"/>
      <c r="X43" s="10"/>
      <c r="Y43" s="10"/>
      <c r="Z43" s="10" t="n">
        <v>-29725.0890035645</v>
      </c>
      <c r="AA43" s="10" t="n">
        <v>-246589.332538255</v>
      </c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AM44/Sum(AM$1:AM$53)</f>
      </c>
      <c r="K44" s="6" t="str">
        <f>AN44/Sum(AN1:AN$53)</f>
      </c>
      <c r="O44" t="s">
        <v>130</v>
      </c>
      <c r="P44" t="n">
        <v>1542</v>
      </c>
      <c r="Q44" s="10"/>
      <c r="R44" s="10"/>
      <c r="S44" s="10"/>
      <c r="T44" s="10" t="n">
        <v>586677.759234494</v>
      </c>
      <c r="U44" s="10"/>
      <c r="V44" s="10"/>
      <c r="W44" s="10"/>
      <c r="X44" s="10"/>
      <c r="Y44" s="10"/>
      <c r="Z44" s="10"/>
      <c r="AA44" s="10" t="n">
        <v>-202.644473221878</v>
      </c>
      <c r="AB44" s="10" t="n">
        <v>-56753.7032887175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AM45/Sum(AM$1:AM$53)</f>
      </c>
      <c r="K45" s="6" t="str">
        <f>AN45/Sum(AN1:AN$53)</f>
      </c>
      <c r="O45" t="s">
        <v>131</v>
      </c>
      <c r="P45" t="n">
        <v>1961</v>
      </c>
      <c r="Q45" s="10"/>
      <c r="R45" s="10"/>
      <c r="S45" s="10"/>
      <c r="T45" s="10"/>
      <c r="U45" s="10"/>
      <c r="V45" s="10" t="n">
        <v>526828.58094403</v>
      </c>
      <c r="W45" s="10"/>
      <c r="X45" s="10" t="n">
        <v>378458.161089743</v>
      </c>
      <c r="Y45" s="10"/>
      <c r="Z45" s="10"/>
      <c r="AA45" s="10"/>
      <c r="AB45" s="10" t="n">
        <v>15339.1202374523</v>
      </c>
      <c r="AC45" s="10"/>
      <c r="AD45" s="10"/>
      <c r="AE45" s="10"/>
      <c r="AF45" s="10"/>
      <c r="AG45" s="10" t="n">
        <v>-8390.9161126048</v>
      </c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AM46/Sum(AM$1:AM$53)</f>
      </c>
      <c r="K46" s="6" t="str">
        <f>AN46/Sum(AN1:AN$53)</f>
      </c>
      <c r="O46" t="s">
        <v>132</v>
      </c>
      <c r="P46" t="n">
        <v>1978</v>
      </c>
      <c r="Q46" s="10"/>
      <c r="R46" s="10"/>
      <c r="S46" s="10"/>
      <c r="T46" s="10"/>
      <c r="U46" s="10" t="n">
        <v>366989.31952655</v>
      </c>
      <c r="V46" s="10" t="n">
        <v>-90820.3175626602</v>
      </c>
      <c r="W46" s="10" t="n">
        <v>1307426.59486545</v>
      </c>
      <c r="X46" s="10" t="n">
        <v>1528541.77852809</v>
      </c>
      <c r="Y46" s="10" t="n">
        <v>6030099.8677687</v>
      </c>
      <c r="Z46" s="10" t="n">
        <v>6842452.81893593</v>
      </c>
      <c r="AA46" s="10" t="n">
        <v>1946794.88219277</v>
      </c>
      <c r="AB46" s="10" t="n">
        <v>1287739.60524441</v>
      </c>
      <c r="AC46" s="10" t="n">
        <v>1067167.45761872</v>
      </c>
      <c r="AD46" s="10" t="n">
        <v>174422.473339918</v>
      </c>
      <c r="AE46" s="10" t="n">
        <v>-5176.8998035771</v>
      </c>
      <c r="AF46" s="10"/>
      <c r="AG46" s="10"/>
      <c r="AH46" s="10"/>
      <c r="AI46" s="10" t="n">
        <v>0</v>
      </c>
      <c r="AJ46" s="10" t="n">
        <v>-166140.422175397</v>
      </c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AM47/Sum(AM$1:AM$53)</f>
      </c>
      <c r="K47" s="6" t="str">
        <f>AN47/Sum(AN1:AN$53)</f>
      </c>
      <c r="O47" t="s">
        <v>133</v>
      </c>
      <c r="P47" t="n">
        <v>675</v>
      </c>
      <c r="Q47" s="10"/>
      <c r="R47" s="10"/>
      <c r="S47" s="10"/>
      <c r="T47" s="10" t="n">
        <v>-2331472.65358124</v>
      </c>
      <c r="U47" s="10" t="n">
        <v>85648919.922666</v>
      </c>
      <c r="V47" s="10" t="n">
        <v>1427762.95512527</v>
      </c>
      <c r="W47" s="10" t="n">
        <v>4515279.0790626</v>
      </c>
      <c r="X47" s="10" t="n">
        <v>312408684.420204</v>
      </c>
      <c r="Y47" s="10"/>
      <c r="Z47" s="10"/>
      <c r="AA47" s="10"/>
      <c r="AB47" s="10"/>
      <c r="AC47" s="10" t="n">
        <v>-48243.6304895651</v>
      </c>
      <c r="AD47" s="10"/>
      <c r="AE47" s="10"/>
      <c r="AF47" s="10" t="n">
        <v>-8313680.60484552</v>
      </c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AM48/Sum(AM$1:AM$53)</f>
      </c>
      <c r="K48" s="6" t="str">
        <f>AN48/Sum(AN1:AN$53)</f>
      </c>
      <c r="O48" t="s">
        <v>78</v>
      </c>
      <c r="P48" t="n">
        <v>1550</v>
      </c>
      <c r="Q48" s="10" t="n">
        <v>428031530.067112</v>
      </c>
      <c r="R48" s="10" t="n">
        <v>430601847.84915</v>
      </c>
      <c r="S48" s="10" t="n">
        <v>409287535.813702</v>
      </c>
      <c r="T48" s="10" t="n">
        <v>158107385.594576</v>
      </c>
      <c r="U48" s="10"/>
      <c r="V48" s="10"/>
      <c r="W48" s="10"/>
      <c r="X48" s="10"/>
      <c r="Y48" s="10"/>
      <c r="Z48" s="10"/>
      <c r="AA48" s="10" t="n">
        <v>-9391934.71752172</v>
      </c>
      <c r="AB48" s="10" t="n">
        <v>-1760242.68344745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AM49/Sum(AM$1:AM$53)</f>
      </c>
      <c r="K49" s="6" t="str">
        <f>AN49/Sum(AN1:AN$53)</f>
      </c>
      <c r="O49" t="s">
        <v>134</v>
      </c>
      <c r="P49" t="n">
        <v>1376</v>
      </c>
      <c r="Q49" s="10"/>
      <c r="R49" s="10"/>
      <c r="S49" s="10"/>
      <c r="T49" s="10"/>
      <c r="U49" s="10"/>
      <c r="V49" s="10"/>
      <c r="W49" s="10"/>
      <c r="X49" s="10" t="n">
        <v>0</v>
      </c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AM50/Sum(AM$1:AM$53)</f>
      </c>
      <c r="K50" s="6" t="str">
        <f>AN50/Sum(AN1:AN$53)</f>
      </c>
      <c r="O50" t="s">
        <v>135</v>
      </c>
      <c r="P50" t="n">
        <v>1809</v>
      </c>
      <c r="Q50" s="10"/>
      <c r="R50" s="10"/>
      <c r="S50" s="10"/>
      <c r="T50" s="10"/>
      <c r="U50" s="10"/>
      <c r="V50" s="10"/>
      <c r="W50" s="10"/>
      <c r="X50" s="10"/>
      <c r="Y50" s="10" t="n">
        <v>-1509249.78777489</v>
      </c>
      <c r="Z50" s="10" t="n">
        <v>245691.419457189</v>
      </c>
      <c r="AA50" s="10" t="n">
        <v>305139.015436481</v>
      </c>
      <c r="AB50" s="10"/>
      <c r="AC50" s="10" t="n">
        <v>16763.8015968015</v>
      </c>
      <c r="AD50" s="10" t="n">
        <v>87390.9679529</v>
      </c>
      <c r="AE50" s="10" t="n">
        <v>76633.2578097073</v>
      </c>
      <c r="AF50" s="10" t="n">
        <v>0</v>
      </c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AM51/Sum(AM$1:AM$53)</f>
      </c>
      <c r="K51" s="6" t="str">
        <f>AN51/Sum(AN1:AN$53)</f>
      </c>
      <c r="O51" t="s">
        <v>79</v>
      </c>
      <c r="P51" t="n">
        <v>1325</v>
      </c>
      <c r="Q51" s="10"/>
      <c r="R51" s="10"/>
      <c r="S51" s="10"/>
      <c r="T51" s="10"/>
      <c r="U51" s="10" t="n">
        <v>66936.5697908567</v>
      </c>
      <c r="V51" s="10" t="n">
        <v>2654599.49190601</v>
      </c>
      <c r="W51" s="10" t="n">
        <v>168070274.448615</v>
      </c>
      <c r="X51" s="10" t="n">
        <v>565334257.139338</v>
      </c>
      <c r="Y51" s="10" t="n">
        <v>396729137.906935</v>
      </c>
      <c r="Z51" s="10" t="n">
        <v>394643411.432327</v>
      </c>
      <c r="AA51" s="10" t="n">
        <v>298031415.470847</v>
      </c>
      <c r="AB51" s="10" t="n">
        <v>692980921.018831</v>
      </c>
      <c r="AC51" s="10" t="n">
        <v>1449302895.25298</v>
      </c>
      <c r="AD51" s="10" t="n">
        <v>61627451.5725723</v>
      </c>
      <c r="AE51" s="10" t="n">
        <v>-39026778.5049622</v>
      </c>
      <c r="AF51" s="10" t="n">
        <v>30239310.104795</v>
      </c>
      <c r="AG51" s="10" t="n">
        <v>95889872.8137215</v>
      </c>
      <c r="AH51" s="10" t="n">
        <v>70835808.5477712</v>
      </c>
      <c r="AI51" s="10" t="n">
        <v>49464603.8223873</v>
      </c>
      <c r="AJ51" s="10" t="n">
        <v>369286881.545201</v>
      </c>
      <c r="AK51" s="10" t="n">
        <v>356222420.416291</v>
      </c>
      <c r="AL51" s="10" t="n">
        <v>84556993.2013925</v>
      </c>
      <c r="AM51" s="10" t="n">
        <v>9410550.8594</v>
      </c>
      <c r="AN51" s="10" t="n">
        <v>44560853.4329992</v>
      </c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AM52/Sum(AM$1:AM$53)</f>
      </c>
      <c r="K52" s="6" t="str">
        <f>AN52/Sum(AN1:AN$53)</f>
      </c>
      <c r="O52" t="s">
        <v>136</v>
      </c>
      <c r="P52" t="n">
        <v>2015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 t="n">
        <v>23017638.9470754</v>
      </c>
      <c r="AE52" s="10" t="n">
        <v>22903954.2929907</v>
      </c>
      <c r="AF52" s="10" t="n">
        <v>50415963.378582</v>
      </c>
      <c r="AG52" s="10" t="n">
        <v>29908779.9218055</v>
      </c>
      <c r="AH52" s="10" t="n">
        <v>28777584.6642818</v>
      </c>
      <c r="AI52" s="10" t="n">
        <v>38122046.4109397</v>
      </c>
      <c r="AJ52" s="10" t="n">
        <v>31684119.2526189</v>
      </c>
      <c r="AK52" s="10" t="n">
        <v>26042979.10961</v>
      </c>
      <c r="AL52" s="10" t="n">
        <v>25253487.6295872</v>
      </c>
      <c r="AM52" s="10" t="n">
        <v>31203622.9963</v>
      </c>
      <c r="AN52" s="10" t="n">
        <v>28749658.770284</v>
      </c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AM53/Sum(AM$1:AM$53)</f>
      </c>
      <c r="K53" s="6" t="str">
        <f>AN53/Sum(AN1:AN$53)</f>
      </c>
      <c r="O53"/>
      <c r="P53"/>
      <c r="Q53" s="10" t="n">
        <v>3442205305.42089</v>
      </c>
      <c r="R53" s="10" t="n">
        <v>4194715671.48198</v>
      </c>
      <c r="S53" s="10" t="n">
        <v>5287857552.50624</v>
      </c>
      <c r="T53" s="10" t="n">
        <v>6815453907.52333</v>
      </c>
      <c r="U53" s="10" t="n">
        <v>8088715953.88175</v>
      </c>
      <c r="V53" s="10" t="n">
        <v>7359615315.95048</v>
      </c>
      <c r="W53" s="10" t="n">
        <v>7602426788.62289</v>
      </c>
      <c r="X53" s="10" t="n">
        <v>7163421783.72589</v>
      </c>
      <c r="Y53" s="10" t="n">
        <v>7152331467.70898</v>
      </c>
      <c r="Z53" s="10" t="n">
        <v>6128253895.80977</v>
      </c>
      <c r="AA53" s="10" t="n">
        <v>6374586097.94928</v>
      </c>
      <c r="AB53" s="10" t="n">
        <v>6812534875.58817</v>
      </c>
      <c r="AC53" s="10" t="n">
        <v>4659201322.05218</v>
      </c>
      <c r="AD53" s="10" t="n">
        <v>3529095857.2766</v>
      </c>
      <c r="AE53" s="10" t="n">
        <v>2556113199.31037</v>
      </c>
      <c r="AF53" s="10" t="n">
        <v>2605080932.23353</v>
      </c>
      <c r="AG53" s="10" t="n">
        <v>2400757636.81787</v>
      </c>
      <c r="AH53" s="10" t="n">
        <v>2498045333.52179</v>
      </c>
      <c r="AI53" s="10" t="n">
        <v>3201435325.40239</v>
      </c>
      <c r="AJ53" s="10" t="n">
        <v>4307969904.13254</v>
      </c>
      <c r="AK53" s="10" t="n">
        <v>5523337630.37576</v>
      </c>
      <c r="AL53" s="10" t="n">
        <v>2481210754.75252</v>
      </c>
      <c r="AM53" s="10" t="n">
        <v>3318700267.4031</v>
      </c>
      <c r="AN53" s="10" t="n">
        <v>1933602385.24115</v>
      </c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Sum(J$1:J$53)</f>
      </c>
      <c r="K54" s="6" t="str">
        <f>Sum(K$1:K$53)</f>
      </c>
      <c r="O54" t="s">
        <v>137</v>
      </c>
      <c r="P54" t="s">
        <v>138</v>
      </c>
      <c r="Q54" s="10" t="str">
        <f>Sum(Q2:Q53)</f>
      </c>
      <c r="R54" s="10" t="str">
        <f>Sum(R2:R53)</f>
      </c>
      <c r="S54" s="10" t="str">
        <f>Sum(S2:S53)</f>
      </c>
      <c r="T54" s="10" t="str">
        <f>Sum(T2:T53)</f>
      </c>
      <c r="U54" s="10" t="str">
        <f>Sum(U2:U53)</f>
      </c>
      <c r="V54" s="10" t="str">
        <f>Sum(V2:V53)</f>
      </c>
      <c r="W54" s="10" t="str">
        <f>Sum(W2:W53)</f>
      </c>
      <c r="X54" s="10" t="str">
        <f>Sum(X2:X53)</f>
      </c>
      <c r="Y54" s="10" t="str">
        <f>Sum(Y2:Y53)</f>
      </c>
      <c r="Z54" s="10" t="str">
        <f>Sum(Z2:Z53)</f>
      </c>
      <c r="AA54" s="10" t="str">
        <f>Sum(AA2:AA53)</f>
      </c>
      <c r="AB54" s="10" t="str">
        <f>Sum(AB2:AB53)</f>
      </c>
      <c r="AC54" s="10" t="str">
        <f>Sum(AC2:AC53)</f>
      </c>
      <c r="AD54" s="10" t="str">
        <f>Sum(AD2:AD53)</f>
      </c>
      <c r="AE54" s="10" t="str">
        <f>Sum(AE2:AE53)</f>
      </c>
      <c r="AF54" s="10" t="str">
        <f>Sum(AF2:AF53)</f>
      </c>
      <c r="AG54" s="10" t="str">
        <f>Sum(AG2:AG53)</f>
      </c>
      <c r="AH54" s="10" t="str">
        <f>Sum(AH2:AH53)</f>
      </c>
      <c r="AI54" s="10" t="str">
        <f>Sum(AI2:AI53)</f>
      </c>
      <c r="AJ54" s="10" t="str">
        <f>Sum(AJ2:AJ53)</f>
      </c>
      <c r="AK54" s="10" t="str">
        <f>Sum(AK2:AK53)</f>
      </c>
      <c r="AL54" s="10" t="str">
        <f>Sum(AL2:AL53)</f>
      </c>
      <c r="AM54" s="10" t="str">
        <f>Sum(AM2:AM53)</f>
      </c>
      <c r="AN54" s="10"/>
      <c r="AO54" s="10"/>
    </row>
    <row r="55">
      <c r="P55" t="str">
        <f>Sum(A2:A53)</f>
      </c>
    </row>
    <row r="56">
      <c r="P56" t="str">
        <f>Sum(B2:B53)</f>
      </c>
    </row>
    <row r="57">
      <c r="P57" t="str">
        <f>Sum(C2:C53)</f>
      </c>
    </row>
    <row r="58">
      <c r="P58" t="str">
        <f>Sum(D2:D53)</f>
      </c>
    </row>
    <row r="59">
      <c r="P59" t="str">
        <f>Sum(E2:E53)</f>
      </c>
    </row>
    <row r="60">
      <c r="P60" t="str">
        <f>Sum(F2:F53)</f>
      </c>
    </row>
    <row r="61">
      <c r="P61" t="str">
        <f>Sum(G2:G53)</f>
      </c>
    </row>
    <row r="62">
      <c r="P62" t="str">
        <f>Sum(H2:H53)</f>
      </c>
    </row>
    <row r="63">
      <c r="P63" t="str">
        <f>Sum(I2:I53)</f>
      </c>
    </row>
    <row r="64">
      <c r="P64" t="str">
        <f>Sum(J2:J53)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139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140</v>
      </c>
      <c r="L2" s="11" t="n">
        <v>2981686000</v>
      </c>
      <c r="M2" s="11" t="n">
        <v>2505326000</v>
      </c>
      <c r="N2" s="11" t="n">
        <v>1780174197</v>
      </c>
      <c r="O2" s="11" t="n">
        <v>2514494611</v>
      </c>
      <c r="P2" s="11" t="n">
        <v>2818400874</v>
      </c>
      <c r="Q2" s="11" t="n">
        <v>2206441815</v>
      </c>
      <c r="R2" s="11" t="n">
        <v>1992790581</v>
      </c>
      <c r="S2" s="11" t="n">
        <v>2150459834</v>
      </c>
      <c r="T2" s="11" t="n">
        <v>2774780202</v>
      </c>
      <c r="U2" s="11" t="n">
        <v>2583314893</v>
      </c>
      <c r="V2" s="11" t="n">
        <v>2294656921</v>
      </c>
      <c r="W2" s="11" t="n">
        <v>3067004103</v>
      </c>
      <c r="X2" s="11" t="n">
        <v>3080217074</v>
      </c>
      <c r="Y2" s="11" t="n">
        <v>3722440399</v>
      </c>
      <c r="Z2" s="11" t="n">
        <v>4590336654</v>
      </c>
      <c r="AA2" s="11" t="n">
        <v>4357456113</v>
      </c>
      <c r="AB2" s="11" t="n">
        <v>5571091582.4062</v>
      </c>
      <c r="AC2" s="11" t="n">
        <v>5767520949.0342</v>
      </c>
      <c r="AD2" s="11" t="n">
        <v>6823809944.8453</v>
      </c>
      <c r="AE2" s="11" t="n">
        <v>7737798739.3084</v>
      </c>
      <c r="AF2" s="11" t="n">
        <v>6263578915.4898</v>
      </c>
      <c r="AG2" s="11" t="n">
        <v>7864123707.353</v>
      </c>
      <c r="AH2" s="11" t="n">
        <v>7719897852.9998</v>
      </c>
      <c r="AI2" s="11" t="n">
        <v>5514457771.085</v>
      </c>
      <c r="AJ2" s="11" t="n">
        <v>6217597329.0561</v>
      </c>
      <c r="AK2" s="11" t="n">
        <v>4197842457.6808</v>
      </c>
      <c r="AL2" s="11" t="n">
        <v>4241490208.5349</v>
      </c>
      <c r="AM2" s="11" t="n">
        <v>4002087723.9339</v>
      </c>
      <c r="AN2" s="11" t="n">
        <v>3197892695.152</v>
      </c>
      <c r="AO2" s="11" t="n">
        <v>5343557006.4935</v>
      </c>
      <c r="AP2" s="11" t="n">
        <v>5490501494.6167</v>
      </c>
      <c r="AQ2" s="11" t="n">
        <v>2581787391.1079</v>
      </c>
      <c r="AR2" s="11" t="n">
        <v>3413000193.4499</v>
      </c>
      <c r="AS2" s="11" t="n">
        <v>2152920714.0524</v>
      </c>
      <c r="AT2" s="11"/>
      <c r="AU2" s="11"/>
    </row>
    <row r="3">
      <c r="A3" t="str">
        <f>K3</f>
      </c>
      <c r="K3" t="s">
        <v>141</v>
      </c>
      <c r="L3" s="11" t="n">
        <v>993868000</v>
      </c>
      <c r="M3" s="11" t="n">
        <v>828864000</v>
      </c>
      <c r="N3" s="11" t="n">
        <v>689514646</v>
      </c>
      <c r="O3" s="11" t="n">
        <v>599802043</v>
      </c>
      <c r="P3" s="11" t="n">
        <v>442363089</v>
      </c>
      <c r="Q3" s="11" t="n">
        <v>509476854</v>
      </c>
      <c r="R3" s="11" t="n">
        <v>471682817</v>
      </c>
      <c r="S3" s="11" t="n">
        <v>423126207</v>
      </c>
      <c r="T3" s="11" t="n">
        <v>222719957</v>
      </c>
      <c r="U3" s="11" t="n">
        <v>297642318</v>
      </c>
      <c r="V3" s="11" t="n">
        <v>306484457</v>
      </c>
      <c r="W3" s="11" t="n">
        <v>378078439</v>
      </c>
      <c r="X3" s="11" t="n">
        <v>602820009</v>
      </c>
      <c r="Y3" s="11" t="n">
        <v>677385545</v>
      </c>
      <c r="Z3" s="11" t="n">
        <v>658949059.0234</v>
      </c>
      <c r="AA3" s="11" t="n">
        <v>975014403</v>
      </c>
      <c r="AB3" s="11" t="n">
        <v>1241667682.87</v>
      </c>
      <c r="AC3" s="11" t="n">
        <v>1078333836.9555</v>
      </c>
      <c r="AD3" s="11" t="n">
        <v>1087838397.57</v>
      </c>
      <c r="AE3" s="11" t="n">
        <v>1132788916.4942</v>
      </c>
      <c r="AF3" s="11" t="n">
        <v>1088582731.6416</v>
      </c>
      <c r="AG3" s="11" t="n">
        <v>855539039.745</v>
      </c>
      <c r="AH3" s="11" t="n">
        <v>651452259.8988</v>
      </c>
      <c r="AI3" s="11" t="n">
        <v>684628670.05</v>
      </c>
      <c r="AJ3" s="11" t="n">
        <v>347500388.8225</v>
      </c>
      <c r="AK3" s="11" t="n">
        <v>346332661.0838</v>
      </c>
      <c r="AL3" s="11" t="n">
        <v>354100352.6726</v>
      </c>
      <c r="AM3" s="11" t="n">
        <v>436462866.8103</v>
      </c>
      <c r="AN3" s="11" t="n">
        <v>890217932.0021</v>
      </c>
      <c r="AO3" s="11" t="n">
        <v>741853889.1073</v>
      </c>
      <c r="AP3" s="11" t="n">
        <v>837425343.8669</v>
      </c>
      <c r="AQ3" s="11" t="n">
        <v>615155855.3139</v>
      </c>
      <c r="AR3" s="11" t="n">
        <v>822791273.7971</v>
      </c>
      <c r="AS3" s="11" t="n">
        <v>179936802.7508</v>
      </c>
      <c r="AT3" s="11"/>
      <c r="AU3" s="11"/>
    </row>
    <row r="4">
      <c r="A4" t="str">
        <f>K4</f>
      </c>
      <c r="K4" t="s">
        <v>142</v>
      </c>
      <c r="L4" s="11" t="n">
        <v>975355000</v>
      </c>
      <c r="M4" s="11" t="n">
        <v>1041000000</v>
      </c>
      <c r="N4" s="11" t="n">
        <v>604166123</v>
      </c>
      <c r="O4" s="11" t="n">
        <v>556197708</v>
      </c>
      <c r="P4" s="11" t="n">
        <v>318183914</v>
      </c>
      <c r="Q4" s="11" t="n">
        <v>627257865</v>
      </c>
      <c r="R4" s="11" t="n">
        <v>389562525</v>
      </c>
      <c r="S4" s="11" t="n">
        <v>457483422</v>
      </c>
      <c r="T4" s="11" t="n">
        <v>469803959</v>
      </c>
      <c r="U4" s="11" t="n">
        <v>491739520</v>
      </c>
      <c r="V4" s="11" t="n">
        <v>475335780</v>
      </c>
      <c r="W4" s="11" t="n">
        <v>556504765</v>
      </c>
      <c r="X4" s="11" t="n">
        <v>628534233</v>
      </c>
      <c r="Y4" s="11" t="n">
        <v>658544757</v>
      </c>
      <c r="Z4" s="11" t="n">
        <v>736370843.9375</v>
      </c>
      <c r="AA4" s="11" t="n">
        <v>899606909.5</v>
      </c>
      <c r="AB4" s="11" t="n">
        <v>902180915.2891</v>
      </c>
      <c r="AC4" s="11" t="n">
        <v>1035767011.9775</v>
      </c>
      <c r="AD4" s="11" t="n">
        <v>1341468616.7674</v>
      </c>
      <c r="AE4" s="11" t="n">
        <v>1136352125.5674</v>
      </c>
      <c r="AF4" s="11" t="n">
        <v>1230711772.3717</v>
      </c>
      <c r="AG4" s="11" t="n">
        <v>1232087201.6256</v>
      </c>
      <c r="AH4" s="11" t="n">
        <v>1138964026.2741</v>
      </c>
      <c r="AI4" s="11" t="n">
        <v>983600525.7601</v>
      </c>
      <c r="AJ4" s="11" t="n">
        <v>907680778.98</v>
      </c>
      <c r="AK4" s="11" t="n">
        <v>1070882378.1794</v>
      </c>
      <c r="AL4" s="11" t="n">
        <v>1086519341.7277</v>
      </c>
      <c r="AM4" s="11" t="n">
        <v>1206657120.4245</v>
      </c>
      <c r="AN4" s="11" t="n">
        <v>1369022844.0111</v>
      </c>
      <c r="AO4" s="11" t="n">
        <v>503037076.0464</v>
      </c>
      <c r="AP4" s="11" t="n">
        <v>602100898.3821</v>
      </c>
      <c r="AQ4" s="11" t="n">
        <v>298852653.7101</v>
      </c>
      <c r="AR4" s="11" t="n">
        <v>283448297.893</v>
      </c>
      <c r="AS4" s="11" t="n">
        <v>185089623.5606</v>
      </c>
      <c r="AT4" s="11"/>
      <c r="AU4" s="11"/>
    </row>
    <row r="5">
      <c r="A5" t="str">
        <f>K5</f>
      </c>
      <c r="K5" t="s">
        <v>143</v>
      </c>
      <c r="L5" s="11" t="n">
        <v>152042000</v>
      </c>
      <c r="M5" s="11" t="n">
        <v>155220000</v>
      </c>
      <c r="N5" s="11" t="n">
        <v>126780840</v>
      </c>
      <c r="O5" s="11" t="n">
        <v>97311593</v>
      </c>
      <c r="P5" s="11" t="n">
        <v>123212618</v>
      </c>
      <c r="Q5" s="11" t="n">
        <v>103645373</v>
      </c>
      <c r="R5" s="11" t="n">
        <v>95170849</v>
      </c>
      <c r="S5" s="11" t="n">
        <v>148671618</v>
      </c>
      <c r="T5" s="11" t="n">
        <v>84148302</v>
      </c>
      <c r="U5" s="11" t="n">
        <v>137543407</v>
      </c>
      <c r="V5" s="11" t="n">
        <v>106274966</v>
      </c>
      <c r="W5" s="11" t="n">
        <v>152728406</v>
      </c>
      <c r="X5" s="11" t="n">
        <v>182204212</v>
      </c>
      <c r="Y5" s="11" t="n">
        <v>231113436.6601</v>
      </c>
      <c r="Z5" s="11" t="n">
        <v>293011523.1993</v>
      </c>
      <c r="AA5" s="11" t="n">
        <v>290076626.7656</v>
      </c>
      <c r="AB5" s="11" t="n">
        <v>295517047.0026</v>
      </c>
      <c r="AC5" s="11" t="n">
        <v>328786629.2665</v>
      </c>
      <c r="AD5" s="11" t="n">
        <v>324388090.3841</v>
      </c>
      <c r="AE5" s="11" t="n">
        <v>374073387.3337</v>
      </c>
      <c r="AF5" s="11" t="n">
        <v>506402557.8901</v>
      </c>
      <c r="AG5" s="11" t="n">
        <v>346649984.7589</v>
      </c>
      <c r="AH5" s="11" t="n">
        <v>439016237.3211</v>
      </c>
      <c r="AI5" s="11" t="n">
        <v>388492702.4543</v>
      </c>
      <c r="AJ5" s="11" t="n">
        <v>376650012.3965</v>
      </c>
      <c r="AK5" s="11" t="n">
        <v>347947976.7045</v>
      </c>
      <c r="AL5" s="11" t="n">
        <v>393739553.0674</v>
      </c>
      <c r="AM5" s="11" t="n">
        <v>405366667.6056</v>
      </c>
      <c r="AN5" s="11" t="n">
        <v>488386980.5274</v>
      </c>
      <c r="AO5" s="11" t="n">
        <v>628055693.0004</v>
      </c>
      <c r="AP5" s="11" t="n">
        <v>416729664.5823</v>
      </c>
      <c r="AQ5" s="11" t="n">
        <v>129271881.2457</v>
      </c>
      <c r="AR5" s="11" t="n">
        <v>123816370.5602</v>
      </c>
      <c r="AS5" s="11" t="n">
        <v>64088539.2533</v>
      </c>
      <c r="AT5" s="11"/>
      <c r="AU5" s="11"/>
    </row>
    <row r="6">
      <c r="A6" t="str">
        <f>K6</f>
      </c>
      <c r="K6" t="s">
        <v>144</v>
      </c>
      <c r="L6" s="11" t="n">
        <v>6367000</v>
      </c>
      <c r="M6" s="11" t="n">
        <v>5631000</v>
      </c>
      <c r="N6" s="11" t="n">
        <v>6420201</v>
      </c>
      <c r="O6" s="11" t="n">
        <v>8090311</v>
      </c>
      <c r="P6" s="11" t="n">
        <v>2467234</v>
      </c>
      <c r="Q6" s="11" t="n">
        <v>2490913</v>
      </c>
      <c r="R6" s="11" t="n">
        <v>931370</v>
      </c>
      <c r="S6" s="11" t="n">
        <v>324518</v>
      </c>
      <c r="T6" s="11" t="n">
        <v>29306</v>
      </c>
      <c r="U6" s="11"/>
      <c r="V6" s="11"/>
      <c r="W6" s="11"/>
      <c r="X6" s="11"/>
      <c r="Y6" s="11"/>
      <c r="Z6" s="11" t="n">
        <v>30436</v>
      </c>
      <c r="AA6" s="11" t="n">
        <v>141820</v>
      </c>
      <c r="AB6" s="11" t="n">
        <v>27709</v>
      </c>
      <c r="AC6" s="11"/>
      <c r="AD6" s="11" t="n">
        <v>3020</v>
      </c>
      <c r="AE6" s="11" t="n">
        <v>23585.9492</v>
      </c>
      <c r="AF6" s="11" t="n">
        <v>91430</v>
      </c>
      <c r="AG6" s="11" t="n">
        <v>1776.52</v>
      </c>
      <c r="AH6" s="11"/>
      <c r="AI6" s="11"/>
      <c r="AJ6" s="11" t="n">
        <v>57024.61</v>
      </c>
      <c r="AK6" s="11" t="n">
        <v>57045.85</v>
      </c>
      <c r="AL6" s="11" t="n">
        <v>16258.2796</v>
      </c>
      <c r="AM6" s="11" t="n">
        <v>4000</v>
      </c>
      <c r="AN6" s="11" t="n">
        <v>4158.46</v>
      </c>
      <c r="AO6" s="11" t="n">
        <v>-58384.5117</v>
      </c>
      <c r="AP6" s="11"/>
      <c r="AQ6" s="11"/>
      <c r="AR6" s="11"/>
      <c r="AS6" s="11"/>
      <c r="AT6" s="11"/>
      <c r="AU6" s="11"/>
    </row>
    <row r="7">
      <c r="A7" t="str">
        <f>K7</f>
      </c>
      <c r="K7" t="s">
        <v>137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139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140</v>
      </c>
      <c r="L11" s="11" t="n">
        <v>5926195046.53351</v>
      </c>
      <c r="M11" s="11" t="n">
        <v>4807919893.91958</v>
      </c>
      <c r="N11" s="11" t="n">
        <v>3332996378.52955</v>
      </c>
      <c r="O11" s="11" t="n">
        <v>4599801083.64997</v>
      </c>
      <c r="P11" s="11" t="n">
        <v>5045795022.74727</v>
      </c>
      <c r="Q11" s="11" t="n">
        <v>3868261418.73036</v>
      </c>
      <c r="R11" s="11" t="n">
        <v>3429244574.89111</v>
      </c>
      <c r="S11" s="11" t="n">
        <v>3635974849.16167</v>
      </c>
      <c r="T11" s="11" t="n">
        <v>4633709995.79136</v>
      </c>
      <c r="U11" s="11" t="n">
        <v>4260862405.12465</v>
      </c>
      <c r="V11" s="11" t="n">
        <v>3707546141.1705</v>
      </c>
      <c r="W11" s="11" t="n">
        <v>4838128860.15755</v>
      </c>
      <c r="X11" s="11" t="n">
        <v>4783471896.99515</v>
      </c>
      <c r="Y11" s="11" t="n">
        <v>5672397382.25786</v>
      </c>
      <c r="Z11" s="11" t="n">
        <v>6828030884.5333</v>
      </c>
      <c r="AA11" s="11" t="n">
        <v>6290662024.2889</v>
      </c>
      <c r="AB11" s="11" t="n">
        <v>7789136922.52876</v>
      </c>
      <c r="AC11" s="11" t="n">
        <v>7848540231.84287</v>
      </c>
      <c r="AD11" s="11" t="n">
        <v>9096246279.23512</v>
      </c>
      <c r="AE11" s="11" t="n">
        <v>10210845602.4372</v>
      </c>
      <c r="AF11" s="11" t="n">
        <v>8194187539.14199</v>
      </c>
      <c r="AG11" s="11" t="n">
        <v>10084817698.7154</v>
      </c>
      <c r="AH11" s="11" t="n">
        <v>9721667364.42775</v>
      </c>
      <c r="AI11" s="11" t="n">
        <v>6819558743.04245</v>
      </c>
      <c r="AJ11" s="11" t="n">
        <v>7543179497.20822</v>
      </c>
      <c r="AK11" s="11" t="n">
        <v>5035091922.8318</v>
      </c>
      <c r="AL11" s="11" t="n">
        <v>5045634444.11346</v>
      </c>
      <c r="AM11" s="11" t="n">
        <v>4677335566.83393</v>
      </c>
      <c r="AN11" s="11" t="n">
        <v>3651710437.60402</v>
      </c>
      <c r="AO11" s="11" t="n">
        <v>5984650782.15337</v>
      </c>
      <c r="AP11" s="11" t="n">
        <v>6068271490.20894</v>
      </c>
      <c r="AQ11" s="11" t="n">
        <v>2760673230.04364</v>
      </c>
      <c r="AR11" s="11" t="n">
        <v>3413000193.4499</v>
      </c>
      <c r="AS11" s="11" t="n">
        <v>2053452288.11591</v>
      </c>
      <c r="AT11" s="11"/>
      <c r="AU11" s="11"/>
    </row>
    <row r="12">
      <c r="A12" t="str">
        <f>K12</f>
      </c>
      <c r="K12" t="s">
        <v>141</v>
      </c>
      <c r="L12" s="11" t="n">
        <v>1975344022.98168</v>
      </c>
      <c r="M12" s="11" t="n">
        <v>1590655952.54021</v>
      </c>
      <c r="N12" s="11" t="n">
        <v>1290969064.6758</v>
      </c>
      <c r="O12" s="11" t="n">
        <v>1097226486.50642</v>
      </c>
      <c r="P12" s="11" t="n">
        <v>791964511.973574</v>
      </c>
      <c r="Q12" s="11" t="n">
        <v>893198109.583651</v>
      </c>
      <c r="R12" s="11" t="n">
        <v>811683754.775138</v>
      </c>
      <c r="S12" s="11" t="n">
        <v>715417336.491938</v>
      </c>
      <c r="T12" s="11" t="n">
        <v>371928446.897979</v>
      </c>
      <c r="U12" s="11" t="n">
        <v>490924651.259832</v>
      </c>
      <c r="V12" s="11" t="n">
        <v>495196146.962087</v>
      </c>
      <c r="W12" s="11" t="n">
        <v>596410094.574045</v>
      </c>
      <c r="X12" s="11" t="n">
        <v>936158881.897642</v>
      </c>
      <c r="Y12" s="11" t="n">
        <v>1032226061.50243</v>
      </c>
      <c r="Z12" s="11" t="n">
        <v>980173103.954203</v>
      </c>
      <c r="AA12" s="11" t="n">
        <v>1407584131.43582</v>
      </c>
      <c r="AB12" s="11" t="n">
        <v>1736018776.76838</v>
      </c>
      <c r="AC12" s="11" t="n">
        <v>1467414956.52824</v>
      </c>
      <c r="AD12" s="11" t="n">
        <v>1450105740.96954</v>
      </c>
      <c r="AE12" s="11" t="n">
        <v>1494835044.97408</v>
      </c>
      <c r="AF12" s="11" t="n">
        <v>1424114100.78725</v>
      </c>
      <c r="AG12" s="11" t="n">
        <v>1097128627.55391</v>
      </c>
      <c r="AH12" s="11" t="n">
        <v>820373830.734031</v>
      </c>
      <c r="AI12" s="11" t="n">
        <v>846659023.677386</v>
      </c>
      <c r="AJ12" s="11" t="n">
        <v>421586936.160709</v>
      </c>
      <c r="AK12" s="11" t="n">
        <v>415407867.735775</v>
      </c>
      <c r="AL12" s="11" t="n">
        <v>421234247.463875</v>
      </c>
      <c r="AM12" s="11" t="n">
        <v>510104583.24672</v>
      </c>
      <c r="AN12" s="11" t="n">
        <v>1016550092.17869</v>
      </c>
      <c r="AO12" s="11" t="n">
        <v>830857882.173681</v>
      </c>
      <c r="AP12" s="11" t="n">
        <v>925548302.709402</v>
      </c>
      <c r="AQ12" s="11" t="n">
        <v>657778525.032198</v>
      </c>
      <c r="AR12" s="11" t="n">
        <v>822791273.7971</v>
      </c>
      <c r="AS12" s="11" t="n">
        <v>171623430.864486</v>
      </c>
      <c r="AT12" s="11"/>
      <c r="AU12" s="11"/>
    </row>
    <row r="13">
      <c r="A13" t="str">
        <f>K13</f>
      </c>
      <c r="K13" t="s">
        <v>142</v>
      </c>
      <c r="L13" s="11" t="n">
        <v>1938548851.09019</v>
      </c>
      <c r="M13" s="11" t="n">
        <v>1997761812.06369</v>
      </c>
      <c r="N13" s="11" t="n">
        <v>1131172164.71442</v>
      </c>
      <c r="O13" s="11" t="n">
        <v>1017460450.61698</v>
      </c>
      <c r="P13" s="11" t="n">
        <v>569646008.979858</v>
      </c>
      <c r="Q13" s="11" t="n">
        <v>1099687914.84976</v>
      </c>
      <c r="R13" s="11" t="n">
        <v>670369073.486269</v>
      </c>
      <c r="S13" s="11" t="n">
        <v>773508153.931144</v>
      </c>
      <c r="T13" s="11" t="n">
        <v>784543330.427241</v>
      </c>
      <c r="U13" s="11" t="n">
        <v>811064280.068795</v>
      </c>
      <c r="V13" s="11" t="n">
        <v>768014303.476468</v>
      </c>
      <c r="W13" s="11" t="n">
        <v>877873544.977678</v>
      </c>
      <c r="X13" s="11" t="n">
        <v>976092193.382506</v>
      </c>
      <c r="Y13" s="11" t="n">
        <v>1003515746.47373</v>
      </c>
      <c r="Z13" s="11" t="n">
        <v>1095336408.60388</v>
      </c>
      <c r="AA13" s="11" t="n">
        <v>1298721748.56705</v>
      </c>
      <c r="AB13" s="11" t="n">
        <v>1261370518.53023</v>
      </c>
      <c r="AC13" s="11" t="n">
        <v>1409489299.84942</v>
      </c>
      <c r="AD13" s="11" t="n">
        <v>1788198823.32725</v>
      </c>
      <c r="AE13" s="11" t="n">
        <v>1499537077.02756</v>
      </c>
      <c r="AF13" s="11" t="n">
        <v>1610051251.13123</v>
      </c>
      <c r="AG13" s="11" t="n">
        <v>1580007548.16418</v>
      </c>
      <c r="AH13" s="11" t="n">
        <v>1434297398.01331</v>
      </c>
      <c r="AI13" s="11" t="n">
        <v>1216388236.80549</v>
      </c>
      <c r="AJ13" s="11" t="n">
        <v>1101196922.16404</v>
      </c>
      <c r="AK13" s="11" t="n">
        <v>1284467263.13139</v>
      </c>
      <c r="AL13" s="11" t="n">
        <v>1292512571.12071</v>
      </c>
      <c r="AM13" s="11" t="n">
        <v>1410249013.92895</v>
      </c>
      <c r="AN13" s="11" t="n">
        <v>1563302926.44671</v>
      </c>
      <c r="AO13" s="11" t="n">
        <v>563388998.555619</v>
      </c>
      <c r="AP13" s="11" t="n">
        <v>665460471.955733</v>
      </c>
      <c r="AQ13" s="11" t="n">
        <v>319559435.322416</v>
      </c>
      <c r="AR13" s="11" t="n">
        <v>283448297.893</v>
      </c>
      <c r="AS13" s="11" t="n">
        <v>176538183.002394</v>
      </c>
      <c r="AT13" s="11"/>
      <c r="AU13" s="11"/>
    </row>
    <row r="14">
      <c r="A14" t="str">
        <f>K14</f>
      </c>
      <c r="K14" t="s">
        <v>143</v>
      </c>
      <c r="L14" s="11" t="n">
        <v>302188274.441054</v>
      </c>
      <c r="M14" s="11" t="n">
        <v>297879527.827595</v>
      </c>
      <c r="N14" s="11" t="n">
        <v>237370073.838305</v>
      </c>
      <c r="O14" s="11" t="n">
        <v>178013493.834887</v>
      </c>
      <c r="P14" s="11" t="n">
        <v>220588071.902528</v>
      </c>
      <c r="Q14" s="11" t="n">
        <v>181707668.373669</v>
      </c>
      <c r="R14" s="11" t="n">
        <v>163772410.775476</v>
      </c>
      <c r="S14" s="11" t="n">
        <v>251372406.629275</v>
      </c>
      <c r="T14" s="11" t="n">
        <v>140522419.694801</v>
      </c>
      <c r="U14" s="11" t="n">
        <v>226861051.104179</v>
      </c>
      <c r="V14" s="11" t="n">
        <v>171711656.104397</v>
      </c>
      <c r="W14" s="11" t="n">
        <v>240925569.063205</v>
      </c>
      <c r="X14" s="11" t="n">
        <v>282956917.216331</v>
      </c>
      <c r="Y14" s="11" t="n">
        <v>352179514.672028</v>
      </c>
      <c r="Z14" s="11" t="n">
        <v>435848583.82567</v>
      </c>
      <c r="AA14" s="11" t="n">
        <v>418770487.368575</v>
      </c>
      <c r="AB14" s="11" t="n">
        <v>413172662.483937</v>
      </c>
      <c r="AC14" s="11" t="n">
        <v>447418416.03926</v>
      </c>
      <c r="AD14" s="11" t="n">
        <v>432414440.618107</v>
      </c>
      <c r="AE14" s="11" t="n">
        <v>493629484.396037</v>
      </c>
      <c r="AF14" s="11" t="n">
        <v>662489861.729187</v>
      </c>
      <c r="AG14" s="11" t="n">
        <v>444538009.78325</v>
      </c>
      <c r="AH14" s="11" t="n">
        <v>552853147.552977</v>
      </c>
      <c r="AI14" s="11" t="n">
        <v>480436865.34735</v>
      </c>
      <c r="AJ14" s="11" t="n">
        <v>456951214.556028</v>
      </c>
      <c r="AK14" s="11" t="n">
        <v>417345354.127083</v>
      </c>
      <c r="AL14" s="11" t="n">
        <v>468388644.860964</v>
      </c>
      <c r="AM14" s="11" t="n">
        <v>473761712.083834</v>
      </c>
      <c r="AN14" s="11" t="n">
        <v>557694708.482721</v>
      </c>
      <c r="AO14" s="11" t="n">
        <v>703406736.33371</v>
      </c>
      <c r="AP14" s="11" t="n">
        <v>460582470.506302</v>
      </c>
      <c r="AQ14" s="11" t="n">
        <v>138228818.988554</v>
      </c>
      <c r="AR14" s="11" t="n">
        <v>123816370.5602</v>
      </c>
      <c r="AS14" s="11" t="n">
        <v>61127544.8801744</v>
      </c>
      <c r="AT14" s="11"/>
      <c r="AU14" s="11"/>
    </row>
    <row r="15">
      <c r="A15" t="str">
        <f>K15</f>
      </c>
      <c r="K15" t="s">
        <v>144</v>
      </c>
      <c r="L15" s="11" t="n">
        <v>12654613.4842096</v>
      </c>
      <c r="M15" s="11" t="n">
        <v>10806336.9488287</v>
      </c>
      <c r="N15" s="11" t="n">
        <v>12020456.6039061</v>
      </c>
      <c r="O15" s="11" t="n">
        <v>14799722.0364157</v>
      </c>
      <c r="P15" s="11" t="n">
        <v>4417099.48077203</v>
      </c>
      <c r="Q15" s="11" t="n">
        <v>4366986.96961284</v>
      </c>
      <c r="R15" s="11" t="n">
        <v>1602725.11831806</v>
      </c>
      <c r="S15" s="11" t="n">
        <v>548691.618157536</v>
      </c>
      <c r="T15" s="11" t="n">
        <v>48939.1934679306</v>
      </c>
      <c r="U15" s="11"/>
      <c r="V15" s="11"/>
      <c r="W15" s="11"/>
      <c r="X15" s="11"/>
      <c r="Y15" s="11"/>
      <c r="Z15" s="11" t="n">
        <v>45272.9208478781</v>
      </c>
      <c r="AA15" s="11" t="n">
        <v>204739.110423406</v>
      </c>
      <c r="AB15" s="11" t="n">
        <v>38740.9167115381</v>
      </c>
      <c r="AC15" s="11"/>
      <c r="AD15" s="11" t="n">
        <v>4025.70763038929</v>
      </c>
      <c r="AE15" s="11" t="n">
        <v>31124.1599558137</v>
      </c>
      <c r="AF15" s="11" t="n">
        <v>119611.260081836</v>
      </c>
      <c r="AG15" s="11" t="n">
        <v>2278.1788543548</v>
      </c>
      <c r="AH15" s="11"/>
      <c r="AI15" s="11"/>
      <c r="AJ15" s="11" t="n">
        <v>69182.1689671235</v>
      </c>
      <c r="AK15" s="11" t="n">
        <v>68423.5059942584</v>
      </c>
      <c r="AL15" s="11" t="n">
        <v>19340.6872392906</v>
      </c>
      <c r="AM15" s="11" t="n">
        <v>4674.89559397892</v>
      </c>
      <c r="AN15" s="11" t="n">
        <v>4748.59328750461</v>
      </c>
      <c r="AO15" s="11" t="n">
        <v>-65389.199214389</v>
      </c>
      <c r="AP15" s="11"/>
      <c r="AQ15" s="11"/>
      <c r="AR15" s="11"/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../output/AcqTrends/Platform//Space_Systems/DoD_Space_Systems_Contracts.xlsx</dc:creator>
  <cp:lastModifiedBy>../output/AcqTrends/Platform//Space_Systems/DoD_Space_Systems_Contracts.xlsx</cp:lastModifiedBy>
  <dcterms:created xsi:type="dcterms:W3CDTF">2023-11-12T22:35:14Z</dcterms:created>
</coreProperties>
</file>