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-2 FYQ" sheetId="1" state="visible" r:id="rId1"/>
    <sheet name="6-5 Comp" sheetId="2" state="visible" r:id="rId2"/>
    <sheet name="4-X Veh" sheetId="3" state="visible" r:id="rId3"/>
    <sheet name="4-1 Price" sheetId="4" state="visible" r:id="rId4"/>
  </sheets>
</workbook>
</file>

<file path=xl/sharedStrings.xml><?xml version="1.0" encoding="utf-8"?>
<sst xmlns="http://schemas.openxmlformats.org/spreadsheetml/2006/main" count="87" uniqueCount="87">
  <si>
    <t xml:space="preserve">fiscal_quarter_YTD</t>
  </si>
  <si>
    <t xml:space="preserve">1962</t>
  </si>
  <si>
    <t xml:space="preserve">1966</t>
  </si>
  <si>
    <t xml:space="preserve">1967</t>
  </si>
  <si>
    <t xml:space="preserve">1970</t>
  </si>
  <si>
    <t xml:space="preserve">1973</t>
  </si>
  <si>
    <t xml:space="preserve">1974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</si>
  <si>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</si>
  <si>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</si>
  <si>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</si>
  <si>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</si>
  <si>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</si>
  <si>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</si>
  <si>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</si>
  <si>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</si>
  <si>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</si>
  <si>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</si>
  <si>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</si>
  <si>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</si>
  <si>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</si>
  <si>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</si>
  <si>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</si>
  <si>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</si>
  <si>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</si>
  <si>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</si>
  <si>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</si>
  <si>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</si>
  <si>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</si>
  <si>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</si>
  <si>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</si>
  <si>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</si>
  <si>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</si>
  <si>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</si>
  <si>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</si>
  <si>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</si>
  <si>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</si>
  <si>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</si>
  <si>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</si>
  <si>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</si>
  <si>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</si>
  <si>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</si>
  <si>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</si>
  <si>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</si>
  <si>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</si>
  <si>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</si>
  <si>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</si>
  <si>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</si>
  <si>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</si>
  <si>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</si>
  <si>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</si>
  <si>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</si>
  <si>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</si>
  <si>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</si>
  <si>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</si>
  <si>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</si>
  <si>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</si>
  <si>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Grand Total</t>
  </si>
  <si>
    <t xml:space="preserve">Competition.sum</t>
  </si>
  <si>
    <t xml:space="preserve">1 Offer</t>
  </si>
  <si>
    <t xml:space="preserve">2 Offers</t>
  </si>
  <si>
    <t xml:space="preserve">3+ Offers</t>
  </si>
  <si>
    <t xml:space="preserve">No Comp.</t>
  </si>
  <si>
    <t xml:space="preserve">Unlabeled</t>
  </si>
  <si>
    <t xml:space="preserve">Vehicle.AwardTask</t>
  </si>
  <si>
    <t xml:space="preserve">Vehicle.sum7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</si>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</sst>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,,,&quot;B&quot;"/>
    <numFmt numFmtId="167" formatCode="0.00,,,&quot;B&quot;"/>
    <numFmt numFmtId="168" formatCode="0.00,,,&quot;B&quot;"/>
    <numFmt numFmtId="169" formatCode="0.00,,,&quot;B&quot;"/>
    <numFmt numFmtId="170" formatCode="0.00,,,&quot;B&quot;"/>
    <numFmt numFmtId="171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0" fontId="1" fillId="0" borderId="0" xfId="0" applyFont="1" applyNumberFormat="1"/>
    <xf numFmtId="171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  <c r="BK1" t="s">
        <v>51</v>
      </c>
      <c r="BL1" t="s">
        <v>52</v>
      </c>
      <c r="BM1" t="s">
        <v>53</v>
      </c>
      <c r="BN1" t="s">
        <v>54</v>
      </c>
      <c r="BO1" t="s">
        <v>55</v>
      </c>
    </row>
    <row r="2">
      <c r="A2" t="str">
        <f>L2</f>
      </c>
      <c r="L2" t="n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 t="n">
        <v>135865546260.229</v>
      </c>
      <c r="BM2" s="1" t="n">
        <v>140625216419.214</v>
      </c>
      <c r="BN2" s="1" t="n">
        <v>147600460855.997</v>
      </c>
      <c r="BO2" s="1" t="n">
        <v>158103213649.15</v>
      </c>
      <c r="BP2" s="1"/>
      <c r="BQ2" s="1"/>
    </row>
    <row r="3">
      <c r="A3" t="str">
        <f>L3</f>
      </c>
      <c r="L3" t="n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 t="n">
        <v>139044795722.896</v>
      </c>
      <c r="BM3" s="1" t="n">
        <v>200849476380.303</v>
      </c>
      <c r="BN3" s="1" t="n">
        <v>139843803710.874</v>
      </c>
      <c r="BO3" s="1" t="n">
        <v>156906200850.07</v>
      </c>
      <c r="BP3" s="1"/>
      <c r="BQ3" s="1"/>
    </row>
    <row r="4">
      <c r="A4" t="str">
        <f>L4</f>
      </c>
      <c r="L4" t="n">
        <v>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 t="n">
        <v>180076564539.546</v>
      </c>
      <c r="BM4" s="1" t="n">
        <v>171978897680.483</v>
      </c>
      <c r="BN4" s="1" t="n">
        <v>200511714804.19</v>
      </c>
      <c r="BO4" s="1"/>
      <c r="BP4" s="1"/>
      <c r="BQ4" s="1"/>
    </row>
    <row r="5">
      <c r="A5" t="str">
        <f>L5</f>
      </c>
      <c r="L5" t="n">
        <v>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 t="n">
        <v>239770713125.399</v>
      </c>
      <c r="BM5" s="1" t="n">
        <v>247628440778.74</v>
      </c>
      <c r="BN5" s="1" t="n">
        <v>267896995702.52</v>
      </c>
      <c r="BO5" s="1"/>
      <c r="BP5" s="1"/>
      <c r="BQ5" s="1"/>
    </row>
    <row r="6">
      <c r="A6" t="str">
        <f>L6</f>
      </c>
      <c r="L6"/>
      <c r="M6" s="1" t="n">
        <v>5696246</v>
      </c>
      <c r="N6" s="1" t="n">
        <v>0</v>
      </c>
      <c r="O6" s="1" t="n">
        <v>15397</v>
      </c>
      <c r="P6" s="1" t="n">
        <v>12164</v>
      </c>
      <c r="Q6" s="1" t="n">
        <v>91809</v>
      </c>
      <c r="R6" s="1" t="n">
        <v>47557300</v>
      </c>
      <c r="S6" s="1" t="n">
        <v>0</v>
      </c>
      <c r="T6" s="1" t="n">
        <v>3176463000</v>
      </c>
      <c r="U6" s="1" t="n">
        <v>4444709487.31</v>
      </c>
      <c r="V6" s="1" t="n">
        <v>691578150.25</v>
      </c>
      <c r="W6" s="1" t="n">
        <v>3181831040.9</v>
      </c>
      <c r="X6" s="1" t="n">
        <v>1438246423</v>
      </c>
      <c r="Y6" s="1" t="n">
        <v>1763979606.15</v>
      </c>
      <c r="Z6" s="1" t="n">
        <v>2617644590</v>
      </c>
      <c r="AA6" s="1" t="n">
        <v>3685689114.73</v>
      </c>
      <c r="AB6" s="1" t="n">
        <v>2911021063.41</v>
      </c>
      <c r="AC6" s="1" t="n">
        <v>6354222739</v>
      </c>
      <c r="AD6" s="1" t="n">
        <v>5726981260</v>
      </c>
      <c r="AE6" s="1" t="n">
        <v>8009894019</v>
      </c>
      <c r="AF6" s="1" t="n">
        <v>125304897131.09</v>
      </c>
      <c r="AG6" s="1" t="n">
        <v>140418205239</v>
      </c>
      <c r="AH6" s="1" t="n">
        <v>128789497810</v>
      </c>
      <c r="AI6" s="1" t="n">
        <v>127576163936</v>
      </c>
      <c r="AJ6" s="1" t="n">
        <v>137550323558.27</v>
      </c>
      <c r="AK6" s="1" t="n">
        <v>124454178645.87</v>
      </c>
      <c r="AL6" s="1" t="n">
        <v>126031351495.68</v>
      </c>
      <c r="AM6" s="1" t="n">
        <v>147028526494.9</v>
      </c>
      <c r="AN6" s="1" t="n">
        <v>153015813717.39</v>
      </c>
      <c r="AO6" s="1" t="n">
        <v>167895456513.71</v>
      </c>
      <c r="AP6" s="1" t="n">
        <v>205622010956.151</v>
      </c>
      <c r="AQ6" s="1" t="n">
        <v>223122114971.464</v>
      </c>
      <c r="AR6" s="1" t="n">
        <v>264179541566.909</v>
      </c>
      <c r="AS6" s="1" t="n">
        <v>319534633556.245</v>
      </c>
      <c r="AT6" s="1" t="n">
        <v>339374362885.617</v>
      </c>
      <c r="AU6" s="1" t="n">
        <v>391421722174.711</v>
      </c>
      <c r="AV6" s="1" t="n">
        <v>431150693727.76</v>
      </c>
      <c r="AW6" s="1" t="n">
        <v>469832450387.097</v>
      </c>
      <c r="AX6" s="1" t="n">
        <v>528324812418.232</v>
      </c>
      <c r="AY6" s="1" t="n">
        <v>555219628413.768</v>
      </c>
      <c r="AZ6" s="1" t="n">
        <v>561461680478.873</v>
      </c>
      <c r="BA6" s="1" t="n">
        <v>540281458698.527</v>
      </c>
      <c r="BB6" s="1" t="n">
        <v>521202807980.205</v>
      </c>
      <c r="BC6" s="1" t="n">
        <v>464002287567.128</v>
      </c>
      <c r="BD6" s="1" t="n">
        <v>446499337588.522</v>
      </c>
      <c r="BE6" s="1" t="n">
        <v>440238480663.629</v>
      </c>
      <c r="BF6" s="1" t="n">
        <v>475819888742.117</v>
      </c>
      <c r="BG6" s="1" t="n">
        <v>511111347392.27</v>
      </c>
      <c r="BH6" s="1" t="n">
        <v>556350178532.936</v>
      </c>
      <c r="BI6" s="1" t="n">
        <v>590054724551.062</v>
      </c>
      <c r="BJ6" s="1" t="n">
        <v>671762882476.565</v>
      </c>
      <c r="BK6" s="1" t="n">
        <v>645793473783.483</v>
      </c>
      <c r="BL6" s="1"/>
      <c r="BM6" s="1"/>
      <c r="BN6" s="1"/>
      <c r="BO6" s="1"/>
      <c r="BP6" s="1"/>
      <c r="BQ6" s="1"/>
    </row>
    <row r="7">
      <c r="A7" t="str">
        <f>L7</f>
      </c>
      <c r="L7" t="s">
        <v>56</v>
      </c>
      <c r="M7" s="1" t="str">
        <f>Sum(M2:M6)</f>
      </c>
      <c r="N7" s="1" t="str">
        <f>Sum(N2:N6)</f>
      </c>
      <c r="O7" s="1" t="str">
        <f>Sum(O2:O6)</f>
      </c>
      <c r="P7" s="1" t="str">
        <f>Sum(P2:P6)</f>
      </c>
      <c r="Q7" s="1" t="str">
        <f>Sum(Q2:Q6)</f>
      </c>
      <c r="R7" s="1" t="str">
        <f>Sum(R2:R6)</f>
      </c>
      <c r="S7" s="1" t="str">
        <f>Sum(S2:S6)</f>
      </c>
      <c r="T7" s="1" t="str">
        <f>Sum(T2:T6)</f>
      </c>
      <c r="U7" s="1" t="str">
        <f>Sum(U2:U6)</f>
      </c>
      <c r="V7" s="1" t="str">
        <f>Sum(V2:V6)</f>
      </c>
      <c r="W7" s="1" t="str">
        <f>Sum(W2:W6)</f>
      </c>
      <c r="X7" s="1" t="str">
        <f>Sum(X2:X6)</f>
      </c>
      <c r="Y7" s="1" t="str">
        <f>Sum(Y2:Y6)</f>
      </c>
      <c r="Z7" s="1" t="str">
        <f>Sum(Z2:Z6)</f>
      </c>
      <c r="AA7" s="1" t="str">
        <f>Sum(AA2:AA6)</f>
      </c>
      <c r="AB7" s="1" t="str">
        <f>Sum(AB2:AB6)</f>
      </c>
      <c r="AC7" s="1" t="str">
        <f>Sum(AC2:AC6)</f>
      </c>
      <c r="AD7" s="1" t="str">
        <f>Sum(AD2:AD6)</f>
      </c>
      <c r="AE7" s="1" t="str">
        <f>Sum(AE2:AE6)</f>
      </c>
      <c r="AF7" s="1" t="str">
        <f>Sum(AF2:AF6)</f>
      </c>
      <c r="AG7" s="1" t="str">
        <f>Sum(AG2:AG6)</f>
      </c>
      <c r="AH7" s="1" t="str">
        <f>Sum(AH2:AH6)</f>
      </c>
      <c r="AI7" s="1" t="str">
        <f>Sum(AI2:AI6)</f>
      </c>
      <c r="AJ7" s="1" t="str">
        <f>Sum(AJ2:AJ6)</f>
      </c>
      <c r="AK7" s="1" t="str">
        <f>Sum(AK2:AK6)</f>
      </c>
      <c r="AL7" s="1" t="str">
        <f>Sum(AL2:AL6)</f>
      </c>
      <c r="AM7" s="1" t="str">
        <f>Sum(AM2:AM6)</f>
      </c>
      <c r="AN7" s="1" t="str">
        <f>Sum(AN2:AN6)</f>
      </c>
      <c r="AO7" s="1" t="str">
        <f>Sum(AO2:AO6)</f>
      </c>
      <c r="AP7" s="1" t="str">
        <f>Sum(AP2:AP6)</f>
      </c>
      <c r="AQ7" s="1" t="str">
        <f>Sum(AQ2:AQ6)</f>
      </c>
      <c r="AR7" s="1" t="str">
        <f>Sum(AR2:AR6)</f>
      </c>
      <c r="AS7" s="1" t="str">
        <f>Sum(AS2:AS6)</f>
      </c>
      <c r="AT7" s="1" t="str">
        <f>Sum(AT2:AT6)</f>
      </c>
      <c r="AU7" s="1" t="str">
        <f>Sum(AU2:AU6)</f>
      </c>
      <c r="AV7" s="1" t="str">
        <f>Sum(AV2:AV6)</f>
      </c>
      <c r="AW7" s="1" t="str">
        <f>Sum(AW2:AW6)</f>
      </c>
      <c r="AX7" s="1" t="str">
        <f>Sum(AX2:AX6)</f>
      </c>
      <c r="AY7" s="1" t="str">
        <f>Sum(AY2:AY6)</f>
      </c>
      <c r="AZ7" s="1" t="str">
        <f>Sum(AZ2:AZ6)</f>
      </c>
      <c r="BA7" s="1" t="str">
        <f>Sum(BA2:BA6)</f>
      </c>
      <c r="BB7" s="1" t="str">
        <f>Sum(BB2:BB6)</f>
      </c>
      <c r="BC7" s="1" t="str">
        <f>Sum(BC2:BC6)</f>
      </c>
      <c r="BD7" s="1" t="str">
        <f>Sum(BD2:BD6)</f>
      </c>
      <c r="BE7" s="1" t="str">
        <f>Sum(BE2:BE6)</f>
      </c>
      <c r="BF7" s="1" t="str">
        <f>Sum(BF2:BF6)</f>
      </c>
      <c r="BG7" s="1" t="str">
        <f>Sum(BG2:BG6)</f>
      </c>
      <c r="BH7" s="1" t="str">
        <f>Sum(BH2:BH6)</f>
      </c>
      <c r="BI7" s="1" t="str">
        <f>Sum(BI2:BI6)</f>
      </c>
      <c r="BJ7" s="1" t="str">
        <f>Sum(BJ2:BJ6)</f>
      </c>
      <c r="BK7" s="1" t="str">
        <f>Sum(BK2:BK6)</f>
      </c>
      <c r="BL7" s="1" t="str">
        <f>Sum(BL2:BL6)</f>
      </c>
      <c r="BM7" s="1" t="str">
        <f>Sum(BM2:BM6)</f>
      </c>
      <c r="BN7" s="1" t="str">
        <f>Sum(BN2:BN6)</f>
      </c>
      <c r="BO7" s="1" t="str">
        <f>Sum(BO2:BO6)</f>
      </c>
      <c r="BP7" s="1" t="str">
        <f>Sum(BP2:BP6)</f>
      </c>
      <c r="BQ7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57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  <c r="BK1" t="s">
        <v>51</v>
      </c>
      <c r="BL1" t="s">
        <v>52</v>
      </c>
      <c r="BM1" t="s">
        <v>53</v>
      </c>
      <c r="BN1" t="s">
        <v>54</v>
      </c>
      <c r="BO1" t="s">
        <v>55</v>
      </c>
    </row>
    <row r="2">
      <c r="A2" t="str">
        <f>L2</f>
      </c>
      <c r="L2" t="s">
        <v>58</v>
      </c>
      <c r="M2" s="2"/>
      <c r="N2" s="2"/>
      <c r="O2" s="2"/>
      <c r="P2" s="2" t="n">
        <v>0</v>
      </c>
      <c r="Q2" s="2"/>
      <c r="R2" s="2"/>
      <c r="S2" s="2"/>
      <c r="T2" s="2"/>
      <c r="U2" s="2"/>
      <c r="V2" s="2" t="n">
        <v>-182628.32</v>
      </c>
      <c r="W2" s="2"/>
      <c r="X2" s="2"/>
      <c r="Y2" s="2" t="n">
        <v>35000</v>
      </c>
      <c r="Z2" s="2" t="n">
        <v>845000</v>
      </c>
      <c r="AA2" s="2" t="n">
        <v>3359000</v>
      </c>
      <c r="AB2" s="2" t="n">
        <v>16589000</v>
      </c>
      <c r="AC2" s="2" t="n">
        <v>46601000</v>
      </c>
      <c r="AD2" s="2" t="n">
        <v>27978000</v>
      </c>
      <c r="AE2" s="2" t="n">
        <v>83056000</v>
      </c>
      <c r="AF2" s="2" t="n">
        <v>4205381000</v>
      </c>
      <c r="AG2" s="2" t="n">
        <v>5779271631</v>
      </c>
      <c r="AH2" s="2" t="n">
        <v>5263540191</v>
      </c>
      <c r="AI2" s="2" t="n">
        <v>4971287235</v>
      </c>
      <c r="AJ2" s="2" t="n">
        <v>4539886583</v>
      </c>
      <c r="AK2" s="2" t="n">
        <v>5188164032</v>
      </c>
      <c r="AL2" s="2" t="n">
        <v>5584974678</v>
      </c>
      <c r="AM2" s="2" t="n">
        <v>6302377039</v>
      </c>
      <c r="AN2" s="2" t="n">
        <v>7788115656.68</v>
      </c>
      <c r="AO2" s="2" t="n">
        <v>10061599735.13</v>
      </c>
      <c r="AP2" s="2" t="n">
        <v>16431728785.5439</v>
      </c>
      <c r="AQ2" s="2" t="n">
        <v>20327433071.868</v>
      </c>
      <c r="AR2" s="2" t="n">
        <v>22299419087.1925</v>
      </c>
      <c r="AS2" s="2" t="n">
        <v>30047499633.6923</v>
      </c>
      <c r="AT2" s="2" t="n">
        <v>36064262185.4265</v>
      </c>
      <c r="AU2" s="2" t="n">
        <v>48095228294.4257</v>
      </c>
      <c r="AV2" s="2" t="n">
        <v>54949159389.8795</v>
      </c>
      <c r="AW2" s="2" t="n">
        <v>60090041313.6819</v>
      </c>
      <c r="AX2" s="2" t="n">
        <v>67494420492.7756</v>
      </c>
      <c r="AY2" s="2" t="n">
        <v>70311619938.4288</v>
      </c>
      <c r="AZ2" s="2" t="n">
        <v>67137585503.4054</v>
      </c>
      <c r="BA2" s="2" t="n">
        <v>60588913053.2894</v>
      </c>
      <c r="BB2" s="2" t="n">
        <v>52533419878.4013</v>
      </c>
      <c r="BC2" s="2" t="n">
        <v>44650446663.7625</v>
      </c>
      <c r="BD2" s="2" t="n">
        <v>44152923508.0319</v>
      </c>
      <c r="BE2" s="2" t="n">
        <v>42167618086.0887</v>
      </c>
      <c r="BF2" s="2" t="n">
        <v>44375936218.5256</v>
      </c>
      <c r="BG2" s="2" t="n">
        <v>47811650494.6845</v>
      </c>
      <c r="BH2" s="2" t="n">
        <v>57099357096.1345</v>
      </c>
      <c r="BI2" s="2" t="n">
        <v>63795941136.9166</v>
      </c>
      <c r="BJ2" s="2" t="n">
        <v>76605527828.1885</v>
      </c>
      <c r="BK2" s="2" t="n">
        <v>69897642281.0485</v>
      </c>
      <c r="BL2" s="2" t="n">
        <v>76208884843.0291</v>
      </c>
      <c r="BM2" s="2" t="n">
        <v>80251219288.667</v>
      </c>
      <c r="BN2" s="2" t="n">
        <v>82018401351.6539</v>
      </c>
      <c r="BO2" s="2" t="n">
        <v>29624606979.03</v>
      </c>
      <c r="BP2" s="2"/>
      <c r="BQ2" s="2"/>
    </row>
    <row r="3">
      <c r="A3" t="str">
        <f>L3</f>
      </c>
      <c r="L3" t="s">
        <v>59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n">
        <v>0</v>
      </c>
      <c r="Y3" s="2" t="n">
        <v>990000</v>
      </c>
      <c r="Z3" s="2" t="n">
        <v>1463000</v>
      </c>
      <c r="AA3" s="2" t="n">
        <v>42733381.73</v>
      </c>
      <c r="AB3" s="2" t="n">
        <v>95761687.9</v>
      </c>
      <c r="AC3" s="2" t="n">
        <v>1700365414</v>
      </c>
      <c r="AD3" s="2" t="n">
        <v>715578525</v>
      </c>
      <c r="AE3" s="2" t="n">
        <v>2120554075</v>
      </c>
      <c r="AF3" s="2" t="n">
        <v>44148207821</v>
      </c>
      <c r="AG3" s="2" t="n">
        <v>66029718078</v>
      </c>
      <c r="AH3" s="2" t="n">
        <v>62334388613</v>
      </c>
      <c r="AI3" s="2" t="n">
        <v>58677956372</v>
      </c>
      <c r="AJ3" s="2" t="n">
        <v>61228884113.09</v>
      </c>
      <c r="AK3" s="2" t="n">
        <v>59720784981.87</v>
      </c>
      <c r="AL3" s="2" t="n">
        <v>63208193523</v>
      </c>
      <c r="AM3" s="2" t="n">
        <v>41899789301.95</v>
      </c>
      <c r="AN3" s="2" t="n">
        <v>38994625184.54</v>
      </c>
      <c r="AO3" s="2" t="n">
        <v>40735047709.46</v>
      </c>
      <c r="AP3" s="2" t="n">
        <v>63672315816.1905</v>
      </c>
      <c r="AQ3" s="2" t="n">
        <v>59449297956.8139</v>
      </c>
      <c r="AR3" s="2" t="n">
        <v>66820586639.8137</v>
      </c>
      <c r="AS3" s="2" t="n">
        <v>74245564477.9185</v>
      </c>
      <c r="AT3" s="2" t="n">
        <v>64316517037.8983</v>
      </c>
      <c r="AU3" s="2" t="n">
        <v>72042474997.1504</v>
      </c>
      <c r="AV3" s="2" t="n">
        <v>75695700201.7231</v>
      </c>
      <c r="AW3" s="2" t="n">
        <v>78083927579.1888</v>
      </c>
      <c r="AX3" s="2" t="n">
        <v>79507962567.9358</v>
      </c>
      <c r="AY3" s="2" t="n">
        <v>84712504960.0934</v>
      </c>
      <c r="AZ3" s="2" t="n">
        <v>80243189162.8102</v>
      </c>
      <c r="BA3" s="2" t="n">
        <v>83142973654.693</v>
      </c>
      <c r="BB3" s="2" t="n">
        <v>77566871160.6306</v>
      </c>
      <c r="BC3" s="2" t="n">
        <v>73017266577.9527</v>
      </c>
      <c r="BD3" s="2" t="n">
        <v>72977534773.8584</v>
      </c>
      <c r="BE3" s="2" t="n">
        <v>67630006045.23</v>
      </c>
      <c r="BF3" s="2" t="n">
        <v>80125687866.9749</v>
      </c>
      <c r="BG3" s="2" t="n">
        <v>83766740025.2376</v>
      </c>
      <c r="BH3" s="2" t="n">
        <v>85959754461.1324</v>
      </c>
      <c r="BI3" s="2" t="n">
        <v>80865506872.3722</v>
      </c>
      <c r="BJ3" s="2" t="n">
        <v>82822988659.4306</v>
      </c>
      <c r="BK3" s="2" t="n">
        <v>83091102755.1717</v>
      </c>
      <c r="BL3" s="2" t="n">
        <v>91353551661.9144</v>
      </c>
      <c r="BM3" s="2" t="n">
        <v>103634220217.737</v>
      </c>
      <c r="BN3" s="2" t="n">
        <v>108695534176.821</v>
      </c>
      <c r="BO3" s="2" t="n">
        <v>44475295903.37</v>
      </c>
      <c r="BP3" s="2"/>
      <c r="BQ3" s="2"/>
    </row>
    <row r="4">
      <c r="A4" t="str">
        <f>L4</f>
      </c>
      <c r="L4" t="s">
        <v>60</v>
      </c>
      <c r="M4" s="2"/>
      <c r="N4" s="2"/>
      <c r="O4" s="2"/>
      <c r="P4" s="2"/>
      <c r="Q4" s="2"/>
      <c r="R4" s="2"/>
      <c r="S4" s="2"/>
      <c r="T4" s="2"/>
      <c r="U4" s="2" t="n">
        <v>42392</v>
      </c>
      <c r="V4" s="2"/>
      <c r="W4" s="2"/>
      <c r="X4" s="2"/>
      <c r="Y4" s="2"/>
      <c r="Z4" s="2"/>
      <c r="AA4" s="2"/>
      <c r="AB4" s="2"/>
      <c r="AC4" s="2" t="n">
        <v>3044000</v>
      </c>
      <c r="AD4" s="2" t="n">
        <v>490447</v>
      </c>
      <c r="AE4" s="2" t="n">
        <v>1110168</v>
      </c>
      <c r="AF4" s="2" t="n">
        <v>1245463</v>
      </c>
      <c r="AG4" s="2" t="n">
        <v>556674</v>
      </c>
      <c r="AH4" s="2" t="n">
        <v>2154649</v>
      </c>
      <c r="AI4" s="2" t="n">
        <v>7733150</v>
      </c>
      <c r="AJ4" s="2" t="n">
        <v>14008936</v>
      </c>
      <c r="AK4" s="2" t="n">
        <v>69837679</v>
      </c>
      <c r="AL4" s="2" t="n">
        <v>342941853.17</v>
      </c>
      <c r="AM4" s="2" t="n">
        <v>29425977042.68</v>
      </c>
      <c r="AN4" s="2" t="n">
        <v>32985017976.83</v>
      </c>
      <c r="AO4" s="2" t="n">
        <v>40108521063.07</v>
      </c>
      <c r="AP4" s="2" t="n">
        <v>51047231088.338</v>
      </c>
      <c r="AQ4" s="2" t="n">
        <v>60396851724.5699</v>
      </c>
      <c r="AR4" s="2" t="n">
        <v>73666683854.2375</v>
      </c>
      <c r="AS4" s="2" t="n">
        <v>90640854119.2208</v>
      </c>
      <c r="AT4" s="2" t="n">
        <v>106290708366.818</v>
      </c>
      <c r="AU4" s="2" t="n">
        <v>118938244478.264</v>
      </c>
      <c r="AV4" s="2" t="n">
        <v>129538539668.357</v>
      </c>
      <c r="AW4" s="2" t="n">
        <v>148459987287.612</v>
      </c>
      <c r="AX4" s="2" t="n">
        <v>177986442349.564</v>
      </c>
      <c r="AY4" s="2" t="n">
        <v>201355227721.092</v>
      </c>
      <c r="AZ4" s="2" t="n">
        <v>224923977761.014</v>
      </c>
      <c r="BA4" s="2" t="n">
        <v>201174806140.513</v>
      </c>
      <c r="BB4" s="2" t="n">
        <v>201711944287.896</v>
      </c>
      <c r="BC4" s="2" t="n">
        <v>180300660369.165</v>
      </c>
      <c r="BD4" s="2" t="n">
        <v>179646118054.959</v>
      </c>
      <c r="BE4" s="2" t="n">
        <v>175595552769.206</v>
      </c>
      <c r="BF4" s="2" t="n">
        <v>178267420615.215</v>
      </c>
      <c r="BG4" s="2" t="n">
        <v>190956371964.801</v>
      </c>
      <c r="BH4" s="2" t="n">
        <v>209992705280.127</v>
      </c>
      <c r="BI4" s="2" t="n">
        <v>231558812879.078</v>
      </c>
      <c r="BJ4" s="2" t="n">
        <v>252010728216.602</v>
      </c>
      <c r="BK4" s="2" t="n">
        <v>256052616499.818</v>
      </c>
      <c r="BL4" s="2" t="n">
        <v>303947563998.42</v>
      </c>
      <c r="BM4" s="2" t="n">
        <v>316171399964.237</v>
      </c>
      <c r="BN4" s="2" t="n">
        <v>322598320011.117</v>
      </c>
      <c r="BO4" s="2" t="n">
        <v>127823720617.57</v>
      </c>
      <c r="BP4" s="2"/>
      <c r="BQ4" s="2"/>
    </row>
    <row r="5">
      <c r="A5" t="str">
        <f>L5</f>
      </c>
      <c r="L5" t="s">
        <v>61</v>
      </c>
      <c r="M5" s="2" t="n">
        <v>5696246</v>
      </c>
      <c r="N5" s="2" t="n">
        <v>0</v>
      </c>
      <c r="O5" s="2"/>
      <c r="P5" s="2" t="n">
        <v>12164</v>
      </c>
      <c r="Q5" s="2" t="n">
        <v>91809</v>
      </c>
      <c r="R5" s="2" t="n">
        <v>0</v>
      </c>
      <c r="S5" s="2"/>
      <c r="T5" s="2" t="n">
        <v>3176463000</v>
      </c>
      <c r="U5" s="2" t="n">
        <v>155727432.31</v>
      </c>
      <c r="V5" s="2" t="n">
        <v>518073326.57</v>
      </c>
      <c r="W5" s="2" t="n">
        <v>2939305483.9</v>
      </c>
      <c r="X5" s="2" t="n">
        <v>1161022900</v>
      </c>
      <c r="Y5" s="2" t="n">
        <v>1383587001.15</v>
      </c>
      <c r="Z5" s="2" t="n">
        <v>1363202661</v>
      </c>
      <c r="AA5" s="2" t="n">
        <v>1665662959</v>
      </c>
      <c r="AB5" s="2" t="n">
        <v>1597726499.51</v>
      </c>
      <c r="AC5" s="2" t="n">
        <v>2225012707</v>
      </c>
      <c r="AD5" s="2" t="n">
        <v>1907281877</v>
      </c>
      <c r="AE5" s="2" t="n">
        <v>2866753975</v>
      </c>
      <c r="AF5" s="2" t="n">
        <v>45526785863.09</v>
      </c>
      <c r="AG5" s="2" t="n">
        <v>62314093127</v>
      </c>
      <c r="AH5" s="2" t="n">
        <v>55358482758</v>
      </c>
      <c r="AI5" s="2" t="n">
        <v>59795051638</v>
      </c>
      <c r="AJ5" s="2" t="n">
        <v>68256149298.18</v>
      </c>
      <c r="AK5" s="2" t="n">
        <v>55975586044</v>
      </c>
      <c r="AL5" s="2" t="n">
        <v>55051649130.51</v>
      </c>
      <c r="AM5" s="2" t="n">
        <v>65691303234.27</v>
      </c>
      <c r="AN5" s="2" t="n">
        <v>65626661384.31</v>
      </c>
      <c r="AO5" s="2" t="n">
        <v>70398832781.1</v>
      </c>
      <c r="AP5" s="2" t="n">
        <v>68907965675.9021</v>
      </c>
      <c r="AQ5" s="2" t="n">
        <v>76276592826.9451</v>
      </c>
      <c r="AR5" s="2" t="n">
        <v>90327397230.7473</v>
      </c>
      <c r="AS5" s="2" t="n">
        <v>111282645704.389</v>
      </c>
      <c r="AT5" s="2" t="n">
        <v>113058490408.69</v>
      </c>
      <c r="AU5" s="2" t="n">
        <v>125715055680.478</v>
      </c>
      <c r="AV5" s="2" t="n">
        <v>140255494756.001</v>
      </c>
      <c r="AW5" s="2" t="n">
        <v>156060235102.208</v>
      </c>
      <c r="AX5" s="2" t="n">
        <v>176392566364.464</v>
      </c>
      <c r="AY5" s="2" t="n">
        <v>176555594683.719</v>
      </c>
      <c r="AZ5" s="2" t="n">
        <v>172612494739.139</v>
      </c>
      <c r="BA5" s="2" t="n">
        <v>186693348337.885</v>
      </c>
      <c r="BB5" s="2" t="n">
        <v>182798014959.004</v>
      </c>
      <c r="BC5" s="2" t="n">
        <v>161210543840.796</v>
      </c>
      <c r="BD5" s="2" t="n">
        <v>145287949860.821</v>
      </c>
      <c r="BE5" s="2" t="n">
        <v>151172103934.274</v>
      </c>
      <c r="BF5" s="2" t="n">
        <v>169292186888.721</v>
      </c>
      <c r="BG5" s="2" t="n">
        <v>185312289024.521</v>
      </c>
      <c r="BH5" s="2" t="n">
        <v>198926302456.079</v>
      </c>
      <c r="BI5" s="2" t="n">
        <v>209910837050.838</v>
      </c>
      <c r="BJ5" s="2" t="n">
        <v>256227901580.02</v>
      </c>
      <c r="BK5" s="2" t="n">
        <v>232936924714.284</v>
      </c>
      <c r="BL5" s="2" t="n">
        <v>219838666504.367</v>
      </c>
      <c r="BM5" s="2" t="n">
        <v>257218154831.39</v>
      </c>
      <c r="BN5" s="2" t="n">
        <v>239117710564.48</v>
      </c>
      <c r="BO5" s="2" t="n">
        <v>111691853867.95</v>
      </c>
      <c r="BP5" s="2"/>
      <c r="BQ5" s="2"/>
    </row>
    <row r="6">
      <c r="A6" t="str">
        <f>L6</f>
      </c>
      <c r="L6" t="s">
        <v>62</v>
      </c>
      <c r="M6" s="2"/>
      <c r="N6" s="2"/>
      <c r="O6" s="2" t="n">
        <v>15397</v>
      </c>
      <c r="P6" s="2"/>
      <c r="Q6" s="2"/>
      <c r="R6" s="2" t="n">
        <v>47557300</v>
      </c>
      <c r="S6" s="2" t="n">
        <v>0</v>
      </c>
      <c r="T6" s="2"/>
      <c r="U6" s="2" t="n">
        <v>4288939663</v>
      </c>
      <c r="V6" s="2" t="n">
        <v>173687452</v>
      </c>
      <c r="W6" s="2" t="n">
        <v>242525557</v>
      </c>
      <c r="X6" s="2" t="n">
        <v>277223523</v>
      </c>
      <c r="Y6" s="2" t="n">
        <v>379367605</v>
      </c>
      <c r="Z6" s="2" t="n">
        <v>1252133929</v>
      </c>
      <c r="AA6" s="2" t="n">
        <v>1973933774</v>
      </c>
      <c r="AB6" s="2" t="n">
        <v>1200943876</v>
      </c>
      <c r="AC6" s="2" t="n">
        <v>2379199618</v>
      </c>
      <c r="AD6" s="2" t="n">
        <v>3075652411</v>
      </c>
      <c r="AE6" s="2" t="n">
        <v>2938419801</v>
      </c>
      <c r="AF6" s="2" t="n">
        <v>31423276984</v>
      </c>
      <c r="AG6" s="2" t="n">
        <v>6294565729</v>
      </c>
      <c r="AH6" s="2" t="n">
        <v>5830931599</v>
      </c>
      <c r="AI6" s="2" t="n">
        <v>4124135541</v>
      </c>
      <c r="AJ6" s="2" t="n">
        <v>3511394628</v>
      </c>
      <c r="AK6" s="2" t="n">
        <v>3499805909</v>
      </c>
      <c r="AL6" s="2" t="n">
        <v>1843592311</v>
      </c>
      <c r="AM6" s="2" t="n">
        <v>3709079877</v>
      </c>
      <c r="AN6" s="2" t="n">
        <v>7621393515.03</v>
      </c>
      <c r="AO6" s="2" t="n">
        <v>6591455224.95</v>
      </c>
      <c r="AP6" s="2" t="n">
        <v>5562769590.1768</v>
      </c>
      <c r="AQ6" s="2" t="n">
        <v>6671939391.2667</v>
      </c>
      <c r="AR6" s="2" t="n">
        <v>11065454754.9176</v>
      </c>
      <c r="AS6" s="2" t="n">
        <v>13318069621.0244</v>
      </c>
      <c r="AT6" s="2" t="n">
        <v>19644384886.7847</v>
      </c>
      <c r="AU6" s="2" t="n">
        <v>26630718724.3925</v>
      </c>
      <c r="AV6" s="2" t="n">
        <v>30711799711.7995</v>
      </c>
      <c r="AW6" s="2" t="n">
        <v>27138259104.4067</v>
      </c>
      <c r="AX6" s="2" t="n">
        <v>26943420643.4928</v>
      </c>
      <c r="AY6" s="2" t="n">
        <v>22284681110.435</v>
      </c>
      <c r="AZ6" s="2" t="n">
        <v>16544433312.5044</v>
      </c>
      <c r="BA6" s="2" t="n">
        <v>8681417512.1464</v>
      </c>
      <c r="BB6" s="2" t="n">
        <v>6592557694.2718</v>
      </c>
      <c r="BC6" s="2" t="n">
        <v>4823370115.4522</v>
      </c>
      <c r="BD6" s="2" t="n">
        <v>4434811390.8515</v>
      </c>
      <c r="BE6" s="2" t="n">
        <v>3673199828.8309</v>
      </c>
      <c r="BF6" s="2" t="n">
        <v>3758657152.6796</v>
      </c>
      <c r="BG6" s="2" t="n">
        <v>3264295883.0262</v>
      </c>
      <c r="BH6" s="2" t="n">
        <v>4372059239.4628</v>
      </c>
      <c r="BI6" s="2" t="n">
        <v>3923626611.8567</v>
      </c>
      <c r="BJ6" s="2" t="n">
        <v>4095736192.3236</v>
      </c>
      <c r="BK6" s="2" t="n">
        <v>3815187533.1604</v>
      </c>
      <c r="BL6" s="2" t="n">
        <v>3408952640.3398</v>
      </c>
      <c r="BM6" s="2" t="n">
        <v>3807036956.7082</v>
      </c>
      <c r="BN6" s="2" t="n">
        <v>3423008969.5091</v>
      </c>
      <c r="BO6" s="2" t="n">
        <v>1393937131.3</v>
      </c>
      <c r="BP6" s="2"/>
      <c r="BQ6" s="2"/>
    </row>
    <row r="7">
      <c r="A7" t="str">
        <f>L7</f>
      </c>
      <c r="L7" t="s">
        <v>56</v>
      </c>
      <c r="M7" s="2" t="str">
        <f>Sum(M2:M6)</f>
      </c>
      <c r="N7" s="2" t="str">
        <f>Sum(N2:N6)</f>
      </c>
      <c r="O7" s="2" t="str">
        <f>Sum(O2:O6)</f>
      </c>
      <c r="P7" s="2" t="str">
        <f>Sum(P2:P6)</f>
      </c>
      <c r="Q7" s="2" t="str">
        <f>Sum(Q2:Q6)</f>
      </c>
      <c r="R7" s="2" t="str">
        <f>Sum(R2:R6)</f>
      </c>
      <c r="S7" s="2" t="str">
        <f>Sum(S2:S6)</f>
      </c>
      <c r="T7" s="2" t="str">
        <f>Sum(T2:T6)</f>
      </c>
      <c r="U7" s="2" t="str">
        <f>Sum(U2:U6)</f>
      </c>
      <c r="V7" s="2" t="str">
        <f>Sum(V2:V6)</f>
      </c>
      <c r="W7" s="2" t="str">
        <f>Sum(W2:W6)</f>
      </c>
      <c r="X7" s="2" t="str">
        <f>Sum(X2:X6)</f>
      </c>
      <c r="Y7" s="2" t="str">
        <f>Sum(Y2:Y6)</f>
      </c>
      <c r="Z7" s="2" t="str">
        <f>Sum(Z2:Z6)</f>
      </c>
      <c r="AA7" s="2" t="str">
        <f>Sum(AA2:AA6)</f>
      </c>
      <c r="AB7" s="2" t="str">
        <f>Sum(AB2:AB6)</f>
      </c>
      <c r="AC7" s="2" t="str">
        <f>Sum(AC2:AC6)</f>
      </c>
      <c r="AD7" s="2" t="str">
        <f>Sum(AD2:AD6)</f>
      </c>
      <c r="AE7" s="2" t="str">
        <f>Sum(AE2:AE6)</f>
      </c>
      <c r="AF7" s="2" t="str">
        <f>Sum(AF2:AF6)</f>
      </c>
      <c r="AG7" s="2" t="str">
        <f>Sum(AG2:AG6)</f>
      </c>
      <c r="AH7" s="2" t="str">
        <f>Sum(AH2:AH6)</f>
      </c>
      <c r="AI7" s="2" t="str">
        <f>Sum(AI2:AI6)</f>
      </c>
      <c r="AJ7" s="2" t="str">
        <f>Sum(AJ2:AJ6)</f>
      </c>
      <c r="AK7" s="2" t="str">
        <f>Sum(AK2:AK6)</f>
      </c>
      <c r="AL7" s="2" t="str">
        <f>Sum(AL2:AL6)</f>
      </c>
      <c r="AM7" s="2" t="str">
        <f>Sum(AM2:AM6)</f>
      </c>
      <c r="AN7" s="2" t="str">
        <f>Sum(AN2:AN6)</f>
      </c>
      <c r="AO7" s="2" t="str">
        <f>Sum(AO2:AO6)</f>
      </c>
      <c r="AP7" s="2" t="str">
        <f>Sum(AP2:AP6)</f>
      </c>
      <c r="AQ7" s="2" t="str">
        <f>Sum(AQ2:AQ6)</f>
      </c>
      <c r="AR7" s="2" t="str">
        <f>Sum(AR2:AR6)</f>
      </c>
      <c r="AS7" s="2" t="str">
        <f>Sum(AS2:AS6)</f>
      </c>
      <c r="AT7" s="2" t="str">
        <f>Sum(AT2:AT6)</f>
      </c>
      <c r="AU7" s="2" t="str">
        <f>Sum(AU2:AU6)</f>
      </c>
      <c r="AV7" s="2" t="str">
        <f>Sum(AV2:AV6)</f>
      </c>
      <c r="AW7" s="2" t="str">
        <f>Sum(AW2:AW6)</f>
      </c>
      <c r="AX7" s="2" t="str">
        <f>Sum(AX2:AX6)</f>
      </c>
      <c r="AY7" s="2" t="str">
        <f>Sum(AY2:AY6)</f>
      </c>
      <c r="AZ7" s="2" t="str">
        <f>Sum(AZ2:AZ6)</f>
      </c>
      <c r="BA7" s="2" t="str">
        <f>Sum(BA2:BA6)</f>
      </c>
      <c r="BB7" s="2" t="str">
        <f>Sum(BB2:BB6)</f>
      </c>
      <c r="BC7" s="2" t="str">
        <f>Sum(BC2:BC6)</f>
      </c>
      <c r="BD7" s="2" t="str">
        <f>Sum(BD2:BD6)</f>
      </c>
      <c r="BE7" s="2" t="str">
        <f>Sum(BE2:BE6)</f>
      </c>
      <c r="BF7" s="2" t="str">
        <f>Sum(BF2:BF6)</f>
      </c>
      <c r="BG7" s="2" t="str">
        <f>Sum(BG2:BG6)</f>
      </c>
      <c r="BH7" s="2" t="str">
        <f>Sum(BH2:BH6)</f>
      </c>
      <c r="BI7" s="2" t="str">
        <f>Sum(BI2:BI6)</f>
      </c>
      <c r="BJ7" s="2" t="str">
        <f>Sum(BJ2:BJ6)</f>
      </c>
      <c r="BK7" s="2" t="str">
        <f>Sum(BK2:BK6)</f>
      </c>
      <c r="BL7" s="2" t="str">
        <f>Sum(BL2:BL6)</f>
      </c>
      <c r="BM7" s="2" t="str">
        <f>Sum(BM2:BM6)</f>
      </c>
      <c r="BN7" s="2" t="str">
        <f>Sum(BN2:BN6)</f>
      </c>
      <c r="BO7" s="2" t="str">
        <f>Sum(BO2:BO6)</f>
      </c>
      <c r="BP7" s="2" t="str">
        <f>Sum(BP2:BP6)</f>
      </c>
      <c r="BQ7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63</v>
      </c>
      <c r="O1" t="s">
        <v>64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</row>
    <row r="2">
      <c r="A2" t="str">
        <f>N2</f>
      </c>
      <c r="B2" t="str">
        <f>O2</f>
      </c>
      <c r="N2" t="s">
        <v>65</v>
      </c>
      <c r="O2" t="s">
        <v>66</v>
      </c>
      <c r="P2" s="4" t="n">
        <v>115584932087.843</v>
      </c>
      <c r="Q2" s="4" t="n">
        <v>121502367782.02</v>
      </c>
      <c r="R2" s="4" t="n">
        <v>141593494397.09</v>
      </c>
      <c r="S2" s="4" t="n">
        <v>161285608480.54</v>
      </c>
      <c r="T2" s="4" t="n">
        <v>163996030847.09</v>
      </c>
      <c r="U2" s="4" t="n">
        <v>175328319971.78</v>
      </c>
      <c r="V2" s="4" t="n">
        <v>192560637208.94</v>
      </c>
      <c r="W2" s="4" t="n">
        <v>211744401940.64</v>
      </c>
      <c r="X2" s="4" t="n">
        <v>233778708533.83</v>
      </c>
      <c r="Y2" s="4" t="n">
        <v>249159557830.25</v>
      </c>
      <c r="Z2" s="4" t="n">
        <v>233830052488.546</v>
      </c>
      <c r="AA2" s="4" t="n">
        <v>241482384013.595</v>
      </c>
      <c r="AB2" s="4" t="n">
        <v>234644269222.769</v>
      </c>
      <c r="AC2" s="4" t="n">
        <v>220649797969.318</v>
      </c>
      <c r="AD2" s="4" t="n">
        <v>205868349030.096</v>
      </c>
      <c r="AE2" s="4" t="n">
        <v>202950852109.667</v>
      </c>
      <c r="AF2" s="4" t="n">
        <v>221377738695.742</v>
      </c>
      <c r="AG2" s="4" t="n">
        <v>236813005408.073</v>
      </c>
      <c r="AH2" s="4" t="n">
        <v>240263846698.15</v>
      </c>
      <c r="AI2" s="4" t="n">
        <v>260617535659.55</v>
      </c>
      <c r="AJ2" s="4" t="n">
        <v>303891362541.91</v>
      </c>
      <c r="AK2" s="4" t="n">
        <v>278053239730.06</v>
      </c>
      <c r="AL2" s="4" t="n">
        <v>290753329708.25</v>
      </c>
      <c r="AM2" s="4" t="n">
        <v>300926082777.59</v>
      </c>
      <c r="AN2" s="4" t="n">
        <v>272402781565.84</v>
      </c>
      <c r="AO2" s="4" t="n">
        <v>122901870485.08</v>
      </c>
      <c r="AP2" s="4" t="n">
        <v>23205650365.93</v>
      </c>
      <c r="AQ2" s="3" t="n">
        <v>23869876633.81</v>
      </c>
      <c r="AR2" s="3" t="n">
        <v>24915579717.25</v>
      </c>
      <c r="AS2" s="3" t="n">
        <v>115584932087.843</v>
      </c>
      <c r="AT2" s="3" t="n">
        <v>121502367782.02</v>
      </c>
      <c r="AU2" s="3" t="n">
        <v>141593494397.09</v>
      </c>
      <c r="AV2" s="3" t="n">
        <v>161285608480.54</v>
      </c>
      <c r="AW2" s="3" t="n">
        <v>163996030847.09</v>
      </c>
      <c r="AX2" s="3" t="n">
        <v>175328319971.78</v>
      </c>
      <c r="AY2" s="3" t="n">
        <v>192560637208.94</v>
      </c>
      <c r="AZ2" s="3" t="n">
        <v>211744401940.64</v>
      </c>
      <c r="BA2" s="3" t="n">
        <v>233778708533.83</v>
      </c>
      <c r="BB2" s="3" t="n">
        <v>249159557830.25</v>
      </c>
      <c r="BC2" s="3" t="n">
        <v>233830052488.546</v>
      </c>
      <c r="BD2" s="3" t="n">
        <v>241482384013.595</v>
      </c>
      <c r="BE2" s="3" t="n">
        <v>234644269222.769</v>
      </c>
      <c r="BF2" s="3" t="n">
        <v>220649797969.318</v>
      </c>
      <c r="BG2" s="3" t="n">
        <v>205868349030.096</v>
      </c>
      <c r="BH2" s="3" t="n">
        <v>202950852109.667</v>
      </c>
      <c r="BI2" s="3" t="n">
        <v>221377738695.742</v>
      </c>
      <c r="BJ2" s="3" t="n">
        <v>236813005408.073</v>
      </c>
      <c r="BK2" s="3" t="n">
        <v>240263846698.15</v>
      </c>
      <c r="BL2" s="3" t="n">
        <v>260617535659.55</v>
      </c>
      <c r="BM2" s="3" t="n">
        <v>303891362541.91</v>
      </c>
      <c r="BN2" s="3" t="n">
        <v>278053239730.06</v>
      </c>
      <c r="BO2" s="3" t="n">
        <v>290753329708.25</v>
      </c>
      <c r="BP2" s="3" t="n">
        <v>300926082777.59</v>
      </c>
      <c r="BQ2" s="3" t="n">
        <v>272402781565.84</v>
      </c>
      <c r="BR2" s="3" t="n">
        <v>122901870485.08</v>
      </c>
      <c r="BS2" s="3"/>
    </row>
    <row r="3">
      <c r="A3" t="str">
        <f>N3</f>
      </c>
      <c r="B3" t="str">
        <f>O3</f>
      </c>
      <c r="N3" t="s">
        <v>65</v>
      </c>
      <c r="O3" t="s">
        <v>67</v>
      </c>
      <c r="P3" s="4" t="n">
        <v>12424490879.0119</v>
      </c>
      <c r="Q3" s="4" t="n">
        <v>12398785334.88</v>
      </c>
      <c r="R3" s="4" t="n">
        <v>14572212695.81</v>
      </c>
      <c r="S3" s="4" t="n">
        <v>17953386972.19</v>
      </c>
      <c r="T3" s="4" t="n">
        <v>10439748453.19</v>
      </c>
      <c r="U3" s="4" t="n">
        <v>15387923565.0402</v>
      </c>
      <c r="V3" s="4" t="n">
        <v>16349199022.49</v>
      </c>
      <c r="W3" s="4" t="n">
        <v>17287774018.13</v>
      </c>
      <c r="X3" s="4" t="n">
        <v>19402260045.67</v>
      </c>
      <c r="Y3" s="4" t="n">
        <v>18036960407.42</v>
      </c>
      <c r="Z3" s="4" t="n">
        <v>18838466035.7132</v>
      </c>
      <c r="AA3" s="4" t="n">
        <v>19068572744.5791</v>
      </c>
      <c r="AB3" s="4" t="n">
        <v>15609105830.1121</v>
      </c>
      <c r="AC3" s="4" t="n">
        <v>14671363072.5204</v>
      </c>
      <c r="AD3" s="4" t="n">
        <v>15386698059.2257</v>
      </c>
      <c r="AE3" s="4" t="n">
        <v>15371395945.8963</v>
      </c>
      <c r="AF3" s="4" t="n">
        <v>15939407819.5676</v>
      </c>
      <c r="AG3" s="4" t="n">
        <v>16445854200.7774</v>
      </c>
      <c r="AH3" s="4" t="n">
        <v>18122420104.74</v>
      </c>
      <c r="AI3" s="4" t="n">
        <v>18307348766.47</v>
      </c>
      <c r="AJ3" s="4" t="n">
        <v>18751614110.04</v>
      </c>
      <c r="AK3" s="4" t="n">
        <v>18079383098.6</v>
      </c>
      <c r="AL3" s="4" t="n">
        <v>17619524286.9399</v>
      </c>
      <c r="AM3" s="4" t="n">
        <v>18564512230.82</v>
      </c>
      <c r="AN3" s="4" t="n">
        <v>18885974131.15</v>
      </c>
      <c r="AO3" s="4" t="n">
        <v>6877464236.2</v>
      </c>
      <c r="AP3" s="4" t="n">
        <v>128747809</v>
      </c>
      <c r="AQ3" s="3" t="n">
        <v>648703450</v>
      </c>
      <c r="AR3" s="3" t="n">
        <v>1001847370.5</v>
      </c>
      <c r="AS3" s="3" t="n">
        <v>12424490879.0119</v>
      </c>
      <c r="AT3" s="3" t="n">
        <v>12398785334.88</v>
      </c>
      <c r="AU3" s="3" t="n">
        <v>14572212695.81</v>
      </c>
      <c r="AV3" s="3" t="n">
        <v>17953386972.19</v>
      </c>
      <c r="AW3" s="3" t="n">
        <v>10439748453.19</v>
      </c>
      <c r="AX3" s="3" t="n">
        <v>15387923565.0402</v>
      </c>
      <c r="AY3" s="3" t="n">
        <v>16349199022.49</v>
      </c>
      <c r="AZ3" s="3" t="n">
        <v>17287774018.13</v>
      </c>
      <c r="BA3" s="3" t="n">
        <v>19402260045.67</v>
      </c>
      <c r="BB3" s="3" t="n">
        <v>18036960407.42</v>
      </c>
      <c r="BC3" s="3" t="n">
        <v>18838466035.7132</v>
      </c>
      <c r="BD3" s="3" t="n">
        <v>19068572744.5791</v>
      </c>
      <c r="BE3" s="3" t="n">
        <v>15609105830.1121</v>
      </c>
      <c r="BF3" s="3" t="n">
        <v>14671363072.5204</v>
      </c>
      <c r="BG3" s="3" t="n">
        <v>15386698059.2257</v>
      </c>
      <c r="BH3" s="3" t="n">
        <v>15371395945.8963</v>
      </c>
      <c r="BI3" s="3" t="n">
        <v>15939407819.5676</v>
      </c>
      <c r="BJ3" s="3" t="n">
        <v>16445854200.7774</v>
      </c>
      <c r="BK3" s="3" t="n">
        <v>18122420104.74</v>
      </c>
      <c r="BL3" s="3" t="n">
        <v>18307348766.47</v>
      </c>
      <c r="BM3" s="3" t="n">
        <v>18751614110.04</v>
      </c>
      <c r="BN3" s="3" t="n">
        <v>18079383098.6</v>
      </c>
      <c r="BO3" s="3" t="n">
        <v>17619524286.9399</v>
      </c>
      <c r="BP3" s="3" t="n">
        <v>18564512230.82</v>
      </c>
      <c r="BQ3" s="3" t="n">
        <v>18885974131.15</v>
      </c>
      <c r="BR3" s="3" t="n">
        <v>6877464236.2</v>
      </c>
      <c r="BS3" s="3"/>
    </row>
    <row r="4">
      <c r="A4" t="str">
        <f>N4</f>
      </c>
      <c r="B4" t="str">
        <f>O4</f>
      </c>
      <c r="N4" t="s">
        <v>68</v>
      </c>
      <c r="O4" t="s">
        <v>69</v>
      </c>
      <c r="P4" s="4" t="n">
        <v>2924283951.6635</v>
      </c>
      <c r="Q4" s="4" t="n">
        <v>3207191850.0918</v>
      </c>
      <c r="R4" s="4" t="n">
        <v>3874952414.6563</v>
      </c>
      <c r="S4" s="4" t="n">
        <v>6046089235.4572</v>
      </c>
      <c r="T4" s="4" t="n">
        <v>6517723173.9598</v>
      </c>
      <c r="U4" s="4" t="n">
        <v>7361479923.7156</v>
      </c>
      <c r="V4" s="4" t="n">
        <v>10244737777.7215</v>
      </c>
      <c r="W4" s="4" t="n">
        <v>9564407533.4996</v>
      </c>
      <c r="X4" s="4" t="n">
        <v>10960045597.3539</v>
      </c>
      <c r="Y4" s="4" t="n">
        <v>11978600453.1904</v>
      </c>
      <c r="Z4" s="4" t="n">
        <v>15621451371.1824</v>
      </c>
      <c r="AA4" s="4" t="n">
        <v>16861341352.9837</v>
      </c>
      <c r="AB4" s="4" t="n">
        <v>18982743607.8388</v>
      </c>
      <c r="AC4" s="4" t="n">
        <v>17611974768.2794</v>
      </c>
      <c r="AD4" s="4" t="n">
        <v>19114152539.0507</v>
      </c>
      <c r="AE4" s="4" t="n">
        <v>21876752873.9362</v>
      </c>
      <c r="AF4" s="4" t="n">
        <v>23706172088.7046</v>
      </c>
      <c r="AG4" s="4" t="n">
        <v>27628005661.5531</v>
      </c>
      <c r="AH4" s="4" t="n">
        <v>31723701465.4611</v>
      </c>
      <c r="AI4" s="4" t="n">
        <v>30294003975.1963</v>
      </c>
      <c r="AJ4" s="4" t="n">
        <v>32912233053.9116</v>
      </c>
      <c r="AK4" s="4" t="n">
        <v>35673646859.41</v>
      </c>
      <c r="AL4" s="4" t="n">
        <v>36438665738.0698</v>
      </c>
      <c r="AM4" s="4" t="n">
        <v>41953935024.797</v>
      </c>
      <c r="AN4" s="4" t="n">
        <v>44249119911.4933</v>
      </c>
      <c r="AO4" s="4" t="n">
        <v>16045018091.44</v>
      </c>
      <c r="AP4" s="4" t="n">
        <v>246074802</v>
      </c>
      <c r="AQ4" s="3" t="n">
        <v>235937579</v>
      </c>
      <c r="AR4" s="3" t="n">
        <v>135586940.1</v>
      </c>
      <c r="AS4" s="3" t="n">
        <v>2924283951.6635</v>
      </c>
      <c r="AT4" s="3" t="n">
        <v>3207191850.0918</v>
      </c>
      <c r="AU4" s="3" t="n">
        <v>3874952414.6563</v>
      </c>
      <c r="AV4" s="3" t="n">
        <v>6046089235.4572</v>
      </c>
      <c r="AW4" s="3" t="n">
        <v>6517723173.9598</v>
      </c>
      <c r="AX4" s="3" t="n">
        <v>7361479923.7156</v>
      </c>
      <c r="AY4" s="3" t="n">
        <v>10244737777.7215</v>
      </c>
      <c r="AZ4" s="3" t="n">
        <v>9564407533.4996</v>
      </c>
      <c r="BA4" s="3" t="n">
        <v>10960045597.3539</v>
      </c>
      <c r="BB4" s="3" t="n">
        <v>11978600453.1904</v>
      </c>
      <c r="BC4" s="3" t="n">
        <v>15621451371.1824</v>
      </c>
      <c r="BD4" s="3" t="n">
        <v>16861341352.9837</v>
      </c>
      <c r="BE4" s="3" t="n">
        <v>18982743607.8388</v>
      </c>
      <c r="BF4" s="3" t="n">
        <v>17611974768.2794</v>
      </c>
      <c r="BG4" s="3" t="n">
        <v>19114152539.0507</v>
      </c>
      <c r="BH4" s="3" t="n">
        <v>21876752873.9362</v>
      </c>
      <c r="BI4" s="3" t="n">
        <v>23706172088.7046</v>
      </c>
      <c r="BJ4" s="3" t="n">
        <v>27628005661.5531</v>
      </c>
      <c r="BK4" s="3" t="n">
        <v>31723701465.4611</v>
      </c>
      <c r="BL4" s="3" t="n">
        <v>30294003975.1963</v>
      </c>
      <c r="BM4" s="3" t="n">
        <v>32912233053.9116</v>
      </c>
      <c r="BN4" s="3" t="n">
        <v>35673646859.41</v>
      </c>
      <c r="BO4" s="3" t="n">
        <v>36438665738.0698</v>
      </c>
      <c r="BP4" s="3" t="n">
        <v>41953935024.797</v>
      </c>
      <c r="BQ4" s="3" t="n">
        <v>44249119911.4933</v>
      </c>
      <c r="BR4" s="3" t="n">
        <v>16045018091.44</v>
      </c>
      <c r="BS4" s="3"/>
    </row>
    <row r="5">
      <c r="A5" t="str">
        <f>N5</f>
      </c>
      <c r="B5" t="str">
        <f>O5</f>
      </c>
      <c r="N5" t="s">
        <v>68</v>
      </c>
      <c r="O5" t="s">
        <v>70</v>
      </c>
      <c r="P5" s="4" t="n">
        <v>12804541051.7536</v>
      </c>
      <c r="Q5" s="4" t="n">
        <v>16873262693.0018</v>
      </c>
      <c r="R5" s="4" t="n">
        <v>22130372261.5838</v>
      </c>
      <c r="S5" s="4" t="n">
        <v>29036319534.7097</v>
      </c>
      <c r="T5" s="4" t="n">
        <v>28896257654.6845</v>
      </c>
      <c r="U5" s="4" t="n">
        <v>27985121320.1103</v>
      </c>
      <c r="V5" s="4" t="n">
        <v>28608695358.7399</v>
      </c>
      <c r="W5" s="4" t="n">
        <v>28419281384.4194</v>
      </c>
      <c r="X5" s="4" t="n">
        <v>28301482390.3614</v>
      </c>
      <c r="Y5" s="4" t="n">
        <v>29145223208.8904</v>
      </c>
      <c r="Z5" s="4" t="n">
        <v>30481486022.048</v>
      </c>
      <c r="AA5" s="4" t="n">
        <v>28787764705.0707</v>
      </c>
      <c r="AB5" s="4" t="n">
        <v>27565436312.6723</v>
      </c>
      <c r="AC5" s="4" t="n">
        <v>26341597412.0245</v>
      </c>
      <c r="AD5" s="4" t="n">
        <v>28514322156.6811</v>
      </c>
      <c r="AE5" s="4" t="n">
        <v>27170572289.2424</v>
      </c>
      <c r="AF5" s="4" t="n">
        <v>28404542612.8277</v>
      </c>
      <c r="AG5" s="4" t="n">
        <v>29276109719.641</v>
      </c>
      <c r="AH5" s="4" t="n">
        <v>32092451726.2584</v>
      </c>
      <c r="AI5" s="4" t="n">
        <v>35270020674.4173</v>
      </c>
      <c r="AJ5" s="4" t="n">
        <v>39992299401.8298</v>
      </c>
      <c r="AK5" s="4" t="n">
        <v>42574994512.184</v>
      </c>
      <c r="AL5" s="4" t="n">
        <v>45468863712.7538</v>
      </c>
      <c r="AM5" s="4" t="n">
        <v>50127935085.405</v>
      </c>
      <c r="AN5" s="4" t="n">
        <v>52657836136.9445</v>
      </c>
      <c r="AO5" s="4" t="n">
        <v>18691017774.63</v>
      </c>
      <c r="AP5" s="4" t="n">
        <v>529314722</v>
      </c>
      <c r="AQ5" s="3" t="n">
        <v>1367238508.72</v>
      </c>
      <c r="AR5" s="3" t="n">
        <v>2881665479.3</v>
      </c>
      <c r="AS5" s="3" t="n">
        <v>12804541051.7536</v>
      </c>
      <c r="AT5" s="3" t="n">
        <v>16873262693.0018</v>
      </c>
      <c r="AU5" s="3" t="n">
        <v>22130372261.5838</v>
      </c>
      <c r="AV5" s="3" t="n">
        <v>29036319534.7097</v>
      </c>
      <c r="AW5" s="3" t="n">
        <v>28896257654.6845</v>
      </c>
      <c r="AX5" s="3" t="n">
        <v>27985121320.1103</v>
      </c>
      <c r="AY5" s="3" t="n">
        <v>28608695358.7399</v>
      </c>
      <c r="AZ5" s="3" t="n">
        <v>28419281384.4194</v>
      </c>
      <c r="BA5" s="3" t="n">
        <v>28301482390.3614</v>
      </c>
      <c r="BB5" s="3" t="n">
        <v>29145223208.8904</v>
      </c>
      <c r="BC5" s="3" t="n">
        <v>30481486022.048</v>
      </c>
      <c r="BD5" s="3" t="n">
        <v>28787764705.0707</v>
      </c>
      <c r="BE5" s="3" t="n">
        <v>27565436312.6723</v>
      </c>
      <c r="BF5" s="3" t="n">
        <v>26341597412.0245</v>
      </c>
      <c r="BG5" s="3" t="n">
        <v>28514322156.6811</v>
      </c>
      <c r="BH5" s="3" t="n">
        <v>27170572289.2424</v>
      </c>
      <c r="BI5" s="3" t="n">
        <v>28404542612.8277</v>
      </c>
      <c r="BJ5" s="3" t="n">
        <v>29276109719.641</v>
      </c>
      <c r="BK5" s="3" t="n">
        <v>32092451726.2584</v>
      </c>
      <c r="BL5" s="3" t="n">
        <v>35270020674.4173</v>
      </c>
      <c r="BM5" s="3" t="n">
        <v>39992299401.8298</v>
      </c>
      <c r="BN5" s="3" t="n">
        <v>42574994512.184</v>
      </c>
      <c r="BO5" s="3" t="n">
        <v>45468863712.7538</v>
      </c>
      <c r="BP5" s="3" t="n">
        <v>50127935085.405</v>
      </c>
      <c r="BQ5" s="3" t="n">
        <v>52657836136.9445</v>
      </c>
      <c r="BR5" s="3" t="n">
        <v>18691017774.63</v>
      </c>
      <c r="BS5" s="3"/>
    </row>
    <row r="6">
      <c r="A6" t="str">
        <f>N6</f>
      </c>
      <c r="B6" t="str">
        <f>O6</f>
      </c>
      <c r="N6" t="s">
        <v>68</v>
      </c>
      <c r="O6" t="s">
        <v>71</v>
      </c>
      <c r="P6" s="4" t="n">
        <v>12499350083.2159</v>
      </c>
      <c r="Q6" s="4" t="n">
        <v>13610392675.4568</v>
      </c>
      <c r="R6" s="4" t="n">
        <v>17269119548.3314</v>
      </c>
      <c r="S6" s="4" t="n">
        <v>22442982846.4399</v>
      </c>
      <c r="T6" s="4" t="n">
        <v>28374850068.4161</v>
      </c>
      <c r="U6" s="4" t="n">
        <v>36667866725.8685</v>
      </c>
      <c r="V6" s="4" t="n">
        <v>43450040207.2155</v>
      </c>
      <c r="W6" s="4" t="n">
        <v>49537652392.8318</v>
      </c>
      <c r="X6" s="4" t="n">
        <v>58296941967.6551</v>
      </c>
      <c r="Y6" s="4" t="n">
        <v>70755225318.678</v>
      </c>
      <c r="Z6" s="4" t="n">
        <v>97069660263.6013</v>
      </c>
      <c r="AA6" s="4" t="n">
        <v>80093220983.5518</v>
      </c>
      <c r="AB6" s="4" t="n">
        <v>74546629220.6372</v>
      </c>
      <c r="AC6" s="4" t="n">
        <v>66847036617.2891</v>
      </c>
      <c r="AD6" s="4" t="n">
        <v>64428236170.0944</v>
      </c>
      <c r="AE6" s="4" t="n">
        <v>63377140940.6581</v>
      </c>
      <c r="AF6" s="4" t="n">
        <v>69942453671.4085</v>
      </c>
      <c r="AG6" s="4" t="n">
        <v>72695491339.1477</v>
      </c>
      <c r="AH6" s="4" t="n">
        <v>85093046747.5623</v>
      </c>
      <c r="AI6" s="4" t="n">
        <v>91689007118.2997</v>
      </c>
      <c r="AJ6" s="4" t="n">
        <v>97258044710.1001</v>
      </c>
      <c r="AK6" s="4" t="n">
        <v>92661038675.0052</v>
      </c>
      <c r="AL6" s="4" t="n">
        <v>104949993341.112</v>
      </c>
      <c r="AM6" s="4" t="n">
        <v>123328551353.892</v>
      </c>
      <c r="AN6" s="4" t="n">
        <v>132978957310.474</v>
      </c>
      <c r="AO6" s="4" t="n">
        <v>49241265631.31</v>
      </c>
      <c r="AP6" s="4" t="n">
        <v>744293316</v>
      </c>
      <c r="AQ6" s="3" t="n">
        <v>1370377800.85</v>
      </c>
      <c r="AR6" s="3" t="n">
        <v>2387924639.7</v>
      </c>
      <c r="AS6" s="3" t="n">
        <v>12499350083.2159</v>
      </c>
      <c r="AT6" s="3" t="n">
        <v>13610392675.4568</v>
      </c>
      <c r="AU6" s="3" t="n">
        <v>17269119548.3314</v>
      </c>
      <c r="AV6" s="3" t="n">
        <v>22442982846.4399</v>
      </c>
      <c r="AW6" s="3" t="n">
        <v>28374850068.4161</v>
      </c>
      <c r="AX6" s="3" t="n">
        <v>36667866725.8685</v>
      </c>
      <c r="AY6" s="3" t="n">
        <v>43450040207.2155</v>
      </c>
      <c r="AZ6" s="3" t="n">
        <v>49537652392.8318</v>
      </c>
      <c r="BA6" s="3" t="n">
        <v>58296941967.6551</v>
      </c>
      <c r="BB6" s="3" t="n">
        <v>70755225318.678</v>
      </c>
      <c r="BC6" s="3" t="n">
        <v>97069660263.6013</v>
      </c>
      <c r="BD6" s="3" t="n">
        <v>80093220983.5518</v>
      </c>
      <c r="BE6" s="3" t="n">
        <v>74546629220.6372</v>
      </c>
      <c r="BF6" s="3" t="n">
        <v>66847036617.2891</v>
      </c>
      <c r="BG6" s="3" t="n">
        <v>64428236170.0944</v>
      </c>
      <c r="BH6" s="3" t="n">
        <v>63377140940.6581</v>
      </c>
      <c r="BI6" s="3" t="n">
        <v>69942453671.4085</v>
      </c>
      <c r="BJ6" s="3" t="n">
        <v>72695491339.1477</v>
      </c>
      <c r="BK6" s="3" t="n">
        <v>85093046747.5623</v>
      </c>
      <c r="BL6" s="3" t="n">
        <v>91689007118.2997</v>
      </c>
      <c r="BM6" s="3" t="n">
        <v>97258044710.1001</v>
      </c>
      <c r="BN6" s="3" t="n">
        <v>92661038675.0052</v>
      </c>
      <c r="BO6" s="3" t="n">
        <v>104949993341.112</v>
      </c>
      <c r="BP6" s="3" t="n">
        <v>123328551353.892</v>
      </c>
      <c r="BQ6" s="3" t="n">
        <v>132978957310.474</v>
      </c>
      <c r="BR6" s="3" t="n">
        <v>49241265631.31</v>
      </c>
      <c r="BS6" s="3"/>
    </row>
    <row r="7">
      <c r="A7" t="str">
        <f>N7</f>
      </c>
      <c r="B7" t="str">
        <f>O7</f>
      </c>
      <c r="N7" t="s">
        <v>68</v>
      </c>
      <c r="O7" t="s">
        <v>72</v>
      </c>
      <c r="P7" s="4" t="n">
        <v>42335529372.3551</v>
      </c>
      <c r="Q7" s="4" t="n">
        <v>48917333171.8777</v>
      </c>
      <c r="R7" s="4" t="n">
        <v>57454020947.247</v>
      </c>
      <c r="S7" s="4" t="n">
        <v>77397735316.5918</v>
      </c>
      <c r="T7" s="4" t="n">
        <v>96729076010.967</v>
      </c>
      <c r="U7" s="4" t="n">
        <v>126006897249.582</v>
      </c>
      <c r="V7" s="4" t="n">
        <v>138189605286.346</v>
      </c>
      <c r="W7" s="4" t="n">
        <v>152278596019.012</v>
      </c>
      <c r="X7" s="4" t="n">
        <v>176992562159.486</v>
      </c>
      <c r="Y7" s="4" t="n">
        <v>175807040178.201</v>
      </c>
      <c r="Z7" s="4" t="n">
        <v>165348458600.938</v>
      </c>
      <c r="AA7" s="4" t="n">
        <v>153864370550.964</v>
      </c>
      <c r="AB7" s="4" t="n">
        <v>149755532268.463</v>
      </c>
      <c r="AC7" s="4" t="n">
        <v>117832148608.451</v>
      </c>
      <c r="AD7" s="4" t="n">
        <v>113132246206.875</v>
      </c>
      <c r="AE7" s="4" t="n">
        <v>109430096987.006</v>
      </c>
      <c r="AF7" s="4" t="n">
        <v>116420314684.446</v>
      </c>
      <c r="AG7" s="4" t="n">
        <v>128243356113.859</v>
      </c>
      <c r="AH7" s="4" t="n">
        <v>149051590332.517</v>
      </c>
      <c r="AI7" s="4" t="n">
        <v>153875006598.917</v>
      </c>
      <c r="AJ7" s="4" t="n">
        <v>178955739455.671</v>
      </c>
      <c r="AK7" s="4" t="n">
        <v>178756105576.716</v>
      </c>
      <c r="AL7" s="4" t="n">
        <v>199544845267.319</v>
      </c>
      <c r="AM7" s="4" t="n">
        <v>226196676468.225</v>
      </c>
      <c r="AN7" s="4" t="n">
        <v>234676048634.219</v>
      </c>
      <c r="AO7" s="4" t="n">
        <v>101273651433.94</v>
      </c>
      <c r="AP7" s="4" t="n">
        <v>3974327759.97</v>
      </c>
      <c r="AQ7" s="3" t="n">
        <v>6433826589.41</v>
      </c>
      <c r="AR7" s="3" t="n">
        <v>12225897599.86</v>
      </c>
      <c r="AS7" s="3" t="n">
        <v>42335529372.3551</v>
      </c>
      <c r="AT7" s="3" t="n">
        <v>48917333171.8777</v>
      </c>
      <c r="AU7" s="3" t="n">
        <v>57454020947.247</v>
      </c>
      <c r="AV7" s="3" t="n">
        <v>77397735316.5918</v>
      </c>
      <c r="AW7" s="3" t="n">
        <v>96729076010.967</v>
      </c>
      <c r="AX7" s="3" t="n">
        <v>126006897249.582</v>
      </c>
      <c r="AY7" s="3" t="n">
        <v>138189605286.346</v>
      </c>
      <c r="AZ7" s="3" t="n">
        <v>152278596019.012</v>
      </c>
      <c r="BA7" s="3" t="n">
        <v>176992562159.486</v>
      </c>
      <c r="BB7" s="3" t="n">
        <v>175807040178.201</v>
      </c>
      <c r="BC7" s="3" t="n">
        <v>165348458600.938</v>
      </c>
      <c r="BD7" s="3" t="n">
        <v>153864370550.964</v>
      </c>
      <c r="BE7" s="3" t="n">
        <v>149755532268.463</v>
      </c>
      <c r="BF7" s="3" t="n">
        <v>117832148608.451</v>
      </c>
      <c r="BG7" s="3" t="n">
        <v>113132246206.875</v>
      </c>
      <c r="BH7" s="3" t="n">
        <v>109430096987.006</v>
      </c>
      <c r="BI7" s="3" t="n">
        <v>116420314684.446</v>
      </c>
      <c r="BJ7" s="3" t="n">
        <v>128243356113.859</v>
      </c>
      <c r="BK7" s="3" t="n">
        <v>149051590332.517</v>
      </c>
      <c r="BL7" s="3" t="n">
        <v>153875006598.917</v>
      </c>
      <c r="BM7" s="3" t="n">
        <v>178955739455.671</v>
      </c>
      <c r="BN7" s="3" t="n">
        <v>178756105576.716</v>
      </c>
      <c r="BO7" s="3" t="n">
        <v>199544845267.319</v>
      </c>
      <c r="BP7" s="3" t="n">
        <v>226196676468.225</v>
      </c>
      <c r="BQ7" s="3" t="n">
        <v>234676048634.219</v>
      </c>
      <c r="BR7" s="3" t="n">
        <v>101273651433.94</v>
      </c>
      <c r="BS7" s="3"/>
    </row>
    <row r="8">
      <c r="A8" t="str">
        <f>N8</f>
      </c>
      <c r="B8" t="str">
        <f>O8</f>
      </c>
      <c r="N8" t="s">
        <v>68</v>
      </c>
      <c r="O8" t="s">
        <v>73</v>
      </c>
      <c r="P8" s="4" t="n">
        <v>7030877168.3082</v>
      </c>
      <c r="Q8" s="4" t="n">
        <v>6612007723.823</v>
      </c>
      <c r="R8" s="4" t="n">
        <v>7284000092.3487</v>
      </c>
      <c r="S8" s="4" t="n">
        <v>5366434247.8165</v>
      </c>
      <c r="T8" s="4" t="n">
        <v>4415654379.2757</v>
      </c>
      <c r="U8" s="4" t="n">
        <v>2683711410.774</v>
      </c>
      <c r="V8" s="4" t="n">
        <v>1747131444.4168</v>
      </c>
      <c r="W8" s="4" t="n">
        <v>1000337098.5642</v>
      </c>
      <c r="X8" s="4" t="n">
        <v>592811723.8758</v>
      </c>
      <c r="Y8" s="4" t="n">
        <v>337021017.1379</v>
      </c>
      <c r="Z8" s="4" t="n">
        <v>271869696.8448</v>
      </c>
      <c r="AA8" s="4" t="n">
        <v>123556347.7826</v>
      </c>
      <c r="AB8" s="4" t="n">
        <v>99091517.7124</v>
      </c>
      <c r="AC8" s="4" t="n">
        <v>47651396.2464</v>
      </c>
      <c r="AD8" s="4" t="n">
        <v>55333426.4992</v>
      </c>
      <c r="AE8" s="4" t="n">
        <v>61667152.8337</v>
      </c>
      <c r="AF8" s="4" t="n">
        <v>29264169.4202</v>
      </c>
      <c r="AG8" s="4" t="n">
        <v>7714685.453</v>
      </c>
      <c r="AH8" s="4" t="n">
        <v>3121458.2472</v>
      </c>
      <c r="AI8" s="4" t="n">
        <v>1801758.2113</v>
      </c>
      <c r="AJ8" s="4" t="n">
        <v>1589203.1028</v>
      </c>
      <c r="AK8" s="4" t="n">
        <v>-4965343.4824</v>
      </c>
      <c r="AL8" s="4" t="n">
        <v>-17602406.375</v>
      </c>
      <c r="AM8" s="4" t="n">
        <v>-15651681.9895</v>
      </c>
      <c r="AN8" s="4" t="n">
        <v>-1314944.4</v>
      </c>
      <c r="AO8" s="4" t="n">
        <v>-14742791.4</v>
      </c>
      <c r="AP8" s="4" t="n">
        <v>996147540</v>
      </c>
      <c r="AQ8" s="3" t="n">
        <v>956889587.6</v>
      </c>
      <c r="AR8" s="3" t="n">
        <v>1024623973</v>
      </c>
      <c r="AS8" s="3" t="n">
        <v>7030877168.3082</v>
      </c>
      <c r="AT8" s="3" t="n">
        <v>6612007723.823</v>
      </c>
      <c r="AU8" s="3" t="n">
        <v>7284000092.3487</v>
      </c>
      <c r="AV8" s="3" t="n">
        <v>5366434247.8165</v>
      </c>
      <c r="AW8" s="3" t="n">
        <v>4415654379.2757</v>
      </c>
      <c r="AX8" s="3" t="n">
        <v>2683711410.774</v>
      </c>
      <c r="AY8" s="3" t="n">
        <v>1747131444.4168</v>
      </c>
      <c r="AZ8" s="3" t="n">
        <v>1000337098.5642</v>
      </c>
      <c r="BA8" s="3" t="n">
        <v>592811723.8758</v>
      </c>
      <c r="BB8" s="3" t="n">
        <v>337021017.1379</v>
      </c>
      <c r="BC8" s="3" t="n">
        <v>271869696.8448</v>
      </c>
      <c r="BD8" s="3" t="n">
        <v>123556347.7826</v>
      </c>
      <c r="BE8" s="3" t="n">
        <v>99091517.7124</v>
      </c>
      <c r="BF8" s="3" t="n">
        <v>47651396.2464</v>
      </c>
      <c r="BG8" s="3" t="n">
        <v>55333426.4992</v>
      </c>
      <c r="BH8" s="3" t="n">
        <v>61667152.8337</v>
      </c>
      <c r="BI8" s="3" t="n">
        <v>29264169.4202</v>
      </c>
      <c r="BJ8" s="3" t="n">
        <v>7714685.453</v>
      </c>
      <c r="BK8" s="3" t="n">
        <v>3121458.2472</v>
      </c>
      <c r="BL8" s="3" t="n">
        <v>1801758.2113</v>
      </c>
      <c r="BM8" s="3" t="n">
        <v>1589203.1028</v>
      </c>
      <c r="BN8" s="3" t="n">
        <v>-4965343.4824</v>
      </c>
      <c r="BO8" s="3" t="n">
        <v>-17602406.375</v>
      </c>
      <c r="BP8" s="3" t="n">
        <v>-15651681.9895</v>
      </c>
      <c r="BQ8" s="3" t="n">
        <v>-1314944.4</v>
      </c>
      <c r="BR8" s="3" t="n">
        <v>-14742791.4</v>
      </c>
      <c r="BS8" s="3"/>
    </row>
    <row r="9">
      <c r="A9" t="str">
        <f>N9</f>
      </c>
      <c r="B9" t="str">
        <f>O9</f>
      </c>
      <c r="N9"/>
      <c r="O9"/>
      <c r="P9" s="4" t="n">
        <v>18006362</v>
      </c>
      <c r="Q9" s="4" t="n">
        <v>773740.3125</v>
      </c>
      <c r="R9" s="4" t="n">
        <v>1369209.8414</v>
      </c>
      <c r="S9" s="4" t="n">
        <v>6076922.5</v>
      </c>
      <c r="T9" s="4" t="n">
        <v>5022298.0339</v>
      </c>
      <c r="U9" s="4" t="n">
        <v>402007.8403</v>
      </c>
      <c r="V9" s="4" t="n">
        <v>647421.89</v>
      </c>
      <c r="W9" s="4" t="n">
        <v>0</v>
      </c>
      <c r="X9" s="4" t="n">
        <v>0</v>
      </c>
      <c r="Y9" s="4" t="n">
        <v>0</v>
      </c>
      <c r="Z9" s="4" t="n">
        <v>236000</v>
      </c>
      <c r="AA9" s="4" t="n">
        <v>248000</v>
      </c>
      <c r="AB9" s="4" t="n">
        <v>0</v>
      </c>
      <c r="AC9" s="4" t="n">
        <v>717723</v>
      </c>
      <c r="AD9" s="4" t="n">
        <v>0</v>
      </c>
      <c r="AE9" s="4" t="n">
        <v>2364.39</v>
      </c>
      <c r="AF9" s="4" t="n">
        <v>-5000</v>
      </c>
      <c r="AG9" s="4" t="n">
        <v>1810263.7657</v>
      </c>
      <c r="AH9" s="4" t="n">
        <v>0</v>
      </c>
      <c r="AI9" s="4" t="n">
        <v>0</v>
      </c>
      <c r="AJ9" s="4" t="n">
        <v>0</v>
      </c>
      <c r="AK9" s="4" t="n">
        <v>30674.99</v>
      </c>
      <c r="AL9" s="4" t="n">
        <v>0</v>
      </c>
      <c r="AM9" s="4" t="n">
        <v>-10000</v>
      </c>
      <c r="AN9" s="4" t="n">
        <v>3572327.86</v>
      </c>
      <c r="AO9" s="4" t="n">
        <v>-6130361.98</v>
      </c>
      <c r="AP9" s="4" t="n">
        <v>117203970180</v>
      </c>
      <c r="AQ9" s="3" t="n">
        <v>118132963568</v>
      </c>
      <c r="AR9" s="3" t="n">
        <v>123322330794</v>
      </c>
      <c r="AS9" s="3" t="n">
        <v>18006362</v>
      </c>
      <c r="AT9" s="3" t="n">
        <v>773740.3125</v>
      </c>
      <c r="AU9" s="3" t="n">
        <v>1369209.8414</v>
      </c>
      <c r="AV9" s="3" t="n">
        <v>6076922.5</v>
      </c>
      <c r="AW9" s="3" t="n">
        <v>5022298.0339</v>
      </c>
      <c r="AX9" s="3" t="n">
        <v>402007.8403</v>
      </c>
      <c r="AY9" s="3" t="n">
        <v>647421.89</v>
      </c>
      <c r="AZ9" s="3" t="n">
        <v>0</v>
      </c>
      <c r="BA9" s="3" t="n">
        <v>0</v>
      </c>
      <c r="BB9" s="3" t="n">
        <v>0</v>
      </c>
      <c r="BC9" s="3" t="n">
        <v>236000</v>
      </c>
      <c r="BD9" s="3" t="n">
        <v>248000</v>
      </c>
      <c r="BE9" s="3" t="n">
        <v>0</v>
      </c>
      <c r="BF9" s="3" t="n">
        <v>717723</v>
      </c>
      <c r="BG9" s="3" t="n">
        <v>0</v>
      </c>
      <c r="BH9" s="3" t="n">
        <v>2364.39</v>
      </c>
      <c r="BI9" s="3" t="n">
        <v>-5000</v>
      </c>
      <c r="BJ9" s="3" t="n">
        <v>1810263.7657</v>
      </c>
      <c r="BK9" s="3" t="n">
        <v>0</v>
      </c>
      <c r="BL9" s="3" t="n">
        <v>0</v>
      </c>
      <c r="BM9" s="3" t="n">
        <v>0</v>
      </c>
      <c r="BN9" s="3" t="n">
        <v>30674.99</v>
      </c>
      <c r="BO9" s="3" t="n">
        <v>0</v>
      </c>
      <c r="BP9" s="3" t="n">
        <v>-10000</v>
      </c>
      <c r="BQ9" s="3" t="n">
        <v>3572327.86</v>
      </c>
      <c r="BR9" s="3" t="n">
        <v>-6130361.98</v>
      </c>
      <c r="BS9" s="3"/>
    </row>
    <row r="10">
      <c r="A10" t="str">
        <f>N10</f>
      </c>
      <c r="B10" t="str">
        <f>O10</f>
      </c>
      <c r="N10" t="s">
        <v>56</v>
      </c>
      <c r="O10" t="s">
        <v>74</v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4" t="str">
        <f>Sum(AP2:AP9)</f>
      </c>
      <c r="AQ10" s="3" t="str">
        <f>Sum(AQ2:AQ9)</f>
      </c>
      <c r="AR10" s="3" t="str">
        <f>Sum(AR2:AR9)</f>
      </c>
      <c r="AS10" s="3" t="str">
        <f>Sum(AS2:AS9)</f>
      </c>
      <c r="AT10" s="3" t="str">
        <f>Sum(AT2:AT9)</f>
      </c>
      <c r="AU10" s="3" t="str">
        <f>Sum(AU2:AU9)</f>
      </c>
      <c r="AV10" s="3" t="str">
        <f>Sum(AV2:AV9)</f>
      </c>
      <c r="AW10" s="3" t="str">
        <f>Sum(AW2:AW9)</f>
      </c>
      <c r="AX10" s="3" t="str">
        <f>Sum(AX2:AX9)</f>
      </c>
      <c r="AY10" s="3" t="str">
        <f>Sum(AY2:AY9)</f>
      </c>
      <c r="AZ10" s="3" t="str">
        <f>Sum(AZ2:AZ9)</f>
      </c>
      <c r="BA10" s="3" t="str">
        <f>Sum(BA2:BA9)</f>
      </c>
      <c r="BB10" s="3" t="str">
        <f>Sum(BB2:BB9)</f>
      </c>
      <c r="BC10" s="3" t="str">
        <f>Sum(BC2:BC9)</f>
      </c>
      <c r="BD10" s="3" t="str">
        <f>Sum(BD2:BD9)</f>
      </c>
      <c r="BE10" s="3" t="str">
        <f>Sum(BE2:BE9)</f>
      </c>
      <c r="BF10" s="3" t="str">
        <f>Sum(BF2:BF9)</f>
      </c>
      <c r="BG10" s="3" t="str">
        <f>Sum(BG2:BG9)</f>
      </c>
      <c r="BH10" s="3" t="str">
        <f>Sum(BH2:BH9)</f>
      </c>
      <c r="BI10" s="3" t="str">
        <f>Sum(BI2:BI9)</f>
      </c>
      <c r="BJ10" s="3" t="str">
        <f>Sum(BJ2:BJ9)</f>
      </c>
      <c r="BK10" s="3" t="str">
        <f>Sum(BK2:BK9)</f>
      </c>
      <c r="BL10" s="3" t="str">
        <f>Sum(BL2:BL9)</f>
      </c>
      <c r="BM10" s="3" t="str">
        <f>Sum(BM2:BM9)</f>
      </c>
      <c r="BN10" s="3" t="str">
        <f>Sum(BN2:BN9)</f>
      </c>
      <c r="BO10" s="3" t="str">
        <f>Sum(BO2:BO9)</f>
      </c>
      <c r="BP10" s="3" t="str">
        <f>Sum(BP2:BP9)</f>
      </c>
      <c r="BQ10" s="3" t="str">
        <f>Sum(BQ2:BQ9)</f>
      </c>
      <c r="BR10" s="3" t="str">
        <f>Sum(BR2:BR9)</f>
      </c>
      <c r="BS1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75</v>
      </c>
      <c r="N1" t="s">
        <v>76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</row>
    <row r="2">
      <c r="A2" t="str">
        <f>M2</f>
      </c>
      <c r="B2" t="str">
        <f>N2</f>
      </c>
      <c r="M2" t="s">
        <v>77</v>
      </c>
      <c r="N2" t="s">
        <v>78</v>
      </c>
      <c r="O2" s="7" t="n">
        <v>61526460970.5886</v>
      </c>
      <c r="P2" s="7" t="n">
        <v>68145396056.5009</v>
      </c>
      <c r="Q2" s="7" t="n">
        <v>74275828344.8101</v>
      </c>
      <c r="R2" s="7" t="n">
        <v>93542707447.2576</v>
      </c>
      <c r="S2" s="7" t="n">
        <v>97294140370.4383</v>
      </c>
      <c r="T2" s="7" t="n">
        <v>101882643026.21</v>
      </c>
      <c r="U2" s="7" t="n">
        <v>110969944621.803</v>
      </c>
      <c r="V2" s="7" t="n">
        <v>108870228119.205</v>
      </c>
      <c r="W2" s="7" t="n">
        <v>111197070360.647</v>
      </c>
      <c r="X2" s="7" t="n">
        <v>124076896109.344</v>
      </c>
      <c r="Y2" s="7" t="n">
        <v>128405035322.108</v>
      </c>
      <c r="Z2" s="7" t="n">
        <v>131706813762.984</v>
      </c>
      <c r="AA2" s="7" t="n">
        <v>127776963987.566</v>
      </c>
      <c r="AB2" s="7" t="n">
        <v>121948917214.72</v>
      </c>
      <c r="AC2" s="7" t="n">
        <v>120933778192.924</v>
      </c>
      <c r="AD2" s="7" t="n">
        <v>120372218684.722</v>
      </c>
      <c r="AE2" s="7" t="n">
        <v>125050020017.782</v>
      </c>
      <c r="AF2" s="7" t="n">
        <v>131871236628.585</v>
      </c>
      <c r="AG2" s="7" t="n">
        <v>135430961780.64</v>
      </c>
      <c r="AH2" s="7" t="n">
        <v>146374179580.828</v>
      </c>
      <c r="AI2" s="7" t="n">
        <v>151698179379.069</v>
      </c>
      <c r="AJ2" s="7" t="n">
        <v>152620614917.721</v>
      </c>
      <c r="AK2" s="7" t="n">
        <v>161892999045.947</v>
      </c>
      <c r="AL2" s="7" t="n">
        <v>174926861772.469</v>
      </c>
      <c r="AM2" s="7" t="n">
        <v>183665475867.39</v>
      </c>
      <c r="AN2" s="7" t="n">
        <v>83332892222.7</v>
      </c>
      <c r="AO2" s="7"/>
    </row>
    <row r="3">
      <c r="A3" t="str">
        <f>M3</f>
      </c>
      <c r="B3" t="str">
        <f>N3</f>
      </c>
      <c r="M3" t="s">
        <v>77</v>
      </c>
      <c r="N3" t="s">
        <v>79</v>
      </c>
      <c r="O3" s="7" t="n">
        <v>7784321830.983</v>
      </c>
      <c r="P3" s="7" t="n">
        <v>8033416348.5964</v>
      </c>
      <c r="Q3" s="7" t="n">
        <v>11303794587.2126</v>
      </c>
      <c r="R3" s="7" t="n">
        <v>14306203808.9154</v>
      </c>
      <c r="S3" s="7" t="n">
        <v>19199698658.2391</v>
      </c>
      <c r="T3" s="7" t="n">
        <v>22186202351.528</v>
      </c>
      <c r="U3" s="7" t="n">
        <v>25727293630.5376</v>
      </c>
      <c r="V3" s="7" t="n">
        <v>26652112058.5641</v>
      </c>
      <c r="W3" s="7" t="n">
        <v>29313764596.9244</v>
      </c>
      <c r="X3" s="7" t="n">
        <v>29711187340.9265</v>
      </c>
      <c r="Y3" s="7" t="n">
        <v>30409975313.0567</v>
      </c>
      <c r="Z3" s="7" t="n">
        <v>25846694971.8174</v>
      </c>
      <c r="AA3" s="7" t="n">
        <v>24114277974.225</v>
      </c>
      <c r="AB3" s="7" t="n">
        <v>19736277692.5748</v>
      </c>
      <c r="AC3" s="7" t="n">
        <v>19029505673.7095</v>
      </c>
      <c r="AD3" s="7" t="n">
        <v>19176804776.7006</v>
      </c>
      <c r="AE3" s="7" t="n">
        <v>21060317994.4208</v>
      </c>
      <c r="AF3" s="7" t="n">
        <v>22566532370.7647</v>
      </c>
      <c r="AG3" s="7" t="n">
        <v>26934989505.0943</v>
      </c>
      <c r="AH3" s="7" t="n">
        <v>27721156607.1502</v>
      </c>
      <c r="AI3" s="7" t="n">
        <v>30915566908.939</v>
      </c>
      <c r="AJ3" s="7" t="n">
        <v>31382115876.729</v>
      </c>
      <c r="AK3" s="7" t="n">
        <v>32132953559.4293</v>
      </c>
      <c r="AL3" s="7" t="n">
        <v>36554548494.6757</v>
      </c>
      <c r="AM3" s="7" t="n">
        <v>39014084334.76</v>
      </c>
      <c r="AN3" s="7" t="n">
        <v>11082019592.86</v>
      </c>
      <c r="AO3" s="7"/>
    </row>
    <row r="4">
      <c r="A4" t="str">
        <f>M4</f>
      </c>
      <c r="B4" t="str">
        <f>N4</f>
      </c>
      <c r="M4" t="s">
        <v>80</v>
      </c>
      <c r="N4" t="s">
        <v>81</v>
      </c>
      <c r="O4" s="7" t="n">
        <v>17523656.9485</v>
      </c>
      <c r="P4" s="7" t="n">
        <v>246829934.3663</v>
      </c>
      <c r="Q4" s="7" t="n">
        <v>240561578.0934</v>
      </c>
      <c r="R4" s="7" t="n">
        <v>279359480.2335</v>
      </c>
      <c r="S4" s="7" t="n">
        <v>1456301959.1252</v>
      </c>
      <c r="T4" s="7" t="n">
        <v>2220294165.4598</v>
      </c>
      <c r="U4" s="7" t="n">
        <v>6689166601.598</v>
      </c>
      <c r="V4" s="7" t="n">
        <v>24363474828.0824</v>
      </c>
      <c r="W4" s="7" t="n">
        <v>33701694788.1014</v>
      </c>
      <c r="X4" s="7" t="n">
        <v>39052924167.8856</v>
      </c>
      <c r="Y4" s="7" t="n">
        <v>2238458074.2073</v>
      </c>
      <c r="Z4" s="7" t="n">
        <v>1831323148.2721</v>
      </c>
      <c r="AA4" s="7" t="n">
        <v>785476508.9011</v>
      </c>
      <c r="AB4" s="7" t="n">
        <v>519149395.803</v>
      </c>
      <c r="AC4" s="7" t="n">
        <v>262532081.6101</v>
      </c>
      <c r="AD4" s="7" t="n">
        <v>207709404.6078</v>
      </c>
      <c r="AE4" s="7" t="n">
        <v>90658037.3053</v>
      </c>
      <c r="AF4" s="7" t="n">
        <v>-68745122.5447</v>
      </c>
      <c r="AG4" s="7" t="n">
        <v>38071401.6312</v>
      </c>
      <c r="AH4" s="7" t="n">
        <v>36577835.9133</v>
      </c>
      <c r="AI4" s="7" t="n">
        <v>22538011.2837</v>
      </c>
      <c r="AJ4" s="7" t="n">
        <v>31357794.8213</v>
      </c>
      <c r="AK4" s="7" t="n">
        <v>14872210.6103</v>
      </c>
      <c r="AL4" s="7" t="n">
        <v>-9403747.7499</v>
      </c>
      <c r="AM4" s="7" t="n">
        <v>-2955409.79</v>
      </c>
      <c r="AN4" s="7" t="n">
        <v>929373.25</v>
      </c>
      <c r="AO4" s="7"/>
    </row>
    <row r="5">
      <c r="A5" t="str">
        <f>M5</f>
      </c>
      <c r="B5" t="str">
        <f>N5</f>
      </c>
      <c r="M5" t="s">
        <v>80</v>
      </c>
      <c r="N5" t="s">
        <v>82</v>
      </c>
      <c r="O5" s="7" t="n">
        <v>9806179274.7188</v>
      </c>
      <c r="P5" s="7" t="n">
        <v>11074071865.3475</v>
      </c>
      <c r="Q5" s="7" t="n">
        <v>10190484305.78</v>
      </c>
      <c r="R5" s="7" t="n">
        <v>11447721481.7713</v>
      </c>
      <c r="S5" s="7" t="n">
        <v>14139558152.9088</v>
      </c>
      <c r="T5" s="7" t="n">
        <v>14758336973.0057</v>
      </c>
      <c r="U5" s="7" t="n">
        <v>18100108387.2813</v>
      </c>
      <c r="V5" s="7" t="n">
        <v>22440233877.1263</v>
      </c>
      <c r="W5" s="7" t="n">
        <v>20532481609.963</v>
      </c>
      <c r="X5" s="7" t="n">
        <v>21799193140.1943</v>
      </c>
      <c r="Y5" s="7" t="n">
        <v>28845647566.7374</v>
      </c>
      <c r="Z5" s="7" t="n">
        <v>17763401408.4263</v>
      </c>
      <c r="AA5" s="7" t="n">
        <v>25637559369.6935</v>
      </c>
      <c r="AB5" s="7" t="n">
        <v>17751011149.2887</v>
      </c>
      <c r="AC5" s="7" t="n">
        <v>10453926626.8232</v>
      </c>
      <c r="AD5" s="7" t="n">
        <v>9882649420.1728</v>
      </c>
      <c r="AE5" s="7" t="n">
        <v>27097808861.7496</v>
      </c>
      <c r="AF5" s="7" t="n">
        <v>38988442606.3022</v>
      </c>
      <c r="AG5" s="7" t="n">
        <v>39751342837.5832</v>
      </c>
      <c r="AH5" s="7" t="n">
        <v>32691217945.3575</v>
      </c>
      <c r="AI5" s="7" t="n">
        <v>55411471115.5603</v>
      </c>
      <c r="AJ5" s="7" t="n">
        <v>25780258986.2601</v>
      </c>
      <c r="AK5" s="7" t="n">
        <v>29873760705.5846</v>
      </c>
      <c r="AL5" s="7" t="n">
        <v>33208270818.3261</v>
      </c>
      <c r="AM5" s="7" t="n">
        <v>40259713312.6644</v>
      </c>
      <c r="AN5" s="7" t="n">
        <v>23499096361.24</v>
      </c>
      <c r="AO5" s="7"/>
    </row>
    <row r="6">
      <c r="A6" t="str">
        <f>M6</f>
      </c>
      <c r="B6" t="str">
        <f>N6</f>
      </c>
      <c r="M6" t="s">
        <v>80</v>
      </c>
      <c r="N6"/>
      <c r="O6" s="7" t="n">
        <v>14024668216.4693</v>
      </c>
      <c r="P6" s="7" t="n">
        <v>6841906151.3045</v>
      </c>
      <c r="Q6" s="7" t="n">
        <v>9106146485.0279</v>
      </c>
      <c r="R6" s="7" t="n">
        <v>10191485233.0203</v>
      </c>
      <c r="S6" s="7" t="n">
        <v>11013390052.9525</v>
      </c>
      <c r="T6" s="7" t="n">
        <v>10033098800.4971</v>
      </c>
      <c r="U6" s="7" t="n">
        <v>8327536895.2557</v>
      </c>
      <c r="V6" s="7" t="n">
        <v>4971029758.2893</v>
      </c>
      <c r="W6" s="7" t="n">
        <v>11201364175.7961</v>
      </c>
      <c r="X6" s="7" t="n">
        <v>8886737326.0814</v>
      </c>
      <c r="Y6" s="7" t="n">
        <v>3675947434.8922</v>
      </c>
      <c r="Z6" s="7" t="n">
        <v>2878446853.5754</v>
      </c>
      <c r="AA6" s="7" t="n">
        <v>4219590895.0932</v>
      </c>
      <c r="AB6" s="7" t="n">
        <v>962618713.2722</v>
      </c>
      <c r="AC6" s="7" t="n">
        <v>1124570660.915</v>
      </c>
      <c r="AD6" s="7" t="n">
        <v>1123233883.4636</v>
      </c>
      <c r="AE6" s="7" t="n">
        <v>673157054.9751</v>
      </c>
      <c r="AF6" s="7" t="n">
        <v>991904563.2262</v>
      </c>
      <c r="AG6" s="7" t="n">
        <v>112502433.3395</v>
      </c>
      <c r="AH6" s="7" t="n">
        <v>108223543.48</v>
      </c>
      <c r="AI6" s="7" t="n">
        <v>167854385.142</v>
      </c>
      <c r="AJ6" s="7" t="n">
        <v>71931687.8198</v>
      </c>
      <c r="AK6" s="7" t="n">
        <v>479801873.5269</v>
      </c>
      <c r="AL6" s="7" t="n">
        <v>418245585.7645</v>
      </c>
      <c r="AM6" s="7" t="n">
        <v>58688025.56</v>
      </c>
      <c r="AN6" s="7" t="n">
        <v>1121667516.72</v>
      </c>
      <c r="AO6" s="7"/>
    </row>
    <row r="7">
      <c r="A7" t="str">
        <f>M7</f>
      </c>
      <c r="B7" t="str">
        <f>N7</f>
      </c>
      <c r="M7" t="s">
        <v>83</v>
      </c>
      <c r="N7" t="s">
        <v>84</v>
      </c>
      <c r="O7" s="7" t="n">
        <v>92238134042.3335</v>
      </c>
      <c r="P7" s="7" t="n">
        <v>101937277470.137</v>
      </c>
      <c r="Q7" s="7" t="n">
        <v>125626880793.554</v>
      </c>
      <c r="R7" s="7" t="n">
        <v>153596249303.135</v>
      </c>
      <c r="S7" s="7" t="n">
        <v>154062404761.697</v>
      </c>
      <c r="T7" s="7" t="n">
        <v>183221897256.125</v>
      </c>
      <c r="U7" s="7" t="n">
        <v>203600692407.844</v>
      </c>
      <c r="V7" s="7" t="n">
        <v>227673220859.84</v>
      </c>
      <c r="W7" s="7" t="n">
        <v>257079629559.919</v>
      </c>
      <c r="X7" s="7" t="n">
        <v>264127595947.248</v>
      </c>
      <c r="Y7" s="7" t="n">
        <v>298315293643.842</v>
      </c>
      <c r="Z7" s="7" t="n">
        <v>270699043120.858</v>
      </c>
      <c r="AA7" s="7" t="n">
        <v>254711471289.202</v>
      </c>
      <c r="AB7" s="7" t="n">
        <v>225111942993.848</v>
      </c>
      <c r="AC7" s="7" t="n">
        <v>227240300263.993</v>
      </c>
      <c r="AD7" s="7" t="n">
        <v>226564900124.814</v>
      </c>
      <c r="AE7" s="7" t="n">
        <v>240737456710.99</v>
      </c>
      <c r="AF7" s="7" t="n">
        <v>253673758887.494</v>
      </c>
      <c r="AG7" s="7" t="n">
        <v>279920025189.035</v>
      </c>
      <c r="AH7" s="7" t="n">
        <v>299687619499.447</v>
      </c>
      <c r="AI7" s="7" t="n">
        <v>343369955973.478</v>
      </c>
      <c r="AJ7" s="7" t="n">
        <v>356241477385.965</v>
      </c>
      <c r="AK7" s="7" t="n">
        <v>385387255705.173</v>
      </c>
      <c r="AL7" s="7" t="n">
        <v>408015659301.015</v>
      </c>
      <c r="AM7" s="7" t="n">
        <v>403368512290.977</v>
      </c>
      <c r="AN7" s="7" t="n">
        <v>158528307734.13</v>
      </c>
      <c r="AO7" s="7"/>
    </row>
    <row r="8">
      <c r="A8" t="str">
        <f>M8</f>
      </c>
      <c r="B8" t="str">
        <f>N8</f>
      </c>
      <c r="M8" t="s">
        <v>83</v>
      </c>
      <c r="N8" t="s">
        <v>85</v>
      </c>
      <c r="O8" s="7" t="n">
        <v>12167262598.7949</v>
      </c>
      <c r="P8" s="7" t="n">
        <v>15639938462.2456</v>
      </c>
      <c r="Q8" s="7" t="n">
        <v>19261455323.0289</v>
      </c>
      <c r="R8" s="7" t="n">
        <v>19745095433.3321</v>
      </c>
      <c r="S8" s="7" t="n">
        <v>22861349342.8529</v>
      </c>
      <c r="T8" s="7" t="n">
        <v>33175198758.9274</v>
      </c>
      <c r="U8" s="7" t="n">
        <v>30051800537.1538</v>
      </c>
      <c r="V8" s="7" t="n">
        <v>28161879582.7742</v>
      </c>
      <c r="W8" s="7" t="n">
        <v>33946495966.3581</v>
      </c>
      <c r="X8" s="7" t="n">
        <v>35266930370.6826</v>
      </c>
      <c r="Y8" s="7" t="n">
        <v>29054827318.9573</v>
      </c>
      <c r="Z8" s="7" t="n">
        <v>30090467386.0612</v>
      </c>
      <c r="AA8" s="7" t="n">
        <v>33629421141.569</v>
      </c>
      <c r="AB8" s="7" t="n">
        <v>24509247662.6344</v>
      </c>
      <c r="AC8" s="7" t="n">
        <v>17675860761.069</v>
      </c>
      <c r="AD8" s="7" t="n">
        <v>14255832711.1234</v>
      </c>
      <c r="AE8" s="7" t="n">
        <v>12722785733.0225</v>
      </c>
      <c r="AF8" s="7" t="n">
        <v>14115884887.4631</v>
      </c>
      <c r="AG8" s="7" t="n">
        <v>15729708856.7193</v>
      </c>
      <c r="AH8" s="7" t="n">
        <v>13485590028.5762</v>
      </c>
      <c r="AI8" s="7" t="n">
        <v>12810155007.081</v>
      </c>
      <c r="AJ8" s="7" t="n">
        <v>14108548962.3295</v>
      </c>
      <c r="AK8" s="7" t="n">
        <v>22202208416.8249</v>
      </c>
      <c r="AL8" s="7" t="n">
        <v>22140950156.917</v>
      </c>
      <c r="AM8" s="7" t="n">
        <v>24161454486.32</v>
      </c>
      <c r="AN8" s="7" t="n">
        <v>8902255924.46</v>
      </c>
      <c r="AO8" s="7"/>
    </row>
    <row r="9">
      <c r="A9" t="str">
        <f>M9</f>
      </c>
      <c r="B9" t="str">
        <f>N9</f>
      </c>
      <c r="M9" t="s">
        <v>86</v>
      </c>
      <c r="N9" t="s">
        <v>86</v>
      </c>
      <c r="O9" s="7" t="n">
        <v>8057460365.3147</v>
      </c>
      <c r="P9" s="7" t="n">
        <v>11203278682.9659</v>
      </c>
      <c r="Q9" s="7" t="n">
        <v>14174390149.402</v>
      </c>
      <c r="R9" s="7" t="n">
        <v>16425811368.5802</v>
      </c>
      <c r="S9" s="7" t="n">
        <v>19347519587.4031</v>
      </c>
      <c r="T9" s="7" t="n">
        <v>23944050842.9583</v>
      </c>
      <c r="U9" s="7" t="n">
        <v>27684150646.287</v>
      </c>
      <c r="V9" s="7" t="n">
        <v>26700271303.2158</v>
      </c>
      <c r="W9" s="7" t="n">
        <v>31352311360.5228</v>
      </c>
      <c r="X9" s="7" t="n">
        <v>32298164011.4066</v>
      </c>
      <c r="Y9" s="7" t="n">
        <v>40516495805.0716</v>
      </c>
      <c r="Z9" s="7" t="n">
        <v>59465268046.5319</v>
      </c>
      <c r="AA9" s="7" t="n">
        <v>50328046813.9546</v>
      </c>
      <c r="AB9" s="7" t="n">
        <v>53463122744.987</v>
      </c>
      <c r="AC9" s="7" t="n">
        <v>49778863327.4782</v>
      </c>
      <c r="AD9" s="7" t="n">
        <v>48655131658.0248</v>
      </c>
      <c r="AE9" s="7" t="n">
        <v>48387684331.8709</v>
      </c>
      <c r="AF9" s="7" t="n">
        <v>48972332570.9797</v>
      </c>
      <c r="AG9" s="7" t="n">
        <v>58432576528.8937</v>
      </c>
      <c r="AH9" s="7" t="n">
        <v>69950159510.3093</v>
      </c>
      <c r="AI9" s="7" t="n">
        <v>77367161696.0119</v>
      </c>
      <c r="AJ9" s="7" t="n">
        <v>65557168171.8375</v>
      </c>
      <c r="AK9" s="7" t="n">
        <v>62773768130.9745</v>
      </c>
      <c r="AL9" s="7" t="n">
        <v>85826898877.3221</v>
      </c>
      <c r="AM9" s="7" t="n">
        <v>65328002165.7</v>
      </c>
      <c r="AN9" s="7" t="n">
        <v>28542245773.86</v>
      </c>
      <c r="AO9" s="7"/>
    </row>
    <row r="10">
      <c r="A10" t="str">
        <f>M10</f>
      </c>
      <c r="B10" t="str">
        <f>N10</f>
      </c>
      <c r="M10" t="s">
        <v>56</v>
      </c>
      <c r="N10" t="s">
        <v>74</v>
      </c>
      <c r="O10" s="7" t="str">
        <f>Sum(O2:O9)</f>
      </c>
      <c r="P10" s="7" t="str">
        <f>Sum(P2:P9)</f>
      </c>
      <c r="Q10" s="7" t="str">
        <f>Sum(Q2:Q9)</f>
      </c>
      <c r="R10" s="7" t="str">
        <f>Sum(R2:R9)</f>
      </c>
      <c r="S10" s="7" t="str">
        <f>Sum(S2:S9)</f>
      </c>
      <c r="T10" s="7" t="str">
        <f>Sum(T2:T9)</f>
      </c>
      <c r="U10" s="7" t="str">
        <f>Sum(U2:U9)</f>
      </c>
      <c r="V10" s="7" t="str">
        <f>Sum(V2:V9)</f>
      </c>
      <c r="W10" s="7" t="str">
        <f>Sum(W2:W9)</f>
      </c>
      <c r="X10" s="7" t="str">
        <f>Sum(X2:X9)</f>
      </c>
      <c r="Y10" s="7" t="str">
        <f>Sum(Y2:Y9)</f>
      </c>
      <c r="Z10" s="7" t="str">
        <f>Sum(Z2:Z9)</f>
      </c>
      <c r="AA10" s="7" t="str">
        <f>Sum(AA2:AA9)</f>
      </c>
      <c r="AB10" s="7" t="str">
        <f>Sum(AB2:AB9)</f>
      </c>
      <c r="AC10" s="7" t="str">
        <f>Sum(AC2:AC9)</f>
      </c>
      <c r="AD10" s="7" t="str">
        <f>Sum(AD2:AD9)</f>
      </c>
      <c r="AE10" s="7" t="str">
        <f>Sum(AE2:AE9)</f>
      </c>
      <c r="AF10" s="7" t="str">
        <f>Sum(AF2:AF9)</f>
      </c>
      <c r="AG10" s="7" t="str">
        <f>Sum(AG2:AG9)</f>
      </c>
      <c r="AH10" s="7" t="str">
        <f>Sum(AH2:AH9)</f>
      </c>
      <c r="AI10" s="7" t="str">
        <f>Sum(AI2:AI9)</f>
      </c>
      <c r="AJ10" s="7" t="str">
        <f>Sum(AJ2:AJ9)</f>
      </c>
      <c r="AK10" s="7" t="str">
        <f>Sum(AK2:AK9)</f>
      </c>
      <c r="AL10" s="7" t="str">
        <f>Sum(AL2:AL9)</f>
      </c>
      <c r="AM10" s="7" t="str">
        <f>Sum(AM2:AM9)</f>
      </c>
      <c r="AN10" s="7" t="str">
        <f>Sum(AN2:AN9)</f>
      </c>
      <c r="AO10" s="7"/>
    </row>
    <row r="13">
      <c r="A13" t="str">
        <f>M13</f>
      </c>
      <c r="B13" t="str">
        <f>N13</f>
      </c>
      <c r="C13" t="str">
        <f>AI13</f>
      </c>
      <c r="D13" t="str">
        <f>AL13</f>
      </c>
      <c r="E13" t="str">
        <f>AM13</f>
      </c>
      <c r="F13" t="str">
        <f>AN13</f>
      </c>
      <c r="G13" t="str">
        <f>AL13&amp;"-"&amp;AM13</f>
      </c>
      <c r="H13" t="str">
        <f>AI13&amp;"-"&amp;AM13</f>
      </c>
      <c r="I13" t="str">
        <f>AN13&amp;"/"&amp;AM13</f>
      </c>
      <c r="J13" t="str">
        <f>"Share "&amp;AM13</f>
      </c>
      <c r="K13" t="str">
        <f>"Share "&amp;AN13</f>
      </c>
      <c r="M13" t="s">
        <v>75</v>
      </c>
      <c r="N13" t="s">
        <v>76</v>
      </c>
      <c r="O13" t="s">
        <v>30</v>
      </c>
      <c r="P13" t="s">
        <v>31</v>
      </c>
      <c r="Q13" t="s">
        <v>32</v>
      </c>
      <c r="R13" t="s">
        <v>33</v>
      </c>
      <c r="S13" t="s">
        <v>34</v>
      </c>
      <c r="T13" t="s">
        <v>35</v>
      </c>
      <c r="U13" t="s">
        <v>36</v>
      </c>
      <c r="V13" t="s">
        <v>37</v>
      </c>
      <c r="W13" t="s">
        <v>38</v>
      </c>
      <c r="X13" t="s">
        <v>39</v>
      </c>
      <c r="Y13" t="s">
        <v>40</v>
      </c>
      <c r="Z13" t="s">
        <v>41</v>
      </c>
      <c r="AA13" t="s">
        <v>42</v>
      </c>
      <c r="AB13" t="s">
        <v>43</v>
      </c>
      <c r="AC13" t="s">
        <v>44</v>
      </c>
      <c r="AD13" t="s">
        <v>45</v>
      </c>
      <c r="AE13" t="s">
        <v>46</v>
      </c>
      <c r="AF13" t="s">
        <v>47</v>
      </c>
      <c r="AG13" t="s">
        <v>48</v>
      </c>
      <c r="AH13" t="s">
        <v>49</v>
      </c>
      <c r="AI13" t="s">
        <v>50</v>
      </c>
      <c r="AJ13" t="s">
        <v>51</v>
      </c>
      <c r="AK13" t="s">
        <v>52</v>
      </c>
      <c r="AL13" t="s">
        <v>53</v>
      </c>
      <c r="AM13" t="s">
        <v>54</v>
      </c>
      <c r="AN13" t="s">
        <v>55</v>
      </c>
    </row>
    <row r="14">
      <c r="A14" t="str">
        <f>M14</f>
      </c>
      <c r="B14" t="str">
        <f>N14</f>
      </c>
      <c r="C14" s="7" t="str">
        <f>AI14</f>
      </c>
      <c r="D14" s="7" t="str">
        <f>AL14</f>
      </c>
      <c r="E14" s="7" t="str">
        <f>AM14</f>
      </c>
      <c r="F14" s="7" t="str">
        <f>AN14</f>
      </c>
      <c r="G14" s="6" t="str">
        <f>AM14/AL14-1</f>
      </c>
      <c r="H14" s="6" t="str">
        <f>AM14/AI14-1</f>
      </c>
      <c r="I14" s="6" t="str">
        <f>AN14/AM14</f>
      </c>
      <c r="J14" s="6" t="str">
        <f>AM14/Sum(AM$13:AM$21)</f>
      </c>
      <c r="K14" s="6" t="str">
        <f>AN14/Sum(AN13:AN$21)</f>
      </c>
      <c r="M14" t="s">
        <v>77</v>
      </c>
      <c r="N14" t="s">
        <v>78</v>
      </c>
      <c r="O14" s="7" t="n">
        <v>103436649049.335</v>
      </c>
      <c r="P14" s="7" t="n">
        <v>111853011858.535</v>
      </c>
      <c r="Q14" s="7" t="n">
        <v>120027142823.325</v>
      </c>
      <c r="R14" s="7" t="n">
        <v>148314823884.546</v>
      </c>
      <c r="S14" s="7" t="n">
        <v>150585719735.443</v>
      </c>
      <c r="T14" s="7" t="n">
        <v>153030813841.891</v>
      </c>
      <c r="U14" s="7" t="n">
        <v>161436075969.005</v>
      </c>
      <c r="V14" s="7" t="n">
        <v>154138120502.119</v>
      </c>
      <c r="W14" s="7" t="n">
        <v>154230500777.531</v>
      </c>
      <c r="X14" s="7" t="n">
        <v>170352791580.116</v>
      </c>
      <c r="Y14" s="7" t="n">
        <v>174781474754.958</v>
      </c>
      <c r="Z14" s="7" t="n">
        <v>175748259360.908</v>
      </c>
      <c r="AA14" s="7" t="n">
        <v>167465471332.822</v>
      </c>
      <c r="AB14" s="7" t="n">
        <v>156978849723.822</v>
      </c>
      <c r="AC14" s="7" t="n">
        <v>152883039605.355</v>
      </c>
      <c r="AD14" s="7" t="n">
        <v>150613332662.977</v>
      </c>
      <c r="AE14" s="7" t="n">
        <v>155225299472.234</v>
      </c>
      <c r="AF14" s="7" t="n">
        <v>160975218583.437</v>
      </c>
      <c r="AG14" s="7" t="n">
        <v>161730165319.131</v>
      </c>
      <c r="AH14" s="7" t="n">
        <v>171625166734.949</v>
      </c>
      <c r="AI14" s="7" t="n">
        <v>175574066123.608</v>
      </c>
      <c r="AJ14" s="7" t="n">
        <v>170764422208.789</v>
      </c>
      <c r="AK14" s="7" t="n">
        <v>169299052461.086</v>
      </c>
      <c r="AL14" s="7" t="n">
        <v>174926861772.469</v>
      </c>
      <c r="AM14" s="7" t="n">
        <v>178888092612.732</v>
      </c>
      <c r="AN14" s="7" t="n">
        <v>79422596455.3766</v>
      </c>
      <c r="AO14" s="7"/>
    </row>
    <row r="15">
      <c r="A15" t="str">
        <f>M15</f>
      </c>
      <c r="B15" t="str">
        <f>N15</f>
      </c>
      <c r="C15" s="7" t="str">
        <f>AI15</f>
      </c>
      <c r="D15" s="7" t="str">
        <f>AL15</f>
      </c>
      <c r="E15" s="7" t="str">
        <f>AM15</f>
      </c>
      <c r="F15" s="7" t="str">
        <f>AN15</f>
      </c>
      <c r="G15" s="6" t="str">
        <f>AM15/AL15-1</f>
      </c>
      <c r="H15" s="6" t="str">
        <f>AM15/AI15-1</f>
      </c>
      <c r="I15" s="6" t="str">
        <f>AN15/AM15</f>
      </c>
      <c r="J15" s="6" t="str">
        <f>AM15/Sum(AM$13:AM$21)</f>
      </c>
      <c r="K15" s="6" t="str">
        <f>AN15/Sum(AN13:AN$21)</f>
      </c>
      <c r="M15" t="s">
        <v>77</v>
      </c>
      <c r="N15" t="s">
        <v>79</v>
      </c>
      <c r="O15" s="7" t="n">
        <v>13086794732.1619</v>
      </c>
      <c r="P15" s="7" t="n">
        <v>13185950425.1627</v>
      </c>
      <c r="Q15" s="7" t="n">
        <v>18266537009.4079</v>
      </c>
      <c r="R15" s="7" t="n">
        <v>22682923728.4164</v>
      </c>
      <c r="S15" s="7" t="n">
        <v>29716079818.8522</v>
      </c>
      <c r="T15" s="7" t="n">
        <v>33324347514.638</v>
      </c>
      <c r="U15" s="7" t="n">
        <v>37427371376.739</v>
      </c>
      <c r="V15" s="7" t="n">
        <v>37733974945.1142</v>
      </c>
      <c r="W15" s="7" t="n">
        <v>40658234778.9832</v>
      </c>
      <c r="X15" s="7" t="n">
        <v>40792313987.4989</v>
      </c>
      <c r="Y15" s="7" t="n">
        <v>41393239129.173</v>
      </c>
      <c r="Z15" s="7" t="n">
        <v>34489572116.6241</v>
      </c>
      <c r="AA15" s="7" t="n">
        <v>31604358100.0817</v>
      </c>
      <c r="AB15" s="7" t="n">
        <v>25405540621.2032</v>
      </c>
      <c r="AC15" s="7" t="n">
        <v>24056874043.4365</v>
      </c>
      <c r="AD15" s="7" t="n">
        <v>23994593676.2297</v>
      </c>
      <c r="AE15" s="7" t="n">
        <v>26142292237.9346</v>
      </c>
      <c r="AF15" s="7" t="n">
        <v>27546966070.2842</v>
      </c>
      <c r="AG15" s="7" t="n">
        <v>32165468281.7935</v>
      </c>
      <c r="AH15" s="7" t="n">
        <v>32503329059.8947</v>
      </c>
      <c r="AI15" s="7" t="n">
        <v>35781390461.8808</v>
      </c>
      <c r="AJ15" s="7" t="n">
        <v>35112877040.0247</v>
      </c>
      <c r="AK15" s="7" t="n">
        <v>33602926763.0251</v>
      </c>
      <c r="AL15" s="7" t="n">
        <v>36554548494.6757</v>
      </c>
      <c r="AM15" s="7" t="n">
        <v>37999276122.6206</v>
      </c>
      <c r="AN15" s="7" t="n">
        <v>10562009148.5861</v>
      </c>
      <c r="AO15" s="7"/>
    </row>
    <row r="16">
      <c r="A16" t="str">
        <f>M16</f>
      </c>
      <c r="B16" t="str">
        <f>N16</f>
      </c>
      <c r="C16" s="7" t="str">
        <f>AI16</f>
      </c>
      <c r="D16" s="7" t="str">
        <f>AL16</f>
      </c>
      <c r="E16" s="7" t="str">
        <f>AM16</f>
      </c>
      <c r="F16" s="7" t="str">
        <f>AN16</f>
      </c>
      <c r="G16" s="6" t="str">
        <f>AM16/AL16-1</f>
      </c>
      <c r="H16" s="6" t="str">
        <f>AM16/AI16-1</f>
      </c>
      <c r="I16" s="6" t="str">
        <f>AN16/AM16</f>
      </c>
      <c r="J16" s="6" t="str">
        <f>AM16/Sum(AM$13:AM$21)</f>
      </c>
      <c r="K16" s="6" t="str">
        <f>AN16/Sum(AN13:AN$21)</f>
      </c>
      <c r="M16" t="s">
        <v>80</v>
      </c>
      <c r="N16" t="s">
        <v>81</v>
      </c>
      <c r="O16" s="7" t="n">
        <v>29460305.7814327</v>
      </c>
      <c r="P16" s="7" t="n">
        <v>405143607.248598</v>
      </c>
      <c r="Q16" s="7" t="n">
        <v>388739103.084518</v>
      </c>
      <c r="R16" s="7" t="n">
        <v>442933000.786526</v>
      </c>
      <c r="S16" s="7" t="n">
        <v>2253972108.00205</v>
      </c>
      <c r="T16" s="7" t="n">
        <v>3334949045.45526</v>
      </c>
      <c r="U16" s="7" t="n">
        <v>9731218766.89428</v>
      </c>
      <c r="V16" s="7" t="n">
        <v>34493729679.6099</v>
      </c>
      <c r="W16" s="7" t="n">
        <v>46744300433.1156</v>
      </c>
      <c r="X16" s="7" t="n">
        <v>53618158254.8864</v>
      </c>
      <c r="Y16" s="7" t="n">
        <v>3046928824.9145</v>
      </c>
      <c r="Z16" s="7" t="n">
        <v>2443699353.43932</v>
      </c>
      <c r="AA16" s="7" t="n">
        <v>1029451551.19496</v>
      </c>
      <c r="AB16" s="7" t="n">
        <v>668275511.167352</v>
      </c>
      <c r="AC16" s="7" t="n">
        <v>331889925.463535</v>
      </c>
      <c r="AD16" s="7" t="n">
        <v>259892240.877953</v>
      </c>
      <c r="AE16" s="7" t="n">
        <v>112534336.166272</v>
      </c>
      <c r="AF16" s="7" t="n">
        <v>-83917171.1064358</v>
      </c>
      <c r="AG16" s="7" t="n">
        <v>45464449.1834747</v>
      </c>
      <c r="AH16" s="7" t="n">
        <v>42887872.7477831</v>
      </c>
      <c r="AI16" s="7" t="n">
        <v>26085285.2658887</v>
      </c>
      <c r="AJ16" s="7" t="n">
        <v>35085664.6547248</v>
      </c>
      <c r="AK16" s="7" t="n">
        <v>15552563.6016595</v>
      </c>
      <c r="AL16" s="7" t="n">
        <v>-9403747.7499</v>
      </c>
      <c r="AM16" s="7" t="n">
        <v>-2878535.6514352</v>
      </c>
      <c r="AN16" s="7" t="n">
        <v>885763.52773059</v>
      </c>
      <c r="AO16" s="7"/>
    </row>
    <row r="17">
      <c r="A17" t="str">
        <f>M17</f>
      </c>
      <c r="B17" t="str">
        <f>N17</f>
      </c>
      <c r="C17" s="7" t="str">
        <f>AI17</f>
      </c>
      <c r="D17" s="7" t="str">
        <f>AL17</f>
      </c>
      <c r="E17" s="7" t="str">
        <f>AM17</f>
      </c>
      <c r="F17" s="7" t="str">
        <f>AN17</f>
      </c>
      <c r="G17" s="6" t="str">
        <f>AM17/AL17-1</f>
      </c>
      <c r="H17" s="6" t="str">
        <f>AM17/AI17-1</f>
      </c>
      <c r="I17" s="6" t="str">
        <f>AN17/AM17</f>
      </c>
      <c r="J17" s="6" t="str">
        <f>AM17/Sum(AM$13:AM$21)</f>
      </c>
      <c r="K17" s="6" t="str">
        <f>AN17/Sum(AN13:AN$21)</f>
      </c>
      <c r="M17" t="s">
        <v>80</v>
      </c>
      <c r="N17" t="s">
        <v>82</v>
      </c>
      <c r="O17" s="7" t="n">
        <v>16485887667.7275</v>
      </c>
      <c r="P17" s="7" t="n">
        <v>18176844854.6395</v>
      </c>
      <c r="Q17" s="7" t="n">
        <v>16467466502.4342</v>
      </c>
      <c r="R17" s="7" t="n">
        <v>18150712565.2265</v>
      </c>
      <c r="S17" s="7" t="n">
        <v>21884314236.09</v>
      </c>
      <c r="T17" s="7" t="n">
        <v>22167468872.504</v>
      </c>
      <c r="U17" s="7" t="n">
        <v>26331548444.1746</v>
      </c>
      <c r="V17" s="7" t="n">
        <v>31770811297.1069</v>
      </c>
      <c r="W17" s="7" t="n">
        <v>28478582310.1213</v>
      </c>
      <c r="X17" s="7" t="n">
        <v>29929451187.7023</v>
      </c>
      <c r="Y17" s="7" t="n">
        <v>39263918345.0159</v>
      </c>
      <c r="Z17" s="7" t="n">
        <v>23703305764.2566</v>
      </c>
      <c r="AA17" s="7" t="n">
        <v>33600782407.7485</v>
      </c>
      <c r="AB17" s="7" t="n">
        <v>22850004537.0942</v>
      </c>
      <c r="AC17" s="7" t="n">
        <v>13215729322.2945</v>
      </c>
      <c r="AD17" s="7" t="n">
        <v>12365467555.3553</v>
      </c>
      <c r="AE17" s="7" t="n">
        <v>33636663912.6351</v>
      </c>
      <c r="AF17" s="7" t="n">
        <v>47593191898.6557</v>
      </c>
      <c r="AG17" s="7" t="n">
        <v>47470616499.0022</v>
      </c>
      <c r="AH17" s="7" t="n">
        <v>38330774913.3605</v>
      </c>
      <c r="AI17" s="7" t="n">
        <v>64132722841.3142</v>
      </c>
      <c r="AJ17" s="7" t="n">
        <v>28845061543.9794</v>
      </c>
      <c r="AK17" s="7" t="n">
        <v>31240383529.3044</v>
      </c>
      <c r="AL17" s="7" t="n">
        <v>33208270818.3261</v>
      </c>
      <c r="AM17" s="7" t="n">
        <v>39212504634.4469</v>
      </c>
      <c r="AN17" s="7" t="n">
        <v>22396429520.0158</v>
      </c>
      <c r="AO17" s="7"/>
    </row>
    <row r="18">
      <c r="A18" t="str">
        <f>M18</f>
      </c>
      <c r="B18" t="str">
        <f>N18</f>
      </c>
      <c r="C18" s="7" t="str">
        <f>AI18</f>
      </c>
      <c r="D18" s="7" t="str">
        <f>AL18</f>
      </c>
      <c r="E18" s="7" t="str">
        <f>AM18</f>
      </c>
      <c r="F18" s="7" t="str">
        <f>AN18</f>
      </c>
      <c r="G18" s="6" t="str">
        <f>AM18/AL18-1</f>
      </c>
      <c r="H18" s="6" t="str">
        <f>AM18/AI18-1</f>
      </c>
      <c r="I18" s="6" t="str">
        <f>AN18/AM18</f>
      </c>
      <c r="J18" s="6" t="str">
        <f>AM18/Sum(AM$13:AM$21)</f>
      </c>
      <c r="K18" s="6" t="str">
        <f>AN18/Sum(AN13:AN$21)</f>
      </c>
      <c r="M18" t="s">
        <v>80</v>
      </c>
      <c r="N18"/>
      <c r="O18" s="7" t="n">
        <v>23577899028.4156</v>
      </c>
      <c r="P18" s="7" t="n">
        <v>11230220296.0612</v>
      </c>
      <c r="Q18" s="7" t="n">
        <v>14715214479.3945</v>
      </c>
      <c r="R18" s="7" t="n">
        <v>16158911567.8485</v>
      </c>
      <c r="S18" s="7" t="n">
        <v>17045828880.7177</v>
      </c>
      <c r="T18" s="7" t="n">
        <v>15070018103.0953</v>
      </c>
      <c r="U18" s="7" t="n">
        <v>12114675585.7086</v>
      </c>
      <c r="V18" s="7" t="n">
        <v>7037968020.64067</v>
      </c>
      <c r="W18" s="7" t="n">
        <v>15536308651.1309</v>
      </c>
      <c r="X18" s="7" t="n">
        <v>12201147506.1648</v>
      </c>
      <c r="Y18" s="7" t="n">
        <v>5003600615.66484</v>
      </c>
      <c r="Z18" s="7" t="n">
        <v>3840970787.50327</v>
      </c>
      <c r="AA18" s="7" t="n">
        <v>5530228266.71034</v>
      </c>
      <c r="AB18" s="7" t="n">
        <v>1239131775.69284</v>
      </c>
      <c r="AC18" s="7" t="n">
        <v>1421668812.97146</v>
      </c>
      <c r="AD18" s="7" t="n">
        <v>1405423945.79874</v>
      </c>
      <c r="AE18" s="7" t="n">
        <v>835593672.320068</v>
      </c>
      <c r="AF18" s="7" t="n">
        <v>1210817900.56282</v>
      </c>
      <c r="AG18" s="7" t="n">
        <v>134349168.783669</v>
      </c>
      <c r="AH18" s="7" t="n">
        <v>126893170.281754</v>
      </c>
      <c r="AI18" s="7" t="n">
        <v>194273108.857927</v>
      </c>
      <c r="AJ18" s="7" t="n">
        <v>80483053.4569213</v>
      </c>
      <c r="AK18" s="7" t="n">
        <v>501751175.380375</v>
      </c>
      <c r="AL18" s="7" t="n">
        <v>418245585.7645</v>
      </c>
      <c r="AM18" s="7" t="n">
        <v>57161471.9753636</v>
      </c>
      <c r="AN18" s="7" t="n">
        <v>1069034617.20113</v>
      </c>
      <c r="AO18" s="7"/>
    </row>
    <row r="19">
      <c r="A19" t="str">
        <f>M19</f>
      </c>
      <c r="B19" t="str">
        <f>N19</f>
      </c>
      <c r="C19" s="7" t="str">
        <f>AI19</f>
      </c>
      <c r="D19" s="7" t="str">
        <f>AL19</f>
      </c>
      <c r="E19" s="7" t="str">
        <f>AM19</f>
      </c>
      <c r="F19" s="7" t="str">
        <f>AN19</f>
      </c>
      <c r="G19" s="6" t="str">
        <f>AM19/AL19-1</f>
      </c>
      <c r="H19" s="6" t="str">
        <f>AM19/AI19-1</f>
      </c>
      <c r="I19" s="6" t="str">
        <f>AN19/AM19</f>
      </c>
      <c r="J19" s="6" t="str">
        <f>AM19/Sum(AM$13:AM$21)</f>
      </c>
      <c r="K19" s="6" t="str">
        <f>AN19/Sum(AN13:AN$21)</f>
      </c>
      <c r="M19" t="s">
        <v>83</v>
      </c>
      <c r="N19" t="s">
        <v>84</v>
      </c>
      <c r="O19" s="7" t="n">
        <v>155068296622.214</v>
      </c>
      <c r="P19" s="7" t="n">
        <v>167318588863.146</v>
      </c>
      <c r="Q19" s="7" t="n">
        <v>203008648970.663</v>
      </c>
      <c r="R19" s="7" t="n">
        <v>243531551377.917</v>
      </c>
      <c r="S19" s="7" t="n">
        <v>238448050590.54</v>
      </c>
      <c r="T19" s="7" t="n">
        <v>275204835857.539</v>
      </c>
      <c r="U19" s="7" t="n">
        <v>296192784081.437</v>
      </c>
      <c r="V19" s="7" t="n">
        <v>322339017362.721</v>
      </c>
      <c r="W19" s="7" t="n">
        <v>356569825788.869</v>
      </c>
      <c r="X19" s="7" t="n">
        <v>362636999424.184</v>
      </c>
      <c r="Y19" s="7" t="n">
        <v>406058740875.967</v>
      </c>
      <c r="Z19" s="7" t="n">
        <v>361218104666.69</v>
      </c>
      <c r="AA19" s="7" t="n">
        <v>333826812456.38</v>
      </c>
      <c r="AB19" s="7" t="n">
        <v>289775544362.138</v>
      </c>
      <c r="AC19" s="7" t="n">
        <v>287274476530.21</v>
      </c>
      <c r="AD19" s="7" t="n">
        <v>283484802765.24</v>
      </c>
      <c r="AE19" s="7" t="n">
        <v>298828771133.611</v>
      </c>
      <c r="AF19" s="7" t="n">
        <v>309659557533.449</v>
      </c>
      <c r="AG19" s="7" t="n">
        <v>334277415996.536</v>
      </c>
      <c r="AH19" s="7" t="n">
        <v>351386684538.79</v>
      </c>
      <c r="AI19" s="7" t="n">
        <v>397413202991.059</v>
      </c>
      <c r="AJ19" s="7" t="n">
        <v>398592091149.779</v>
      </c>
      <c r="AK19" s="7" t="n">
        <v>403017410301.643</v>
      </c>
      <c r="AL19" s="7" t="n">
        <v>408015659301.015</v>
      </c>
      <c r="AM19" s="7" t="n">
        <v>392876360911.004</v>
      </c>
      <c r="AN19" s="7" t="n">
        <v>151089557509.584</v>
      </c>
      <c r="AO19" s="7"/>
    </row>
    <row r="20">
      <c r="A20" t="str">
        <f>M20</f>
      </c>
      <c r="B20" t="str">
        <f>N20</f>
      </c>
      <c r="C20" s="7" t="str">
        <f>AI20</f>
      </c>
      <c r="D20" s="7" t="str">
        <f>AL20</f>
      </c>
      <c r="E20" s="7" t="str">
        <f>AM20</f>
      </c>
      <c r="F20" s="7" t="str">
        <f>AN20</f>
      </c>
      <c r="G20" s="6" t="str">
        <f>AM20/AL20-1</f>
      </c>
      <c r="H20" s="6" t="str">
        <f>AM20/AI20-1</f>
      </c>
      <c r="I20" s="6" t="str">
        <f>AN20/AM20</f>
      </c>
      <c r="J20" s="6" t="str">
        <f>AM20/Sum(AM$13:AM$21)</f>
      </c>
      <c r="K20" s="6" t="str">
        <f>AN20/Sum(AN13:AN$21)</f>
      </c>
      <c r="M20" t="s">
        <v>83</v>
      </c>
      <c r="N20" t="s">
        <v>85</v>
      </c>
      <c r="O20" s="7" t="n">
        <v>20455278126.9877</v>
      </c>
      <c r="P20" s="7" t="n">
        <v>25671201922.9277</v>
      </c>
      <c r="Q20" s="7" t="n">
        <v>31125838655.2054</v>
      </c>
      <c r="R20" s="7" t="n">
        <v>31306452760.4077</v>
      </c>
      <c r="S20" s="7" t="n">
        <v>35383351266.6802</v>
      </c>
      <c r="T20" s="7" t="n">
        <v>49830152758.5924</v>
      </c>
      <c r="U20" s="7" t="n">
        <v>43718547135.0426</v>
      </c>
      <c r="V20" s="7" t="n">
        <v>39871498973.4655</v>
      </c>
      <c r="W20" s="7" t="n">
        <v>47083840028.8173</v>
      </c>
      <c r="X20" s="7" t="n">
        <v>48420134831.6525</v>
      </c>
      <c r="Y20" s="7" t="n">
        <v>39548648188.2823</v>
      </c>
      <c r="Z20" s="7" t="n">
        <v>40152419721.9831</v>
      </c>
      <c r="AA20" s="7" t="n">
        <v>44074977886.2397</v>
      </c>
      <c r="AB20" s="7" t="n">
        <v>31549550365.4395</v>
      </c>
      <c r="AC20" s="7" t="n">
        <v>22345612294.3769</v>
      </c>
      <c r="AD20" s="7" t="n">
        <v>17837325738.1912</v>
      </c>
      <c r="AE20" s="7" t="n">
        <v>15792866128.6791</v>
      </c>
      <c r="AF20" s="7" t="n">
        <v>17231260685.4363</v>
      </c>
      <c r="AG20" s="7" t="n">
        <v>18784245348.1171</v>
      </c>
      <c r="AH20" s="7" t="n">
        <v>15811987085.4374</v>
      </c>
      <c r="AI20" s="7" t="n">
        <v>14826354617.2608</v>
      </c>
      <c r="AJ20" s="7" t="n">
        <v>15785798091.9252</v>
      </c>
      <c r="AK20" s="7" t="n">
        <v>23217883847.128</v>
      </c>
      <c r="AL20" s="7" t="n">
        <v>22140950156.917</v>
      </c>
      <c r="AM20" s="7" t="n">
        <v>23532982926.676</v>
      </c>
      <c r="AN20" s="7" t="n">
        <v>8484528269.35812</v>
      </c>
      <c r="AO20" s="7"/>
    </row>
    <row r="21">
      <c r="A21" t="str">
        <f>M21</f>
      </c>
      <c r="B21" t="str">
        <f>N21</f>
      </c>
      <c r="C21" s="7" t="str">
        <f>AI21</f>
      </c>
      <c r="D21" s="7" t="str">
        <f>AL21</f>
      </c>
      <c r="E21" s="7" t="str">
        <f>AM21</f>
      </c>
      <c r="F21" s="7" t="str">
        <f>AN21</f>
      </c>
      <c r="G21" s="6" t="str">
        <f>AM21/AL21-1</f>
      </c>
      <c r="H21" s="6" t="str">
        <f>AM21/AI21-1</f>
      </c>
      <c r="I21" s="6" t="str">
        <f>AN21/AM21</f>
      </c>
      <c r="J21" s="6" t="str">
        <f>AM21/Sum(AM$13:AM$21)</f>
      </c>
      <c r="K21" s="6" t="str">
        <f>AN21/Sum(AN13:AN$21)</f>
      </c>
      <c r="M21" t="s">
        <v>86</v>
      </c>
      <c r="N21" t="s">
        <v>86</v>
      </c>
      <c r="O21" s="7" t="n">
        <v>13545987968.24</v>
      </c>
      <c r="P21" s="7" t="n">
        <v>18388923330.0701</v>
      </c>
      <c r="Q21" s="7" t="n">
        <v>22905319116.7095</v>
      </c>
      <c r="R21" s="7" t="n">
        <v>26043626347.52</v>
      </c>
      <c r="S21" s="7" t="n">
        <v>29944867708.0856</v>
      </c>
      <c r="T21" s="7" t="n">
        <v>35964689159.3391</v>
      </c>
      <c r="U21" s="7" t="n">
        <v>40274154070.302</v>
      </c>
      <c r="V21" s="7" t="n">
        <v>37802158649.5452</v>
      </c>
      <c r="W21" s="7" t="n">
        <v>43485702150.0972</v>
      </c>
      <c r="X21" s="7" t="n">
        <v>44344133152.7733</v>
      </c>
      <c r="Y21" s="7" t="n">
        <v>55149962545.8554</v>
      </c>
      <c r="Z21" s="7" t="n">
        <v>79349860899.4894</v>
      </c>
      <c r="AA21" s="7" t="n">
        <v>65960325069.0741</v>
      </c>
      <c r="AB21" s="7" t="n">
        <v>68820451241.6821</v>
      </c>
      <c r="AC21" s="7" t="n">
        <v>62929845137.7556</v>
      </c>
      <c r="AD21" s="7" t="n">
        <v>60878760981.9236</v>
      </c>
      <c r="AE21" s="7" t="n">
        <v>60063907147.8317</v>
      </c>
      <c r="AF21" s="7" t="n">
        <v>59780526380.8788</v>
      </c>
      <c r="AG21" s="7" t="n">
        <v>69779540348.7394</v>
      </c>
      <c r="AH21" s="7" t="n">
        <v>82017250743.7612</v>
      </c>
      <c r="AI21" s="7" t="n">
        <v>89544035525.0944</v>
      </c>
      <c r="AJ21" s="7" t="n">
        <v>73350719694.9997</v>
      </c>
      <c r="AK21" s="7" t="n">
        <v>65645454260.6236</v>
      </c>
      <c r="AL21" s="7" t="n">
        <v>85826898877.3221</v>
      </c>
      <c r="AM21" s="7" t="n">
        <v>63628733960.1062</v>
      </c>
      <c r="AN21" s="7" t="n">
        <v>27202935210.3773</v>
      </c>
      <c r="AO21" s="7"/>
    </row>
    <row r="22">
      <c r="A22" t="str">
        <f>M22</f>
      </c>
      <c r="B22" t="str">
        <f>N22</f>
      </c>
      <c r="C22" s="7" t="str">
        <f>AI22</f>
      </c>
      <c r="D22" s="7" t="str">
        <f>AL22</f>
      </c>
      <c r="E22" s="7" t="str">
        <f>AM22</f>
      </c>
      <c r="F22" s="7" t="str">
        <f>AN22</f>
      </c>
      <c r="G22" s="6" t="str">
        <f>AM22/AL22-1</f>
      </c>
      <c r="H22" s="6" t="str">
        <f>AM22/AI22-1</f>
      </c>
      <c r="I22" s="6" t="str">
        <f>AN22/AM22</f>
      </c>
      <c r="J22" s="6" t="str">
        <f>Sum(J$13:J$21)</f>
      </c>
      <c r="K22" s="6" t="str">
        <f>Sum(K$13:K$21)</f>
      </c>
      <c r="M22" t="s">
        <v>56</v>
      </c>
      <c r="N22" t="s">
        <v>74</v>
      </c>
      <c r="O22" s="7" t="str">
        <f>Sum(O14:O21)</f>
      </c>
      <c r="P22" s="7" t="str">
        <f>Sum(P14:P21)</f>
      </c>
      <c r="Q22" s="7" t="str">
        <f>Sum(Q14:Q21)</f>
      </c>
      <c r="R22" s="7" t="str">
        <f>Sum(R14:R21)</f>
      </c>
      <c r="S22" s="7" t="str">
        <f>Sum(S14:S21)</f>
      </c>
      <c r="T22" s="7" t="str">
        <f>Sum(T14:T21)</f>
      </c>
      <c r="U22" s="7" t="str">
        <f>Sum(U14:U21)</f>
      </c>
      <c r="V22" s="7" t="str">
        <f>Sum(V14:V21)</f>
      </c>
      <c r="W22" s="7" t="str">
        <f>Sum(W14:W21)</f>
      </c>
      <c r="X22" s="7" t="str">
        <f>Sum(X14:X21)</f>
      </c>
      <c r="Y22" s="7" t="str">
        <f>Sum(Y14:Y21)</f>
      </c>
      <c r="Z22" s="7" t="str">
        <f>Sum(Z14:Z21)</f>
      </c>
      <c r="AA22" s="7" t="str">
        <f>Sum(AA14:AA21)</f>
      </c>
      <c r="AB22" s="7" t="str">
        <f>Sum(AB14:AB21)</f>
      </c>
      <c r="AC22" s="7" t="str">
        <f>Sum(AC14:AC21)</f>
      </c>
      <c r="AD22" s="7" t="str">
        <f>Sum(AD14:AD21)</f>
      </c>
      <c r="AE22" s="7" t="str">
        <f>Sum(AE14:AE21)</f>
      </c>
      <c r="AF22" s="7" t="str">
        <f>Sum(AF14:AF21)</f>
      </c>
      <c r="AG22" s="7" t="str">
        <f>Sum(AG14:AG21)</f>
      </c>
      <c r="AH22" s="7" t="str">
        <f>Sum(AH14:AH21)</f>
      </c>
      <c r="AI22" s="7" t="str">
        <f>Sum(AI14:AI21)</f>
      </c>
      <c r="AJ22" s="7" t="str">
        <f>Sum(AJ14:AJ21)</f>
      </c>
      <c r="AK22" s="7" t="str">
        <f>Sum(AK14:AK21)</f>
      </c>
      <c r="AL22" s="7" t="str">
        <f>Sum(AL14:AL21)</f>
      </c>
      <c r="AM22" s="7" t="str">
        <f>Sum(AM14:AM21)</f>
      </c>
      <c r="AN22" s="7" t="str">
        <f>Sum(AN14:AN21)</f>
      </c>
      <c r="AO22" s="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../output/FedAcqTrends//DoD_Acq_Trends_Contracts.xlsx</dc:creator>
  <cp:lastModifiedBy>../output/FedAcqTrends//DoD_Acq_Trends_Contracts.xlsx</cp:lastModifiedBy>
  <dcterms:created xsi:type="dcterms:W3CDTF">2025-11-13T21:09:24Z</dcterms:created>
</coreProperties>
</file>