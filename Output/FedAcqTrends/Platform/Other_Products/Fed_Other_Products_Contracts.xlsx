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<sst xmlns="http://schemas.openxmlformats.org/spreadsheetml/2006/main" count="73" uniqueCount="73">
  <si>
    <t xml:space="preserve">Vehicle.AwardTask</t>
  </si>
  <si>
    <t xml:space="preserve">Vehicle.sum7</t>
  </si>
  <si>
    <t xml:space="preserve">1966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</si>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</sst>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,,,&quot;B&quot;"/>
    <numFmt numFmtId="168" formatCode="0.00,,,&quot;B&quot;"/>
    <numFmt numFmtId="169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</row>
    <row r="2">
      <c r="A2" t="str">
        <f>M2</f>
      </c>
      <c r="B2" t="str">
        <f>N2</f>
      </c>
      <c r="M2" t="s">
        <v>50</v>
      </c>
      <c r="N2" t="s">
        <v>51</v>
      </c>
      <c r="O2" s="1"/>
      <c r="P2" s="1" t="n">
        <v>7480000</v>
      </c>
      <c r="Q2" s="1" t="n">
        <v>5319000</v>
      </c>
      <c r="R2" s="1" t="n">
        <v>17193000</v>
      </c>
      <c r="S2" s="1" t="n">
        <v>14428000</v>
      </c>
      <c r="T2" s="1" t="n">
        <v>14234000</v>
      </c>
      <c r="U2" s="1" t="n">
        <v>4450000</v>
      </c>
      <c r="V2" s="1" t="n">
        <v>3905000</v>
      </c>
      <c r="W2" s="1" t="n">
        <v>2765000</v>
      </c>
      <c r="X2" s="1" t="n">
        <v>7788000</v>
      </c>
      <c r="Y2" s="1" t="n">
        <v>6345000</v>
      </c>
      <c r="Z2" s="1" t="n">
        <v>14960000</v>
      </c>
      <c r="AA2" s="1" t="n">
        <v>26357000</v>
      </c>
      <c r="AB2" s="1" t="n">
        <v>38833000</v>
      </c>
      <c r="AC2" s="1" t="n">
        <v>12687000</v>
      </c>
      <c r="AD2" s="1" t="n">
        <v>30220000</v>
      </c>
      <c r="AE2" s="1" t="n">
        <v>7083000</v>
      </c>
      <c r="AF2" s="1" t="n">
        <v>7274000</v>
      </c>
      <c r="AG2" s="1" t="n">
        <v>63239000</v>
      </c>
      <c r="AH2" s="1" t="n">
        <v>2694598818</v>
      </c>
      <c r="AI2" s="1" t="n">
        <v>2187725165</v>
      </c>
      <c r="AJ2" s="1" t="n">
        <v>1333644861</v>
      </c>
      <c r="AK2" s="1" t="n">
        <v>4759277494.5313</v>
      </c>
      <c r="AL2" s="1" t="n">
        <v>4808548321.97</v>
      </c>
      <c r="AM2" s="1" t="n">
        <v>4810451699.49</v>
      </c>
      <c r="AN2" s="1" t="n">
        <v>3840815516.25</v>
      </c>
      <c r="AO2" s="1" t="n">
        <v>4832963267.31</v>
      </c>
      <c r="AP2" s="1" t="n">
        <v>4182552778.35</v>
      </c>
      <c r="AQ2" s="1" t="n">
        <v>6414372780.35</v>
      </c>
      <c r="AR2" s="1" t="n">
        <v>7732838457.03</v>
      </c>
      <c r="AS2" s="1" t="n">
        <v>9639023085.17</v>
      </c>
      <c r="AT2" s="1" t="n">
        <v>8627494356.54</v>
      </c>
      <c r="AU2" s="1" t="n">
        <v>8065441510.2504</v>
      </c>
      <c r="AV2" s="1" t="n">
        <v>8982161318.9137</v>
      </c>
      <c r="AW2" s="1" t="n">
        <v>7944909118.7479</v>
      </c>
      <c r="AX2" s="1" t="n">
        <v>7604282996.7383</v>
      </c>
      <c r="AY2" s="1" t="n">
        <v>7146166248.3751</v>
      </c>
      <c r="AZ2" s="1" t="n">
        <v>5463301771.5607</v>
      </c>
      <c r="BA2" s="1" t="n">
        <v>4413807880.723</v>
      </c>
      <c r="BB2" s="1" t="n">
        <v>6181701016.8531</v>
      </c>
      <c r="BC2" s="1" t="n">
        <v>5029281002.2</v>
      </c>
      <c r="BD2" s="1" t="n">
        <v>5338210992.2</v>
      </c>
      <c r="BE2" s="1" t="n">
        <v>16558885642.7</v>
      </c>
      <c r="BF2" s="1" t="n">
        <v>36231521379.16</v>
      </c>
      <c r="BG2" s="1" t="n">
        <v>33035214665.64</v>
      </c>
      <c r="BH2" s="1" t="n">
        <v>8594241157.25</v>
      </c>
      <c r="BI2" s="1" t="n">
        <v>5652666756.13</v>
      </c>
      <c r="BJ2" s="1" t="n">
        <v>1692569961.18</v>
      </c>
      <c r="BK2" s="1"/>
    </row>
    <row r="3">
      <c r="A3" t="str">
        <f>M3</f>
      </c>
      <c r="B3" t="str">
        <f>N3</f>
      </c>
      <c r="M3" t="s">
        <v>50</v>
      </c>
      <c r="N3" t="s">
        <v>52</v>
      </c>
      <c r="O3" s="1"/>
      <c r="P3" s="1" t="n">
        <v>38000</v>
      </c>
      <c r="Q3" s="1"/>
      <c r="R3" s="1" t="n">
        <v>-11000</v>
      </c>
      <c r="S3" s="1" t="n">
        <v>21000</v>
      </c>
      <c r="T3" s="1" t="n">
        <v>125000</v>
      </c>
      <c r="U3" s="1" t="n">
        <v>156000</v>
      </c>
      <c r="V3" s="1" t="n">
        <v>70000</v>
      </c>
      <c r="W3" s="1" t="n">
        <v>-48000</v>
      </c>
      <c r="X3" s="1" t="n">
        <v>65000</v>
      </c>
      <c r="Y3" s="1" t="n">
        <v>22000</v>
      </c>
      <c r="Z3" s="1" t="n">
        <v>-468000</v>
      </c>
      <c r="AA3" s="1" t="n">
        <v>-665000</v>
      </c>
      <c r="AB3" s="1" t="n">
        <v>2954000</v>
      </c>
      <c r="AC3" s="1" t="n">
        <v>2182000</v>
      </c>
      <c r="AD3" s="1" t="n">
        <v>247000</v>
      </c>
      <c r="AE3" s="1" t="n">
        <v>292000</v>
      </c>
      <c r="AF3" s="1" t="n">
        <v>363000</v>
      </c>
      <c r="AG3" s="1" t="n">
        <v>2411000</v>
      </c>
      <c r="AH3" s="1" t="n">
        <v>3762198</v>
      </c>
      <c r="AI3" s="1" t="n">
        <v>49122421</v>
      </c>
      <c r="AJ3" s="1" t="n">
        <v>111529563.5</v>
      </c>
      <c r="AK3" s="1" t="n">
        <v>682504076.0042</v>
      </c>
      <c r="AL3" s="1" t="n">
        <v>583294415.88</v>
      </c>
      <c r="AM3" s="1" t="n">
        <v>652332547.41</v>
      </c>
      <c r="AN3" s="1" t="n">
        <v>1159279295.47</v>
      </c>
      <c r="AO3" s="1" t="n">
        <v>1349610954.7</v>
      </c>
      <c r="AP3" s="1" t="n">
        <v>2711643669.68</v>
      </c>
      <c r="AQ3" s="1" t="n">
        <v>3982542084.98</v>
      </c>
      <c r="AR3" s="1" t="n">
        <v>4354396574.15</v>
      </c>
      <c r="AS3" s="1" t="n">
        <v>5149070459.24</v>
      </c>
      <c r="AT3" s="1" t="n">
        <v>3725223247.46</v>
      </c>
      <c r="AU3" s="1" t="n">
        <v>3461764256.0949</v>
      </c>
      <c r="AV3" s="1" t="n">
        <v>4466463814.2826</v>
      </c>
      <c r="AW3" s="1" t="n">
        <v>3338900342.4839</v>
      </c>
      <c r="AX3" s="1" t="n">
        <v>3805891198.862</v>
      </c>
      <c r="AY3" s="1" t="n">
        <v>3507403042.7394</v>
      </c>
      <c r="AZ3" s="1" t="n">
        <v>3321143024.7753</v>
      </c>
      <c r="BA3" s="1" t="n">
        <v>3539108632.3845</v>
      </c>
      <c r="BB3" s="1" t="n">
        <v>3856890416.618</v>
      </c>
      <c r="BC3" s="1" t="n">
        <v>3304663821.7</v>
      </c>
      <c r="BD3" s="1" t="n">
        <v>3043298142.16</v>
      </c>
      <c r="BE3" s="1" t="n">
        <v>4207372291.36</v>
      </c>
      <c r="BF3" s="1" t="n">
        <v>3308114825.72</v>
      </c>
      <c r="BG3" s="1" t="n">
        <v>2760952444.95</v>
      </c>
      <c r="BH3" s="1" t="n">
        <v>3461962962.44</v>
      </c>
      <c r="BI3" s="1" t="n">
        <v>3612566732.91</v>
      </c>
      <c r="BJ3" s="1" t="n">
        <v>1592406576.15</v>
      </c>
      <c r="BK3" s="1"/>
    </row>
    <row r="4">
      <c r="A4" t="str">
        <f>M4</f>
      </c>
      <c r="B4" t="str">
        <f>N4</f>
      </c>
      <c r="M4" t="s">
        <v>53</v>
      </c>
      <c r="N4" t="s">
        <v>54</v>
      </c>
      <c r="O4" s="1"/>
      <c r="P4" s="1" t="n">
        <v>224000</v>
      </c>
      <c r="Q4" s="1" t="n">
        <v>1858000</v>
      </c>
      <c r="R4" s="1" t="n">
        <v>615000</v>
      </c>
      <c r="S4" s="1" t="n">
        <v>896000</v>
      </c>
      <c r="T4" s="1" t="n">
        <v>2430000</v>
      </c>
      <c r="U4" s="1" t="n">
        <v>3619000</v>
      </c>
      <c r="V4" s="1" t="n">
        <v>1106000</v>
      </c>
      <c r="W4" s="1" t="n">
        <v>1641000</v>
      </c>
      <c r="X4" s="1" t="n">
        <v>2382000</v>
      </c>
      <c r="Y4" s="1" t="n">
        <v>2803000</v>
      </c>
      <c r="Z4" s="1" t="n">
        <v>5841000</v>
      </c>
      <c r="AA4" s="1" t="n">
        <v>3957000</v>
      </c>
      <c r="AB4" s="1"/>
      <c r="AC4" s="1" t="n">
        <v>260000</v>
      </c>
      <c r="AD4" s="1" t="n">
        <v>0</v>
      </c>
      <c r="AE4" s="1" t="n">
        <v>664000</v>
      </c>
      <c r="AF4" s="1" t="n">
        <v>193000</v>
      </c>
      <c r="AG4" s="1" t="n">
        <v>254000</v>
      </c>
      <c r="AH4" s="1" t="n">
        <v>150932219</v>
      </c>
      <c r="AI4" s="1" t="n">
        <v>118646715</v>
      </c>
      <c r="AJ4" s="1" t="n">
        <v>101058561</v>
      </c>
      <c r="AK4" s="1" t="n">
        <v>90547706.9006</v>
      </c>
      <c r="AL4" s="1" t="n">
        <v>120948980.3899</v>
      </c>
      <c r="AM4" s="1" t="n">
        <v>176091216.3693</v>
      </c>
      <c r="AN4" s="1" t="n">
        <v>278832090.9278</v>
      </c>
      <c r="AO4" s="1" t="n">
        <v>317453989.7447</v>
      </c>
      <c r="AP4" s="1" t="n">
        <v>382136971.7054</v>
      </c>
      <c r="AQ4" s="1" t="n">
        <v>713286667.2351</v>
      </c>
      <c r="AR4" s="1" t="n">
        <v>671480288.8754</v>
      </c>
      <c r="AS4" s="1" t="n">
        <v>1233838200.6764</v>
      </c>
      <c r="AT4" s="1" t="n">
        <v>1686669958.1146</v>
      </c>
      <c r="AU4" s="1" t="n">
        <v>2284606062.3804</v>
      </c>
      <c r="AV4" s="1" t="n">
        <v>1725884444.4758</v>
      </c>
      <c r="AW4" s="1" t="n">
        <v>2447036469.7791</v>
      </c>
      <c r="AX4" s="1" t="n">
        <v>1085199246.6545</v>
      </c>
      <c r="AY4" s="1" t="n">
        <v>751115688.4843</v>
      </c>
      <c r="AZ4" s="1" t="n">
        <v>704161496.7118</v>
      </c>
      <c r="BA4" s="1" t="n">
        <v>591903301.3769</v>
      </c>
      <c r="BB4" s="1" t="n">
        <v>807422287.9941</v>
      </c>
      <c r="BC4" s="1" t="n">
        <v>998438554.2995</v>
      </c>
      <c r="BD4" s="1" t="n">
        <v>722073993.8312</v>
      </c>
      <c r="BE4" s="1" t="n">
        <v>1835545348.5527</v>
      </c>
      <c r="BF4" s="1" t="n">
        <v>2732364972.4678</v>
      </c>
      <c r="BG4" s="1" t="n">
        <v>693062089.5139</v>
      </c>
      <c r="BH4" s="1" t="n">
        <v>1041342258.5896</v>
      </c>
      <c r="BI4" s="1" t="n">
        <v>1207690917.9117</v>
      </c>
      <c r="BJ4" s="1" t="n">
        <v>503840926.5</v>
      </c>
      <c r="BK4" s="1"/>
    </row>
    <row r="5">
      <c r="A5" t="str">
        <f>M5</f>
      </c>
      <c r="B5" t="str">
        <f>N5</f>
      </c>
      <c r="M5" t="s">
        <v>53</v>
      </c>
      <c r="N5" t="s">
        <v>55</v>
      </c>
      <c r="O5" s="1"/>
      <c r="P5" s="1"/>
      <c r="Q5" s="1"/>
      <c r="R5" s="1" t="n">
        <v>209000</v>
      </c>
      <c r="S5" s="1" t="n">
        <v>58000</v>
      </c>
      <c r="T5" s="1" t="n">
        <v>210000</v>
      </c>
      <c r="U5" s="1" t="n">
        <v>110000</v>
      </c>
      <c r="V5" s="1" t="n">
        <v>261000</v>
      </c>
      <c r="W5" s="1" t="n">
        <v>149000</v>
      </c>
      <c r="X5" s="1" t="n">
        <v>1443000</v>
      </c>
      <c r="Y5" s="1" t="n">
        <v>543000</v>
      </c>
      <c r="Z5" s="1" t="n">
        <v>776000</v>
      </c>
      <c r="AA5" s="1" t="n">
        <v>276000</v>
      </c>
      <c r="AB5" s="1" t="n">
        <v>388000</v>
      </c>
      <c r="AC5" s="1" t="n">
        <v>664000</v>
      </c>
      <c r="AD5" s="1" t="n">
        <v>1884000</v>
      </c>
      <c r="AE5" s="1" t="n">
        <v>1559000</v>
      </c>
      <c r="AF5" s="1" t="n">
        <v>5055000</v>
      </c>
      <c r="AG5" s="1" t="n">
        <v>6698000</v>
      </c>
      <c r="AH5" s="1" t="n">
        <v>13874971</v>
      </c>
      <c r="AI5" s="1" t="n">
        <v>17261544</v>
      </c>
      <c r="AJ5" s="1" t="n">
        <v>30838554</v>
      </c>
      <c r="AK5" s="1" t="n">
        <v>1518595638.003</v>
      </c>
      <c r="AL5" s="1" t="n">
        <v>1318963186.9534</v>
      </c>
      <c r="AM5" s="1" t="n">
        <v>1366263352.2565</v>
      </c>
      <c r="AN5" s="1" t="n">
        <v>3173587517.3298</v>
      </c>
      <c r="AO5" s="1" t="n">
        <v>1977535311.9187</v>
      </c>
      <c r="AP5" s="1" t="n">
        <v>1362895946.2457</v>
      </c>
      <c r="AQ5" s="1" t="n">
        <v>1576125816.5737</v>
      </c>
      <c r="AR5" s="1" t="n">
        <v>1783273297.1921</v>
      </c>
      <c r="AS5" s="1" t="n">
        <v>1752709722.4003</v>
      </c>
      <c r="AT5" s="1" t="n">
        <v>1770661316.162</v>
      </c>
      <c r="AU5" s="1" t="n">
        <v>1662753249.031</v>
      </c>
      <c r="AV5" s="1" t="n">
        <v>1436418716.55</v>
      </c>
      <c r="AW5" s="1" t="n">
        <v>1304767976.3228</v>
      </c>
      <c r="AX5" s="1" t="n">
        <v>1371810929.5659</v>
      </c>
      <c r="AY5" s="1" t="n">
        <v>1158975337.2728</v>
      </c>
      <c r="AZ5" s="1" t="n">
        <v>945662722.5056</v>
      </c>
      <c r="BA5" s="1" t="n">
        <v>996098516.0213</v>
      </c>
      <c r="BB5" s="1" t="n">
        <v>1042432803.2452</v>
      </c>
      <c r="BC5" s="1" t="n">
        <v>971755684.6425</v>
      </c>
      <c r="BD5" s="1" t="n">
        <v>737967789.3144</v>
      </c>
      <c r="BE5" s="1" t="n">
        <v>879187572.6148</v>
      </c>
      <c r="BF5" s="1" t="n">
        <v>802578642.3426</v>
      </c>
      <c r="BG5" s="1" t="n">
        <v>910642670.587</v>
      </c>
      <c r="BH5" s="1" t="n">
        <v>904619374.8862</v>
      </c>
      <c r="BI5" s="1" t="n">
        <v>1099924152.3801</v>
      </c>
      <c r="BJ5" s="1" t="n">
        <v>277376332.54</v>
      </c>
      <c r="BK5" s="1"/>
    </row>
    <row r="6">
      <c r="A6" t="str">
        <f>M6</f>
      </c>
      <c r="B6" t="str">
        <f>N6</f>
      </c>
      <c r="M6" t="s">
        <v>53</v>
      </c>
      <c r="N6" t="s">
        <v>56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n">
        <v>1996000</v>
      </c>
      <c r="AH6" s="1" t="n">
        <v>7088883</v>
      </c>
      <c r="AI6" s="1" t="n">
        <v>17936831</v>
      </c>
      <c r="AJ6" s="1" t="n">
        <v>39707438.16</v>
      </c>
      <c r="AK6" s="1" t="n">
        <v>3250388367</v>
      </c>
      <c r="AL6" s="1" t="n">
        <v>2567872154</v>
      </c>
      <c r="AM6" s="1" t="n">
        <v>3334772641.0598</v>
      </c>
      <c r="AN6" s="1" t="n">
        <v>2093178243.7121</v>
      </c>
      <c r="AO6" s="1" t="n">
        <v>2521584715.0345</v>
      </c>
      <c r="AP6" s="1" t="n">
        <v>3516804802.492</v>
      </c>
      <c r="AQ6" s="1" t="n">
        <v>3859240172.3507</v>
      </c>
      <c r="AR6" s="1" t="n">
        <v>4358370739.0101</v>
      </c>
      <c r="AS6" s="1" t="n">
        <v>3298575788.8751</v>
      </c>
      <c r="AT6" s="1" t="n">
        <v>4456925370.4796</v>
      </c>
      <c r="AU6" s="1" t="n">
        <v>23707912409.2766</v>
      </c>
      <c r="AV6" s="1" t="n">
        <v>5336753656.4892</v>
      </c>
      <c r="AW6" s="1" t="n">
        <v>4112723115.6012</v>
      </c>
      <c r="AX6" s="1" t="n">
        <v>4522918119.091</v>
      </c>
      <c r="AY6" s="1" t="n">
        <v>3758329527.5949</v>
      </c>
      <c r="AZ6" s="1" t="n">
        <v>5569929860.7884</v>
      </c>
      <c r="BA6" s="1" t="n">
        <v>7642956468.4373</v>
      </c>
      <c r="BB6" s="1" t="n">
        <v>4826451331.7178</v>
      </c>
      <c r="BC6" s="1" t="n">
        <v>4895346416.7874</v>
      </c>
      <c r="BD6" s="1" t="n">
        <v>6497295190.1428</v>
      </c>
      <c r="BE6" s="1" t="n">
        <v>8096165885.3414</v>
      </c>
      <c r="BF6" s="1" t="n">
        <v>7130722682.8495</v>
      </c>
      <c r="BG6" s="1" t="n">
        <v>9256263017.8597</v>
      </c>
      <c r="BH6" s="1" t="n">
        <v>10639238605.2127</v>
      </c>
      <c r="BI6" s="1" t="n">
        <v>11537342702.32</v>
      </c>
      <c r="BJ6" s="1" t="n">
        <v>4761471251.52</v>
      </c>
      <c r="BK6" s="1"/>
    </row>
    <row r="7">
      <c r="A7" t="str">
        <f>M7</f>
      </c>
      <c r="B7" t="str">
        <f>N7</f>
      </c>
      <c r="M7" t="s">
        <v>53</v>
      </c>
      <c r="N7" t="s">
        <v>57</v>
      </c>
      <c r="O7" s="1" t="n"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 t="n">
        <v>71000</v>
      </c>
      <c r="AA7" s="1" t="n">
        <v>222000</v>
      </c>
      <c r="AB7" s="1" t="n">
        <v>3694000</v>
      </c>
      <c r="AC7" s="1" t="n">
        <v>5273000</v>
      </c>
      <c r="AD7" s="1" t="n">
        <v>6873000</v>
      </c>
      <c r="AE7" s="1" t="n">
        <v>877000</v>
      </c>
      <c r="AF7" s="1" t="n">
        <v>8582000</v>
      </c>
      <c r="AG7" s="1" t="n">
        <v>6912000</v>
      </c>
      <c r="AH7" s="1" t="n">
        <v>216170324.12</v>
      </c>
      <c r="AI7" s="1" t="n">
        <v>272640343</v>
      </c>
      <c r="AJ7" s="1" t="n">
        <v>521944032</v>
      </c>
      <c r="AK7" s="1" t="n">
        <v>5371795646</v>
      </c>
      <c r="AL7" s="1" t="n">
        <v>7680428616.1314</v>
      </c>
      <c r="AM7" s="1" t="n">
        <v>9387376606.8964</v>
      </c>
      <c r="AN7" s="1" t="n">
        <v>12895425081.9622</v>
      </c>
      <c r="AO7" s="1" t="n">
        <v>17002697395.273</v>
      </c>
      <c r="AP7" s="1" t="n">
        <v>35082963241.2807</v>
      </c>
      <c r="AQ7" s="1" t="n">
        <v>36946385934.106</v>
      </c>
      <c r="AR7" s="1" t="n">
        <v>36950959779.6231</v>
      </c>
      <c r="AS7" s="1" t="n">
        <v>40807361560.6612</v>
      </c>
      <c r="AT7" s="1" t="n">
        <v>42095305288.5045</v>
      </c>
      <c r="AU7" s="1" t="n">
        <v>34648417099.8086</v>
      </c>
      <c r="AV7" s="1" t="n">
        <v>34173023655.8673</v>
      </c>
      <c r="AW7" s="1" t="n">
        <v>40868456283.5598</v>
      </c>
      <c r="AX7" s="1" t="n">
        <v>29716046176.419</v>
      </c>
      <c r="AY7" s="1" t="n">
        <v>28025213675.5398</v>
      </c>
      <c r="AZ7" s="1" t="n">
        <v>26100394837.5193</v>
      </c>
      <c r="BA7" s="1" t="n">
        <v>24025396470.6108</v>
      </c>
      <c r="BB7" s="1" t="n">
        <v>26569014421.0026</v>
      </c>
      <c r="BC7" s="1" t="n">
        <v>31221911726.3895</v>
      </c>
      <c r="BD7" s="1" t="n">
        <v>29088191926.2772</v>
      </c>
      <c r="BE7" s="1" t="n">
        <v>31324879004.3182</v>
      </c>
      <c r="BF7" s="1" t="n">
        <v>32994844739.6572</v>
      </c>
      <c r="BG7" s="1" t="n">
        <v>41146782636.0888</v>
      </c>
      <c r="BH7" s="1" t="n">
        <v>40718958653.3149</v>
      </c>
      <c r="BI7" s="1" t="n">
        <v>40865503741.7</v>
      </c>
      <c r="BJ7" s="1" t="n">
        <v>18396318481.72</v>
      </c>
      <c r="BK7" s="1"/>
    </row>
    <row r="8">
      <c r="A8" t="str">
        <f>M8</f>
      </c>
      <c r="B8" t="str">
        <f>N8</f>
      </c>
      <c r="M8" t="s">
        <v>53</v>
      </c>
      <c r="N8" t="s">
        <v>58</v>
      </c>
      <c r="O8" s="1"/>
      <c r="P8" s="1"/>
      <c r="Q8" s="1" t="n">
        <v>128000</v>
      </c>
      <c r="R8" s="1" t="n">
        <v>1962000</v>
      </c>
      <c r="S8" s="1" t="n">
        <v>4317000</v>
      </c>
      <c r="T8" s="1" t="n">
        <v>3013000</v>
      </c>
      <c r="U8" s="1" t="n">
        <v>2118000</v>
      </c>
      <c r="V8" s="1" t="n">
        <v>1299000</v>
      </c>
      <c r="W8" s="1" t="n">
        <v>5122000</v>
      </c>
      <c r="X8" s="1" t="n">
        <v>88304000</v>
      </c>
      <c r="Y8" s="1" t="n">
        <v>12473000</v>
      </c>
      <c r="Z8" s="1"/>
      <c r="AA8" s="1"/>
      <c r="AB8" s="1" t="n">
        <v>467000</v>
      </c>
      <c r="AC8" s="1" t="n">
        <v>10000</v>
      </c>
      <c r="AD8" s="1" t="n">
        <v>-28000</v>
      </c>
      <c r="AE8" s="1"/>
      <c r="AF8" s="1"/>
      <c r="AG8" s="1" t="n">
        <v>0</v>
      </c>
      <c r="AH8" s="1" t="n">
        <v>634733610</v>
      </c>
      <c r="AI8" s="1" t="n">
        <v>628203353</v>
      </c>
      <c r="AJ8" s="1" t="n">
        <v>641096978.3</v>
      </c>
      <c r="AK8" s="1" t="n">
        <v>1539051224</v>
      </c>
      <c r="AL8" s="1" t="n">
        <v>336673013.5156</v>
      </c>
      <c r="AM8" s="1" t="n">
        <v>191713832.2891</v>
      </c>
      <c r="AN8" s="1" t="n">
        <v>206899060.7169</v>
      </c>
      <c r="AO8" s="1" t="n">
        <v>197069612.0725</v>
      </c>
      <c r="AP8" s="1" t="n">
        <v>160138629.7971</v>
      </c>
      <c r="AQ8" s="1" t="n">
        <v>80052687.8275</v>
      </c>
      <c r="AR8" s="1" t="n">
        <v>76823442.695</v>
      </c>
      <c r="AS8" s="1" t="n">
        <v>171520286.7967</v>
      </c>
      <c r="AT8" s="1" t="n">
        <v>96203714.7866</v>
      </c>
      <c r="AU8" s="1" t="n">
        <v>112696159.4964</v>
      </c>
      <c r="AV8" s="1" t="n">
        <v>58996611.0434</v>
      </c>
      <c r="AW8" s="1" t="n">
        <v>23863231.2519</v>
      </c>
      <c r="AX8" s="1" t="n">
        <v>29845258.45</v>
      </c>
      <c r="AY8" s="1" t="n">
        <v>32316037.93</v>
      </c>
      <c r="AZ8" s="1" t="n">
        <v>30968459.9</v>
      </c>
      <c r="BA8" s="1" t="n">
        <v>10834416.96</v>
      </c>
      <c r="BB8" s="1" t="n">
        <v>2503618.7704</v>
      </c>
      <c r="BC8" s="1" t="n">
        <v>21232.3105</v>
      </c>
      <c r="BD8" s="1"/>
      <c r="BE8" s="1" t="n">
        <v>14709.7402</v>
      </c>
      <c r="BF8" s="1" t="n">
        <v>38462.21</v>
      </c>
      <c r="BG8" s="1" t="n">
        <v>-18364026</v>
      </c>
      <c r="BH8" s="1" t="n">
        <v>-2269054.5</v>
      </c>
      <c r="BI8" s="1" t="n">
        <v>10115</v>
      </c>
      <c r="BJ8" s="1"/>
      <c r="BK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n">
        <v>5477000</v>
      </c>
      <c r="AA9" s="1" t="n">
        <v>10893531000</v>
      </c>
      <c r="AB9" s="1" t="n">
        <v>13666534115</v>
      </c>
      <c r="AC9" s="1" t="n">
        <v>9670953302</v>
      </c>
      <c r="AD9" s="1" t="n">
        <v>10550468583</v>
      </c>
      <c r="AE9" s="1" t="n">
        <v>9320188919</v>
      </c>
      <c r="AF9" s="1" t="n">
        <v>9898830922</v>
      </c>
      <c r="AG9" s="1" t="n">
        <v>10727845476</v>
      </c>
      <c r="AH9" s="1" t="n">
        <v>10790056834</v>
      </c>
      <c r="AI9" s="1" t="n">
        <v>9589598417</v>
      </c>
      <c r="AJ9" s="1" t="n">
        <v>8687681982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579277.6982</v>
      </c>
      <c r="AP9" s="1"/>
      <c r="AQ9" s="1"/>
      <c r="AR9" s="1" t="n">
        <v>0</v>
      </c>
      <c r="AS9" s="1" t="n">
        <v>0</v>
      </c>
      <c r="AT9" s="1" t="n">
        <v>0</v>
      </c>
      <c r="AU9" s="1"/>
      <c r="AV9" s="1"/>
      <c r="AW9" s="1"/>
      <c r="AX9" s="1"/>
      <c r="AY9" s="1"/>
      <c r="AZ9" s="1"/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650221.66</v>
      </c>
      <c r="BJ9" s="1" t="n">
        <v>0</v>
      </c>
      <c r="BK9" s="1"/>
    </row>
    <row r="10">
      <c r="A10" t="str">
        <f>M10</f>
      </c>
      <c r="B10" t="str">
        <f>N10</f>
      </c>
      <c r="M10" t="s">
        <v>59</v>
      </c>
      <c r="N10" t="s">
        <v>60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 t="str">
        <f>Sum(BJ2:BJ9)</f>
      </c>
      <c r="BK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3</v>
      </c>
      <c r="P13" t="s">
        <v>4</v>
      </c>
      <c r="Q13" t="s">
        <v>5</v>
      </c>
      <c r="R13" t="s">
        <v>6</v>
      </c>
      <c r="S13" t="s">
        <v>7</v>
      </c>
      <c r="T13" t="s">
        <v>8</v>
      </c>
      <c r="U13" t="s">
        <v>9</v>
      </c>
      <c r="V13" t="s">
        <v>10</v>
      </c>
      <c r="W13" t="s">
        <v>11</v>
      </c>
      <c r="X13" t="s">
        <v>12</v>
      </c>
      <c r="Y13" t="s">
        <v>13</v>
      </c>
      <c r="Z13" t="s">
        <v>14</v>
      </c>
      <c r="AA13" t="s">
        <v>15</v>
      </c>
      <c r="AB13" t="s">
        <v>16</v>
      </c>
      <c r="AC13" t="s">
        <v>17</v>
      </c>
      <c r="AD13" t="s">
        <v>18</v>
      </c>
      <c r="AE13" t="s">
        <v>19</v>
      </c>
      <c r="AF13" t="s">
        <v>20</v>
      </c>
      <c r="AG13" t="s">
        <v>21</v>
      </c>
      <c r="AH13" t="s">
        <v>22</v>
      </c>
      <c r="AI13" t="s">
        <v>23</v>
      </c>
      <c r="AJ13" t="s">
        <v>24</v>
      </c>
      <c r="AK13" t="s">
        <v>25</v>
      </c>
      <c r="AL13" t="s">
        <v>26</v>
      </c>
      <c r="AM13" t="s">
        <v>27</v>
      </c>
      <c r="AN13" t="s">
        <v>28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  <c r="BH13" t="s">
        <v>48</v>
      </c>
      <c r="BI13" t="s">
        <v>49</v>
      </c>
    </row>
    <row r="14">
      <c r="A14" t="str">
        <f>M14</f>
      </c>
      <c r="B14" t="str">
        <f>N14</f>
      </c>
      <c r="M14" t="s">
        <v>50</v>
      </c>
      <c r="N14" t="s">
        <v>51</v>
      </c>
      <c r="O14" s="1" t="n">
        <v>25684489.4108585</v>
      </c>
      <c r="P14" s="1" t="n">
        <v>16799232.3177207</v>
      </c>
      <c r="Q14" s="1" t="n">
        <v>49452156.2253241</v>
      </c>
      <c r="R14" s="1" t="n">
        <v>38802070.049021</v>
      </c>
      <c r="S14" s="1" t="n">
        <v>36680269.8310324</v>
      </c>
      <c r="T14" s="1" t="n">
        <v>11070134.503801</v>
      </c>
      <c r="U14" s="1" t="n">
        <v>9400184.39238013</v>
      </c>
      <c r="V14" s="1" t="n">
        <v>6509615.2420223</v>
      </c>
      <c r="W14" s="1" t="n">
        <v>17933996.5921538</v>
      </c>
      <c r="X14" s="1" t="n">
        <v>14151912.1068879</v>
      </c>
      <c r="Y14" s="1" t="n">
        <v>32071780.8302653</v>
      </c>
      <c r="Z14" s="1" t="n">
        <v>54513707.0194002</v>
      </c>
      <c r="AA14" s="1" t="n">
        <v>77545301.9781958</v>
      </c>
      <c r="AB14" s="1" t="n">
        <v>24715960.5847074</v>
      </c>
      <c r="AC14" s="1" t="n">
        <v>57523084.3497133</v>
      </c>
      <c r="AD14" s="1" t="n">
        <v>13194289.7975034</v>
      </c>
      <c r="AE14" s="1" t="n">
        <v>13268636.8899666</v>
      </c>
      <c r="AF14" s="1" t="n">
        <v>113223595.303825</v>
      </c>
      <c r="AG14" s="1" t="n">
        <v>4740303759.03034</v>
      </c>
      <c r="AH14" s="1" t="n">
        <v>3800962298.69437</v>
      </c>
      <c r="AI14" s="1" t="n">
        <v>2288739323.7832</v>
      </c>
      <c r="AJ14" s="1" t="n">
        <v>8001170685.98429</v>
      </c>
      <c r="AK14" s="1" t="n">
        <v>7892691856.00894</v>
      </c>
      <c r="AL14" s="1" t="n">
        <v>7773521831.34204</v>
      </c>
      <c r="AM14" s="1" t="n">
        <v>6089730481.52191</v>
      </c>
      <c r="AN14" s="1" t="n">
        <v>7480155015.41922</v>
      </c>
      <c r="AO14" s="1" t="n">
        <v>6282320880.14155</v>
      </c>
      <c r="AP14" s="1" t="n">
        <v>9331456143.29386</v>
      </c>
      <c r="AQ14" s="1" t="n">
        <v>10948127936.3909</v>
      </c>
      <c r="AR14" s="1" t="n">
        <v>13369339251.5678</v>
      </c>
      <c r="AS14" s="1" t="n">
        <v>11845216910.3512</v>
      </c>
      <c r="AT14" s="1" t="n">
        <v>10978461694.864</v>
      </c>
      <c r="AU14" s="1" t="n">
        <v>11985706524.9392</v>
      </c>
      <c r="AV14" s="1" t="n">
        <v>10412658970.337</v>
      </c>
      <c r="AW14" s="1" t="n">
        <v>9788619899.76167</v>
      </c>
      <c r="AX14" s="1" t="n">
        <v>9034098114.70445</v>
      </c>
      <c r="AY14" s="1" t="n">
        <v>6835847142.71567</v>
      </c>
      <c r="AZ14" s="1" t="n">
        <v>5478884769.47629</v>
      </c>
      <c r="BA14" s="1" t="n">
        <v>7546002432.72217</v>
      </c>
      <c r="BB14" s="1" t="n">
        <v>6005912069.35108</v>
      </c>
      <c r="BC14" s="1" t="n">
        <v>6259104947.51399</v>
      </c>
      <c r="BD14" s="1" t="n">
        <v>19165100693.1321</v>
      </c>
      <c r="BE14" s="1" t="n">
        <v>40538788402.8192</v>
      </c>
      <c r="BF14" s="1" t="n">
        <v>34546463242.392</v>
      </c>
      <c r="BG14" s="1" t="n">
        <v>8594241157.25</v>
      </c>
      <c r="BH14" s="1" t="n">
        <v>5505633377.22542</v>
      </c>
      <c r="BI14" s="1" t="n">
        <v>1613148150.91313</v>
      </c>
      <c r="BJ14" s="1"/>
    </row>
    <row r="15">
      <c r="A15" t="str">
        <f>M15</f>
      </c>
      <c r="B15" t="str">
        <f>N15</f>
      </c>
      <c r="M15" t="s">
        <v>50</v>
      </c>
      <c r="N15" t="s">
        <v>52</v>
      </c>
      <c r="O15" s="1" t="n">
        <v>130482.700215591</v>
      </c>
      <c r="P15" s="1"/>
      <c r="Q15" s="1" t="n">
        <v>-31639.2554224722</v>
      </c>
      <c r="R15" s="1" t="n">
        <v>56476.5366668589</v>
      </c>
      <c r="S15" s="1" t="n">
        <v>322118.429737182</v>
      </c>
      <c r="T15" s="1" t="n">
        <v>388076.625301786</v>
      </c>
      <c r="U15" s="1" t="n">
        <v>168505.225983767</v>
      </c>
      <c r="V15" s="1" t="n">
        <v>-113005.978885016</v>
      </c>
      <c r="W15" s="1" t="n">
        <v>149680.248907293</v>
      </c>
      <c r="X15" s="1" t="n">
        <v>49068.883585742</v>
      </c>
      <c r="Y15" s="1" t="n">
        <v>-1003315.06875429</v>
      </c>
      <c r="Z15" s="1" t="n">
        <v>-1375407.48825364</v>
      </c>
      <c r="AA15" s="1" t="n">
        <v>5898818.58325626</v>
      </c>
      <c r="AB15" s="1" t="n">
        <v>4250825.7267937</v>
      </c>
      <c r="AC15" s="1" t="n">
        <v>470158.895909304</v>
      </c>
      <c r="AD15" s="1" t="n">
        <v>543940.790748411</v>
      </c>
      <c r="AE15" s="1" t="n">
        <v>662154.961652171</v>
      </c>
      <c r="AF15" s="1" t="n">
        <v>4316673.07005996</v>
      </c>
      <c r="AG15" s="1" t="n">
        <v>6618410.57840782</v>
      </c>
      <c r="AH15" s="1" t="n">
        <v>85345487.2799767</v>
      </c>
      <c r="AI15" s="1" t="n">
        <v>191401853.080605</v>
      </c>
      <c r="AJ15" s="1" t="n">
        <v>1147407692.08445</v>
      </c>
      <c r="AK15" s="1" t="n">
        <v>957412253.681058</v>
      </c>
      <c r="AL15" s="1" t="n">
        <v>1054146598.98242</v>
      </c>
      <c r="AM15" s="1" t="n">
        <v>1838072782.29122</v>
      </c>
      <c r="AN15" s="1" t="n">
        <v>2088842516.13253</v>
      </c>
      <c r="AO15" s="1" t="n">
        <v>4072970874.08296</v>
      </c>
      <c r="AP15" s="1" t="n">
        <v>5793694578.93982</v>
      </c>
      <c r="AQ15" s="1" t="n">
        <v>6164940732.24002</v>
      </c>
      <c r="AR15" s="1" t="n">
        <v>7141768329.79249</v>
      </c>
      <c r="AS15" s="1" t="n">
        <v>5114587802.91142</v>
      </c>
      <c r="AT15" s="1" t="n">
        <v>4712060242.93732</v>
      </c>
      <c r="AU15" s="1" t="n">
        <v>5960004789.66305</v>
      </c>
      <c r="AV15" s="1" t="n">
        <v>4375988457.83969</v>
      </c>
      <c r="AW15" s="1" t="n">
        <v>4899136755.10076</v>
      </c>
      <c r="AX15" s="1" t="n">
        <v>4434017081.97392</v>
      </c>
      <c r="AY15" s="1" t="n">
        <v>4155513827.67106</v>
      </c>
      <c r="AZ15" s="1" t="n">
        <v>4393115628.83822</v>
      </c>
      <c r="BA15" s="1" t="n">
        <v>4708106132.47002</v>
      </c>
      <c r="BB15" s="1" t="n">
        <v>3946393196.80365</v>
      </c>
      <c r="BC15" s="1" t="n">
        <v>3568297035.50244</v>
      </c>
      <c r="BD15" s="1" t="n">
        <v>4869573675.26458</v>
      </c>
      <c r="BE15" s="1" t="n">
        <v>3701389337.99311</v>
      </c>
      <c r="BF15" s="1" t="n">
        <v>2887256617.48654</v>
      </c>
      <c r="BG15" s="1" t="n">
        <v>3461962962.44</v>
      </c>
      <c r="BH15" s="1" t="n">
        <v>3518599068.41217</v>
      </c>
      <c r="BI15" s="1" t="n">
        <v>1517684812.2883</v>
      </c>
      <c r="BJ15" s="1"/>
    </row>
    <row r="16">
      <c r="A16" t="str">
        <f>M16</f>
      </c>
      <c r="B16" t="str">
        <f>N16</f>
      </c>
      <c r="M16" t="s">
        <v>53</v>
      </c>
      <c r="N16" t="s">
        <v>54</v>
      </c>
      <c r="O16" s="1" t="n">
        <v>769161.180218221</v>
      </c>
      <c r="P16" s="1" t="n">
        <v>5868203.35520307</v>
      </c>
      <c r="Q16" s="1" t="n">
        <v>1768922.00771095</v>
      </c>
      <c r="R16" s="1" t="n">
        <v>2409665.56445265</v>
      </c>
      <c r="S16" s="1" t="n">
        <v>6261982.27409081</v>
      </c>
      <c r="T16" s="1" t="n">
        <v>9002880.17286644</v>
      </c>
      <c r="U16" s="1" t="n">
        <v>2662382.57054352</v>
      </c>
      <c r="V16" s="1" t="n">
        <v>3863391.9031315</v>
      </c>
      <c r="W16" s="1" t="n">
        <v>5485205.42918725</v>
      </c>
      <c r="X16" s="1" t="n">
        <v>6251821.84958341</v>
      </c>
      <c r="Y16" s="1" t="n">
        <v>12522143.8388756</v>
      </c>
      <c r="Z16" s="1" t="n">
        <v>8184191.62559345</v>
      </c>
      <c r="AA16" s="1"/>
      <c r="AB16" s="1" t="n">
        <v>506514.52289934</v>
      </c>
      <c r="AC16" s="1" t="n">
        <v>0</v>
      </c>
      <c r="AD16" s="1" t="n">
        <v>1236906.45567447</v>
      </c>
      <c r="AE16" s="1" t="n">
        <v>352054.841870163</v>
      </c>
      <c r="AF16" s="1" t="n">
        <v>454763.566899722</v>
      </c>
      <c r="AG16" s="1" t="n">
        <v>265518028.251614</v>
      </c>
      <c r="AH16" s="1" t="n">
        <v>206137268.882646</v>
      </c>
      <c r="AI16" s="1" t="n">
        <v>173432005.273287</v>
      </c>
      <c r="AJ16" s="1" t="n">
        <v>152226395.491471</v>
      </c>
      <c r="AK16" s="1" t="n">
        <v>198524163.343513</v>
      </c>
      <c r="AL16" s="1" t="n">
        <v>284557251.640101</v>
      </c>
      <c r="AM16" s="1" t="n">
        <v>442096808.910878</v>
      </c>
      <c r="AN16" s="1" t="n">
        <v>491335216.55656</v>
      </c>
      <c r="AO16" s="1" t="n">
        <v>573981298.896117</v>
      </c>
      <c r="AP16" s="1" t="n">
        <v>1037670163.6816</v>
      </c>
      <c r="AQ16" s="1" t="n">
        <v>950679643.732801</v>
      </c>
      <c r="AR16" s="1" t="n">
        <v>1711335406.15396</v>
      </c>
      <c r="AS16" s="1" t="n">
        <v>2315732782.24117</v>
      </c>
      <c r="AT16" s="1" t="n">
        <v>3109744223.1552</v>
      </c>
      <c r="AU16" s="1" t="n">
        <v>2303002998.1633</v>
      </c>
      <c r="AV16" s="1" t="n">
        <v>3207104809.75302</v>
      </c>
      <c r="AW16" s="1" t="n">
        <v>1396923673.8776</v>
      </c>
      <c r="AX16" s="1" t="n">
        <v>949551492.284954</v>
      </c>
      <c r="AY16" s="1" t="n">
        <v>881067998.177348</v>
      </c>
      <c r="AZ16" s="1" t="n">
        <v>734732926.88612</v>
      </c>
      <c r="BA16" s="1" t="n">
        <v>985620387.143736</v>
      </c>
      <c r="BB16" s="1" t="n">
        <v>1192324342.41588</v>
      </c>
      <c r="BC16" s="1" t="n">
        <v>846638867.190493</v>
      </c>
      <c r="BD16" s="1" t="n">
        <v>2124443165.49352</v>
      </c>
      <c r="BE16" s="1" t="n">
        <v>3057193328.95193</v>
      </c>
      <c r="BF16" s="1" t="n">
        <v>724767320.03774</v>
      </c>
      <c r="BG16" s="1" t="n">
        <v>1041342258.5896</v>
      </c>
      <c r="BH16" s="1" t="n">
        <v>1176277271.22178</v>
      </c>
      <c r="BI16" s="1" t="n">
        <v>480198796.846895</v>
      </c>
      <c r="BJ16" s="1"/>
    </row>
    <row r="17">
      <c r="A17" t="str">
        <f>M17</f>
      </c>
      <c r="B17" t="str">
        <f>N17</f>
      </c>
      <c r="M17" t="s">
        <v>53</v>
      </c>
      <c r="N17" t="s">
        <v>55</v>
      </c>
      <c r="O17" s="1"/>
      <c r="P17" s="1"/>
      <c r="Q17" s="1" t="n">
        <v>601145.853026972</v>
      </c>
      <c r="R17" s="1" t="n">
        <v>155982.815556087</v>
      </c>
      <c r="S17" s="1" t="n">
        <v>541158.961958465</v>
      </c>
      <c r="T17" s="1" t="n">
        <v>273643.77425126</v>
      </c>
      <c r="U17" s="1" t="n">
        <v>628283.771168045</v>
      </c>
      <c r="V17" s="1" t="n">
        <v>350789.392788905</v>
      </c>
      <c r="W17" s="1" t="n">
        <v>3322901.5257419</v>
      </c>
      <c r="X17" s="1" t="n">
        <v>1211109.26304809</v>
      </c>
      <c r="Y17" s="1" t="n">
        <v>1663616.43878916</v>
      </c>
      <c r="Z17" s="1" t="n">
        <v>570845.81467369</v>
      </c>
      <c r="AA17" s="1" t="n">
        <v>774794.045464939</v>
      </c>
      <c r="AB17" s="1" t="n">
        <v>1293560.1661737</v>
      </c>
      <c r="AC17" s="1" t="n">
        <v>3586151.25462806</v>
      </c>
      <c r="AD17" s="1" t="n">
        <v>2904122.23553689</v>
      </c>
      <c r="AE17" s="1" t="n">
        <v>9220918.2676356</v>
      </c>
      <c r="AF17" s="1" t="n">
        <v>11992151.0673006</v>
      </c>
      <c r="AG17" s="1" t="n">
        <v>24408671.4313021</v>
      </c>
      <c r="AH17" s="1" t="n">
        <v>29990274.3776566</v>
      </c>
      <c r="AI17" s="1" t="n">
        <v>52923693.0253592</v>
      </c>
      <c r="AJ17" s="1" t="n">
        <v>2553022578.87146</v>
      </c>
      <c r="AK17" s="1" t="n">
        <v>2164929892.97397</v>
      </c>
      <c r="AL17" s="1" t="n">
        <v>2207833829.25442</v>
      </c>
      <c r="AM17" s="1" t="n">
        <v>5031820080.47345</v>
      </c>
      <c r="AN17" s="1" t="n">
        <v>3060704140.1849</v>
      </c>
      <c r="AO17" s="1" t="n">
        <v>2047110966.5082</v>
      </c>
      <c r="AP17" s="1" t="n">
        <v>2292905235.99225</v>
      </c>
      <c r="AQ17" s="1" t="n">
        <v>2524752626.30887</v>
      </c>
      <c r="AR17" s="1" t="n">
        <v>2431010972.9214</v>
      </c>
      <c r="AS17" s="1" t="n">
        <v>2431049676.5272</v>
      </c>
      <c r="AT17" s="1" t="n">
        <v>2263294926.79326</v>
      </c>
      <c r="AU17" s="1" t="n">
        <v>1916742816.36931</v>
      </c>
      <c r="AV17" s="1" t="n">
        <v>1710038940.63512</v>
      </c>
      <c r="AW17" s="1" t="n">
        <v>1765864811.92494</v>
      </c>
      <c r="AX17" s="1" t="n">
        <v>1465162794.36207</v>
      </c>
      <c r="AY17" s="1" t="n">
        <v>1183241579.8928</v>
      </c>
      <c r="AZ17" s="1" t="n">
        <v>1236462740.51989</v>
      </c>
      <c r="BA17" s="1" t="n">
        <v>1272497723.16586</v>
      </c>
      <c r="BB17" s="1" t="n">
        <v>1160459952.8843</v>
      </c>
      <c r="BC17" s="1" t="n">
        <v>865274498.882277</v>
      </c>
      <c r="BD17" s="1" t="n">
        <v>1017563543.88143</v>
      </c>
      <c r="BE17" s="1" t="n">
        <v>897990603.76368</v>
      </c>
      <c r="BF17" s="1" t="n">
        <v>952301471.771836</v>
      </c>
      <c r="BG17" s="1" t="n">
        <v>904619374.8862</v>
      </c>
      <c r="BH17" s="1" t="n">
        <v>1071313662.56344</v>
      </c>
      <c r="BI17" s="1" t="n">
        <v>264360781.655383</v>
      </c>
      <c r="BJ17" s="1"/>
    </row>
    <row r="18">
      <c r="A18" t="str">
        <f>M18</f>
      </c>
      <c r="B18" t="str">
        <f>N18</f>
      </c>
      <c r="M18" t="s">
        <v>53</v>
      </c>
      <c r="N18" t="s">
        <v>56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n">
        <v>3573653.85642459</v>
      </c>
      <c r="AG18" s="1" t="n">
        <v>12470672.2602838</v>
      </c>
      <c r="AH18" s="1" t="n">
        <v>31163520.6651071</v>
      </c>
      <c r="AI18" s="1" t="n">
        <v>68144059.8026507</v>
      </c>
      <c r="AJ18" s="1" t="n">
        <v>5464466434.24097</v>
      </c>
      <c r="AK18" s="1" t="n">
        <v>4214873654.18523</v>
      </c>
      <c r="AL18" s="1" t="n">
        <v>5388876044.75663</v>
      </c>
      <c r="AM18" s="1" t="n">
        <v>3318798130.25687</v>
      </c>
      <c r="AN18" s="1" t="n">
        <v>3902749412.67413</v>
      </c>
      <c r="AO18" s="1" t="n">
        <v>5282347268.02263</v>
      </c>
      <c r="AP18" s="1" t="n">
        <v>5614318289.24096</v>
      </c>
      <c r="AQ18" s="1" t="n">
        <v>6170567342.12855</v>
      </c>
      <c r="AR18" s="1" t="n">
        <v>4575129489.66046</v>
      </c>
      <c r="AS18" s="1" t="n">
        <v>6119186589.39008</v>
      </c>
      <c r="AT18" s="1" t="n">
        <v>32270571663.0203</v>
      </c>
      <c r="AU18" s="1" t="n">
        <v>7121310879.5859</v>
      </c>
      <c r="AV18" s="1" t="n">
        <v>5390166533.32417</v>
      </c>
      <c r="AW18" s="1" t="n">
        <v>5822130281.64744</v>
      </c>
      <c r="AX18" s="1" t="n">
        <v>4751235350.47949</v>
      </c>
      <c r="AY18" s="1" t="n">
        <v>6969263408.10937</v>
      </c>
      <c r="AZ18" s="1" t="n">
        <v>9487245235.92816</v>
      </c>
      <c r="BA18" s="1" t="n">
        <v>5891649141.7597</v>
      </c>
      <c r="BB18" s="1" t="n">
        <v>5845968860.23606</v>
      </c>
      <c r="BC18" s="1" t="n">
        <v>7618142581.75691</v>
      </c>
      <c r="BD18" s="1" t="n">
        <v>9370427320.34769</v>
      </c>
      <c r="BE18" s="1" t="n">
        <v>7978435544.40112</v>
      </c>
      <c r="BF18" s="1" t="n">
        <v>9679705530.74679</v>
      </c>
      <c r="BG18" s="1" t="n">
        <v>10639238605.2127</v>
      </c>
      <c r="BH18" s="1" t="n">
        <v>11237241076.9655</v>
      </c>
      <c r="BI18" s="1" t="n">
        <v>4538044938.27872</v>
      </c>
      <c r="BJ18" s="1"/>
    </row>
    <row r="19">
      <c r="A19" t="str">
        <f>M19</f>
      </c>
      <c r="B19" t="str">
        <f>N19</f>
      </c>
      <c r="M19" t="s">
        <v>53</v>
      </c>
      <c r="N19" t="s">
        <v>57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 t="n">
        <v>152212.32880674</v>
      </c>
      <c r="Z19" s="1" t="n">
        <v>459158.59006362</v>
      </c>
      <c r="AA19" s="1" t="n">
        <v>7376518.56687496</v>
      </c>
      <c r="AB19" s="1" t="n">
        <v>10272504.1509547</v>
      </c>
      <c r="AC19" s="1" t="n">
        <v>13082599.5610715</v>
      </c>
      <c r="AD19" s="1" t="n">
        <v>1633685.18317245</v>
      </c>
      <c r="AE19" s="1" t="n">
        <v>15654583.6939365</v>
      </c>
      <c r="AF19" s="1" t="n">
        <v>12375298.3244523</v>
      </c>
      <c r="AG19" s="1" t="n">
        <v>380284067.955396</v>
      </c>
      <c r="AH19" s="1" t="n">
        <v>473686403.31296</v>
      </c>
      <c r="AI19" s="1" t="n">
        <v>895736088.209138</v>
      </c>
      <c r="AJ19" s="1" t="n">
        <v>9030919903.96875</v>
      </c>
      <c r="AK19" s="1" t="n">
        <v>12606560718.592</v>
      </c>
      <c r="AL19" s="1" t="n">
        <v>15169672527.9406</v>
      </c>
      <c r="AM19" s="1" t="n">
        <v>20446090904.7983</v>
      </c>
      <c r="AN19" s="1" t="n">
        <v>26315700153.8097</v>
      </c>
      <c r="AO19" s="1" t="n">
        <v>52695672759.6595</v>
      </c>
      <c r="AP19" s="1" t="n">
        <v>53748603613.0421</v>
      </c>
      <c r="AQ19" s="1" t="n">
        <v>52315050584.3003</v>
      </c>
      <c r="AR19" s="1" t="n">
        <v>56599870738.4823</v>
      </c>
      <c r="AS19" s="1" t="n">
        <v>57795230161.0964</v>
      </c>
      <c r="AT19" s="1" t="n">
        <v>47162491902.5803</v>
      </c>
      <c r="AU19" s="1" t="n">
        <v>45600142111.2938</v>
      </c>
      <c r="AV19" s="1" t="n">
        <v>53562512995.9823</v>
      </c>
      <c r="AW19" s="1" t="n">
        <v>38252006279.816</v>
      </c>
      <c r="AX19" s="1" t="n">
        <v>35429140777.1198</v>
      </c>
      <c r="AY19" s="1" t="n">
        <v>32657597353.0451</v>
      </c>
      <c r="AZ19" s="1" t="n">
        <v>29822860976.4268</v>
      </c>
      <c r="BA19" s="1" t="n">
        <v>32432795909.9482</v>
      </c>
      <c r="BB19" s="1" t="n">
        <v>37284863658.187</v>
      </c>
      <c r="BC19" s="1" t="n">
        <v>34106191431.1792</v>
      </c>
      <c r="BD19" s="1" t="n">
        <v>36255124485.5418</v>
      </c>
      <c r="BE19" s="1" t="n">
        <v>36917329948.3414</v>
      </c>
      <c r="BF19" s="1" t="n">
        <v>43029107825.3176</v>
      </c>
      <c r="BG19" s="1" t="n">
        <v>40718958653.3149</v>
      </c>
      <c r="BH19" s="1" t="n">
        <v>39802537648.8795</v>
      </c>
      <c r="BI19" s="1" t="n">
        <v>17533093356.8658</v>
      </c>
      <c r="BJ19" s="1"/>
    </row>
    <row r="20">
      <c r="A20" t="str">
        <f>M20</f>
      </c>
      <c r="B20" t="str">
        <f>N20</f>
      </c>
      <c r="M20" t="s">
        <v>53</v>
      </c>
      <c r="N20" t="s">
        <v>58</v>
      </c>
      <c r="O20" s="1"/>
      <c r="P20" s="1" t="n">
        <v>404268.045998919</v>
      </c>
      <c r="Q20" s="1" t="n">
        <v>5643292.64899005</v>
      </c>
      <c r="R20" s="1" t="n">
        <v>11609962.3233729</v>
      </c>
      <c r="S20" s="1" t="n">
        <v>7764342.63038503</v>
      </c>
      <c r="T20" s="1" t="n">
        <v>5268886.48967425</v>
      </c>
      <c r="U20" s="1" t="n">
        <v>3126975.5507559</v>
      </c>
      <c r="V20" s="1" t="n">
        <v>12058679.663522</v>
      </c>
      <c r="W20" s="1" t="n">
        <v>203344072.300147</v>
      </c>
      <c r="X20" s="1" t="n">
        <v>27819826.5893164</v>
      </c>
      <c r="Y20" s="1"/>
      <c r="Z20" s="1"/>
      <c r="AA20" s="1" t="n">
        <v>932548.503175583</v>
      </c>
      <c r="AB20" s="1" t="n">
        <v>19481.3278038208</v>
      </c>
      <c r="AC20" s="1" t="n">
        <v>-53297.3647184637</v>
      </c>
      <c r="AD20" s="1"/>
      <c r="AE20" s="1"/>
      <c r="AF20" s="1" t="n">
        <v>0</v>
      </c>
      <c r="AG20" s="1" t="n">
        <v>1116615244.30532</v>
      </c>
      <c r="AH20" s="1" t="n">
        <v>1091442974.12988</v>
      </c>
      <c r="AI20" s="1" t="n">
        <v>1100220836.52283</v>
      </c>
      <c r="AJ20" s="1" t="n">
        <v>2587411965.75464</v>
      </c>
      <c r="AK20" s="1" t="n">
        <v>552610928.286132</v>
      </c>
      <c r="AL20" s="1" t="n">
        <v>309802852.98937</v>
      </c>
      <c r="AM20" s="1" t="n">
        <v>328044789.268121</v>
      </c>
      <c r="AN20" s="1" t="n">
        <v>305011887.241451</v>
      </c>
      <c r="AO20" s="1" t="n">
        <v>240533069.397025</v>
      </c>
      <c r="AP20" s="1" t="n">
        <v>116458486.463949</v>
      </c>
      <c r="AQ20" s="1" t="n">
        <v>108766384.273064</v>
      </c>
      <c r="AR20" s="1" t="n">
        <v>237898891.044191</v>
      </c>
      <c r="AS20" s="1" t="n">
        <v>132083988.946919</v>
      </c>
      <c r="AT20" s="1" t="n">
        <v>153398976.1896</v>
      </c>
      <c r="AU20" s="1" t="n">
        <v>78724489.6663355</v>
      </c>
      <c r="AV20" s="1" t="n">
        <v>31275334.3357918</v>
      </c>
      <c r="AW20" s="1" t="n">
        <v>38418334.8913381</v>
      </c>
      <c r="AX20" s="1" t="n">
        <v>40853549.608437</v>
      </c>
      <c r="AY20" s="1" t="n">
        <v>38748666.4609494</v>
      </c>
      <c r="AZ20" s="1" t="n">
        <v>13448823.2547576</v>
      </c>
      <c r="BA20" s="1" t="n">
        <v>3056167.43361437</v>
      </c>
      <c r="BB20" s="1" t="n">
        <v>25355.3917222716</v>
      </c>
      <c r="BC20" s="1"/>
      <c r="BD20" s="1" t="n">
        <v>17024.9169047855</v>
      </c>
      <c r="BE20" s="1" t="n">
        <v>43034.6652125858</v>
      </c>
      <c r="BF20" s="1" t="n">
        <v>-19204117.6548244</v>
      </c>
      <c r="BG20" s="1" t="n">
        <v>-2269054.5</v>
      </c>
      <c r="BH20" s="1" t="n">
        <v>9851.89539967892</v>
      </c>
      <c r="BI20" s="1"/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n">
        <v>11741787.674289</v>
      </c>
      <c r="Z21" s="1" t="n">
        <v>22530893399.8844</v>
      </c>
      <c r="AA21" s="1" t="n">
        <v>27290590861.9728</v>
      </c>
      <c r="AB21" s="1" t="n">
        <v>18840301145.1705</v>
      </c>
      <c r="AC21" s="1" t="n">
        <v>20082577572.1016</v>
      </c>
      <c r="AD21" s="1" t="n">
        <v>17361749762.0734</v>
      </c>
      <c r="AE21" s="1" t="n">
        <v>18056639144.7885</v>
      </c>
      <c r="AF21" s="1" t="n">
        <v>19207217613.4441</v>
      </c>
      <c r="AG21" s="1" t="n">
        <v>18981729906.7639</v>
      </c>
      <c r="AH21" s="1" t="n">
        <v>16661005973.5891</v>
      </c>
      <c r="AI21" s="1" t="n">
        <v>14909396021.5292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896569.400562194</v>
      </c>
      <c r="AO21" s="1"/>
      <c r="AP21" s="1"/>
      <c r="AQ21" s="1" t="n">
        <v>0</v>
      </c>
      <c r="AR21" s="1" t="n">
        <v>0</v>
      </c>
      <c r="AS21" s="1" t="n">
        <v>0</v>
      </c>
      <c r="AT21" s="1"/>
      <c r="AU21" s="1"/>
      <c r="AV21" s="1"/>
      <c r="AW21" s="1"/>
      <c r="AX21" s="1"/>
      <c r="AY21" s="1"/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633308.529997587</v>
      </c>
      <c r="BI21" s="1" t="n">
        <v>0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50</v>
      </c>
      <c r="O2" t="s">
        <v>51</v>
      </c>
      <c r="P2" s="2" t="n">
        <v>4759277494.5313</v>
      </c>
      <c r="Q2" s="2" t="n">
        <v>4808548321.97</v>
      </c>
      <c r="R2" s="2" t="n">
        <v>4810451699.49</v>
      </c>
      <c r="S2" s="2" t="n">
        <v>3840815516.25</v>
      </c>
      <c r="T2" s="2" t="n">
        <v>4832963267.31</v>
      </c>
      <c r="U2" s="2" t="n">
        <v>4182552778.35</v>
      </c>
      <c r="V2" s="2" t="n">
        <v>6414372780.35</v>
      </c>
      <c r="W2" s="2" t="n">
        <v>7732838457.03</v>
      </c>
      <c r="X2" s="2" t="n">
        <v>9639023085.17</v>
      </c>
      <c r="Y2" s="2" t="n">
        <v>8627494356.54</v>
      </c>
      <c r="Z2" s="2" t="n">
        <v>8065441510.2504</v>
      </c>
      <c r="AA2" s="2" t="n">
        <v>8982161318.9137</v>
      </c>
      <c r="AB2" s="2" t="n">
        <v>7944909118.7479</v>
      </c>
      <c r="AC2" s="2" t="n">
        <v>7604282996.7383</v>
      </c>
      <c r="AD2" s="2" t="n">
        <v>7146166248.3751</v>
      </c>
      <c r="AE2" s="2" t="n">
        <v>5463301771.5607</v>
      </c>
      <c r="AF2" s="2" t="n">
        <v>4413807880.723</v>
      </c>
      <c r="AG2" s="2" t="n">
        <v>6181701016.8531</v>
      </c>
      <c r="AH2" s="2" t="n">
        <v>5029281002.2</v>
      </c>
      <c r="AI2" s="2" t="n">
        <v>5338210992.2</v>
      </c>
      <c r="AJ2" s="2" t="n">
        <v>16558885642.7</v>
      </c>
      <c r="AK2" s="2" t="n">
        <v>36231521379.16</v>
      </c>
      <c r="AL2" s="2" t="n">
        <v>33035214665.64</v>
      </c>
      <c r="AM2" s="2" t="n">
        <v>8594241157.25</v>
      </c>
      <c r="AN2" s="2" t="n">
        <v>5652666756.13</v>
      </c>
      <c r="AO2" s="2" t="n">
        <v>1692569961.18</v>
      </c>
      <c r="AP2" s="2"/>
    </row>
    <row r="3">
      <c r="A3" t="str">
        <f>N3</f>
      </c>
      <c r="B3" t="str">
        <f>O3</f>
      </c>
      <c r="N3" t="s">
        <v>50</v>
      </c>
      <c r="O3" t="s">
        <v>52</v>
      </c>
      <c r="P3" s="2" t="n">
        <v>682504076.0042</v>
      </c>
      <c r="Q3" s="2" t="n">
        <v>583294415.88</v>
      </c>
      <c r="R3" s="2" t="n">
        <v>652332547.41</v>
      </c>
      <c r="S3" s="2" t="n">
        <v>1159279295.47</v>
      </c>
      <c r="T3" s="2" t="n">
        <v>1349610954.7</v>
      </c>
      <c r="U3" s="2" t="n">
        <v>2711643669.68</v>
      </c>
      <c r="V3" s="2" t="n">
        <v>3982542084.98</v>
      </c>
      <c r="W3" s="2" t="n">
        <v>4354396574.15</v>
      </c>
      <c r="X3" s="2" t="n">
        <v>5149070459.24</v>
      </c>
      <c r="Y3" s="2" t="n">
        <v>3725223247.46</v>
      </c>
      <c r="Z3" s="2" t="n">
        <v>3461764256.0949</v>
      </c>
      <c r="AA3" s="2" t="n">
        <v>4466463814.2826</v>
      </c>
      <c r="AB3" s="2" t="n">
        <v>3338900342.4839</v>
      </c>
      <c r="AC3" s="2" t="n">
        <v>3805891198.862</v>
      </c>
      <c r="AD3" s="2" t="n">
        <v>3507403042.7394</v>
      </c>
      <c r="AE3" s="2" t="n">
        <v>3321143024.7753</v>
      </c>
      <c r="AF3" s="2" t="n">
        <v>3539108632.3845</v>
      </c>
      <c r="AG3" s="2" t="n">
        <v>3856890416.618</v>
      </c>
      <c r="AH3" s="2" t="n">
        <v>3304663821.7</v>
      </c>
      <c r="AI3" s="2" t="n">
        <v>3043298142.16</v>
      </c>
      <c r="AJ3" s="2" t="n">
        <v>4207372291.36</v>
      </c>
      <c r="AK3" s="2" t="n">
        <v>3308114825.72</v>
      </c>
      <c r="AL3" s="2" t="n">
        <v>2760952444.95</v>
      </c>
      <c r="AM3" s="2" t="n">
        <v>3461962962.44</v>
      </c>
      <c r="AN3" s="2" t="n">
        <v>3612566732.91</v>
      </c>
      <c r="AO3" s="2" t="n">
        <v>1592406576.15</v>
      </c>
      <c r="AP3" s="2"/>
    </row>
    <row r="4">
      <c r="A4" t="str">
        <f>N4</f>
      </c>
      <c r="B4" t="str">
        <f>O4</f>
      </c>
      <c r="N4" t="s">
        <v>53</v>
      </c>
      <c r="O4" t="s">
        <v>54</v>
      </c>
      <c r="P4" s="2" t="n">
        <v>90547706.9006</v>
      </c>
      <c r="Q4" s="2" t="n">
        <v>120948980.3899</v>
      </c>
      <c r="R4" s="2" t="n">
        <v>176091216.3693</v>
      </c>
      <c r="S4" s="2" t="n">
        <v>278832090.9278</v>
      </c>
      <c r="T4" s="2" t="n">
        <v>317453989.7447</v>
      </c>
      <c r="U4" s="2" t="n">
        <v>382136971.7054</v>
      </c>
      <c r="V4" s="2" t="n">
        <v>713286667.2351</v>
      </c>
      <c r="W4" s="2" t="n">
        <v>671480288.8754</v>
      </c>
      <c r="X4" s="2" t="n">
        <v>1233838200.6764</v>
      </c>
      <c r="Y4" s="2" t="n">
        <v>1686669958.1146</v>
      </c>
      <c r="Z4" s="2" t="n">
        <v>2284606062.3804</v>
      </c>
      <c r="AA4" s="2" t="n">
        <v>1725884444.4758</v>
      </c>
      <c r="AB4" s="2" t="n">
        <v>2447036469.7791</v>
      </c>
      <c r="AC4" s="2" t="n">
        <v>1085199246.6545</v>
      </c>
      <c r="AD4" s="2" t="n">
        <v>751115688.4843</v>
      </c>
      <c r="AE4" s="2" t="n">
        <v>704161496.7118</v>
      </c>
      <c r="AF4" s="2" t="n">
        <v>591903301.3769</v>
      </c>
      <c r="AG4" s="2" t="n">
        <v>807422287.9941</v>
      </c>
      <c r="AH4" s="2" t="n">
        <v>998438554.2995</v>
      </c>
      <c r="AI4" s="2" t="n">
        <v>722073993.8312</v>
      </c>
      <c r="AJ4" s="2" t="n">
        <v>1835545348.5527</v>
      </c>
      <c r="AK4" s="2" t="n">
        <v>2732364972.4678</v>
      </c>
      <c r="AL4" s="2" t="n">
        <v>693062089.5139</v>
      </c>
      <c r="AM4" s="2" t="n">
        <v>1041342258.5896</v>
      </c>
      <c r="AN4" s="2" t="n">
        <v>1207690917.9117</v>
      </c>
      <c r="AO4" s="2" t="n">
        <v>503840926.5</v>
      </c>
      <c r="AP4" s="2"/>
    </row>
    <row r="5">
      <c r="A5" t="str">
        <f>N5</f>
      </c>
      <c r="B5" t="str">
        <f>O5</f>
      </c>
      <c r="N5" t="s">
        <v>53</v>
      </c>
      <c r="O5" t="s">
        <v>55</v>
      </c>
      <c r="P5" s="2" t="n">
        <v>1518595638.003</v>
      </c>
      <c r="Q5" s="2" t="n">
        <v>1318963186.9534</v>
      </c>
      <c r="R5" s="2" t="n">
        <v>1366263352.2565</v>
      </c>
      <c r="S5" s="2" t="n">
        <v>3173587517.3298</v>
      </c>
      <c r="T5" s="2" t="n">
        <v>1977535311.9187</v>
      </c>
      <c r="U5" s="2" t="n">
        <v>1362895946.2457</v>
      </c>
      <c r="V5" s="2" t="n">
        <v>1576125816.5737</v>
      </c>
      <c r="W5" s="2" t="n">
        <v>1783273297.1921</v>
      </c>
      <c r="X5" s="2" t="n">
        <v>1752709722.4003</v>
      </c>
      <c r="Y5" s="2" t="n">
        <v>1770661316.162</v>
      </c>
      <c r="Z5" s="2" t="n">
        <v>1662753249.031</v>
      </c>
      <c r="AA5" s="2" t="n">
        <v>1436418716.55</v>
      </c>
      <c r="AB5" s="2" t="n">
        <v>1304767976.3228</v>
      </c>
      <c r="AC5" s="2" t="n">
        <v>1371810929.5659</v>
      </c>
      <c r="AD5" s="2" t="n">
        <v>1158975337.2728</v>
      </c>
      <c r="AE5" s="2" t="n">
        <v>945662722.5056</v>
      </c>
      <c r="AF5" s="2" t="n">
        <v>996098516.0213</v>
      </c>
      <c r="AG5" s="2" t="n">
        <v>1042432803.2452</v>
      </c>
      <c r="AH5" s="2" t="n">
        <v>971755684.6425</v>
      </c>
      <c r="AI5" s="2" t="n">
        <v>737967789.3144</v>
      </c>
      <c r="AJ5" s="2" t="n">
        <v>879187572.6148</v>
      </c>
      <c r="AK5" s="2" t="n">
        <v>802578642.3426</v>
      </c>
      <c r="AL5" s="2" t="n">
        <v>910642670.587</v>
      </c>
      <c r="AM5" s="2" t="n">
        <v>904619374.8862</v>
      </c>
      <c r="AN5" s="2" t="n">
        <v>1099924152.3801</v>
      </c>
      <c r="AO5" s="2" t="n">
        <v>277376332.54</v>
      </c>
      <c r="AP5" s="2"/>
    </row>
    <row r="6">
      <c r="A6" t="str">
        <f>N6</f>
      </c>
      <c r="B6" t="str">
        <f>O6</f>
      </c>
      <c r="N6" t="s">
        <v>53</v>
      </c>
      <c r="O6" t="s">
        <v>56</v>
      </c>
      <c r="P6" s="2" t="n">
        <v>3250388367</v>
      </c>
      <c r="Q6" s="2" t="n">
        <v>2567872154</v>
      </c>
      <c r="R6" s="2" t="n">
        <v>3334772641.0598</v>
      </c>
      <c r="S6" s="2" t="n">
        <v>2093178243.7121</v>
      </c>
      <c r="T6" s="2" t="n">
        <v>2521584715.0345</v>
      </c>
      <c r="U6" s="2" t="n">
        <v>3516804802.492</v>
      </c>
      <c r="V6" s="2" t="n">
        <v>3859240172.3507</v>
      </c>
      <c r="W6" s="2" t="n">
        <v>4358370739.0101</v>
      </c>
      <c r="X6" s="2" t="n">
        <v>3298575788.8751</v>
      </c>
      <c r="Y6" s="2" t="n">
        <v>4456925370.4796</v>
      </c>
      <c r="Z6" s="2" t="n">
        <v>23707912409.2766</v>
      </c>
      <c r="AA6" s="2" t="n">
        <v>5336753656.4892</v>
      </c>
      <c r="AB6" s="2" t="n">
        <v>4112723115.6012</v>
      </c>
      <c r="AC6" s="2" t="n">
        <v>4522918119.091</v>
      </c>
      <c r="AD6" s="2" t="n">
        <v>3758329527.5949</v>
      </c>
      <c r="AE6" s="2" t="n">
        <v>5569929860.7884</v>
      </c>
      <c r="AF6" s="2" t="n">
        <v>7642956468.4373</v>
      </c>
      <c r="AG6" s="2" t="n">
        <v>4826451331.7178</v>
      </c>
      <c r="AH6" s="2" t="n">
        <v>4895346416.7874</v>
      </c>
      <c r="AI6" s="2" t="n">
        <v>6497295190.1428</v>
      </c>
      <c r="AJ6" s="2" t="n">
        <v>8096165885.3414</v>
      </c>
      <c r="AK6" s="2" t="n">
        <v>7130722682.8495</v>
      </c>
      <c r="AL6" s="2" t="n">
        <v>9256263017.8597</v>
      </c>
      <c r="AM6" s="2" t="n">
        <v>10639238605.2127</v>
      </c>
      <c r="AN6" s="2" t="n">
        <v>11537342702.32</v>
      </c>
      <c r="AO6" s="2" t="n">
        <v>4761471251.52</v>
      </c>
      <c r="AP6" s="2"/>
    </row>
    <row r="7">
      <c r="A7" t="str">
        <f>N7</f>
      </c>
      <c r="B7" t="str">
        <f>O7</f>
      </c>
      <c r="N7" t="s">
        <v>53</v>
      </c>
      <c r="O7" t="s">
        <v>57</v>
      </c>
      <c r="P7" s="2" t="n">
        <v>5371795646</v>
      </c>
      <c r="Q7" s="2" t="n">
        <v>7680428616.1314</v>
      </c>
      <c r="R7" s="2" t="n">
        <v>9387376606.8964</v>
      </c>
      <c r="S7" s="2" t="n">
        <v>12895425081.9622</v>
      </c>
      <c r="T7" s="2" t="n">
        <v>17002697395.273</v>
      </c>
      <c r="U7" s="2" t="n">
        <v>35082963241.2807</v>
      </c>
      <c r="V7" s="2" t="n">
        <v>36946385934.106</v>
      </c>
      <c r="W7" s="2" t="n">
        <v>36950959779.6231</v>
      </c>
      <c r="X7" s="2" t="n">
        <v>40807361560.6612</v>
      </c>
      <c r="Y7" s="2" t="n">
        <v>42095305288.5045</v>
      </c>
      <c r="Z7" s="2" t="n">
        <v>34648417099.8086</v>
      </c>
      <c r="AA7" s="2" t="n">
        <v>34173023655.8673</v>
      </c>
      <c r="AB7" s="2" t="n">
        <v>40868456283.5598</v>
      </c>
      <c r="AC7" s="2" t="n">
        <v>29716046176.419</v>
      </c>
      <c r="AD7" s="2" t="n">
        <v>28025213675.5398</v>
      </c>
      <c r="AE7" s="2" t="n">
        <v>26100394837.5193</v>
      </c>
      <c r="AF7" s="2" t="n">
        <v>24025396470.6108</v>
      </c>
      <c r="AG7" s="2" t="n">
        <v>26569014421.0026</v>
      </c>
      <c r="AH7" s="2" t="n">
        <v>31221911726.3895</v>
      </c>
      <c r="AI7" s="2" t="n">
        <v>29088191926.2772</v>
      </c>
      <c r="AJ7" s="2" t="n">
        <v>31324879004.3182</v>
      </c>
      <c r="AK7" s="2" t="n">
        <v>32994844739.6572</v>
      </c>
      <c r="AL7" s="2" t="n">
        <v>41146782636.0888</v>
      </c>
      <c r="AM7" s="2" t="n">
        <v>40718958653.3149</v>
      </c>
      <c r="AN7" s="2" t="n">
        <v>40865503741.7</v>
      </c>
      <c r="AO7" s="2" t="n">
        <v>18396318481.72</v>
      </c>
      <c r="AP7" s="2"/>
    </row>
    <row r="8">
      <c r="A8" t="str">
        <f>N8</f>
      </c>
      <c r="B8" t="str">
        <f>O8</f>
      </c>
      <c r="N8" t="s">
        <v>53</v>
      </c>
      <c r="O8" t="s">
        <v>58</v>
      </c>
      <c r="P8" s="2" t="n">
        <v>1539051224</v>
      </c>
      <c r="Q8" s="2" t="n">
        <v>336673013.5156</v>
      </c>
      <c r="R8" s="2" t="n">
        <v>191713832.2891</v>
      </c>
      <c r="S8" s="2" t="n">
        <v>206899060.7169</v>
      </c>
      <c r="T8" s="2" t="n">
        <v>197069612.0725</v>
      </c>
      <c r="U8" s="2" t="n">
        <v>160138629.7971</v>
      </c>
      <c r="V8" s="2" t="n">
        <v>80052687.8275</v>
      </c>
      <c r="W8" s="2" t="n">
        <v>76823442.695</v>
      </c>
      <c r="X8" s="2" t="n">
        <v>171520286.7967</v>
      </c>
      <c r="Y8" s="2" t="n">
        <v>96203714.7866</v>
      </c>
      <c r="Z8" s="2" t="n">
        <v>112696159.4964</v>
      </c>
      <c r="AA8" s="2" t="n">
        <v>58996611.0434</v>
      </c>
      <c r="AB8" s="2" t="n">
        <v>23863231.2519</v>
      </c>
      <c r="AC8" s="2" t="n">
        <v>29845258.45</v>
      </c>
      <c r="AD8" s="2" t="n">
        <v>32316037.93</v>
      </c>
      <c r="AE8" s="2" t="n">
        <v>30968459.9</v>
      </c>
      <c r="AF8" s="2" t="n">
        <v>10834416.96</v>
      </c>
      <c r="AG8" s="2" t="n">
        <v>2503618.7704</v>
      </c>
      <c r="AH8" s="2" t="n">
        <v>21232.3105</v>
      </c>
      <c r="AI8" s="2"/>
      <c r="AJ8" s="2" t="n">
        <v>14709.7402</v>
      </c>
      <c r="AK8" s="2" t="n">
        <v>38462.21</v>
      </c>
      <c r="AL8" s="2" t="n">
        <v>-18364026</v>
      </c>
      <c r="AM8" s="2" t="n">
        <v>-2269054.5</v>
      </c>
      <c r="AN8" s="2" t="n">
        <v>10115</v>
      </c>
      <c r="AO8" s="2"/>
      <c r="AP8" s="2"/>
    </row>
    <row r="9">
      <c r="A9" t="str">
        <f>N9</f>
      </c>
      <c r="B9" t="str">
        <f>O9</f>
      </c>
      <c r="N9"/>
      <c r="O9"/>
      <c r="P9" s="2" t="n">
        <v>0</v>
      </c>
      <c r="Q9" s="2" t="n">
        <v>0</v>
      </c>
      <c r="R9" s="2" t="n">
        <v>0</v>
      </c>
      <c r="S9" s="2" t="n">
        <v>0</v>
      </c>
      <c r="T9" s="2" t="n">
        <v>579277.6982</v>
      </c>
      <c r="U9" s="2"/>
      <c r="V9" s="2"/>
      <c r="W9" s="2" t="n">
        <v>0</v>
      </c>
      <c r="X9" s="2" t="n">
        <v>0</v>
      </c>
      <c r="Y9" s="2" t="n">
        <v>0</v>
      </c>
      <c r="Z9" s="2"/>
      <c r="AA9" s="2"/>
      <c r="AB9" s="2"/>
      <c r="AC9" s="2"/>
      <c r="AD9" s="2"/>
      <c r="AE9" s="2"/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650221.66</v>
      </c>
      <c r="AO9" s="2" t="n">
        <v>0</v>
      </c>
      <c r="AP9" s="2"/>
    </row>
    <row r="10">
      <c r="A10" t="str">
        <f>N10</f>
      </c>
      <c r="B10" t="str">
        <f>O10</f>
      </c>
      <c r="N10" t="s">
        <v>59</v>
      </c>
      <c r="O10" t="s">
        <v>60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50</v>
      </c>
      <c r="O14" t="s">
        <v>51</v>
      </c>
      <c r="P14" s="2" t="n">
        <v>8001170685.98429</v>
      </c>
      <c r="Q14" s="2" t="n">
        <v>7892691856.00894</v>
      </c>
      <c r="R14" s="2" t="n">
        <v>7773521831.34204</v>
      </c>
      <c r="S14" s="2" t="n">
        <v>6089730481.52191</v>
      </c>
      <c r="T14" s="2" t="n">
        <v>7480155015.41922</v>
      </c>
      <c r="U14" s="2" t="n">
        <v>6282320880.14155</v>
      </c>
      <c r="V14" s="2" t="n">
        <v>9331456143.29386</v>
      </c>
      <c r="W14" s="2" t="n">
        <v>10948127936.3909</v>
      </c>
      <c r="X14" s="2" t="n">
        <v>13369339251.5678</v>
      </c>
      <c r="Y14" s="2" t="n">
        <v>11845216910.3512</v>
      </c>
      <c r="Z14" s="2" t="n">
        <v>10978461694.864</v>
      </c>
      <c r="AA14" s="2" t="n">
        <v>11985706524.9392</v>
      </c>
      <c r="AB14" s="2" t="n">
        <v>10412658970.337</v>
      </c>
      <c r="AC14" s="2" t="n">
        <v>9788619899.76167</v>
      </c>
      <c r="AD14" s="2" t="n">
        <v>9034098114.70445</v>
      </c>
      <c r="AE14" s="2" t="n">
        <v>6835847142.71567</v>
      </c>
      <c r="AF14" s="2" t="n">
        <v>5478884769.47629</v>
      </c>
      <c r="AG14" s="2" t="n">
        <v>7546002432.72217</v>
      </c>
      <c r="AH14" s="2" t="n">
        <v>6005912069.35108</v>
      </c>
      <c r="AI14" s="2" t="n">
        <v>6259104947.51399</v>
      </c>
      <c r="AJ14" s="2" t="n">
        <v>19165100693.1321</v>
      </c>
      <c r="AK14" s="2" t="n">
        <v>40538788402.8192</v>
      </c>
      <c r="AL14" s="2" t="n">
        <v>34546463242.392</v>
      </c>
      <c r="AM14" s="2" t="n">
        <v>8594241157.25</v>
      </c>
      <c r="AN14" s="2" t="n">
        <v>5505633377.22542</v>
      </c>
      <c r="AO14" s="2" t="n">
        <v>1613148150.91313</v>
      </c>
      <c r="AP14" s="2"/>
    </row>
    <row r="15">
      <c r="A15" t="str">
        <f>N15</f>
      </c>
      <c r="B15" t="str">
        <f>O15</f>
      </c>
      <c r="N15" t="s">
        <v>50</v>
      </c>
      <c r="O15" t="s">
        <v>52</v>
      </c>
      <c r="P15" s="2" t="n">
        <v>1147407692.08445</v>
      </c>
      <c r="Q15" s="2" t="n">
        <v>957412253.681058</v>
      </c>
      <c r="R15" s="2" t="n">
        <v>1054146598.98242</v>
      </c>
      <c r="S15" s="2" t="n">
        <v>1838072782.29122</v>
      </c>
      <c r="T15" s="2" t="n">
        <v>2088842516.13253</v>
      </c>
      <c r="U15" s="2" t="n">
        <v>4072970874.08296</v>
      </c>
      <c r="V15" s="2" t="n">
        <v>5793694578.93982</v>
      </c>
      <c r="W15" s="2" t="n">
        <v>6164940732.24002</v>
      </c>
      <c r="X15" s="2" t="n">
        <v>7141768329.79249</v>
      </c>
      <c r="Y15" s="2" t="n">
        <v>5114587802.91142</v>
      </c>
      <c r="Z15" s="2" t="n">
        <v>4712060242.93732</v>
      </c>
      <c r="AA15" s="2" t="n">
        <v>5960004789.66305</v>
      </c>
      <c r="AB15" s="2" t="n">
        <v>4375988457.83969</v>
      </c>
      <c r="AC15" s="2" t="n">
        <v>4899136755.10076</v>
      </c>
      <c r="AD15" s="2" t="n">
        <v>4434017081.97392</v>
      </c>
      <c r="AE15" s="2" t="n">
        <v>4155513827.67106</v>
      </c>
      <c r="AF15" s="2" t="n">
        <v>4393115628.83822</v>
      </c>
      <c r="AG15" s="2" t="n">
        <v>4708106132.47002</v>
      </c>
      <c r="AH15" s="2" t="n">
        <v>3946393196.80365</v>
      </c>
      <c r="AI15" s="2" t="n">
        <v>3568297035.50244</v>
      </c>
      <c r="AJ15" s="2" t="n">
        <v>4869573675.26458</v>
      </c>
      <c r="AK15" s="2" t="n">
        <v>3701389337.99311</v>
      </c>
      <c r="AL15" s="2" t="n">
        <v>2887256617.48654</v>
      </c>
      <c r="AM15" s="2" t="n">
        <v>3461962962.44</v>
      </c>
      <c r="AN15" s="2" t="n">
        <v>3518599068.41217</v>
      </c>
      <c r="AO15" s="2" t="n">
        <v>1517684812.2883</v>
      </c>
      <c r="AP15" s="2"/>
    </row>
    <row r="16">
      <c r="A16" t="str">
        <f>N16</f>
      </c>
      <c r="B16" t="str">
        <f>O16</f>
      </c>
      <c r="N16" t="s">
        <v>53</v>
      </c>
      <c r="O16" t="s">
        <v>54</v>
      </c>
      <c r="P16" s="2" t="n">
        <v>152226395.491471</v>
      </c>
      <c r="Q16" s="2" t="n">
        <v>198524163.343513</v>
      </c>
      <c r="R16" s="2" t="n">
        <v>284557251.640101</v>
      </c>
      <c r="S16" s="2" t="n">
        <v>442096808.910878</v>
      </c>
      <c r="T16" s="2" t="n">
        <v>491335216.55656</v>
      </c>
      <c r="U16" s="2" t="n">
        <v>573981298.896117</v>
      </c>
      <c r="V16" s="2" t="n">
        <v>1037670163.6816</v>
      </c>
      <c r="W16" s="2" t="n">
        <v>950679643.732801</v>
      </c>
      <c r="X16" s="2" t="n">
        <v>1711335406.15396</v>
      </c>
      <c r="Y16" s="2" t="n">
        <v>2315732782.24117</v>
      </c>
      <c r="Z16" s="2" t="n">
        <v>3109744223.1552</v>
      </c>
      <c r="AA16" s="2" t="n">
        <v>2303002998.1633</v>
      </c>
      <c r="AB16" s="2" t="n">
        <v>3207104809.75302</v>
      </c>
      <c r="AC16" s="2" t="n">
        <v>1396923673.8776</v>
      </c>
      <c r="AD16" s="2" t="n">
        <v>949551492.284954</v>
      </c>
      <c r="AE16" s="2" t="n">
        <v>881067998.177348</v>
      </c>
      <c r="AF16" s="2" t="n">
        <v>734732926.88612</v>
      </c>
      <c r="AG16" s="2" t="n">
        <v>985620387.143736</v>
      </c>
      <c r="AH16" s="2" t="n">
        <v>1192324342.41588</v>
      </c>
      <c r="AI16" s="2" t="n">
        <v>846638867.190493</v>
      </c>
      <c r="AJ16" s="2" t="n">
        <v>2124443165.49352</v>
      </c>
      <c r="AK16" s="2" t="n">
        <v>3057193328.95193</v>
      </c>
      <c r="AL16" s="2" t="n">
        <v>724767320.03774</v>
      </c>
      <c r="AM16" s="2" t="n">
        <v>1041342258.5896</v>
      </c>
      <c r="AN16" s="2" t="n">
        <v>1176277271.22178</v>
      </c>
      <c r="AO16" s="2" t="n">
        <v>480198796.846895</v>
      </c>
      <c r="AP16" s="2"/>
    </row>
    <row r="17">
      <c r="A17" t="str">
        <f>N17</f>
      </c>
      <c r="B17" t="str">
        <f>O17</f>
      </c>
      <c r="N17" t="s">
        <v>53</v>
      </c>
      <c r="O17" t="s">
        <v>55</v>
      </c>
      <c r="P17" s="2" t="n">
        <v>2553022578.87146</v>
      </c>
      <c r="Q17" s="2" t="n">
        <v>2164929892.97397</v>
      </c>
      <c r="R17" s="2" t="n">
        <v>2207833829.25442</v>
      </c>
      <c r="S17" s="2" t="n">
        <v>5031820080.47345</v>
      </c>
      <c r="T17" s="2" t="n">
        <v>3060704140.1849</v>
      </c>
      <c r="U17" s="2" t="n">
        <v>2047110966.5082</v>
      </c>
      <c r="V17" s="2" t="n">
        <v>2292905235.99225</v>
      </c>
      <c r="W17" s="2" t="n">
        <v>2524752626.30887</v>
      </c>
      <c r="X17" s="2" t="n">
        <v>2431010972.9214</v>
      </c>
      <c r="Y17" s="2" t="n">
        <v>2431049676.5272</v>
      </c>
      <c r="Z17" s="2" t="n">
        <v>2263294926.79326</v>
      </c>
      <c r="AA17" s="2" t="n">
        <v>1916742816.36931</v>
      </c>
      <c r="AB17" s="2" t="n">
        <v>1710038940.63512</v>
      </c>
      <c r="AC17" s="2" t="n">
        <v>1765864811.92494</v>
      </c>
      <c r="AD17" s="2" t="n">
        <v>1465162794.36207</v>
      </c>
      <c r="AE17" s="2" t="n">
        <v>1183241579.8928</v>
      </c>
      <c r="AF17" s="2" t="n">
        <v>1236462740.51989</v>
      </c>
      <c r="AG17" s="2" t="n">
        <v>1272497723.16586</v>
      </c>
      <c r="AH17" s="2" t="n">
        <v>1160459952.8843</v>
      </c>
      <c r="AI17" s="2" t="n">
        <v>865274498.882277</v>
      </c>
      <c r="AJ17" s="2" t="n">
        <v>1017563543.88143</v>
      </c>
      <c r="AK17" s="2" t="n">
        <v>897990603.76368</v>
      </c>
      <c r="AL17" s="2" t="n">
        <v>952301471.771836</v>
      </c>
      <c r="AM17" s="2" t="n">
        <v>904619374.8862</v>
      </c>
      <c r="AN17" s="2" t="n">
        <v>1071313662.56344</v>
      </c>
      <c r="AO17" s="2" t="n">
        <v>264360781.655383</v>
      </c>
      <c r="AP17" s="2"/>
    </row>
    <row r="18">
      <c r="A18" t="str">
        <f>N18</f>
      </c>
      <c r="B18" t="str">
        <f>O18</f>
      </c>
      <c r="N18" t="s">
        <v>53</v>
      </c>
      <c r="O18" t="s">
        <v>56</v>
      </c>
      <c r="P18" s="2" t="n">
        <v>5464466434.24097</v>
      </c>
      <c r="Q18" s="2" t="n">
        <v>4214873654.18523</v>
      </c>
      <c r="R18" s="2" t="n">
        <v>5388876044.75663</v>
      </c>
      <c r="S18" s="2" t="n">
        <v>3318798130.25687</v>
      </c>
      <c r="T18" s="2" t="n">
        <v>3902749412.67413</v>
      </c>
      <c r="U18" s="2" t="n">
        <v>5282347268.02263</v>
      </c>
      <c r="V18" s="2" t="n">
        <v>5614318289.24096</v>
      </c>
      <c r="W18" s="2" t="n">
        <v>6170567342.12855</v>
      </c>
      <c r="X18" s="2" t="n">
        <v>4575129489.66046</v>
      </c>
      <c r="Y18" s="2" t="n">
        <v>6119186589.39008</v>
      </c>
      <c r="Z18" s="2" t="n">
        <v>32270571663.0203</v>
      </c>
      <c r="AA18" s="2" t="n">
        <v>7121310879.5859</v>
      </c>
      <c r="AB18" s="2" t="n">
        <v>5390166533.32417</v>
      </c>
      <c r="AC18" s="2" t="n">
        <v>5822130281.64744</v>
      </c>
      <c r="AD18" s="2" t="n">
        <v>4751235350.47949</v>
      </c>
      <c r="AE18" s="2" t="n">
        <v>6969263408.10937</v>
      </c>
      <c r="AF18" s="2" t="n">
        <v>9487245235.92816</v>
      </c>
      <c r="AG18" s="2" t="n">
        <v>5891649141.7597</v>
      </c>
      <c r="AH18" s="2" t="n">
        <v>5845968860.23606</v>
      </c>
      <c r="AI18" s="2" t="n">
        <v>7618142581.75691</v>
      </c>
      <c r="AJ18" s="2" t="n">
        <v>9370427320.34769</v>
      </c>
      <c r="AK18" s="2" t="n">
        <v>7978435544.40112</v>
      </c>
      <c r="AL18" s="2" t="n">
        <v>9679705530.74679</v>
      </c>
      <c r="AM18" s="2" t="n">
        <v>10639238605.2127</v>
      </c>
      <c r="AN18" s="2" t="n">
        <v>11237241076.9655</v>
      </c>
      <c r="AO18" s="2" t="n">
        <v>4538044938.27872</v>
      </c>
      <c r="AP18" s="2"/>
    </row>
    <row r="19">
      <c r="A19" t="str">
        <f>N19</f>
      </c>
      <c r="B19" t="str">
        <f>O19</f>
      </c>
      <c r="N19" t="s">
        <v>53</v>
      </c>
      <c r="O19" t="s">
        <v>57</v>
      </c>
      <c r="P19" s="2" t="n">
        <v>9030919903.96875</v>
      </c>
      <c r="Q19" s="2" t="n">
        <v>12606560718.592</v>
      </c>
      <c r="R19" s="2" t="n">
        <v>15169672527.9406</v>
      </c>
      <c r="S19" s="2" t="n">
        <v>20446090904.7983</v>
      </c>
      <c r="T19" s="2" t="n">
        <v>26315700153.8097</v>
      </c>
      <c r="U19" s="2" t="n">
        <v>52695672759.6595</v>
      </c>
      <c r="V19" s="2" t="n">
        <v>53748603613.0421</v>
      </c>
      <c r="W19" s="2" t="n">
        <v>52315050584.3003</v>
      </c>
      <c r="X19" s="2" t="n">
        <v>56599870738.4823</v>
      </c>
      <c r="Y19" s="2" t="n">
        <v>57795230161.0964</v>
      </c>
      <c r="Z19" s="2" t="n">
        <v>47162491902.5803</v>
      </c>
      <c r="AA19" s="2" t="n">
        <v>45600142111.2938</v>
      </c>
      <c r="AB19" s="2" t="n">
        <v>53562512995.9823</v>
      </c>
      <c r="AC19" s="2" t="n">
        <v>38252006279.816</v>
      </c>
      <c r="AD19" s="2" t="n">
        <v>35429140777.1198</v>
      </c>
      <c r="AE19" s="2" t="n">
        <v>32657597353.0451</v>
      </c>
      <c r="AF19" s="2" t="n">
        <v>29822860976.4268</v>
      </c>
      <c r="AG19" s="2" t="n">
        <v>32432795909.9482</v>
      </c>
      <c r="AH19" s="2" t="n">
        <v>37284863658.187</v>
      </c>
      <c r="AI19" s="2" t="n">
        <v>34106191431.1792</v>
      </c>
      <c r="AJ19" s="2" t="n">
        <v>36255124485.5418</v>
      </c>
      <c r="AK19" s="2" t="n">
        <v>36917329948.3414</v>
      </c>
      <c r="AL19" s="2" t="n">
        <v>43029107825.3176</v>
      </c>
      <c r="AM19" s="2" t="n">
        <v>40718958653.3149</v>
      </c>
      <c r="AN19" s="2" t="n">
        <v>39802537648.8795</v>
      </c>
      <c r="AO19" s="2" t="n">
        <v>17533093356.8658</v>
      </c>
      <c r="AP19" s="2"/>
    </row>
    <row r="20">
      <c r="A20" t="str">
        <f>N20</f>
      </c>
      <c r="B20" t="str">
        <f>O20</f>
      </c>
      <c r="N20" t="s">
        <v>53</v>
      </c>
      <c r="O20" t="s">
        <v>58</v>
      </c>
      <c r="P20" s="2" t="n">
        <v>2587411965.75464</v>
      </c>
      <c r="Q20" s="2" t="n">
        <v>552610928.286132</v>
      </c>
      <c r="R20" s="2" t="n">
        <v>309802852.98937</v>
      </c>
      <c r="S20" s="2" t="n">
        <v>328044789.268121</v>
      </c>
      <c r="T20" s="2" t="n">
        <v>305011887.241451</v>
      </c>
      <c r="U20" s="2" t="n">
        <v>240533069.397025</v>
      </c>
      <c r="V20" s="2" t="n">
        <v>116458486.463949</v>
      </c>
      <c r="W20" s="2" t="n">
        <v>108766384.273064</v>
      </c>
      <c r="X20" s="2" t="n">
        <v>237898891.044191</v>
      </c>
      <c r="Y20" s="2" t="n">
        <v>132083988.946919</v>
      </c>
      <c r="Z20" s="2" t="n">
        <v>153398976.1896</v>
      </c>
      <c r="AA20" s="2" t="n">
        <v>78724489.6663355</v>
      </c>
      <c r="AB20" s="2" t="n">
        <v>31275334.3357918</v>
      </c>
      <c r="AC20" s="2" t="n">
        <v>38418334.8913381</v>
      </c>
      <c r="AD20" s="2" t="n">
        <v>40853549.608437</v>
      </c>
      <c r="AE20" s="2" t="n">
        <v>38748666.4609494</v>
      </c>
      <c r="AF20" s="2" t="n">
        <v>13448823.2547576</v>
      </c>
      <c r="AG20" s="2" t="n">
        <v>3056167.43361437</v>
      </c>
      <c r="AH20" s="2" t="n">
        <v>25355.3917222716</v>
      </c>
      <c r="AI20" s="2"/>
      <c r="AJ20" s="2" t="n">
        <v>17024.9169047855</v>
      </c>
      <c r="AK20" s="2" t="n">
        <v>43034.6652125858</v>
      </c>
      <c r="AL20" s="2" t="n">
        <v>-19204117.6548244</v>
      </c>
      <c r="AM20" s="2" t="n">
        <v>-2269054.5</v>
      </c>
      <c r="AN20" s="2" t="n">
        <v>9851.89539967892</v>
      </c>
      <c r="AO20" s="2"/>
      <c r="AP20" s="2"/>
    </row>
    <row r="21">
      <c r="A21" t="str">
        <f>N21</f>
      </c>
      <c r="B21" t="str">
        <f>O21</f>
      </c>
      <c r="N21"/>
      <c r="O21"/>
      <c r="P21" s="2" t="n">
        <v>0</v>
      </c>
      <c r="Q21" s="2" t="n">
        <v>0</v>
      </c>
      <c r="R21" s="2" t="n">
        <v>0</v>
      </c>
      <c r="S21" s="2" t="n">
        <v>0</v>
      </c>
      <c r="T21" s="2" t="n">
        <v>896569.400562194</v>
      </c>
      <c r="U21" s="2"/>
      <c r="V21" s="2"/>
      <c r="W21" s="2" t="n">
        <v>0</v>
      </c>
      <c r="X21" s="2" t="n">
        <v>0</v>
      </c>
      <c r="Y21" s="2" t="n">
        <v>0</v>
      </c>
      <c r="Z21" s="2"/>
      <c r="AA21" s="2"/>
      <c r="AB21" s="2"/>
      <c r="AC21" s="2"/>
      <c r="AD21" s="2"/>
      <c r="AE21" s="2"/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633308.529997587</v>
      </c>
      <c r="AO21" s="2" t="n">
        <v>0</v>
      </c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61</v>
      </c>
      <c r="O1" t="s">
        <v>62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</row>
    <row r="2">
      <c r="A2" t="str">
        <f>N2</f>
      </c>
      <c r="B2" t="str">
        <f>O2</f>
      </c>
      <c r="N2" t="s">
        <v>63</v>
      </c>
      <c r="O2" t="s">
        <v>64</v>
      </c>
      <c r="P2" s="3" t="n">
        <v>1176402254</v>
      </c>
      <c r="Q2" s="3" t="n">
        <v>1600031936</v>
      </c>
      <c r="R2" s="3" t="n">
        <v>1835939752</v>
      </c>
      <c r="S2" s="3" t="n">
        <v>299177304.68</v>
      </c>
      <c r="T2" s="3" t="n">
        <v>1268712706.5396</v>
      </c>
      <c r="U2" s="3" t="n">
        <v>484001394.908</v>
      </c>
      <c r="V2" s="3" t="n">
        <v>1074496060.9841</v>
      </c>
      <c r="W2" s="3" t="n">
        <v>484609328.2958</v>
      </c>
      <c r="X2" s="3" t="n">
        <v>563605200.4969</v>
      </c>
      <c r="Y2" s="3" t="n">
        <v>46363129.2718</v>
      </c>
      <c r="Z2" s="3" t="n">
        <v>649837486.5868</v>
      </c>
      <c r="AA2" s="3" t="n">
        <v>545953094.8006</v>
      </c>
      <c r="AB2" s="3" t="n">
        <v>576332092.6533</v>
      </c>
      <c r="AC2" s="3" t="n">
        <v>554576923.1019</v>
      </c>
      <c r="AD2" s="3" t="n">
        <v>437093355.3148</v>
      </c>
      <c r="AE2" s="3" t="n">
        <v>316376617.7725</v>
      </c>
      <c r="AF2" s="3" t="n">
        <v>714145880.7729</v>
      </c>
      <c r="AG2" s="3" t="n">
        <v>403349529.0874</v>
      </c>
      <c r="AH2" s="3" t="n">
        <v>384756386.5471</v>
      </c>
      <c r="AI2" s="3" t="n">
        <v>685338474.8064</v>
      </c>
      <c r="AJ2" s="3" t="n">
        <v>784218273.9029</v>
      </c>
      <c r="AK2" s="3" t="n">
        <v>757632944.3788</v>
      </c>
      <c r="AL2" s="3" t="n">
        <v>668096990.6135</v>
      </c>
      <c r="AM2" s="3" t="n">
        <v>548055321.877</v>
      </c>
      <c r="AN2" s="3" t="n">
        <v>410562849.11</v>
      </c>
      <c r="AO2" s="3" t="n">
        <v>216899531.18</v>
      </c>
      <c r="AP2" s="3"/>
    </row>
    <row r="3">
      <c r="A3" t="str">
        <f>N3</f>
      </c>
      <c r="B3" t="str">
        <f>O3</f>
      </c>
      <c r="N3" t="s">
        <v>63</v>
      </c>
      <c r="O3" t="s">
        <v>65</v>
      </c>
      <c r="P3" s="3" t="n">
        <v>42398814</v>
      </c>
      <c r="Q3" s="3" t="n">
        <v>63525199</v>
      </c>
      <c r="R3" s="3" t="n">
        <v>73153455</v>
      </c>
      <c r="S3" s="3" t="n">
        <v>56345839.7362</v>
      </c>
      <c r="T3" s="3" t="n">
        <v>93834930.828</v>
      </c>
      <c r="U3" s="3" t="n">
        <v>169530991.2696</v>
      </c>
      <c r="V3" s="3" t="n">
        <v>130639883.5691</v>
      </c>
      <c r="W3" s="3" t="n">
        <v>122383886.3232</v>
      </c>
      <c r="X3" s="3" t="n">
        <v>293472698.8695</v>
      </c>
      <c r="Y3" s="3" t="n">
        <v>131264074.8466</v>
      </c>
      <c r="Z3" s="3" t="n">
        <v>132065016.8802</v>
      </c>
      <c r="AA3" s="3" t="n">
        <v>56935060.5065</v>
      </c>
      <c r="AB3" s="3" t="n">
        <v>49919766.9527</v>
      </c>
      <c r="AC3" s="3" t="n">
        <v>64692379.2653</v>
      </c>
      <c r="AD3" s="3" t="n">
        <v>48664593.0097</v>
      </c>
      <c r="AE3" s="3" t="n">
        <v>63042769.8174</v>
      </c>
      <c r="AF3" s="3" t="n">
        <v>28756065.8392</v>
      </c>
      <c r="AG3" s="3" t="n">
        <v>10715496.6963</v>
      </c>
      <c r="AH3" s="3" t="n">
        <v>12093410.1742</v>
      </c>
      <c r="AI3" s="3" t="n">
        <v>19222276.4342</v>
      </c>
      <c r="AJ3" s="3" t="n">
        <v>4400381.2637</v>
      </c>
      <c r="AK3" s="3" t="n">
        <v>6227722.9906</v>
      </c>
      <c r="AL3" s="3" t="n">
        <v>18601025.7194</v>
      </c>
      <c r="AM3" s="3" t="n">
        <v>15612705.8787</v>
      </c>
      <c r="AN3" s="3" t="n">
        <v>11734829.65</v>
      </c>
      <c r="AO3" s="3" t="n">
        <v>-13407.19</v>
      </c>
      <c r="AP3" s="3"/>
    </row>
    <row r="4">
      <c r="A4" t="str">
        <f>N4</f>
      </c>
      <c r="B4" t="str">
        <f>O4</f>
      </c>
      <c r="N4" t="s">
        <v>66</v>
      </c>
      <c r="O4" t="s">
        <v>67</v>
      </c>
      <c r="P4" s="3"/>
      <c r="Q4" s="3" t="n">
        <v>16075.94</v>
      </c>
      <c r="R4" s="3" t="n">
        <v>35076.1</v>
      </c>
      <c r="S4" s="3" t="n">
        <v>56141.65</v>
      </c>
      <c r="T4" s="3" t="n">
        <v>56700295.5538</v>
      </c>
      <c r="U4" s="3" t="n">
        <v>41236583.0362</v>
      </c>
      <c r="V4" s="3" t="n">
        <v>587558355.4688</v>
      </c>
      <c r="W4" s="3" t="n">
        <v>1423164331.2343</v>
      </c>
      <c r="X4" s="3" t="n">
        <v>1254317634.5423</v>
      </c>
      <c r="Y4" s="3" t="n">
        <v>642846998.4845</v>
      </c>
      <c r="Z4" s="3" t="n">
        <v>13075480.0404</v>
      </c>
      <c r="AA4" s="3" t="n">
        <v>57999592.8545</v>
      </c>
      <c r="AB4" s="3" t="n">
        <v>53528498.3889</v>
      </c>
      <c r="AC4" s="3" t="n">
        <v>115318631.5601</v>
      </c>
      <c r="AD4" s="3" t="n">
        <v>109530686.8223</v>
      </c>
      <c r="AE4" s="3" t="n">
        <v>133513787.5</v>
      </c>
      <c r="AF4" s="3" t="n">
        <v>99600092.64</v>
      </c>
      <c r="AG4" s="3" t="n">
        <v>-74787.7813</v>
      </c>
      <c r="AH4" s="3" t="n">
        <v>-1363374.3098</v>
      </c>
      <c r="AI4" s="3" t="n">
        <v>-704.74</v>
      </c>
      <c r="AJ4" s="3" t="n">
        <v>0</v>
      </c>
      <c r="AK4" s="3" t="n">
        <v>-1908.75</v>
      </c>
      <c r="AL4" s="3" t="n">
        <v>0</v>
      </c>
      <c r="AM4" s="3" t="n">
        <v>-17.44</v>
      </c>
      <c r="AN4" s="3" t="n">
        <v>0</v>
      </c>
      <c r="AO4" s="3"/>
      <c r="AP4" s="3"/>
    </row>
    <row r="5">
      <c r="A5" t="str">
        <f>N5</f>
      </c>
      <c r="B5" t="str">
        <f>O5</f>
      </c>
      <c r="N5" t="s">
        <v>66</v>
      </c>
      <c r="O5" t="s">
        <v>68</v>
      </c>
      <c r="P5" s="3" t="n">
        <v>123586239</v>
      </c>
      <c r="Q5" s="3" t="n">
        <v>123841083</v>
      </c>
      <c r="R5" s="3" t="n">
        <v>27899147</v>
      </c>
      <c r="S5" s="3" t="n">
        <v>63978388.2</v>
      </c>
      <c r="T5" s="3" t="n">
        <v>676713047.01</v>
      </c>
      <c r="U5" s="3" t="n">
        <v>671741423.9456</v>
      </c>
      <c r="V5" s="3" t="n">
        <v>449500707.893</v>
      </c>
      <c r="W5" s="3" t="n">
        <v>898774531.8891</v>
      </c>
      <c r="X5" s="3" t="n">
        <v>1225623184.81</v>
      </c>
      <c r="Y5" s="3" t="n">
        <v>1374527288.5812</v>
      </c>
      <c r="Z5" s="3" t="n">
        <v>1415056942.4453</v>
      </c>
      <c r="AA5" s="3" t="n">
        <v>492334322.0161</v>
      </c>
      <c r="AB5" s="3" t="n">
        <v>171362208.4805</v>
      </c>
      <c r="AC5" s="3" t="n">
        <v>158181001.7887</v>
      </c>
      <c r="AD5" s="3" t="n">
        <v>200714142.0673</v>
      </c>
      <c r="AE5" s="3" t="n">
        <v>78895286.2745</v>
      </c>
      <c r="AF5" s="3" t="n">
        <v>175348910.3931</v>
      </c>
      <c r="AG5" s="3" t="n">
        <v>199328694.5599</v>
      </c>
      <c r="AH5" s="3" t="n">
        <v>130043560.9377</v>
      </c>
      <c r="AI5" s="3" t="n">
        <v>179247197.5896</v>
      </c>
      <c r="AJ5" s="3" t="n">
        <v>667467697.3537</v>
      </c>
      <c r="AK5" s="3" t="n">
        <v>3035033719.7607</v>
      </c>
      <c r="AL5" s="3" t="n">
        <v>305726078.9891</v>
      </c>
      <c r="AM5" s="3" t="n">
        <v>232020082.7027</v>
      </c>
      <c r="AN5" s="3" t="n">
        <v>1293586369.63</v>
      </c>
      <c r="AO5" s="3" t="n">
        <v>106707765.49</v>
      </c>
      <c r="AP5" s="3"/>
    </row>
    <row r="6">
      <c r="A6" t="str">
        <f>N6</f>
      </c>
      <c r="B6" t="str">
        <f>O6</f>
      </c>
      <c r="N6" t="s">
        <v>66</v>
      </c>
      <c r="O6"/>
      <c r="P6" s="3" t="n">
        <v>530400627.3006</v>
      </c>
      <c r="Q6" s="3" t="n">
        <v>228272167.0788</v>
      </c>
      <c r="R6" s="3" t="n">
        <v>379289714.67</v>
      </c>
      <c r="S6" s="3" t="n">
        <v>711581455.5774</v>
      </c>
      <c r="T6" s="3" t="n">
        <v>966930130.7073</v>
      </c>
      <c r="U6" s="3" t="n">
        <v>933305935.1369</v>
      </c>
      <c r="V6" s="3" t="n">
        <v>546055325.9393</v>
      </c>
      <c r="W6" s="3" t="n">
        <v>207664068.1435</v>
      </c>
      <c r="X6" s="3" t="n">
        <v>362982513.357</v>
      </c>
      <c r="Y6" s="3" t="n">
        <v>432566278.8527</v>
      </c>
      <c r="Z6" s="3" t="n">
        <v>94686336.2615</v>
      </c>
      <c r="AA6" s="3" t="n">
        <v>1831061.3402</v>
      </c>
      <c r="AB6" s="3" t="n">
        <v>7809425.4823</v>
      </c>
      <c r="AC6" s="3" t="n">
        <v>11696735.4942</v>
      </c>
      <c r="AD6" s="3" t="n">
        <v>17355181.4653</v>
      </c>
      <c r="AE6" s="3" t="n">
        <v>21753077.9013</v>
      </c>
      <c r="AF6" s="3" t="n">
        <v>814579.0795</v>
      </c>
      <c r="AG6" s="3" t="n">
        <v>87175111.08</v>
      </c>
      <c r="AH6" s="3" t="n">
        <v>24227.3006</v>
      </c>
      <c r="AI6" s="3" t="n">
        <v>1165773.9312</v>
      </c>
      <c r="AJ6" s="3" t="n">
        <v>60422.45</v>
      </c>
      <c r="AK6" s="3" t="n">
        <v>103104.22</v>
      </c>
      <c r="AL6" s="3" t="n">
        <v>40500</v>
      </c>
      <c r="AM6" s="3" t="n">
        <v>8000</v>
      </c>
      <c r="AN6" s="3" t="n">
        <v>140000</v>
      </c>
      <c r="AO6" s="3" t="n">
        <v>1073805770.61</v>
      </c>
      <c r="AP6" s="3"/>
    </row>
    <row r="7">
      <c r="A7" t="str">
        <f>N7</f>
      </c>
      <c r="B7" t="str">
        <f>O7</f>
      </c>
      <c r="N7" t="s">
        <v>69</v>
      </c>
      <c r="O7" t="s">
        <v>70</v>
      </c>
      <c r="P7" s="3" t="n">
        <v>11031409829.6072</v>
      </c>
      <c r="Q7" s="3" t="n">
        <v>10080049807.0595</v>
      </c>
      <c r="R7" s="3" t="n">
        <v>11283960722.111</v>
      </c>
      <c r="S7" s="3" t="n">
        <v>15210236074.0347</v>
      </c>
      <c r="T7" s="3" t="n">
        <v>16261690652.9338</v>
      </c>
      <c r="U7" s="3" t="n">
        <v>32307061059.2449</v>
      </c>
      <c r="V7" s="3" t="n">
        <v>35969890490.9035</v>
      </c>
      <c r="W7" s="3" t="n">
        <v>39175991969.1852</v>
      </c>
      <c r="X7" s="3" t="n">
        <v>42264594997.1215</v>
      </c>
      <c r="Y7" s="3" t="n">
        <v>39977921780.5161</v>
      </c>
      <c r="Z7" s="3" t="n">
        <v>58134178620.1942</v>
      </c>
      <c r="AA7" s="3" t="n">
        <v>40067881680.5875</v>
      </c>
      <c r="AB7" s="3" t="n">
        <v>36610140621.3283</v>
      </c>
      <c r="AC7" s="3" t="n">
        <v>31997823856.1782</v>
      </c>
      <c r="AD7" s="3" t="n">
        <v>33548993941.6427</v>
      </c>
      <c r="AE7" s="3" t="n">
        <v>34259978808.815</v>
      </c>
      <c r="AF7" s="3" t="n">
        <v>34381649875.7473</v>
      </c>
      <c r="AG7" s="3" t="n">
        <v>35197676426.5542</v>
      </c>
      <c r="AH7" s="3" t="n">
        <v>37239109801.3261</v>
      </c>
      <c r="AI7" s="3" t="n">
        <v>37671876988.5384</v>
      </c>
      <c r="AJ7" s="3" t="n">
        <v>54717096067.4609</v>
      </c>
      <c r="AK7" s="3" t="n">
        <v>72329946501.3276</v>
      </c>
      <c r="AL7" s="3" t="n">
        <v>73850970989.0429</v>
      </c>
      <c r="AM7" s="3" t="n">
        <v>51972247247.0936</v>
      </c>
      <c r="AN7" s="3" t="n">
        <v>50487388914.4618</v>
      </c>
      <c r="AO7" s="3" t="n">
        <v>21983761153.45</v>
      </c>
      <c r="AP7" s="3"/>
    </row>
    <row r="8">
      <c r="A8" t="str">
        <f>N8</f>
      </c>
      <c r="B8" t="str">
        <f>O8</f>
      </c>
      <c r="N8" t="s">
        <v>69</v>
      </c>
      <c r="O8" t="s">
        <v>71</v>
      </c>
      <c r="P8" s="3" t="n">
        <v>4272542897.5313</v>
      </c>
      <c r="Q8" s="3" t="n">
        <v>5273935127.912</v>
      </c>
      <c r="R8" s="3" t="n">
        <v>6291915235.8901</v>
      </c>
      <c r="S8" s="3" t="n">
        <v>7248900697.053</v>
      </c>
      <c r="T8" s="3" t="n">
        <v>8833522710.9481</v>
      </c>
      <c r="U8" s="3" t="n">
        <v>12701765166.6263</v>
      </c>
      <c r="V8" s="3" t="n">
        <v>14704691664.0647</v>
      </c>
      <c r="W8" s="3" t="n">
        <v>13363431645.9123</v>
      </c>
      <c r="X8" s="3" t="n">
        <v>16037751496.5481</v>
      </c>
      <c r="Y8" s="3" t="n">
        <v>19832659273.7353</v>
      </c>
      <c r="Z8" s="3" t="n">
        <v>13443931318.2798</v>
      </c>
      <c r="AA8" s="3" t="n">
        <v>14783346005.0005</v>
      </c>
      <c r="AB8" s="3" t="n">
        <v>22456504518.9828</v>
      </c>
      <c r="AC8" s="3" t="n">
        <v>15156130266.4023</v>
      </c>
      <c r="AD8" s="3" t="n">
        <v>9985890970.0842</v>
      </c>
      <c r="AE8" s="3" t="n">
        <v>7254742708.829</v>
      </c>
      <c r="AF8" s="3" t="n">
        <v>5758116745.6707</v>
      </c>
      <c r="AG8" s="3" t="n">
        <v>7255942472.9048</v>
      </c>
      <c r="AH8" s="3" t="n">
        <v>8498218394.7432</v>
      </c>
      <c r="AI8" s="3" t="n">
        <v>6751760255.6505</v>
      </c>
      <c r="AJ8" s="3" t="n">
        <v>5872157747.1472</v>
      </c>
      <c r="AK8" s="3" t="n">
        <v>6540605566.6688</v>
      </c>
      <c r="AL8" s="3" t="n">
        <v>12911303812.4741</v>
      </c>
      <c r="AM8" s="3" t="n">
        <v>12529660996.549</v>
      </c>
      <c r="AN8" s="3" t="n">
        <v>11931507731.75</v>
      </c>
      <c r="AO8" s="3" t="n">
        <v>3814157683.39</v>
      </c>
      <c r="AP8" s="3"/>
    </row>
    <row r="9">
      <c r="A9" t="str">
        <f>N9</f>
      </c>
      <c r="B9" t="str">
        <f>O9</f>
      </c>
      <c r="N9" t="s">
        <v>72</v>
      </c>
      <c r="O9" t="s">
        <v>72</v>
      </c>
      <c r="P9" s="3" t="n">
        <v>35419491</v>
      </c>
      <c r="Q9" s="3" t="n">
        <v>47057292.85</v>
      </c>
      <c r="R9" s="3" t="n">
        <v>26808793</v>
      </c>
      <c r="S9" s="3" t="n">
        <v>57740905.4375</v>
      </c>
      <c r="T9" s="3" t="n">
        <v>41390049.231</v>
      </c>
      <c r="U9" s="3" t="n">
        <v>90493485.3834</v>
      </c>
      <c r="V9" s="3" t="n">
        <v>109173654.6005</v>
      </c>
      <c r="W9" s="3" t="n">
        <v>252122817.5923</v>
      </c>
      <c r="X9" s="3" t="n">
        <v>49751378.0744</v>
      </c>
      <c r="Y9" s="3" t="n">
        <v>20334427.7591</v>
      </c>
      <c r="Z9" s="3" t="n">
        <v>60759545.6501</v>
      </c>
      <c r="AA9" s="3" t="n">
        <v>173421400.5161</v>
      </c>
      <c r="AB9" s="3" t="n">
        <v>115059405.4778</v>
      </c>
      <c r="AC9" s="3" t="n">
        <v>77574131.99</v>
      </c>
      <c r="AD9" s="3" t="n">
        <v>31276687.53</v>
      </c>
      <c r="AE9" s="3" t="n">
        <v>7259116.8514</v>
      </c>
      <c r="AF9" s="3" t="n">
        <v>61673536.3711</v>
      </c>
      <c r="AG9" s="3" t="n">
        <v>132302953.0999</v>
      </c>
      <c r="AH9" s="3" t="n">
        <v>158536031.6103</v>
      </c>
      <c r="AI9" s="3" t="n">
        <v>118427771.7153</v>
      </c>
      <c r="AJ9" s="3" t="n">
        <v>856649865.0489</v>
      </c>
      <c r="AK9" s="3" t="n">
        <v>530638053.8106</v>
      </c>
      <c r="AL9" s="3" t="n">
        <v>29814101.8004</v>
      </c>
      <c r="AM9" s="3" t="n">
        <v>60489620.5324</v>
      </c>
      <c r="AN9" s="3" t="n">
        <v>-158565354.59</v>
      </c>
      <c r="AO9" s="3" t="n">
        <v>28665032.68</v>
      </c>
      <c r="AP9" s="3"/>
    </row>
    <row r="10">
      <c r="A10" t="str">
        <f>N10</f>
      </c>
      <c r="B10" t="str">
        <f>O10</f>
      </c>
      <c r="N10" t="s">
        <v>59</v>
      </c>
      <c r="O10" t="s">
        <v>60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61</v>
      </c>
      <c r="O13" t="s">
        <v>62</v>
      </c>
      <c r="P13" t="s">
        <v>24</v>
      </c>
      <c r="Q13" t="s">
        <v>25</v>
      </c>
      <c r="R13" t="s">
        <v>26</v>
      </c>
      <c r="S13" t="s">
        <v>27</v>
      </c>
      <c r="T13" t="s">
        <v>28</v>
      </c>
      <c r="U13" t="s">
        <v>29</v>
      </c>
      <c r="V13" t="s">
        <v>30</v>
      </c>
      <c r="W13" t="s">
        <v>31</v>
      </c>
      <c r="X13" t="s">
        <v>32</v>
      </c>
      <c r="Y13" t="s">
        <v>33</v>
      </c>
      <c r="Z13" t="s">
        <v>34</v>
      </c>
      <c r="AA13" t="s">
        <v>35</v>
      </c>
      <c r="AB13" t="s">
        <v>36</v>
      </c>
      <c r="AC13" t="s">
        <v>37</v>
      </c>
      <c r="AD13" t="s">
        <v>38</v>
      </c>
      <c r="AE13" t="s">
        <v>39</v>
      </c>
      <c r="AF13" t="s">
        <v>40</v>
      </c>
      <c r="AG13" t="s">
        <v>41</v>
      </c>
      <c r="AH13" t="s">
        <v>42</v>
      </c>
      <c r="AI13" t="s">
        <v>43</v>
      </c>
      <c r="AJ13" t="s">
        <v>44</v>
      </c>
      <c r="AK13" t="s">
        <v>45</v>
      </c>
      <c r="AL13" t="s">
        <v>46</v>
      </c>
      <c r="AM13" t="s">
        <v>47</v>
      </c>
      <c r="AN13" t="s">
        <v>48</v>
      </c>
      <c r="AO13" t="s">
        <v>49</v>
      </c>
    </row>
    <row r="14">
      <c r="A14" t="str">
        <f>N14</f>
      </c>
      <c r="B14" t="str">
        <f>O14</f>
      </c>
      <c r="N14" t="s">
        <v>63</v>
      </c>
      <c r="O14" t="s">
        <v>64</v>
      </c>
      <c r="P14" s="3" t="n">
        <v>1977736166.98045</v>
      </c>
      <c r="Q14" s="3" t="n">
        <v>2626272667.97387</v>
      </c>
      <c r="R14" s="3" t="n">
        <v>2966814477.05083</v>
      </c>
      <c r="S14" s="3" t="n">
        <v>474354767.621902</v>
      </c>
      <c r="T14" s="3" t="n">
        <v>1963633321.84613</v>
      </c>
      <c r="U14" s="3" t="n">
        <v>726984746.011428</v>
      </c>
      <c r="V14" s="3" t="n">
        <v>1563147826.38312</v>
      </c>
      <c r="W14" s="3" t="n">
        <v>686108335.87601</v>
      </c>
      <c r="X14" s="3" t="n">
        <v>781721245.276806</v>
      </c>
      <c r="Y14" s="3" t="n">
        <v>63654787.8412486</v>
      </c>
      <c r="Z14" s="3" t="n">
        <v>884541279.645136</v>
      </c>
      <c r="AA14" s="3" t="n">
        <v>728514367.347578</v>
      </c>
      <c r="AB14" s="3" t="n">
        <v>755345271.388733</v>
      </c>
      <c r="AC14" s="3" t="n">
        <v>713879626.48843</v>
      </c>
      <c r="AD14" s="3" t="n">
        <v>552568205.098383</v>
      </c>
      <c r="AE14" s="3" t="n">
        <v>395859919.340383</v>
      </c>
      <c r="AF14" s="3" t="n">
        <v>886473334.383089</v>
      </c>
      <c r="AG14" s="3" t="n">
        <v>492368770.251573</v>
      </c>
      <c r="AH14" s="3" t="n">
        <v>459471845.918393</v>
      </c>
      <c r="AI14" s="3" t="n">
        <v>803566109.441954</v>
      </c>
      <c r="AJ14" s="3" t="n">
        <v>907646958.197889</v>
      </c>
      <c r="AK14" s="3" t="n">
        <v>847701682.12818</v>
      </c>
      <c r="AL14" s="3" t="n">
        <v>698660152.875833</v>
      </c>
      <c r="AM14" s="3" t="n">
        <v>548055321.877</v>
      </c>
      <c r="AN14" s="3" t="n">
        <v>399883563.462766</v>
      </c>
      <c r="AO14" s="3" t="n">
        <v>206721781.481345</v>
      </c>
      <c r="AP14" s="3"/>
    </row>
    <row r="15">
      <c r="A15" t="str">
        <f>N15</f>
      </c>
      <c r="B15" t="str">
        <f>O15</f>
      </c>
      <c r="N15" t="s">
        <v>63</v>
      </c>
      <c r="O15" t="s">
        <v>65</v>
      </c>
      <c r="P15" s="3" t="n">
        <v>71279757.9227326</v>
      </c>
      <c r="Q15" s="3" t="n">
        <v>104269477.444543</v>
      </c>
      <c r="R15" s="3" t="n">
        <v>118213426.722669</v>
      </c>
      <c r="S15" s="3" t="n">
        <v>89338052.3737062</v>
      </c>
      <c r="T15" s="3" t="n">
        <v>145231773.889573</v>
      </c>
      <c r="U15" s="3" t="n">
        <v>254640680.638168</v>
      </c>
      <c r="V15" s="3" t="n">
        <v>190051371.48009</v>
      </c>
      <c r="W15" s="3" t="n">
        <v>173270714.533163</v>
      </c>
      <c r="X15" s="3" t="n">
        <v>407047066.657208</v>
      </c>
      <c r="Y15" s="3" t="n">
        <v>180220510.711306</v>
      </c>
      <c r="Z15" s="3" t="n">
        <v>179763343.049255</v>
      </c>
      <c r="AA15" s="3" t="n">
        <v>75973577.1805416</v>
      </c>
      <c r="AB15" s="3" t="n">
        <v>65425230.3441176</v>
      </c>
      <c r="AC15" s="3" t="n">
        <v>83275321.4617162</v>
      </c>
      <c r="AD15" s="3" t="n">
        <v>61521197.8956907</v>
      </c>
      <c r="AE15" s="3" t="n">
        <v>78881005.6527494</v>
      </c>
      <c r="AF15" s="3" t="n">
        <v>35695067.7088924</v>
      </c>
      <c r="AG15" s="3" t="n">
        <v>13080406.8196862</v>
      </c>
      <c r="AH15" s="3" t="n">
        <v>14441817.447279</v>
      </c>
      <c r="AI15" s="3" t="n">
        <v>22538308.3785151</v>
      </c>
      <c r="AJ15" s="3" t="n">
        <v>5092960.47008822</v>
      </c>
      <c r="AK15" s="3" t="n">
        <v>6968085.65959145</v>
      </c>
      <c r="AL15" s="3" t="n">
        <v>19451959.3043362</v>
      </c>
      <c r="AM15" s="3" t="n">
        <v>15612705.8787</v>
      </c>
      <c r="AN15" s="3" t="n">
        <v>11429591.12653</v>
      </c>
      <c r="AO15" s="3" t="n">
        <v>-12778.0737301771</v>
      </c>
      <c r="AP15" s="3"/>
    </row>
    <row r="16">
      <c r="A16" t="str">
        <f>N16</f>
      </c>
      <c r="B16" t="str">
        <f>O16</f>
      </c>
      <c r="N16" t="s">
        <v>66</v>
      </c>
      <c r="O16" t="s">
        <v>67</v>
      </c>
      <c r="P16" s="3"/>
      <c r="Q16" s="3" t="n">
        <v>26386.8494647271</v>
      </c>
      <c r="R16" s="3" t="n">
        <v>56681.7517650669</v>
      </c>
      <c r="S16" s="3" t="n">
        <v>89014.3033013307</v>
      </c>
      <c r="T16" s="3" t="n">
        <v>87757132.9853239</v>
      </c>
      <c r="U16" s="3" t="n">
        <v>61938595.9634463</v>
      </c>
      <c r="V16" s="3" t="n">
        <v>854764014.102686</v>
      </c>
      <c r="W16" s="3" t="n">
        <v>2014911504.93341</v>
      </c>
      <c r="X16" s="3" t="n">
        <v>1739740411.16474</v>
      </c>
      <c r="Y16" s="3" t="n">
        <v>882604128.44488</v>
      </c>
      <c r="Z16" s="3" t="n">
        <v>17797991.1680041</v>
      </c>
      <c r="AA16" s="3" t="n">
        <v>77394078.5338813</v>
      </c>
      <c r="AB16" s="3" t="n">
        <v>70154861.5078038</v>
      </c>
      <c r="AC16" s="3" t="n">
        <v>148444008.749629</v>
      </c>
      <c r="AD16" s="3" t="n">
        <v>138467387.537845</v>
      </c>
      <c r="AE16" s="3" t="n">
        <v>167056457.973087</v>
      </c>
      <c r="AF16" s="3" t="n">
        <v>123634160.196917</v>
      </c>
      <c r="AG16" s="3" t="n">
        <v>-91293.4446504475</v>
      </c>
      <c r="AH16" s="3" t="n">
        <v>-1628126.60869201</v>
      </c>
      <c r="AI16" s="3" t="n">
        <v>-826.31458875572</v>
      </c>
      <c r="AJ16" s="3" t="n">
        <v>0</v>
      </c>
      <c r="AK16" s="3" t="n">
        <v>-2135.66555911694</v>
      </c>
      <c r="AL16" s="3" t="n">
        <v>0</v>
      </c>
      <c r="AM16" s="3" t="n">
        <v>-17.44</v>
      </c>
      <c r="AN16" s="3" t="n">
        <v>0</v>
      </c>
      <c r="AO16" s="3"/>
      <c r="AP16" s="3"/>
    </row>
    <row r="17">
      <c r="A17" t="str">
        <f>N17</f>
      </c>
      <c r="B17" t="str">
        <f>O17</f>
      </c>
      <c r="N17" t="s">
        <v>66</v>
      </c>
      <c r="O17" t="s">
        <v>68</v>
      </c>
      <c r="P17" s="3" t="n">
        <v>207769896.547129</v>
      </c>
      <c r="Q17" s="3" t="n">
        <v>203271224.865841</v>
      </c>
      <c r="R17" s="3" t="n">
        <v>45084046.5362772</v>
      </c>
      <c r="S17" s="3" t="n">
        <v>101439691.422769</v>
      </c>
      <c r="T17" s="3" t="n">
        <v>1047373673.79349</v>
      </c>
      <c r="U17" s="3" t="n">
        <v>1008975952.56987</v>
      </c>
      <c r="V17" s="3" t="n">
        <v>653921480.044414</v>
      </c>
      <c r="W17" s="3" t="n">
        <v>1272482105.47398</v>
      </c>
      <c r="X17" s="3" t="n">
        <v>1699941167.01744</v>
      </c>
      <c r="Y17" s="3" t="n">
        <v>1887172939.1627</v>
      </c>
      <c r="Z17" s="3" t="n">
        <v>1926137387.38833</v>
      </c>
      <c r="AA17" s="3" t="n">
        <v>656966011.444732</v>
      </c>
      <c r="AB17" s="3" t="n">
        <v>224588627.842283</v>
      </c>
      <c r="AC17" s="3" t="n">
        <v>203618632.096839</v>
      </c>
      <c r="AD17" s="3" t="n">
        <v>253740423.805144</v>
      </c>
      <c r="AE17" s="3" t="n">
        <v>98716150.0140252</v>
      </c>
      <c r="AF17" s="3" t="n">
        <v>217661597.52736</v>
      </c>
      <c r="AG17" s="3" t="n">
        <v>243320537.496012</v>
      </c>
      <c r="AH17" s="3" t="n">
        <v>155296590.473961</v>
      </c>
      <c r="AI17" s="3" t="n">
        <v>210169104.012637</v>
      </c>
      <c r="AJ17" s="3" t="n">
        <v>772520923.522176</v>
      </c>
      <c r="AK17" s="3" t="n">
        <v>3395843869.57512</v>
      </c>
      <c r="AL17" s="3" t="n">
        <v>319712006.019531</v>
      </c>
      <c r="AM17" s="3" t="n">
        <v>232020082.7027</v>
      </c>
      <c r="AN17" s="3" t="n">
        <v>1259938468.02226</v>
      </c>
      <c r="AO17" s="3" t="n">
        <v>101700631.900769</v>
      </c>
      <c r="AP17" s="3"/>
    </row>
    <row r="18">
      <c r="A18" t="str">
        <f>N18</f>
      </c>
      <c r="B18" t="str">
        <f>O18</f>
      </c>
      <c r="N18" t="s">
        <v>66</v>
      </c>
      <c r="O18"/>
      <c r="P18" s="3" t="n">
        <v>891695421.387313</v>
      </c>
      <c r="Q18" s="3" t="n">
        <v>374683117.111368</v>
      </c>
      <c r="R18" s="3" t="n">
        <v>612918923.539618</v>
      </c>
      <c r="S18" s="3" t="n">
        <v>1128234163.23477</v>
      </c>
      <c r="T18" s="3" t="n">
        <v>1496553329.02952</v>
      </c>
      <c r="U18" s="3" t="n">
        <v>1401853766.01121</v>
      </c>
      <c r="V18" s="3" t="n">
        <v>794386528.551054</v>
      </c>
      <c r="W18" s="3" t="n">
        <v>294010122.991712</v>
      </c>
      <c r="X18" s="3" t="n">
        <v>503457281.985636</v>
      </c>
      <c r="Y18" s="3" t="n">
        <v>593896812.836464</v>
      </c>
      <c r="Z18" s="3" t="n">
        <v>128884490.000054</v>
      </c>
      <c r="AA18" s="3" t="n">
        <v>2443349.99935776</v>
      </c>
      <c r="AB18" s="3" t="n">
        <v>10235093.0748298</v>
      </c>
      <c r="AC18" s="3" t="n">
        <v>15056632.9356607</v>
      </c>
      <c r="AD18" s="3" t="n">
        <v>21940213.3544921</v>
      </c>
      <c r="AE18" s="3" t="n">
        <v>27218103.9295572</v>
      </c>
      <c r="AF18" s="3" t="n">
        <v>1011141.63389357</v>
      </c>
      <c r="AG18" s="3" t="n">
        <v>106414658.115798</v>
      </c>
      <c r="AH18" s="3" t="n">
        <v>28931.9759658859</v>
      </c>
      <c r="AI18" s="3" t="n">
        <v>1366881.41235302</v>
      </c>
      <c r="AJ18" s="3" t="n">
        <v>69932.383335605</v>
      </c>
      <c r="AK18" s="3" t="n">
        <v>115361.431121737</v>
      </c>
      <c r="AL18" s="3" t="n">
        <v>42352.7370861046</v>
      </c>
      <c r="AM18" s="3" t="n">
        <v>8000</v>
      </c>
      <c r="AN18" s="3" t="n">
        <v>136358.413836386</v>
      </c>
      <c r="AO18" s="3" t="n">
        <v>1023418725.97794</v>
      </c>
      <c r="AP18" s="3"/>
    </row>
    <row r="19">
      <c r="A19" t="str">
        <f>N19</f>
      </c>
      <c r="B19" t="str">
        <f>O19</f>
      </c>
      <c r="N19" t="s">
        <v>69</v>
      </c>
      <c r="O19" t="s">
        <v>70</v>
      </c>
      <c r="P19" s="3" t="n">
        <v>18545712674.9077</v>
      </c>
      <c r="Q19" s="3" t="n">
        <v>16545269318.9842</v>
      </c>
      <c r="R19" s="3" t="n">
        <v>18234486176.555</v>
      </c>
      <c r="S19" s="3" t="n">
        <v>24116294536.7471</v>
      </c>
      <c r="T19" s="3" t="n">
        <v>25168816762.8973</v>
      </c>
      <c r="U19" s="3" t="n">
        <v>48526183654.8947</v>
      </c>
      <c r="V19" s="3" t="n">
        <v>52328024436.4959</v>
      </c>
      <c r="W19" s="3" t="n">
        <v>55465244036.456</v>
      </c>
      <c r="X19" s="3" t="n">
        <v>58621055666.5213</v>
      </c>
      <c r="Y19" s="3" t="n">
        <v>54888144291.4301</v>
      </c>
      <c r="Z19" s="3" t="n">
        <v>79130677760.5495</v>
      </c>
      <c r="AA19" s="3" t="n">
        <v>53466181896.3623</v>
      </c>
      <c r="AB19" s="3" t="n">
        <v>47981531751.7501</v>
      </c>
      <c r="AC19" s="3" t="n">
        <v>41189226582.1776</v>
      </c>
      <c r="AD19" s="3" t="n">
        <v>42412237888.7198</v>
      </c>
      <c r="AE19" s="3" t="n">
        <v>42867113705.6437</v>
      </c>
      <c r="AF19" s="3" t="n">
        <v>42678137097.0868</v>
      </c>
      <c r="AG19" s="3" t="n">
        <v>42965803622.1484</v>
      </c>
      <c r="AH19" s="3" t="n">
        <v>44470535432.3689</v>
      </c>
      <c r="AI19" s="3" t="n">
        <v>44170646680.2511</v>
      </c>
      <c r="AJ19" s="3" t="n">
        <v>63329059599.5495</v>
      </c>
      <c r="AK19" s="3" t="n">
        <v>80928657831.3851</v>
      </c>
      <c r="AL19" s="3" t="n">
        <v>77229401428.4561</v>
      </c>
      <c r="AM19" s="3" t="n">
        <v>51972247247.0936</v>
      </c>
      <c r="AN19" s="3" t="n">
        <v>49174144793.6912</v>
      </c>
      <c r="AO19" s="3" t="n">
        <v>20952199594.7985</v>
      </c>
      <c r="AP19" s="3"/>
    </row>
    <row r="20">
      <c r="A20" t="str">
        <f>N20</f>
      </c>
      <c r="B20" t="str">
        <f>O20</f>
      </c>
      <c r="N20" t="s">
        <v>69</v>
      </c>
      <c r="O20" t="s">
        <v>71</v>
      </c>
      <c r="P20" s="3" t="n">
        <v>7182885432.8454</v>
      </c>
      <c r="Q20" s="3" t="n">
        <v>8656572014.26169</v>
      </c>
      <c r="R20" s="3" t="n">
        <v>10167515132.1716</v>
      </c>
      <c r="S20" s="3" t="n">
        <v>11493353780.1027</v>
      </c>
      <c r="T20" s="3" t="n">
        <v>13671968015.3695</v>
      </c>
      <c r="U20" s="3" t="n">
        <v>19078435766.3098</v>
      </c>
      <c r="V20" s="3" t="n">
        <v>21391987971.7984</v>
      </c>
      <c r="W20" s="3" t="n">
        <v>18919903750.9513</v>
      </c>
      <c r="X20" s="3" t="n">
        <v>22244385006.1502</v>
      </c>
      <c r="Y20" s="3" t="n">
        <v>27229476056.2088</v>
      </c>
      <c r="Z20" s="3" t="n">
        <v>18299517121.1074</v>
      </c>
      <c r="AA20" s="3" t="n">
        <v>19726749540.7216</v>
      </c>
      <c r="AB20" s="3" t="n">
        <v>29431667464.92</v>
      </c>
      <c r="AC20" s="3" t="n">
        <v>19509741864.2521</v>
      </c>
      <c r="AD20" s="3" t="n">
        <v>12624044228.8891</v>
      </c>
      <c r="AE20" s="3" t="n">
        <v>9077351808.65161</v>
      </c>
      <c r="AF20" s="3" t="n">
        <v>7147582992.11562</v>
      </c>
      <c r="AG20" s="3" t="n">
        <v>8857328978.37638</v>
      </c>
      <c r="AH20" s="3" t="n">
        <v>10148478958.0544</v>
      </c>
      <c r="AI20" s="3" t="n">
        <v>7916505376.48644</v>
      </c>
      <c r="AJ20" s="3" t="n">
        <v>6796380924.31936</v>
      </c>
      <c r="AK20" s="3" t="n">
        <v>7318164266.93024</v>
      </c>
      <c r="AL20" s="3" t="n">
        <v>13501951995.2725</v>
      </c>
      <c r="AM20" s="3" t="n">
        <v>12529660996.549</v>
      </c>
      <c r="AN20" s="3" t="n">
        <v>11621153349.8429</v>
      </c>
      <c r="AO20" s="3" t="n">
        <v>3635182920.27478</v>
      </c>
      <c r="AP20" s="3"/>
    </row>
    <row r="21">
      <c r="A21" t="str">
        <f>N21</f>
      </c>
      <c r="B21" t="str">
        <f>O21</f>
      </c>
      <c r="N21" t="s">
        <v>72</v>
      </c>
      <c r="O21" t="s">
        <v>72</v>
      </c>
      <c r="P21" s="3" t="n">
        <v>59546305.8053088</v>
      </c>
      <c r="Q21" s="3" t="n">
        <v>77239259.579877</v>
      </c>
      <c r="R21" s="3" t="n">
        <v>43322072.5778254</v>
      </c>
      <c r="S21" s="3" t="n">
        <v>91549971.7145307</v>
      </c>
      <c r="T21" s="3" t="n">
        <v>64060901.6083081</v>
      </c>
      <c r="U21" s="3" t="n">
        <v>135923954.309357</v>
      </c>
      <c r="V21" s="3" t="n">
        <v>158822881.798911</v>
      </c>
      <c r="W21" s="3" t="n">
        <v>356954678.158891</v>
      </c>
      <c r="X21" s="3" t="n">
        <v>69005234.8492676</v>
      </c>
      <c r="Y21" s="3" t="n">
        <v>27918384.8288257</v>
      </c>
      <c r="Z21" s="3" t="n">
        <v>82704256.6323508</v>
      </c>
      <c r="AA21" s="3" t="n">
        <v>231411788.090809</v>
      </c>
      <c r="AB21" s="3" t="n">
        <v>150797741.379182</v>
      </c>
      <c r="AC21" s="3" t="n">
        <v>99857368.8577552</v>
      </c>
      <c r="AD21" s="3" t="n">
        <v>39539615.2326041</v>
      </c>
      <c r="AE21" s="3" t="n">
        <v>9082824.86711443</v>
      </c>
      <c r="AF21" s="3" t="n">
        <v>76555710.6776501</v>
      </c>
      <c r="AG21" s="3" t="n">
        <v>161502214.880073</v>
      </c>
      <c r="AH21" s="3" t="n">
        <v>189321985.639462</v>
      </c>
      <c r="AI21" s="3" t="n">
        <v>138857728.356819</v>
      </c>
      <c r="AJ21" s="3" t="n">
        <v>991478610.135702</v>
      </c>
      <c r="AK21" s="3" t="n">
        <v>593721239.491888</v>
      </c>
      <c r="AL21" s="3" t="n">
        <v>31177995.4323629</v>
      </c>
      <c r="AM21" s="3" t="n">
        <v>60489620.5324</v>
      </c>
      <c r="AN21" s="3" t="n">
        <v>-154440858.866404</v>
      </c>
      <c r="AO21" s="3" t="n">
        <v>27319960.4885867</v>
      </c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../output/FedAcqTrends/Platform//Other_Products/Fed_Other_Products_Contracts.xlsx</dc:creator>
  <cp:lastModifiedBy>../output/FedAcqTrends/Platform//Other_Products/Fed_Other_Products_Contracts.xlsx</cp:lastModifiedBy>
  <dcterms:created xsi:type="dcterms:W3CDTF">2025-11-13T21:12:40Z</dcterms:created>
</coreProperties>
</file>