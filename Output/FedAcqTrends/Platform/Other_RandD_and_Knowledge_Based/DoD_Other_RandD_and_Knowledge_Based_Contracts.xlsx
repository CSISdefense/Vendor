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<sst xmlns="http://schemas.openxmlformats.org/spreadsheetml/2006/main" count="61" uniqueCount="61">
  <si>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Vehicle.AwardTask</t>
  </si>
  <si>
    <t xml:space="preserve">Vehicle.sum7</t>
  </si>
  <si>
    <t xml:space="preserve">1973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</si>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</sst>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</row>
    <row r="2">
      <c r="A2" t="str">
        <f>M2</f>
      </c>
      <c r="B2" t="str">
        <f>N2</f>
      </c>
      <c r="M2" t="s">
        <v>50</v>
      </c>
      <c r="N2" t="s">
        <v>51</v>
      </c>
      <c r="O2" s="1"/>
      <c r="P2" s="1" t="n">
        <v>4264124663</v>
      </c>
      <c r="Q2" s="1" t="n">
        <v>138450452</v>
      </c>
      <c r="R2" s="1" t="n">
        <v>149092557</v>
      </c>
      <c r="S2" s="1" t="n">
        <v>148603523</v>
      </c>
      <c r="T2" s="1" t="n">
        <v>141147605</v>
      </c>
      <c r="U2" s="1" t="n">
        <v>143610459</v>
      </c>
      <c r="V2" s="1" t="n">
        <v>158197710</v>
      </c>
      <c r="W2" s="1" t="n">
        <v>142898101</v>
      </c>
      <c r="X2" s="1" t="n">
        <v>174366451</v>
      </c>
      <c r="Y2" s="1" t="n">
        <v>259711389</v>
      </c>
      <c r="Z2" s="1" t="n">
        <v>206173156</v>
      </c>
      <c r="AA2" s="1" t="n">
        <v>293961139</v>
      </c>
      <c r="AB2" s="1" t="n">
        <v>316265809</v>
      </c>
      <c r="AC2" s="1" t="n">
        <v>288064925</v>
      </c>
      <c r="AD2" s="1" t="n">
        <v>325031978</v>
      </c>
      <c r="AE2" s="1" t="n">
        <v>516527933</v>
      </c>
      <c r="AF2" s="1" t="n">
        <v>245563113</v>
      </c>
      <c r="AG2" s="1" t="n">
        <v>120402963</v>
      </c>
      <c r="AH2" s="1" t="n">
        <v>871975200</v>
      </c>
      <c r="AI2" s="1" t="n">
        <v>889617114.54</v>
      </c>
      <c r="AJ2" s="1" t="n">
        <v>1011917038</v>
      </c>
      <c r="AK2" s="1" t="n">
        <v>11902022020.6399</v>
      </c>
      <c r="AL2" s="1" t="n">
        <v>11502787565.83</v>
      </c>
      <c r="AM2" s="1" t="n">
        <v>14361522627.02</v>
      </c>
      <c r="AN2" s="1" t="n">
        <v>17235830255.47</v>
      </c>
      <c r="AO2" s="1" t="n">
        <v>19245304847.03</v>
      </c>
      <c r="AP2" s="1" t="n">
        <v>22898010041.77</v>
      </c>
      <c r="AQ2" s="1" t="n">
        <v>23483284030.53</v>
      </c>
      <c r="AR2" s="1" t="n">
        <v>24062086854.56</v>
      </c>
      <c r="AS2" s="1" t="n">
        <v>26311440102.14</v>
      </c>
      <c r="AT2" s="1" t="n">
        <v>28529794395.49</v>
      </c>
      <c r="AU2" s="1" t="n">
        <v>28849804028.8093</v>
      </c>
      <c r="AV2" s="1" t="n">
        <v>27346897184.5968</v>
      </c>
      <c r="AW2" s="1" t="n">
        <v>26134217489.4851</v>
      </c>
      <c r="AX2" s="1" t="n">
        <v>24695852156.6739</v>
      </c>
      <c r="AY2" s="1" t="n">
        <v>24752264480.2676</v>
      </c>
      <c r="AZ2" s="1" t="n">
        <v>26162625723.4003</v>
      </c>
      <c r="BA2" s="1" t="n">
        <v>25047928456.9062</v>
      </c>
      <c r="BB2" s="1" t="n">
        <v>26195762232.6031</v>
      </c>
      <c r="BC2" s="1" t="n">
        <v>26375117232.69</v>
      </c>
      <c r="BD2" s="1" t="n">
        <v>29014195447.96</v>
      </c>
      <c r="BE2" s="1" t="n">
        <v>33971663947.33</v>
      </c>
      <c r="BF2" s="1" t="n">
        <v>40944876039.72</v>
      </c>
      <c r="BG2" s="1" t="n">
        <v>44070890103.75</v>
      </c>
      <c r="BH2" s="1" t="n">
        <v>47122194018.36</v>
      </c>
      <c r="BI2" s="1" t="n">
        <v>46894153150.62</v>
      </c>
      <c r="BJ2" s="1" t="n">
        <v>16979632178.69</v>
      </c>
      <c r="BK2" s="1"/>
    </row>
    <row r="3">
      <c r="A3" t="str">
        <f>M3</f>
      </c>
      <c r="B3" t="str">
        <f>N3</f>
      </c>
      <c r="M3" t="s">
        <v>50</v>
      </c>
      <c r="N3" t="s">
        <v>52</v>
      </c>
      <c r="O3" s="1"/>
      <c r="P3" s="1" t="n">
        <v>8465000</v>
      </c>
      <c r="Q3" s="1" t="n">
        <v>10740000</v>
      </c>
      <c r="R3" s="1" t="n">
        <v>19586000</v>
      </c>
      <c r="S3" s="1" t="n">
        <v>7133000</v>
      </c>
      <c r="T3" s="1" t="n">
        <v>12163000</v>
      </c>
      <c r="U3" s="1" t="n">
        <v>11523000</v>
      </c>
      <c r="V3" s="1" t="n">
        <v>10427000</v>
      </c>
      <c r="W3" s="1" t="n">
        <v>13636000</v>
      </c>
      <c r="X3" s="1" t="n">
        <v>1355000</v>
      </c>
      <c r="Y3" s="1" t="n">
        <v>23619000</v>
      </c>
      <c r="Z3" s="1" t="n">
        <v>21249000</v>
      </c>
      <c r="AA3" s="1" t="n">
        <v>27255000</v>
      </c>
      <c r="AB3" s="1" t="n">
        <v>32424000</v>
      </c>
      <c r="AC3" s="1" t="n">
        <v>43877000</v>
      </c>
      <c r="AD3" s="1" t="n">
        <v>32896000</v>
      </c>
      <c r="AE3" s="1" t="n">
        <v>23211000</v>
      </c>
      <c r="AF3" s="1" t="n">
        <v>3257000</v>
      </c>
      <c r="AG3" s="1" t="n">
        <v>25424000</v>
      </c>
      <c r="AH3" s="1" t="n">
        <v>13706248</v>
      </c>
      <c r="AI3" s="1" t="n">
        <v>48437988</v>
      </c>
      <c r="AJ3" s="1" t="n">
        <v>51635612</v>
      </c>
      <c r="AK3" s="1" t="n">
        <v>2330740708.575</v>
      </c>
      <c r="AL3" s="1" t="n">
        <v>2075880978.68</v>
      </c>
      <c r="AM3" s="1" t="n">
        <v>3122262800.66</v>
      </c>
      <c r="AN3" s="1" t="n">
        <v>3795696781.08</v>
      </c>
      <c r="AO3" s="1" t="n">
        <v>1394951173.52</v>
      </c>
      <c r="AP3" s="1" t="n">
        <v>2044768819.91</v>
      </c>
      <c r="AQ3" s="1" t="n">
        <v>1801255257.98</v>
      </c>
      <c r="AR3" s="1" t="n">
        <v>1901818853.4</v>
      </c>
      <c r="AS3" s="1" t="n">
        <v>2182711605.86</v>
      </c>
      <c r="AT3" s="1" t="n">
        <v>2262350827.42</v>
      </c>
      <c r="AU3" s="1" t="n">
        <v>2251087902.4275</v>
      </c>
      <c r="AV3" s="1" t="n">
        <v>2117812653.0206</v>
      </c>
      <c r="AW3" s="1" t="n">
        <v>1786577015.029</v>
      </c>
      <c r="AX3" s="1" t="n">
        <v>1309923996.2698</v>
      </c>
      <c r="AY3" s="1" t="n">
        <v>1413227635.8859</v>
      </c>
      <c r="AZ3" s="1" t="n">
        <v>1549194783.1657</v>
      </c>
      <c r="BA3" s="1" t="n">
        <v>1702112410.1098</v>
      </c>
      <c r="BB3" s="1" t="n">
        <v>1666906457.0122</v>
      </c>
      <c r="BC3" s="1" t="n">
        <v>1821954088.88</v>
      </c>
      <c r="BD3" s="1" t="n">
        <v>1945620512.51</v>
      </c>
      <c r="BE3" s="1" t="n">
        <v>1974721720.55</v>
      </c>
      <c r="BF3" s="1" t="n">
        <v>2007038642.43</v>
      </c>
      <c r="BG3" s="1" t="n">
        <v>2023004999.0599</v>
      </c>
      <c r="BH3" s="1" t="n">
        <v>2809152382.38</v>
      </c>
      <c r="BI3" s="1" t="n">
        <v>2849101969.69</v>
      </c>
      <c r="BJ3" s="1" t="n">
        <v>603346821.58</v>
      </c>
      <c r="BK3" s="1"/>
    </row>
    <row r="4">
      <c r="A4" t="str">
        <f>M4</f>
      </c>
      <c r="B4" t="str">
        <f>N4</f>
      </c>
      <c r="M4" t="s">
        <v>53</v>
      </c>
      <c r="N4" t="s">
        <v>54</v>
      </c>
      <c r="O4" s="1"/>
      <c r="P4" s="1" t="n">
        <v>482000</v>
      </c>
      <c r="Q4" s="1" t="n">
        <v>1035000</v>
      </c>
      <c r="R4" s="1" t="n">
        <v>1131000</v>
      </c>
      <c r="S4" s="1" t="n">
        <v>1669000</v>
      </c>
      <c r="T4" s="1" t="n">
        <v>633000</v>
      </c>
      <c r="U4" s="1" t="n">
        <v>585000</v>
      </c>
      <c r="V4" s="1" t="n">
        <v>571000</v>
      </c>
      <c r="W4" s="1" t="n">
        <v>409000</v>
      </c>
      <c r="X4" s="1" t="n">
        <v>2257000</v>
      </c>
      <c r="Y4" s="1" t="n">
        <v>266000</v>
      </c>
      <c r="Z4" s="1" t="n">
        <v>1318000</v>
      </c>
      <c r="AA4" s="1" t="n">
        <v>249000</v>
      </c>
      <c r="AB4" s="1" t="n">
        <v>836000</v>
      </c>
      <c r="AC4" s="1" t="n">
        <v>103000</v>
      </c>
      <c r="AD4" s="1" t="n">
        <v>75000</v>
      </c>
      <c r="AE4" s="1"/>
      <c r="AF4" s="1" t="n">
        <v>757000</v>
      </c>
      <c r="AG4" s="1"/>
      <c r="AH4" s="1" t="n">
        <v>930028</v>
      </c>
      <c r="AI4" s="1" t="n">
        <v>2563568</v>
      </c>
      <c r="AJ4" s="1" t="n">
        <v>324485</v>
      </c>
      <c r="AK4" s="1" t="n">
        <v>139534756.6489</v>
      </c>
      <c r="AL4" s="1" t="n">
        <v>274655842.2537</v>
      </c>
      <c r="AM4" s="1" t="n">
        <v>345844703.8866</v>
      </c>
      <c r="AN4" s="1" t="n">
        <v>210185020.3013</v>
      </c>
      <c r="AO4" s="1" t="n">
        <v>412597209.0695</v>
      </c>
      <c r="AP4" s="1" t="n">
        <v>1034807512.7014</v>
      </c>
      <c r="AQ4" s="1" t="n">
        <v>1595529847.752</v>
      </c>
      <c r="AR4" s="1" t="n">
        <v>1925242273.7468</v>
      </c>
      <c r="AS4" s="1" t="n">
        <v>2218471633.3351</v>
      </c>
      <c r="AT4" s="1" t="n">
        <v>2717531488.3061</v>
      </c>
      <c r="AU4" s="1" t="n">
        <v>3229596494.1244</v>
      </c>
      <c r="AV4" s="1" t="n">
        <v>3462999612.381</v>
      </c>
      <c r="AW4" s="1" t="n">
        <v>3792403704.2315</v>
      </c>
      <c r="AX4" s="1" t="n">
        <v>3655753979.7207</v>
      </c>
      <c r="AY4" s="1" t="n">
        <v>4181022426.8678</v>
      </c>
      <c r="AZ4" s="1" t="n">
        <v>4934352215.3071</v>
      </c>
      <c r="BA4" s="1" t="n">
        <v>5754798630.939</v>
      </c>
      <c r="BB4" s="1" t="n">
        <v>6107308036.5398</v>
      </c>
      <c r="BC4" s="1" t="n">
        <v>6416507900.1165</v>
      </c>
      <c r="BD4" s="1" t="n">
        <v>6951013973.0255</v>
      </c>
      <c r="BE4" s="1" t="n">
        <v>7845753992.8207</v>
      </c>
      <c r="BF4" s="1" t="n">
        <v>8160293082.2776</v>
      </c>
      <c r="BG4" s="1" t="n">
        <v>7824687557.8604</v>
      </c>
      <c r="BH4" s="1" t="n">
        <v>8863563555.5035</v>
      </c>
      <c r="BI4" s="1" t="n">
        <v>9116694709.9</v>
      </c>
      <c r="BJ4" s="1" t="n">
        <v>3046094775.53</v>
      </c>
      <c r="BK4" s="1"/>
    </row>
    <row r="5">
      <c r="A5" t="str">
        <f>M5</f>
      </c>
      <c r="B5" t="str">
        <f>N5</f>
      </c>
      <c r="M5" t="s">
        <v>53</v>
      </c>
      <c r="N5" t="s">
        <v>55</v>
      </c>
      <c r="O5" s="1"/>
      <c r="P5" s="1" t="n">
        <v>1674000</v>
      </c>
      <c r="Q5" s="1" t="n">
        <v>309000</v>
      </c>
      <c r="R5" s="1" t="n">
        <v>111000</v>
      </c>
      <c r="S5" s="1" t="n">
        <v>154000</v>
      </c>
      <c r="T5" s="1"/>
      <c r="U5" s="1" t="n">
        <v>45000</v>
      </c>
      <c r="V5" s="1" t="n">
        <v>309000</v>
      </c>
      <c r="W5" s="1" t="n">
        <v>199000</v>
      </c>
      <c r="X5" s="1"/>
      <c r="Y5" s="1"/>
      <c r="Z5" s="1"/>
      <c r="AA5" s="1"/>
      <c r="AB5" s="1" t="n">
        <v>34000</v>
      </c>
      <c r="AC5" s="1" t="n">
        <v>313000</v>
      </c>
      <c r="AD5" s="1" t="n">
        <v>541000</v>
      </c>
      <c r="AE5" s="1" t="n">
        <v>1875000</v>
      </c>
      <c r="AF5" s="1" t="n">
        <v>1805000</v>
      </c>
      <c r="AG5" s="1" t="n">
        <v>5953000</v>
      </c>
      <c r="AH5" s="1" t="n">
        <v>9666432</v>
      </c>
      <c r="AI5" s="1" t="n">
        <v>127866650</v>
      </c>
      <c r="AJ5" s="1" t="n">
        <v>291565905.43</v>
      </c>
      <c r="AK5" s="1" t="n">
        <v>1311210998.7315</v>
      </c>
      <c r="AL5" s="1" t="n">
        <v>2753396765.9827</v>
      </c>
      <c r="AM5" s="1" t="n">
        <v>3540172742.599</v>
      </c>
      <c r="AN5" s="1" t="n">
        <v>4778991540.7392</v>
      </c>
      <c r="AO5" s="1" t="n">
        <v>6292338294.9443</v>
      </c>
      <c r="AP5" s="1" t="n">
        <v>6615666786.7511</v>
      </c>
      <c r="AQ5" s="1" t="n">
        <v>7680995862.7415</v>
      </c>
      <c r="AR5" s="1" t="n">
        <v>7678516116.8612</v>
      </c>
      <c r="AS5" s="1" t="n">
        <v>7983661613.7289</v>
      </c>
      <c r="AT5" s="1" t="n">
        <v>8446519450.4761</v>
      </c>
      <c r="AU5" s="1" t="n">
        <v>9360813070.8038</v>
      </c>
      <c r="AV5" s="1" t="n">
        <v>8901872445.0552</v>
      </c>
      <c r="AW5" s="1" t="n">
        <v>8325950059.5745</v>
      </c>
      <c r="AX5" s="1" t="n">
        <v>8701888767.5996</v>
      </c>
      <c r="AY5" s="1" t="n">
        <v>9164009054.825</v>
      </c>
      <c r="AZ5" s="1" t="n">
        <v>8598813398.5759</v>
      </c>
      <c r="BA5" s="1" t="n">
        <v>8239548265.6727</v>
      </c>
      <c r="BB5" s="1" t="n">
        <v>7843701934.2773</v>
      </c>
      <c r="BC5" s="1" t="n">
        <v>8430836028.9239</v>
      </c>
      <c r="BD5" s="1" t="n">
        <v>8968796364.6065</v>
      </c>
      <c r="BE5" s="1" t="n">
        <v>9749639106.0761</v>
      </c>
      <c r="BF5" s="1" t="n">
        <v>10966687335.7057</v>
      </c>
      <c r="BG5" s="1" t="n">
        <v>11694078973.9066</v>
      </c>
      <c r="BH5" s="1" t="n">
        <v>13504775344.3988</v>
      </c>
      <c r="BI5" s="1" t="n">
        <v>14082460622.64</v>
      </c>
      <c r="BJ5" s="1" t="n">
        <v>4587982197.63</v>
      </c>
      <c r="BK5" s="1"/>
    </row>
    <row r="6">
      <c r="A6" t="str">
        <f>M6</f>
      </c>
      <c r="B6" t="str">
        <f>N6</f>
      </c>
      <c r="M6" t="s">
        <v>53</v>
      </c>
      <c r="N6" t="s">
        <v>56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n">
        <v>111525243</v>
      </c>
      <c r="AI6" s="1" t="n">
        <v>205673715.35</v>
      </c>
      <c r="AJ6" s="1" t="n">
        <v>575486255.61</v>
      </c>
      <c r="AK6" s="1" t="n">
        <v>1291281330.1639</v>
      </c>
      <c r="AL6" s="1" t="n">
        <v>1482508780.334</v>
      </c>
      <c r="AM6" s="1" t="n">
        <v>2747842400.3981</v>
      </c>
      <c r="AN6" s="1" t="n">
        <v>3075364155.4534</v>
      </c>
      <c r="AO6" s="1" t="n">
        <v>4458489505.4803</v>
      </c>
      <c r="AP6" s="1" t="n">
        <v>6361201894.6605</v>
      </c>
      <c r="AQ6" s="1" t="n">
        <v>8417771351.4567</v>
      </c>
      <c r="AR6" s="1" t="n">
        <v>10342928308.6733</v>
      </c>
      <c r="AS6" s="1" t="n">
        <v>12829414586.0395</v>
      </c>
      <c r="AT6" s="1" t="n">
        <v>15506931260.6419</v>
      </c>
      <c r="AU6" s="1" t="n">
        <v>17453302281.1599</v>
      </c>
      <c r="AV6" s="1" t="n">
        <v>18004421895.7772</v>
      </c>
      <c r="AW6" s="1" t="n">
        <v>18745125076.7032</v>
      </c>
      <c r="AX6" s="1" t="n">
        <v>18148288759.8043</v>
      </c>
      <c r="AY6" s="1" t="n">
        <v>17103603880.4722</v>
      </c>
      <c r="AZ6" s="1" t="n">
        <v>17306741321.8109</v>
      </c>
      <c r="BA6" s="1" t="n">
        <v>19046243919.3245</v>
      </c>
      <c r="BB6" s="1" t="n">
        <v>20739415259.9942</v>
      </c>
      <c r="BC6" s="1" t="n">
        <v>24890987687.7464</v>
      </c>
      <c r="BD6" s="1" t="n">
        <v>26780240394.0625</v>
      </c>
      <c r="BE6" s="1" t="n">
        <v>28748850510.6627</v>
      </c>
      <c r="BF6" s="1" t="n">
        <v>30400268954.911</v>
      </c>
      <c r="BG6" s="1" t="n">
        <v>32017431695.8393</v>
      </c>
      <c r="BH6" s="1" t="n">
        <v>37660222831.6998</v>
      </c>
      <c r="BI6" s="1" t="n">
        <v>41827955245.36</v>
      </c>
      <c r="BJ6" s="1" t="n">
        <v>15995611110.71</v>
      </c>
      <c r="BK6" s="1"/>
    </row>
    <row r="7">
      <c r="A7" t="str">
        <f>M7</f>
      </c>
      <c r="B7" t="str">
        <f>N7</f>
      </c>
      <c r="M7" t="s">
        <v>53</v>
      </c>
      <c r="N7" t="s">
        <v>57</v>
      </c>
      <c r="O7" s="1"/>
      <c r="P7" s="1" t="n">
        <v>0</v>
      </c>
      <c r="Q7" s="1"/>
      <c r="R7" s="1" t="n">
        <v>66000</v>
      </c>
      <c r="S7" s="1" t="n">
        <v>0</v>
      </c>
      <c r="T7" s="1"/>
      <c r="U7" s="1"/>
      <c r="V7" s="1"/>
      <c r="W7" s="1" t="n">
        <v>0</v>
      </c>
      <c r="X7" s="1" t="n">
        <v>1266000</v>
      </c>
      <c r="Y7" s="1" t="n">
        <v>151000</v>
      </c>
      <c r="Z7" s="1" t="n">
        <v>1357000</v>
      </c>
      <c r="AA7" s="1" t="n">
        <v>1182000</v>
      </c>
      <c r="AB7" s="1" t="n">
        <v>3755000</v>
      </c>
      <c r="AC7" s="1" t="n">
        <v>7308000</v>
      </c>
      <c r="AD7" s="1" t="n">
        <v>5156000</v>
      </c>
      <c r="AE7" s="1" t="n">
        <v>12416924</v>
      </c>
      <c r="AF7" s="1" t="n">
        <v>14791577</v>
      </c>
      <c r="AG7" s="1" t="n">
        <v>12867909</v>
      </c>
      <c r="AH7" s="1" t="n">
        <v>471968952.06</v>
      </c>
      <c r="AI7" s="1" t="n">
        <v>629368489.84</v>
      </c>
      <c r="AJ7" s="1" t="n">
        <v>1284821381.07</v>
      </c>
      <c r="AK7" s="1" t="n">
        <v>5178096205.4767</v>
      </c>
      <c r="AL7" s="1" t="n">
        <v>5955026530.5167</v>
      </c>
      <c r="AM7" s="1" t="n">
        <v>7431692880.5803</v>
      </c>
      <c r="AN7" s="1" t="n">
        <v>8971273111.7182</v>
      </c>
      <c r="AO7" s="1" t="n">
        <v>10744973345.6623</v>
      </c>
      <c r="AP7" s="1" t="n">
        <v>13369266589.6021</v>
      </c>
      <c r="AQ7" s="1" t="n">
        <v>16590748911.8881</v>
      </c>
      <c r="AR7" s="1" t="n">
        <v>17342639166.2151</v>
      </c>
      <c r="AS7" s="1" t="n">
        <v>21191830937.5294</v>
      </c>
      <c r="AT7" s="1" t="n">
        <v>23268381211.2963</v>
      </c>
      <c r="AU7" s="1" t="n">
        <v>23839418805.166</v>
      </c>
      <c r="AV7" s="1" t="n">
        <v>23072500995.6789</v>
      </c>
      <c r="AW7" s="1" t="n">
        <v>22307756382.5329</v>
      </c>
      <c r="AX7" s="1" t="n">
        <v>18362398289.6815</v>
      </c>
      <c r="AY7" s="1" t="n">
        <v>18745279099.8109</v>
      </c>
      <c r="AZ7" s="1" t="n">
        <v>17839633478.0537</v>
      </c>
      <c r="BA7" s="1" t="n">
        <v>18963220120.5219</v>
      </c>
      <c r="BB7" s="1" t="n">
        <v>19831918807.3787</v>
      </c>
      <c r="BC7" s="1" t="n">
        <v>20933392140.7495</v>
      </c>
      <c r="BD7" s="1" t="n">
        <v>21864474389.7937</v>
      </c>
      <c r="BE7" s="1" t="n">
        <v>25962583799.7194</v>
      </c>
      <c r="BF7" s="1" t="n">
        <v>25307195296.8513</v>
      </c>
      <c r="BG7" s="1" t="n">
        <v>26048881437.1459</v>
      </c>
      <c r="BH7" s="1" t="n">
        <v>34307402562.9294</v>
      </c>
      <c r="BI7" s="1" t="n">
        <v>39013952262.5191</v>
      </c>
      <c r="BJ7" s="1" t="n">
        <v>15056224583.12</v>
      </c>
      <c r="BK7" s="1"/>
    </row>
    <row r="8">
      <c r="A8" t="str">
        <f>M8</f>
      </c>
      <c r="B8" t="str">
        <f>N8</f>
      </c>
      <c r="M8" t="s">
        <v>53</v>
      </c>
      <c r="N8" t="s">
        <v>58</v>
      </c>
      <c r="O8" s="1" t="n">
        <v>91809</v>
      </c>
      <c r="P8" s="1" t="n">
        <v>132000</v>
      </c>
      <c r="Q8" s="1" t="n">
        <v>103000</v>
      </c>
      <c r="R8" s="1" t="n">
        <v>3508000</v>
      </c>
      <c r="S8" s="1" t="n">
        <v>7264000</v>
      </c>
      <c r="T8" s="1" t="n">
        <v>28058000</v>
      </c>
      <c r="U8" s="1" t="n">
        <v>9090000</v>
      </c>
      <c r="V8" s="1" t="n">
        <v>9151000</v>
      </c>
      <c r="W8" s="1" t="n">
        <v>11497000</v>
      </c>
      <c r="X8" s="1" t="n">
        <v>31790000</v>
      </c>
      <c r="Y8" s="1" t="n">
        <v>14269000</v>
      </c>
      <c r="Z8" s="1" t="n">
        <v>3585000</v>
      </c>
      <c r="AA8" s="1" t="n">
        <v>17038000</v>
      </c>
      <c r="AB8" s="1" t="n">
        <v>24565000</v>
      </c>
      <c r="AC8" s="1" t="n">
        <v>31459000</v>
      </c>
      <c r="AD8" s="1" t="n">
        <v>78060000</v>
      </c>
      <c r="AE8" s="1" t="n">
        <v>61559034</v>
      </c>
      <c r="AF8" s="1" t="n">
        <v>43239000</v>
      </c>
      <c r="AG8" s="1" t="n">
        <v>43586000</v>
      </c>
      <c r="AH8" s="1" t="n">
        <v>73975993</v>
      </c>
      <c r="AI8" s="1" t="n">
        <v>76903543.6</v>
      </c>
      <c r="AJ8" s="1" t="n">
        <v>144607402.84</v>
      </c>
      <c r="AK8" s="1" t="n">
        <v>1475822978.4182</v>
      </c>
      <c r="AL8" s="1" t="n">
        <v>1824622807.7126</v>
      </c>
      <c r="AM8" s="1" t="n">
        <v>2561396496.1442</v>
      </c>
      <c r="AN8" s="1" t="n">
        <v>1738557723.3406</v>
      </c>
      <c r="AO8" s="1" t="n">
        <v>1512336512.3461</v>
      </c>
      <c r="AP8" s="1" t="n">
        <v>936108224.013</v>
      </c>
      <c r="AQ8" s="1" t="n">
        <v>651107507.8068</v>
      </c>
      <c r="AR8" s="1" t="n">
        <v>254995300.3561</v>
      </c>
      <c r="AS8" s="1" t="n">
        <v>153108585.0246</v>
      </c>
      <c r="AT8" s="1" t="n">
        <v>79913238.7687</v>
      </c>
      <c r="AU8" s="1" t="n">
        <v>62124066.5682</v>
      </c>
      <c r="AV8" s="1" t="n">
        <v>50224192.5047</v>
      </c>
      <c r="AW8" s="1" t="n">
        <v>37161261.0433</v>
      </c>
      <c r="AX8" s="1" t="n">
        <v>14759259.871</v>
      </c>
      <c r="AY8" s="1" t="n">
        <v>16179558.8492</v>
      </c>
      <c r="AZ8" s="1" t="n">
        <v>11121789.1877</v>
      </c>
      <c r="BA8" s="1" t="n">
        <v>12410183.27</v>
      </c>
      <c r="BB8" s="1" t="n">
        <v>3407278.2707</v>
      </c>
      <c r="BC8" s="1" t="n">
        <v>115497.7188</v>
      </c>
      <c r="BD8" s="1" t="n">
        <v>257682.2611</v>
      </c>
      <c r="BE8" s="1" t="n">
        <v>-263753.7399</v>
      </c>
      <c r="BF8" s="1" t="n">
        <v>-11690.3995</v>
      </c>
      <c r="BG8" s="1" t="n">
        <v>-378123.9375</v>
      </c>
      <c r="BH8" s="1" t="n">
        <v>-13433503.0898</v>
      </c>
      <c r="BI8" s="1" t="n">
        <v>0</v>
      </c>
      <c r="BJ8" s="1" t="n">
        <v>-14742791.4</v>
      </c>
      <c r="BK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/>
      <c r="Y9" s="1" t="n">
        <v>197000</v>
      </c>
      <c r="Z9" s="1" t="n">
        <v>74810000</v>
      </c>
      <c r="AA9" s="1" t="n">
        <v>7773865381</v>
      </c>
      <c r="AB9" s="1" t="n">
        <v>7927436229</v>
      </c>
      <c r="AC9" s="1" t="n">
        <v>8786567450</v>
      </c>
      <c r="AD9" s="1" t="n">
        <v>8567595442</v>
      </c>
      <c r="AE9" s="1" t="n">
        <v>8464793804</v>
      </c>
      <c r="AF9" s="1" t="n">
        <v>8883139499</v>
      </c>
      <c r="AG9" s="1" t="n">
        <v>9288654015</v>
      </c>
      <c r="AH9" s="1" t="n">
        <v>9701765491</v>
      </c>
      <c r="AI9" s="1" t="n">
        <v>10811358588</v>
      </c>
      <c r="AJ9" s="1" t="n">
        <v>11290869678</v>
      </c>
      <c r="AK9" s="1" t="n">
        <v>50000</v>
      </c>
      <c r="AL9" s="1" t="n">
        <v>0</v>
      </c>
      <c r="AM9" s="1" t="n">
        <v>0</v>
      </c>
      <c r="AN9" s="1" t="n">
        <v>439600</v>
      </c>
      <c r="AO9" s="1" t="n">
        <v>830513.9</v>
      </c>
      <c r="AP9" s="1" t="n">
        <v>22960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/>
      <c r="AX9" s="1" t="n">
        <v>269000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-500</v>
      </c>
      <c r="BG9" s="1" t="n">
        <v>0</v>
      </c>
      <c r="BH9" s="1" t="n">
        <v>-10000</v>
      </c>
      <c r="BI9" s="1" t="n">
        <v>2458732.2</v>
      </c>
      <c r="BJ9" s="1" t="n">
        <v>-6300111</v>
      </c>
      <c r="BK9" s="1"/>
    </row>
    <row r="10">
      <c r="A10" t="str">
        <f>M10</f>
      </c>
      <c r="B10" t="str">
        <f>N10</f>
      </c>
      <c r="M10" t="s">
        <v>59</v>
      </c>
      <c r="N10" t="s">
        <v>60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 t="str">
        <f>Sum(BJ2:BJ9)</f>
      </c>
      <c r="BK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3</v>
      </c>
      <c r="P13" t="s">
        <v>4</v>
      </c>
      <c r="Q13" t="s">
        <v>5</v>
      </c>
      <c r="R13" t="s">
        <v>6</v>
      </c>
      <c r="S13" t="s">
        <v>7</v>
      </c>
      <c r="T13" t="s">
        <v>8</v>
      </c>
      <c r="U13" t="s">
        <v>9</v>
      </c>
      <c r="V13" t="s">
        <v>10</v>
      </c>
      <c r="W13" t="s">
        <v>11</v>
      </c>
      <c r="X13" t="s">
        <v>12</v>
      </c>
      <c r="Y13" t="s">
        <v>13</v>
      </c>
      <c r="Z13" t="s">
        <v>14</v>
      </c>
      <c r="AA13" t="s">
        <v>15</v>
      </c>
      <c r="AB13" t="s">
        <v>16</v>
      </c>
      <c r="AC13" t="s">
        <v>17</v>
      </c>
      <c r="AD13" t="s">
        <v>18</v>
      </c>
      <c r="AE13" t="s">
        <v>19</v>
      </c>
      <c r="AF13" t="s">
        <v>20</v>
      </c>
      <c r="AG13" t="s">
        <v>21</v>
      </c>
      <c r="AH13" t="s">
        <v>22</v>
      </c>
      <c r="AI13" t="s">
        <v>23</v>
      </c>
      <c r="AJ13" t="s">
        <v>24</v>
      </c>
      <c r="AK13" t="s">
        <v>25</v>
      </c>
      <c r="AL13" t="s">
        <v>26</v>
      </c>
      <c r="AM13" t="s">
        <v>27</v>
      </c>
      <c r="AN13" t="s">
        <v>28</v>
      </c>
      <c r="AO13" t="s">
        <v>29</v>
      </c>
      <c r="AP13" t="s">
        <v>30</v>
      </c>
      <c r="AQ13" t="s">
        <v>31</v>
      </c>
      <c r="AR13" t="s">
        <v>32</v>
      </c>
      <c r="AS13" t="s">
        <v>33</v>
      </c>
      <c r="AT13" t="s">
        <v>34</v>
      </c>
      <c r="AU13" t="s">
        <v>35</v>
      </c>
      <c r="AV13" t="s">
        <v>36</v>
      </c>
      <c r="AW13" t="s">
        <v>37</v>
      </c>
      <c r="AX13" t="s">
        <v>38</v>
      </c>
      <c r="AY13" t="s">
        <v>39</v>
      </c>
      <c r="AZ13" t="s">
        <v>40</v>
      </c>
      <c r="BA13" t="s">
        <v>41</v>
      </c>
      <c r="BB13" t="s">
        <v>42</v>
      </c>
      <c r="BC13" t="s">
        <v>43</v>
      </c>
      <c r="BD13" t="s">
        <v>44</v>
      </c>
      <c r="BE13" t="s">
        <v>45</v>
      </c>
      <c r="BF13" t="s">
        <v>46</v>
      </c>
      <c r="BG13" t="s">
        <v>47</v>
      </c>
      <c r="BH13" t="s">
        <v>48</v>
      </c>
      <c r="BI13" t="s">
        <v>49</v>
      </c>
    </row>
    <row r="14">
      <c r="A14" t="str">
        <f>M14</f>
      </c>
      <c r="B14" t="str">
        <f>N14</f>
      </c>
      <c r="M14" t="s">
        <v>50</v>
      </c>
      <c r="N14" t="s">
        <v>51</v>
      </c>
      <c r="O14" s="1" t="n">
        <v>14641960528.5299</v>
      </c>
      <c r="P14" s="1" t="n">
        <v>437274169.513337</v>
      </c>
      <c r="Q14" s="1" t="n">
        <v>428834317.501136</v>
      </c>
      <c r="R14" s="1" t="n">
        <v>399648205.501615</v>
      </c>
      <c r="S14" s="1" t="n">
        <v>363729959.070112</v>
      </c>
      <c r="T14" s="1" t="n">
        <v>357255527.479234</v>
      </c>
      <c r="U14" s="1" t="n">
        <v>380816298.195206</v>
      </c>
      <c r="V14" s="1" t="n">
        <v>336423745.506562</v>
      </c>
      <c r="W14" s="1" t="n">
        <v>401526365.950173</v>
      </c>
      <c r="X14" s="1" t="n">
        <v>579261268.760562</v>
      </c>
      <c r="Y14" s="1" t="n">
        <v>442001355.101343</v>
      </c>
      <c r="Z14" s="1" t="n">
        <v>607994514.039351</v>
      </c>
      <c r="AA14" s="1" t="n">
        <v>631548622.673587</v>
      </c>
      <c r="AB14" s="1" t="n">
        <v>561188723.270805</v>
      </c>
      <c r="AC14" s="1" t="n">
        <v>618690995.593916</v>
      </c>
      <c r="AD14" s="1" t="n">
        <v>962193877.807062</v>
      </c>
      <c r="AE14" s="1" t="n">
        <v>447936180.913782</v>
      </c>
      <c r="AF14" s="1" t="n">
        <v>215570397.319588</v>
      </c>
      <c r="AG14" s="1" t="n">
        <v>1533967613.5571</v>
      </c>
      <c r="AH14" s="1" t="n">
        <v>1545624270.69755</v>
      </c>
      <c r="AI14" s="1" t="n">
        <v>1736604987.58284</v>
      </c>
      <c r="AJ14" s="1" t="n">
        <v>20009362724.6801</v>
      </c>
      <c r="AK14" s="1" t="n">
        <v>18880533513.0817</v>
      </c>
      <c r="AL14" s="1" t="n">
        <v>23207718660.6589</v>
      </c>
      <c r="AM14" s="1" t="n">
        <v>27327936069.0443</v>
      </c>
      <c r="AN14" s="1" t="n">
        <v>29786666194.7359</v>
      </c>
      <c r="AO14" s="1" t="n">
        <v>34393504212.0023</v>
      </c>
      <c r="AP14" s="1" t="n">
        <v>34162846865.1999</v>
      </c>
      <c r="AQ14" s="1" t="n">
        <v>34067025551.3719</v>
      </c>
      <c r="AR14" s="1" t="n">
        <v>36494006271.6545</v>
      </c>
      <c r="AS14" s="1" t="n">
        <v>39170307050.52</v>
      </c>
      <c r="AT14" s="1" t="n">
        <v>39269576009.2101</v>
      </c>
      <c r="AU14" s="1" t="n">
        <v>36491426994.5337</v>
      </c>
      <c r="AV14" s="1" t="n">
        <v>34251706357.7828</v>
      </c>
      <c r="AW14" s="1" t="n">
        <v>31789757162.6515</v>
      </c>
      <c r="AX14" s="1" t="n">
        <v>31291517451.99</v>
      </c>
      <c r="AY14" s="1" t="n">
        <v>32735462505.1501</v>
      </c>
      <c r="AZ14" s="1" t="n">
        <v>31092135733.6005</v>
      </c>
      <c r="BA14" s="1" t="n">
        <v>31977166963.4814</v>
      </c>
      <c r="BB14" s="1" t="n">
        <v>31496874970.611</v>
      </c>
      <c r="BC14" s="1" t="n">
        <v>34019429831.7949</v>
      </c>
      <c r="BD14" s="1" t="n">
        <v>39318488835.0776</v>
      </c>
      <c r="BE14" s="1" t="n">
        <v>45812474960.2318</v>
      </c>
      <c r="BF14" s="1" t="n">
        <v>46086983252.2156</v>
      </c>
      <c r="BG14" s="1" t="n">
        <v>47122194018.36</v>
      </c>
      <c r="BH14" s="1" t="n">
        <v>45674373870.1366</v>
      </c>
      <c r="BI14" s="1" t="n">
        <v>16182883355.169</v>
      </c>
      <c r="BJ14" s="1"/>
    </row>
    <row r="15">
      <c r="A15" t="str">
        <f>M15</f>
      </c>
      <c r="B15" t="str">
        <f>N15</f>
      </c>
      <c r="M15" t="s">
        <v>50</v>
      </c>
      <c r="N15" t="s">
        <v>52</v>
      </c>
      <c r="O15" s="1" t="n">
        <v>29066738.3506573</v>
      </c>
      <c r="P15" s="1" t="n">
        <v>33920615.7345968</v>
      </c>
      <c r="Q15" s="1" t="n">
        <v>56335132.4276855</v>
      </c>
      <c r="R15" s="1" t="n">
        <v>19183196.9545098</v>
      </c>
      <c r="S15" s="1" t="n">
        <v>31343411.6871467</v>
      </c>
      <c r="T15" s="1" t="n">
        <v>28665429.188157</v>
      </c>
      <c r="U15" s="1" t="n">
        <v>25100057.0190391</v>
      </c>
      <c r="V15" s="1" t="n">
        <v>32103115.1682518</v>
      </c>
      <c r="W15" s="1" t="n">
        <v>3120257.49645203</v>
      </c>
      <c r="X15" s="1" t="n">
        <v>52679907.3368928</v>
      </c>
      <c r="Y15" s="1" t="n">
        <v>45554363.0255552</v>
      </c>
      <c r="Z15" s="1" t="n">
        <v>56371024.1990269</v>
      </c>
      <c r="AA15" s="1" t="n">
        <v>64747221.984936</v>
      </c>
      <c r="AB15" s="1" t="n">
        <v>85478222.0048244</v>
      </c>
      <c r="AC15" s="1" t="n">
        <v>62616789.6349493</v>
      </c>
      <c r="AD15" s="1" t="n">
        <v>43237704.431717</v>
      </c>
      <c r="AE15" s="1" t="n">
        <v>5941153.47135295</v>
      </c>
      <c r="AF15" s="1" t="n">
        <v>45519326.475821</v>
      </c>
      <c r="AG15" s="1" t="n">
        <v>24111856.088776</v>
      </c>
      <c r="AH15" s="1" t="n">
        <v>84156350.6961855</v>
      </c>
      <c r="AI15" s="1" t="n">
        <v>88614637.3356077</v>
      </c>
      <c r="AJ15" s="1" t="n">
        <v>3918379261.45491</v>
      </c>
      <c r="AK15" s="1" t="n">
        <v>3407325412.4561</v>
      </c>
      <c r="AL15" s="1" t="n">
        <v>5045467569.43653</v>
      </c>
      <c r="AM15" s="1" t="n">
        <v>6018193346.8457</v>
      </c>
      <c r="AN15" s="1" t="n">
        <v>2159017240.50932</v>
      </c>
      <c r="AO15" s="1" t="n">
        <v>3071304663.23742</v>
      </c>
      <c r="AP15" s="1" t="n">
        <v>2620417462.20442</v>
      </c>
      <c r="AQ15" s="1" t="n">
        <v>2692589045.35042</v>
      </c>
      <c r="AR15" s="1" t="n">
        <v>3027424220.19649</v>
      </c>
      <c r="AS15" s="1" t="n">
        <v>3106120406.5336</v>
      </c>
      <c r="AT15" s="1" t="n">
        <v>3064120206.83104</v>
      </c>
      <c r="AU15" s="1" t="n">
        <v>2825988092.69412</v>
      </c>
      <c r="AV15" s="1" t="n">
        <v>2341501570.8413</v>
      </c>
      <c r="AW15" s="1" t="n">
        <v>1686200803.22652</v>
      </c>
      <c r="AX15" s="1" t="n">
        <v>1786585516.94177</v>
      </c>
      <c r="AY15" s="1" t="n">
        <v>1938399007.56352</v>
      </c>
      <c r="AZ15" s="1" t="n">
        <v>2112841793.68486</v>
      </c>
      <c r="BA15" s="1" t="n">
        <v>2034792712.46568</v>
      </c>
      <c r="BB15" s="1" t="n">
        <v>2175757538.18911</v>
      </c>
      <c r="BC15" s="1" t="n">
        <v>2281259207.18193</v>
      </c>
      <c r="BD15" s="1" t="n">
        <v>2285524607.86757</v>
      </c>
      <c r="BE15" s="1" t="n">
        <v>2245638928.33245</v>
      </c>
      <c r="BF15" s="1" t="n">
        <v>2115550588.86566</v>
      </c>
      <c r="BG15" s="1" t="n">
        <v>2809152382.38</v>
      </c>
      <c r="BH15" s="1" t="n">
        <v>2774993038.89323</v>
      </c>
      <c r="BI15" s="1" t="n">
        <v>575035497.447059</v>
      </c>
      <c r="BJ15" s="1"/>
    </row>
    <row r="16">
      <c r="A16" t="str">
        <f>M16</f>
      </c>
      <c r="B16" t="str">
        <f>N16</f>
      </c>
      <c r="M16" t="s">
        <v>53</v>
      </c>
      <c r="N16" t="s">
        <v>54</v>
      </c>
      <c r="O16" s="1" t="n">
        <v>1655070.03957671</v>
      </c>
      <c r="P16" s="1" t="n">
        <v>3268886.15319439</v>
      </c>
      <c r="Q16" s="1" t="n">
        <v>3253090.71661964</v>
      </c>
      <c r="R16" s="1" t="n">
        <v>4488539.98557084</v>
      </c>
      <c r="S16" s="1" t="n">
        <v>1631207.72818909</v>
      </c>
      <c r="T16" s="1" t="n">
        <v>1455287.3448817</v>
      </c>
      <c r="U16" s="1" t="n">
        <v>1374521.20052473</v>
      </c>
      <c r="V16" s="1" t="n">
        <v>962905.111749411</v>
      </c>
      <c r="W16" s="1" t="n">
        <v>5197358.79667323</v>
      </c>
      <c r="X16" s="1" t="n">
        <v>593287.410627608</v>
      </c>
      <c r="Y16" s="1" t="n">
        <v>2825575.34320118</v>
      </c>
      <c r="Z16" s="1" t="n">
        <v>515002.202368655</v>
      </c>
      <c r="AA16" s="1" t="n">
        <v>1669401.60311518</v>
      </c>
      <c r="AB16" s="1" t="n">
        <v>200657.676379354</v>
      </c>
      <c r="AC16" s="1" t="n">
        <v>142760.798353028</v>
      </c>
      <c r="AD16" s="1"/>
      <c r="AE16" s="1" t="n">
        <v>1380857.59220577</v>
      </c>
      <c r="AF16" s="1"/>
      <c r="AG16" s="1" t="n">
        <v>1636093.35644096</v>
      </c>
      <c r="AH16" s="1" t="n">
        <v>4453953.11715918</v>
      </c>
      <c r="AI16" s="1" t="n">
        <v>556866.075216551</v>
      </c>
      <c r="AJ16" s="1" t="n">
        <v>234582120.050363</v>
      </c>
      <c r="AK16" s="1" t="n">
        <v>450816708.954886</v>
      </c>
      <c r="AL16" s="1" t="n">
        <v>558872954.945485</v>
      </c>
      <c r="AM16" s="1" t="n">
        <v>333254778.698102</v>
      </c>
      <c r="AN16" s="1" t="n">
        <v>638591876.674247</v>
      </c>
      <c r="AO16" s="1" t="n">
        <v>1554312207.99465</v>
      </c>
      <c r="AP16" s="1" t="n">
        <v>2321133696.06837</v>
      </c>
      <c r="AQ16" s="1" t="n">
        <v>2725751848.90433</v>
      </c>
      <c r="AR16" s="1" t="n">
        <v>3077023431.10569</v>
      </c>
      <c r="AS16" s="1" t="n">
        <v>3731065893.45887</v>
      </c>
      <c r="AT16" s="1" t="n">
        <v>4396039740.11226</v>
      </c>
      <c r="AU16" s="1" t="n">
        <v>4620992161.7169</v>
      </c>
      <c r="AV16" s="1" t="n">
        <v>4970353450.21399</v>
      </c>
      <c r="AW16" s="1" t="n">
        <v>4705872489.21116</v>
      </c>
      <c r="AX16" s="1" t="n">
        <v>5285598670.85264</v>
      </c>
      <c r="AY16" s="1" t="n">
        <v>6174009582.94932</v>
      </c>
      <c r="AZ16" s="1" t="n">
        <v>7143464197.46978</v>
      </c>
      <c r="BA16" s="1" t="n">
        <v>7455190921.63628</v>
      </c>
      <c r="BB16" s="1" t="n">
        <v>7662523176.48163</v>
      </c>
      <c r="BC16" s="1" t="n">
        <v>8150132321.92841</v>
      </c>
      <c r="BD16" s="1" t="n">
        <v>9080602918.00135</v>
      </c>
      <c r="BE16" s="1" t="n">
        <v>9130403084.80445</v>
      </c>
      <c r="BF16" s="1" t="n">
        <v>8182640368.36976</v>
      </c>
      <c r="BG16" s="1" t="n">
        <v>8863563555.5035</v>
      </c>
      <c r="BH16" s="1" t="n">
        <v>8879557357.66099</v>
      </c>
      <c r="BI16" s="1" t="n">
        <v>2903160440.84029</v>
      </c>
      <c r="BJ16" s="1"/>
    </row>
    <row r="17">
      <c r="A17" t="str">
        <f>M17</f>
      </c>
      <c r="B17" t="str">
        <f>N17</f>
      </c>
      <c r="M17" t="s">
        <v>53</v>
      </c>
      <c r="N17" t="s">
        <v>55</v>
      </c>
      <c r="O17" s="1" t="n">
        <v>5748106.32002367</v>
      </c>
      <c r="P17" s="1" t="n">
        <v>975928.329794266</v>
      </c>
      <c r="Q17" s="1" t="n">
        <v>319268.85017222</v>
      </c>
      <c r="R17" s="1" t="n">
        <v>414161.268890299</v>
      </c>
      <c r="S17" s="1"/>
      <c r="T17" s="1" t="n">
        <v>111945.180375515</v>
      </c>
      <c r="U17" s="1" t="n">
        <v>743830.211842628</v>
      </c>
      <c r="V17" s="1" t="n">
        <v>468503.954127464</v>
      </c>
      <c r="W17" s="1"/>
      <c r="X17" s="1"/>
      <c r="Y17" s="1"/>
      <c r="Z17" s="1"/>
      <c r="AA17" s="1" t="n">
        <v>67894.3235716699</v>
      </c>
      <c r="AB17" s="1" t="n">
        <v>609765.560259591</v>
      </c>
      <c r="AC17" s="1" t="n">
        <v>1029781.22545317</v>
      </c>
      <c r="AD17" s="1" t="n">
        <v>3492770.4885386</v>
      </c>
      <c r="AE17" s="1" t="n">
        <v>3292533.62474427</v>
      </c>
      <c r="AF17" s="1" t="n">
        <v>10658297.2982443</v>
      </c>
      <c r="AG17" s="1" t="n">
        <v>17005063.4773236</v>
      </c>
      <c r="AH17" s="1" t="n">
        <v>222156020.182886</v>
      </c>
      <c r="AI17" s="1" t="n">
        <v>500371855.166693</v>
      </c>
      <c r="AJ17" s="1" t="n">
        <v>2204373041.54795</v>
      </c>
      <c r="AK17" s="1" t="n">
        <v>4519391462.06392</v>
      </c>
      <c r="AL17" s="1" t="n">
        <v>5720795430.54823</v>
      </c>
      <c r="AM17" s="1" t="n">
        <v>7577237264.70193</v>
      </c>
      <c r="AN17" s="1" t="n">
        <v>9738883424.58676</v>
      </c>
      <c r="AO17" s="1" t="n">
        <v>9936931771.8117</v>
      </c>
      <c r="AP17" s="1" t="n">
        <v>11174105167.315</v>
      </c>
      <c r="AQ17" s="1" t="n">
        <v>10871218541.0535</v>
      </c>
      <c r="AR17" s="1" t="n">
        <v>11073350446.4658</v>
      </c>
      <c r="AS17" s="1" t="n">
        <v>11596745346.1789</v>
      </c>
      <c r="AT17" s="1" t="n">
        <v>12741686564.8327</v>
      </c>
      <c r="AU17" s="1" t="n">
        <v>11878569852.0251</v>
      </c>
      <c r="AV17" s="1" t="n">
        <v>10912054156.7716</v>
      </c>
      <c r="AW17" s="1" t="n">
        <v>11201513882.7124</v>
      </c>
      <c r="AX17" s="1" t="n">
        <v>11585030916.9834</v>
      </c>
      <c r="AY17" s="1" t="n">
        <v>10759093394.2879</v>
      </c>
      <c r="AZ17" s="1" t="n">
        <v>10227798019.3293</v>
      </c>
      <c r="BA17" s="1" t="n">
        <v>9574806953.01162</v>
      </c>
      <c r="BB17" s="1" t="n">
        <v>10068011677.7496</v>
      </c>
      <c r="BC17" s="1" t="n">
        <v>10516002042.8152</v>
      </c>
      <c r="BD17" s="1" t="n">
        <v>11284141893.4505</v>
      </c>
      <c r="BE17" s="1" t="n">
        <v>12270426425.9178</v>
      </c>
      <c r="BF17" s="1" t="n">
        <v>12229043265.3336</v>
      </c>
      <c r="BG17" s="1" t="n">
        <v>13504775344.3988</v>
      </c>
      <c r="BH17" s="1" t="n">
        <v>13716157095.8326</v>
      </c>
      <c r="BI17" s="1" t="n">
        <v>4372696649.63769</v>
      </c>
      <c r="BJ17" s="1"/>
    </row>
    <row r="18">
      <c r="A18" t="str">
        <f>M18</f>
      </c>
      <c r="B18" t="str">
        <f>N18</f>
      </c>
      <c r="M18" t="s">
        <v>53</v>
      </c>
      <c r="N18" t="s">
        <v>56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n">
        <v>196193780.346144</v>
      </c>
      <c r="AH18" s="1" t="n">
        <v>357338321.277548</v>
      </c>
      <c r="AI18" s="1" t="n">
        <v>987622763.772161</v>
      </c>
      <c r="AJ18" s="1" t="n">
        <v>2170867813.05314</v>
      </c>
      <c r="AK18" s="1" t="n">
        <v>2433371611.04168</v>
      </c>
      <c r="AL18" s="1" t="n">
        <v>4440417287.80824</v>
      </c>
      <c r="AM18" s="1" t="n">
        <v>4876083935.82251</v>
      </c>
      <c r="AN18" s="1" t="n">
        <v>6900568200.29897</v>
      </c>
      <c r="AO18" s="1" t="n">
        <v>9554717801.1671</v>
      </c>
      <c r="AP18" s="1" t="n">
        <v>12245946233.5938</v>
      </c>
      <c r="AQ18" s="1" t="n">
        <v>14643484794.0384</v>
      </c>
      <c r="AR18" s="1" t="n">
        <v>17794416974.0257</v>
      </c>
      <c r="AS18" s="1" t="n">
        <v>21290418377.0308</v>
      </c>
      <c r="AT18" s="1" t="n">
        <v>23756964860.3958</v>
      </c>
      <c r="AU18" s="1" t="n">
        <v>24024921099.9556</v>
      </c>
      <c r="AV18" s="1" t="n">
        <v>24567505035.3229</v>
      </c>
      <c r="AW18" s="1" t="n">
        <v>23361400486.6783</v>
      </c>
      <c r="AX18" s="1" t="n">
        <v>21622171973.1695</v>
      </c>
      <c r="AY18" s="1" t="n">
        <v>21654714156.6049</v>
      </c>
      <c r="AZ18" s="1" t="n">
        <v>23642210659.2062</v>
      </c>
      <c r="BA18" s="1" t="n">
        <v>25316604212.7382</v>
      </c>
      <c r="BB18" s="1" t="n">
        <v>29724543787.9711</v>
      </c>
      <c r="BC18" s="1" t="n">
        <v>31400095535.941</v>
      </c>
      <c r="BD18" s="1" t="n">
        <v>33273652994.3699</v>
      </c>
      <c r="BE18" s="1" t="n">
        <v>34014306428.236</v>
      </c>
      <c r="BF18" s="1" t="n">
        <v>33482120167.5603</v>
      </c>
      <c r="BG18" s="1" t="n">
        <v>37660222831.6998</v>
      </c>
      <c r="BH18" s="1" t="n">
        <v>40739954509.1189</v>
      </c>
      <c r="BI18" s="1" t="n">
        <v>15245036292.6081</v>
      </c>
      <c r="BJ18" s="1"/>
    </row>
    <row r="19">
      <c r="A19" t="str">
        <f>M19</f>
      </c>
      <c r="B19" t="str">
        <f>N19</f>
      </c>
      <c r="M19" t="s">
        <v>53</v>
      </c>
      <c r="N19" t="s">
        <v>57</v>
      </c>
      <c r="O19" s="1" t="n">
        <v>0</v>
      </c>
      <c r="P19" s="1"/>
      <c r="Q19" s="1" t="n">
        <v>189835.532534833</v>
      </c>
      <c r="R19" s="1" t="n">
        <v>0</v>
      </c>
      <c r="S19" s="1"/>
      <c r="T19" s="1"/>
      <c r="U19" s="1"/>
      <c r="V19" s="1" t="n">
        <v>0</v>
      </c>
      <c r="W19" s="1" t="n">
        <v>2915310.69410204</v>
      </c>
      <c r="X19" s="1" t="n">
        <v>336790.973702139</v>
      </c>
      <c r="Y19" s="1" t="n">
        <v>2909184.93226403</v>
      </c>
      <c r="Z19" s="1" t="n">
        <v>2444709.24979819</v>
      </c>
      <c r="AA19" s="1" t="n">
        <v>7498328.97093001</v>
      </c>
      <c r="AB19" s="1" t="n">
        <v>14236954.3590322</v>
      </c>
      <c r="AC19" s="1" t="n">
        <v>9814329.01744281</v>
      </c>
      <c r="AD19" s="1" t="n">
        <v>23130381.7096675</v>
      </c>
      <c r="AE19" s="1" t="n">
        <v>26981587.0556753</v>
      </c>
      <c r="AF19" s="1" t="n">
        <v>23038803.918823</v>
      </c>
      <c r="AG19" s="1" t="n">
        <v>830281740.884972</v>
      </c>
      <c r="AH19" s="1" t="n">
        <v>1093467287.45429</v>
      </c>
      <c r="AI19" s="1" t="n">
        <v>2204950736.80065</v>
      </c>
      <c r="AJ19" s="1" t="n">
        <v>8705277558.63642</v>
      </c>
      <c r="AK19" s="1" t="n">
        <v>9774507034.68662</v>
      </c>
      <c r="AL19" s="1" t="n">
        <v>12009355973.1917</v>
      </c>
      <c r="AM19" s="1" t="n">
        <v>14224227926.4246</v>
      </c>
      <c r="AN19" s="1" t="n">
        <v>16630390469.9109</v>
      </c>
      <c r="AO19" s="1" t="n">
        <v>20081043109.077</v>
      </c>
      <c r="AP19" s="1" t="n">
        <v>24135773076.6681</v>
      </c>
      <c r="AQ19" s="1" t="n">
        <v>24553653021.65</v>
      </c>
      <c r="AR19" s="1" t="n">
        <v>29393100801.0139</v>
      </c>
      <c r="AS19" s="1" t="n">
        <v>31946589729.336</v>
      </c>
      <c r="AT19" s="1" t="n">
        <v>32449574626.2265</v>
      </c>
      <c r="AU19" s="1" t="n">
        <v>30787715329.5238</v>
      </c>
      <c r="AV19" s="1" t="n">
        <v>29236717013.7347</v>
      </c>
      <c r="AW19" s="1" t="n">
        <v>23637013165.189</v>
      </c>
      <c r="AX19" s="1" t="n">
        <v>23697558199.6454</v>
      </c>
      <c r="AY19" s="1" t="n">
        <v>22321484815.8042</v>
      </c>
      <c r="AZ19" s="1" t="n">
        <v>23539152746.6155</v>
      </c>
      <c r="BA19" s="1" t="n">
        <v>24208823292.8177</v>
      </c>
      <c r="BB19" s="1" t="n">
        <v>24998426704.6502</v>
      </c>
      <c r="BC19" s="1" t="n">
        <v>25636311496.1012</v>
      </c>
      <c r="BD19" s="1" t="n">
        <v>30048853740.0378</v>
      </c>
      <c r="BE19" s="1" t="n">
        <v>28315759210.6518</v>
      </c>
      <c r="BF19" s="1" t="n">
        <v>27240529059.1247</v>
      </c>
      <c r="BG19" s="1" t="n">
        <v>34307402562.9294</v>
      </c>
      <c r="BH19" s="1" t="n">
        <v>37999147485.7543</v>
      </c>
      <c r="BI19" s="1" t="n">
        <v>14349729348.2983</v>
      </c>
      <c r="BJ19" s="1"/>
    </row>
    <row r="20">
      <c r="A20" t="str">
        <f>M20</f>
      </c>
      <c r="B20" t="str">
        <f>N20</f>
      </c>
      <c r="M20" t="s">
        <v>53</v>
      </c>
      <c r="N20" t="s">
        <v>58</v>
      </c>
      <c r="O20" s="1" t="n">
        <v>453255.695485737</v>
      </c>
      <c r="P20" s="1" t="n">
        <v>325309.443264756</v>
      </c>
      <c r="Q20" s="1" t="n">
        <v>10090046.1838211</v>
      </c>
      <c r="R20" s="1" t="n">
        <v>19535502.9689554</v>
      </c>
      <c r="S20" s="1" t="n">
        <v>72303991.2125268</v>
      </c>
      <c r="T20" s="1" t="n">
        <v>22612926.4358541</v>
      </c>
      <c r="U20" s="1" t="n">
        <v>22028447.4711064</v>
      </c>
      <c r="V20" s="1" t="n">
        <v>27067286.2341882</v>
      </c>
      <c r="W20" s="1" t="n">
        <v>73205155.5809667</v>
      </c>
      <c r="X20" s="1" t="n">
        <v>31825631.8129524</v>
      </c>
      <c r="Y20" s="1" t="n">
        <v>7685650.68693188</v>
      </c>
      <c r="Z20" s="1" t="n">
        <v>35239387.6464142</v>
      </c>
      <c r="AA20" s="1" t="n">
        <v>49053648.7805315</v>
      </c>
      <c r="AB20" s="1" t="n">
        <v>61286309.1380398</v>
      </c>
      <c r="AC20" s="1" t="n">
        <v>148585438.925831</v>
      </c>
      <c r="AD20" s="1" t="n">
        <v>114672841.204343</v>
      </c>
      <c r="AE20" s="1" t="n">
        <v>78873053.407378</v>
      </c>
      <c r="AF20" s="1" t="n">
        <v>78036711.9168949</v>
      </c>
      <c r="AG20" s="1" t="n">
        <v>130137620.247372</v>
      </c>
      <c r="AH20" s="1" t="n">
        <v>133612518.855676</v>
      </c>
      <c r="AI20" s="1" t="n">
        <v>248168503.526417</v>
      </c>
      <c r="AJ20" s="1" t="n">
        <v>2481114321.69908</v>
      </c>
      <c r="AK20" s="1" t="n">
        <v>2994913352.31532</v>
      </c>
      <c r="AL20" s="1" t="n">
        <v>4139127222.4209</v>
      </c>
      <c r="AM20" s="1" t="n">
        <v>2756536448.29305</v>
      </c>
      <c r="AN20" s="1" t="n">
        <v>2340698847.09134</v>
      </c>
      <c r="AO20" s="1" t="n">
        <v>1406062888.72919</v>
      </c>
      <c r="AP20" s="1" t="n">
        <v>947213603.219517</v>
      </c>
      <c r="AQ20" s="1" t="n">
        <v>361021530.06171</v>
      </c>
      <c r="AR20" s="1" t="n">
        <v>212361833.500609</v>
      </c>
      <c r="AS20" s="1" t="n">
        <v>109717793.846644</v>
      </c>
      <c r="AT20" s="1" t="n">
        <v>84561605.7448777</v>
      </c>
      <c r="AU20" s="1" t="n">
        <v>67018661.8164845</v>
      </c>
      <c r="AV20" s="1" t="n">
        <v>48703834.4137199</v>
      </c>
      <c r="AW20" s="1" t="n">
        <v>18998870.1026768</v>
      </c>
      <c r="AX20" s="1" t="n">
        <v>20454005.2688451</v>
      </c>
      <c r="AY20" s="1" t="n">
        <v>13915916.4218942</v>
      </c>
      <c r="AZ20" s="1" t="n">
        <v>15404830.9173971</v>
      </c>
      <c r="BA20" s="1" t="n">
        <v>4159264.58584248</v>
      </c>
      <c r="BB20" s="1" t="n">
        <v>137926.105743545</v>
      </c>
      <c r="BC20" s="1" t="n">
        <v>302134.988237493</v>
      </c>
      <c r="BD20" s="1" t="n">
        <v>-305266.132784855</v>
      </c>
      <c r="BE20" s="1" t="n">
        <v>-13080.1747659295</v>
      </c>
      <c r="BF20" s="1" t="n">
        <v>-395421.820022226</v>
      </c>
      <c r="BG20" s="1" t="n">
        <v>-13433503.0898</v>
      </c>
      <c r="BH20" s="1" t="n">
        <v>0</v>
      </c>
      <c r="BI20" s="1" t="n">
        <v>-14051003.6404213</v>
      </c>
      <c r="BJ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/>
      <c r="X21" s="1" t="n">
        <v>439389.548472326</v>
      </c>
      <c r="Y21" s="1" t="n">
        <v>160380342.507496</v>
      </c>
      <c r="Z21" s="1" t="n">
        <v>16078545349.9295</v>
      </c>
      <c r="AA21" s="1" t="n">
        <v>15830232953.6913</v>
      </c>
      <c r="AB21" s="1" t="n">
        <v>17117400076.3832</v>
      </c>
      <c r="AC21" s="1" t="n">
        <v>16308223536.8757</v>
      </c>
      <c r="AD21" s="1" t="n">
        <v>15768310394.7603</v>
      </c>
      <c r="AE21" s="1" t="n">
        <v>16203897780.4717</v>
      </c>
      <c r="AF21" s="1" t="n">
        <v>16630478077.0033</v>
      </c>
      <c r="AG21" s="1" t="n">
        <v>17067221702.5437</v>
      </c>
      <c r="AH21" s="1" t="n">
        <v>18783696895.7906</v>
      </c>
      <c r="AI21" s="1" t="n">
        <v>19376865751.4813</v>
      </c>
      <c r="AJ21" s="1" t="n">
        <v>84058.6695688382</v>
      </c>
      <c r="AK21" s="1" t="n">
        <v>0</v>
      </c>
      <c r="AL21" s="1" t="n">
        <v>0</v>
      </c>
      <c r="AM21" s="1" t="n">
        <v>696999.246214976</v>
      </c>
      <c r="AN21" s="1" t="n">
        <v>1285416.91108655</v>
      </c>
      <c r="AO21" s="1" t="n">
        <v>34486.6150057174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/>
      <c r="AW21" s="1" t="n">
        <v>346270.483905625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-559.440879925852</v>
      </c>
      <c r="BF21" s="1" t="n">
        <v>0</v>
      </c>
      <c r="BG21" s="1" t="n">
        <v>-10000</v>
      </c>
      <c r="BH21" s="1" t="n">
        <v>2394777.30600321</v>
      </c>
      <c r="BI21" s="1" t="n">
        <v>-6004485.86663571</v>
      </c>
      <c r="BJ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../output/FedAcqTrends/Platform//Other_RandD_and_Knowledge_Based/DoD_Other_RandD_and_Knowledge_Based_Contracts.xlsx</dc:creator>
  <cp:lastModifiedBy>../output/FedAcqTrends/Platform//Other_RandD_and_Knowledge_Based/DoD_Other_RandD_and_Knowledge_Based_Contracts.xlsx</cp:lastModifiedBy>
  <dcterms:created xsi:type="dcterms:W3CDTF">2025-11-13T21:10:47Z</dcterms:created>
</coreProperties>
</file>