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<sst xmlns="http://schemas.openxmlformats.org/spreadsheetml/2006/main" count="76" uniqueCount="76">
  <si>
    <t xml:space="preserve">Vehicle.AwardTask</t>
  </si>
  <si>
    <t xml:space="preserve">Vehicle.sum7</t>
  </si>
  <si>
    <t xml:space="preserve">1973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</si>
  <si>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</si>
  <si>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</si>
  <si>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</si>
  <si>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</si>
  <si>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</si>
  <si>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</si>
  <si>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</si>
  <si>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</si>
  <si>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</si>
  <si>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</si>
  <si>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</si>
  <si>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</si>
  <si>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</si>
  <si>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</si>
  <si>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</si>
  <si>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</si>
  <si>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</si>
  <si>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</si>
  <si>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</si>
  <si>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</si>
  <si>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</si>
  <si>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</si>
  <si>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</si>
  <si>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</si>
  <si>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</si>
  <si>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</si>
  <si>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</si>
  <si>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</si>
  <si>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</si>
  <si>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</si>
  <si>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</si>
  <si>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</si>
  <si>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</si>
  <si>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</si>
  <si>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</si>
  <si>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</si>
  <si>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</si>
  <si>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</si>
  <si>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</si>
  <si>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</si>
  <si>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</si>
  <si>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</si>
  <si>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</si>
  <si>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</si>
  <si>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</si>
  <si>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</si>
  <si>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</si>
  <si>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</si>
  <si>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</si>
  <si>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</si>
  <si>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</si>
  <si>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</si>
  <si>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</si>
  <si>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</si>
  <si>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</si>
  <si>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</si>
  <si>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</si>
  <si>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</si>
  <si>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</si>
  <si>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</si>
  <si>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</si>
  <si>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</si>
  <si>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</si>
  <si>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</si>
  <si>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</si>
  <si>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</si>
  <si>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</si>
  <si>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</si>
  <si>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</si>
  <si>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</si>
  <si>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SimpleArea</t>
  </si>
  <si>
    <t xml:space="preserve">R&amp;D</t>
  </si>
  <si>
    <t xml:space="preserve">Services (Non-R&amp;D)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</si>
</sst>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6" formatCode="0.00,,,&quot;B&quot;"/>
    <numFmt numFmtId="170" formatCode="0.00,,,&quot;B&quot;"/>
    <numFmt numFmtId="171" formatCode="0.00,,,&quot;B&quot;"/>
    <numFmt numFmtId="172" formatCode="0.00,,,&quot;B&quot;"/>
    <numFmt numFmtId="173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6" fontId="1" fillId="0" borderId="0" xfId="0" applyFont="1" applyNumberFormat="1"/>
    <xf numFmtId="170" fontId="1" fillId="0" borderId="0" xfId="0" applyFont="1" applyNumberFormat="1"/>
    <xf numFmtId="171" fontId="1" fillId="0" borderId="0" xfId="0" applyFont="1" applyNumberFormat="1"/>
    <xf numFmtId="172" fontId="1" fillId="0" borderId="0" xfId="0" applyFont="1" applyNumberFormat="1"/>
    <xf numFmtId="173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24</v>
      </c>
      <c r="P1" t="s">
        <v>25</v>
      </c>
      <c r="Q1" t="s">
        <v>26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  <c r="BI1" t="s">
        <v>48</v>
      </c>
      <c r="BJ1" t="s">
        <v>49</v>
      </c>
    </row>
    <row r="2">
      <c r="A2" t="str">
        <f>M2</f>
      </c>
      <c r="B2" t="str">
        <f>N2</f>
      </c>
      <c r="M2" t="s">
        <v>50</v>
      </c>
      <c r="N2" t="s">
        <v>51</v>
      </c>
      <c r="O2" s="2" t="n">
        <v>11902022020.6399</v>
      </c>
      <c r="P2" s="2" t="n">
        <v>11502787565.83</v>
      </c>
      <c r="Q2" s="2" t="n">
        <v>14361522627.02</v>
      </c>
      <c r="R2" s="2" t="n">
        <v>17235830255.47</v>
      </c>
      <c r="S2" s="2" t="n">
        <v>19245304847.03</v>
      </c>
      <c r="T2" s="2" t="n">
        <v>22898010041.77</v>
      </c>
      <c r="U2" s="2" t="n">
        <v>23483284030.53</v>
      </c>
      <c r="V2" s="2" t="n">
        <v>24062086854.56</v>
      </c>
      <c r="W2" s="2" t="n">
        <v>26311440102.14</v>
      </c>
      <c r="X2" s="2" t="n">
        <v>28529794395.49</v>
      </c>
      <c r="Y2" s="2" t="n">
        <v>28849804028.8093</v>
      </c>
      <c r="Z2" s="2" t="n">
        <v>27346897184.5968</v>
      </c>
      <c r="AA2" s="2" t="n">
        <v>26134217489.4851</v>
      </c>
      <c r="AB2" s="2" t="n">
        <v>24695852156.6739</v>
      </c>
      <c r="AC2" s="2" t="n">
        <v>24752264480.2676</v>
      </c>
      <c r="AD2" s="2" t="n">
        <v>26162625723.4003</v>
      </c>
      <c r="AE2" s="2" t="n">
        <v>25047928456.9062</v>
      </c>
      <c r="AF2" s="2" t="n">
        <v>26195762232.6031</v>
      </c>
      <c r="AG2" s="2" t="n">
        <v>26375117232.69</v>
      </c>
      <c r="AH2" s="2" t="n">
        <v>29014195447.96</v>
      </c>
      <c r="AI2" s="2" t="n">
        <v>33971663947.33</v>
      </c>
      <c r="AJ2" s="2" t="n">
        <v>40944876039.72</v>
      </c>
      <c r="AK2" s="2" t="n">
        <v>44070890103.75</v>
      </c>
      <c r="AL2" s="2" t="n">
        <v>47122194018.36</v>
      </c>
      <c r="AM2" s="2" t="n">
        <v>46894153150.62</v>
      </c>
      <c r="AN2" s="2" t="n">
        <v>16979632178.69</v>
      </c>
      <c r="AO2" s="2" t="n">
        <v>19245304847.03</v>
      </c>
      <c r="AP2" s="1" t="n">
        <v>22898010041.77</v>
      </c>
      <c r="AQ2" s="1" t="n">
        <v>23483284030.53</v>
      </c>
      <c r="AR2" s="1" t="n">
        <v>24062086854.56</v>
      </c>
      <c r="AS2" s="1" t="n">
        <v>26311440102.14</v>
      </c>
      <c r="AT2" s="1" t="n">
        <v>28529794395.49</v>
      </c>
      <c r="AU2" s="1" t="n">
        <v>28849804028.8093</v>
      </c>
      <c r="AV2" s="1" t="n">
        <v>27346897184.5968</v>
      </c>
      <c r="AW2" s="1" t="n">
        <v>26134217489.4851</v>
      </c>
      <c r="AX2" s="1" t="n">
        <v>24695852156.6739</v>
      </c>
      <c r="AY2" s="1" t="n">
        <v>24752264480.2676</v>
      </c>
      <c r="AZ2" s="1" t="n">
        <v>26162625723.4003</v>
      </c>
      <c r="BA2" s="1" t="n">
        <v>25047928456.9062</v>
      </c>
      <c r="BB2" s="1" t="n">
        <v>26195762232.6031</v>
      </c>
      <c r="BC2" s="1" t="n">
        <v>26375117232.69</v>
      </c>
      <c r="BD2" s="1" t="n">
        <v>29014195447.96</v>
      </c>
      <c r="BE2" s="1" t="n">
        <v>33971663947.33</v>
      </c>
      <c r="BF2" s="1" t="n">
        <v>40944876039.72</v>
      </c>
      <c r="BG2" s="1" t="n">
        <v>44070890103.75</v>
      </c>
      <c r="BH2" s="1" t="n">
        <v>47122194018.36</v>
      </c>
      <c r="BI2" s="1" t="n">
        <v>46894153150.62</v>
      </c>
      <c r="BJ2" s="1" t="n">
        <v>16979632178.69</v>
      </c>
      <c r="BK2" s="1"/>
    </row>
    <row r="3">
      <c r="A3" t="str">
        <f>M3</f>
      </c>
      <c r="B3" t="str">
        <f>N3</f>
      </c>
      <c r="M3" t="s">
        <v>50</v>
      </c>
      <c r="N3" t="s">
        <v>52</v>
      </c>
      <c r="O3" s="2" t="n">
        <v>2330740708.575</v>
      </c>
      <c r="P3" s="2" t="n">
        <v>2075880978.68</v>
      </c>
      <c r="Q3" s="2" t="n">
        <v>3122262800.66</v>
      </c>
      <c r="R3" s="2" t="n">
        <v>3795696781.08</v>
      </c>
      <c r="S3" s="2" t="n">
        <v>1394951173.52</v>
      </c>
      <c r="T3" s="2" t="n">
        <v>2044768819.91</v>
      </c>
      <c r="U3" s="2" t="n">
        <v>1801255257.98</v>
      </c>
      <c r="V3" s="2" t="n">
        <v>1901818853.4</v>
      </c>
      <c r="W3" s="2" t="n">
        <v>2182711605.86</v>
      </c>
      <c r="X3" s="2" t="n">
        <v>2262350827.42</v>
      </c>
      <c r="Y3" s="2" t="n">
        <v>2251087902.4275</v>
      </c>
      <c r="Z3" s="2" t="n">
        <v>2117812653.0206</v>
      </c>
      <c r="AA3" s="2" t="n">
        <v>1786577015.029</v>
      </c>
      <c r="AB3" s="2" t="n">
        <v>1309923996.2698</v>
      </c>
      <c r="AC3" s="2" t="n">
        <v>1413227635.8859</v>
      </c>
      <c r="AD3" s="2" t="n">
        <v>1549194783.1657</v>
      </c>
      <c r="AE3" s="2" t="n">
        <v>1702112410.1098</v>
      </c>
      <c r="AF3" s="2" t="n">
        <v>1666906457.0122</v>
      </c>
      <c r="AG3" s="2" t="n">
        <v>1821954088.88</v>
      </c>
      <c r="AH3" s="2" t="n">
        <v>1945620512.51</v>
      </c>
      <c r="AI3" s="2" t="n">
        <v>1974721720.55</v>
      </c>
      <c r="AJ3" s="2" t="n">
        <v>2007038642.43</v>
      </c>
      <c r="AK3" s="2" t="n">
        <v>2023004999.0599</v>
      </c>
      <c r="AL3" s="2" t="n">
        <v>2809152382.38</v>
      </c>
      <c r="AM3" s="2" t="n">
        <v>2849101969.69</v>
      </c>
      <c r="AN3" s="2" t="n">
        <v>603346821.58</v>
      </c>
      <c r="AO3" s="2" t="n">
        <v>1394951173.52</v>
      </c>
      <c r="AP3" s="1" t="n">
        <v>2044768819.91</v>
      </c>
      <c r="AQ3" s="1" t="n">
        <v>1801255257.98</v>
      </c>
      <c r="AR3" s="1" t="n">
        <v>1901818853.4</v>
      </c>
      <c r="AS3" s="1" t="n">
        <v>2182711605.86</v>
      </c>
      <c r="AT3" s="1" t="n">
        <v>2262350827.42</v>
      </c>
      <c r="AU3" s="1" t="n">
        <v>2251087902.4275</v>
      </c>
      <c r="AV3" s="1" t="n">
        <v>2117812653.0206</v>
      </c>
      <c r="AW3" s="1" t="n">
        <v>1786577015.029</v>
      </c>
      <c r="AX3" s="1" t="n">
        <v>1309923996.2698</v>
      </c>
      <c r="AY3" s="1" t="n">
        <v>1413227635.8859</v>
      </c>
      <c r="AZ3" s="1" t="n">
        <v>1549194783.1657</v>
      </c>
      <c r="BA3" s="1" t="n">
        <v>1702112410.1098</v>
      </c>
      <c r="BB3" s="1" t="n">
        <v>1666906457.0122</v>
      </c>
      <c r="BC3" s="1" t="n">
        <v>1821954088.88</v>
      </c>
      <c r="BD3" s="1" t="n">
        <v>1945620512.51</v>
      </c>
      <c r="BE3" s="1" t="n">
        <v>1974721720.55</v>
      </c>
      <c r="BF3" s="1" t="n">
        <v>2007038642.43</v>
      </c>
      <c r="BG3" s="1" t="n">
        <v>2023004999.0599</v>
      </c>
      <c r="BH3" s="1" t="n">
        <v>2809152382.38</v>
      </c>
      <c r="BI3" s="1" t="n">
        <v>2849101969.69</v>
      </c>
      <c r="BJ3" s="1" t="n">
        <v>603346821.58</v>
      </c>
      <c r="BK3" s="1"/>
    </row>
    <row r="4">
      <c r="A4" t="str">
        <f>M4</f>
      </c>
      <c r="B4" t="str">
        <f>N4</f>
      </c>
      <c r="M4" t="s">
        <v>53</v>
      </c>
      <c r="N4" t="s">
        <v>54</v>
      </c>
      <c r="O4" s="2" t="n">
        <v>139534756.6489</v>
      </c>
      <c r="P4" s="2" t="n">
        <v>274655842.2537</v>
      </c>
      <c r="Q4" s="2" t="n">
        <v>345844703.8866</v>
      </c>
      <c r="R4" s="2" t="n">
        <v>210185020.3013</v>
      </c>
      <c r="S4" s="2" t="n">
        <v>412597209.0695</v>
      </c>
      <c r="T4" s="2" t="n">
        <v>1034807512.7014</v>
      </c>
      <c r="U4" s="2" t="n">
        <v>1595529847.752</v>
      </c>
      <c r="V4" s="2" t="n">
        <v>1925242273.7468</v>
      </c>
      <c r="W4" s="2" t="n">
        <v>2218471633.3351</v>
      </c>
      <c r="X4" s="2" t="n">
        <v>2717531488.3061</v>
      </c>
      <c r="Y4" s="2" t="n">
        <v>3229596494.1244</v>
      </c>
      <c r="Z4" s="2" t="n">
        <v>3462999612.381</v>
      </c>
      <c r="AA4" s="2" t="n">
        <v>3792403704.2315</v>
      </c>
      <c r="AB4" s="2" t="n">
        <v>3655753979.7207</v>
      </c>
      <c r="AC4" s="2" t="n">
        <v>4181022426.8678</v>
      </c>
      <c r="AD4" s="2" t="n">
        <v>4934352215.3071</v>
      </c>
      <c r="AE4" s="2" t="n">
        <v>5754798630.939</v>
      </c>
      <c r="AF4" s="2" t="n">
        <v>6107308036.5398</v>
      </c>
      <c r="AG4" s="2" t="n">
        <v>6416507900.1165</v>
      </c>
      <c r="AH4" s="2" t="n">
        <v>6951013973.0255</v>
      </c>
      <c r="AI4" s="2" t="n">
        <v>7845753992.8207</v>
      </c>
      <c r="AJ4" s="2" t="n">
        <v>8160293082.2776</v>
      </c>
      <c r="AK4" s="2" t="n">
        <v>7824687557.8604</v>
      </c>
      <c r="AL4" s="2" t="n">
        <v>8863563555.5035</v>
      </c>
      <c r="AM4" s="2" t="n">
        <v>9116694709.9</v>
      </c>
      <c r="AN4" s="2" t="n">
        <v>3046094775.53</v>
      </c>
      <c r="AO4" s="2" t="n">
        <v>412597209.0695</v>
      </c>
      <c r="AP4" s="1" t="n">
        <v>1034807512.7014</v>
      </c>
      <c r="AQ4" s="1" t="n">
        <v>1595529847.752</v>
      </c>
      <c r="AR4" s="1" t="n">
        <v>1925242273.7468</v>
      </c>
      <c r="AS4" s="1" t="n">
        <v>2218471633.3351</v>
      </c>
      <c r="AT4" s="1" t="n">
        <v>2717531488.3061</v>
      </c>
      <c r="AU4" s="1" t="n">
        <v>3229596494.1244</v>
      </c>
      <c r="AV4" s="1" t="n">
        <v>3462999612.381</v>
      </c>
      <c r="AW4" s="1" t="n">
        <v>3792403704.2315</v>
      </c>
      <c r="AX4" s="1" t="n">
        <v>3655753979.7207</v>
      </c>
      <c r="AY4" s="1" t="n">
        <v>4181022426.8678</v>
      </c>
      <c r="AZ4" s="1" t="n">
        <v>4934352215.3071</v>
      </c>
      <c r="BA4" s="1" t="n">
        <v>5754798630.939</v>
      </c>
      <c r="BB4" s="1" t="n">
        <v>6107308036.5398</v>
      </c>
      <c r="BC4" s="1" t="n">
        <v>6416507900.1165</v>
      </c>
      <c r="BD4" s="1" t="n">
        <v>6951013973.0255</v>
      </c>
      <c r="BE4" s="1" t="n">
        <v>7845753992.8207</v>
      </c>
      <c r="BF4" s="1" t="n">
        <v>8160293082.2776</v>
      </c>
      <c r="BG4" s="1" t="n">
        <v>7824687557.8604</v>
      </c>
      <c r="BH4" s="1" t="n">
        <v>8863563555.5035</v>
      </c>
      <c r="BI4" s="1" t="n">
        <v>9116694709.9</v>
      </c>
      <c r="BJ4" s="1" t="n">
        <v>3046094775.53</v>
      </c>
      <c r="BK4" s="1"/>
    </row>
    <row r="5">
      <c r="A5" t="str">
        <f>M5</f>
      </c>
      <c r="B5" t="str">
        <f>N5</f>
      </c>
      <c r="M5" t="s">
        <v>53</v>
      </c>
      <c r="N5" t="s">
        <v>55</v>
      </c>
      <c r="O5" s="2" t="n">
        <v>1311210998.7315</v>
      </c>
      <c r="P5" s="2" t="n">
        <v>2753396765.9827</v>
      </c>
      <c r="Q5" s="2" t="n">
        <v>3540172742.599</v>
      </c>
      <c r="R5" s="2" t="n">
        <v>4778991540.7392</v>
      </c>
      <c r="S5" s="2" t="n">
        <v>6292338294.9443</v>
      </c>
      <c r="T5" s="2" t="n">
        <v>6615666786.7511</v>
      </c>
      <c r="U5" s="2" t="n">
        <v>7680995862.7415</v>
      </c>
      <c r="V5" s="2" t="n">
        <v>7678516116.8612</v>
      </c>
      <c r="W5" s="2" t="n">
        <v>7983661613.7289</v>
      </c>
      <c r="X5" s="2" t="n">
        <v>8446519450.4761</v>
      </c>
      <c r="Y5" s="2" t="n">
        <v>9360813070.8038</v>
      </c>
      <c r="Z5" s="2" t="n">
        <v>8901872445.0552</v>
      </c>
      <c r="AA5" s="2" t="n">
        <v>8325950059.5745</v>
      </c>
      <c r="AB5" s="2" t="n">
        <v>8701888767.5996</v>
      </c>
      <c r="AC5" s="2" t="n">
        <v>9164009054.825</v>
      </c>
      <c r="AD5" s="2" t="n">
        <v>8598813398.5759</v>
      </c>
      <c r="AE5" s="2" t="n">
        <v>8239548265.6727</v>
      </c>
      <c r="AF5" s="2" t="n">
        <v>7843701934.2773</v>
      </c>
      <c r="AG5" s="2" t="n">
        <v>8430836028.9239</v>
      </c>
      <c r="AH5" s="2" t="n">
        <v>8968796364.6065</v>
      </c>
      <c r="AI5" s="2" t="n">
        <v>9749639106.0761</v>
      </c>
      <c r="AJ5" s="2" t="n">
        <v>10966687335.7057</v>
      </c>
      <c r="AK5" s="2" t="n">
        <v>11694078973.9066</v>
      </c>
      <c r="AL5" s="2" t="n">
        <v>13504775344.3988</v>
      </c>
      <c r="AM5" s="2" t="n">
        <v>14082460622.64</v>
      </c>
      <c r="AN5" s="2" t="n">
        <v>4587982197.63</v>
      </c>
      <c r="AO5" s="2" t="n">
        <v>6292338294.9443</v>
      </c>
      <c r="AP5" s="1" t="n">
        <v>6615666786.7511</v>
      </c>
      <c r="AQ5" s="1" t="n">
        <v>7680995862.7415</v>
      </c>
      <c r="AR5" s="1" t="n">
        <v>7678516116.8612</v>
      </c>
      <c r="AS5" s="1" t="n">
        <v>7983661613.7289</v>
      </c>
      <c r="AT5" s="1" t="n">
        <v>8446519450.4761</v>
      </c>
      <c r="AU5" s="1" t="n">
        <v>9360813070.8038</v>
      </c>
      <c r="AV5" s="1" t="n">
        <v>8901872445.0552</v>
      </c>
      <c r="AW5" s="1" t="n">
        <v>8325950059.5745</v>
      </c>
      <c r="AX5" s="1" t="n">
        <v>8701888767.5996</v>
      </c>
      <c r="AY5" s="1" t="n">
        <v>9164009054.825</v>
      </c>
      <c r="AZ5" s="1" t="n">
        <v>8598813398.5759</v>
      </c>
      <c r="BA5" s="1" t="n">
        <v>8239548265.6727</v>
      </c>
      <c r="BB5" s="1" t="n">
        <v>7843701934.2773</v>
      </c>
      <c r="BC5" s="1" t="n">
        <v>8430836028.9239</v>
      </c>
      <c r="BD5" s="1" t="n">
        <v>8968796364.6065</v>
      </c>
      <c r="BE5" s="1" t="n">
        <v>9749639106.0761</v>
      </c>
      <c r="BF5" s="1" t="n">
        <v>10966687335.7057</v>
      </c>
      <c r="BG5" s="1" t="n">
        <v>11694078973.9066</v>
      </c>
      <c r="BH5" s="1" t="n">
        <v>13504775344.3988</v>
      </c>
      <c r="BI5" s="1" t="n">
        <v>14082460622.64</v>
      </c>
      <c r="BJ5" s="1" t="n">
        <v>4587982197.63</v>
      </c>
      <c r="BK5" s="1"/>
    </row>
    <row r="6">
      <c r="A6" t="str">
        <f>M6</f>
      </c>
      <c r="B6" t="str">
        <f>N6</f>
      </c>
      <c r="M6" t="s">
        <v>53</v>
      </c>
      <c r="N6" t="s">
        <v>56</v>
      </c>
      <c r="O6" s="2" t="n">
        <v>1291281330.1639</v>
      </c>
      <c r="P6" s="2" t="n">
        <v>1482508780.334</v>
      </c>
      <c r="Q6" s="2" t="n">
        <v>2747842400.3981</v>
      </c>
      <c r="R6" s="2" t="n">
        <v>3075364155.4534</v>
      </c>
      <c r="S6" s="2" t="n">
        <v>4458489505.4803</v>
      </c>
      <c r="T6" s="2" t="n">
        <v>6361201894.6605</v>
      </c>
      <c r="U6" s="2" t="n">
        <v>8417771351.4567</v>
      </c>
      <c r="V6" s="2" t="n">
        <v>10342928308.6733</v>
      </c>
      <c r="W6" s="2" t="n">
        <v>12829414586.0395</v>
      </c>
      <c r="X6" s="2" t="n">
        <v>15506931260.6419</v>
      </c>
      <c r="Y6" s="2" t="n">
        <v>17453302281.1599</v>
      </c>
      <c r="Z6" s="2" t="n">
        <v>18004421895.7772</v>
      </c>
      <c r="AA6" s="2" t="n">
        <v>18745125076.7032</v>
      </c>
      <c r="AB6" s="2" t="n">
        <v>18148288759.8043</v>
      </c>
      <c r="AC6" s="2" t="n">
        <v>17103603880.4722</v>
      </c>
      <c r="AD6" s="2" t="n">
        <v>17306741321.8109</v>
      </c>
      <c r="AE6" s="2" t="n">
        <v>19046243919.3245</v>
      </c>
      <c r="AF6" s="2" t="n">
        <v>20739415259.9942</v>
      </c>
      <c r="AG6" s="2" t="n">
        <v>24890987687.7464</v>
      </c>
      <c r="AH6" s="2" t="n">
        <v>26780240394.0625</v>
      </c>
      <c r="AI6" s="2" t="n">
        <v>28748850510.6627</v>
      </c>
      <c r="AJ6" s="2" t="n">
        <v>30400268954.911</v>
      </c>
      <c r="AK6" s="2" t="n">
        <v>32017431695.8393</v>
      </c>
      <c r="AL6" s="2" t="n">
        <v>37660222831.6998</v>
      </c>
      <c r="AM6" s="2" t="n">
        <v>41827955245.36</v>
      </c>
      <c r="AN6" s="2" t="n">
        <v>15995611110.71</v>
      </c>
      <c r="AO6" s="2" t="n">
        <v>4458489505.4803</v>
      </c>
      <c r="AP6" s="1" t="n">
        <v>6361201894.6605</v>
      </c>
      <c r="AQ6" s="1" t="n">
        <v>8417771351.4567</v>
      </c>
      <c r="AR6" s="1" t="n">
        <v>10342928308.6733</v>
      </c>
      <c r="AS6" s="1" t="n">
        <v>12829414586.0395</v>
      </c>
      <c r="AT6" s="1" t="n">
        <v>15506931260.6419</v>
      </c>
      <c r="AU6" s="1" t="n">
        <v>17453302281.1599</v>
      </c>
      <c r="AV6" s="1" t="n">
        <v>18004421895.7772</v>
      </c>
      <c r="AW6" s="1" t="n">
        <v>18745125076.7032</v>
      </c>
      <c r="AX6" s="1" t="n">
        <v>18148288759.8043</v>
      </c>
      <c r="AY6" s="1" t="n">
        <v>17103603880.4722</v>
      </c>
      <c r="AZ6" s="1" t="n">
        <v>17306741321.8109</v>
      </c>
      <c r="BA6" s="1" t="n">
        <v>19046243919.3245</v>
      </c>
      <c r="BB6" s="1" t="n">
        <v>20739415259.9942</v>
      </c>
      <c r="BC6" s="1" t="n">
        <v>24890987687.7464</v>
      </c>
      <c r="BD6" s="1" t="n">
        <v>26780240394.0625</v>
      </c>
      <c r="BE6" s="1" t="n">
        <v>28748850510.6627</v>
      </c>
      <c r="BF6" s="1" t="n">
        <v>30400268954.911</v>
      </c>
      <c r="BG6" s="1" t="n">
        <v>32017431695.8393</v>
      </c>
      <c r="BH6" s="1" t="n">
        <v>37660222831.6998</v>
      </c>
      <c r="BI6" s="1" t="n">
        <v>41827955245.36</v>
      </c>
      <c r="BJ6" s="1" t="n">
        <v>15995611110.71</v>
      </c>
      <c r="BK6" s="1"/>
    </row>
    <row r="7">
      <c r="A7" t="str">
        <f>M7</f>
      </c>
      <c r="B7" t="str">
        <f>N7</f>
      </c>
      <c r="M7" t="s">
        <v>53</v>
      </c>
      <c r="N7" t="s">
        <v>57</v>
      </c>
      <c r="O7" s="2" t="n">
        <v>5178096205.4767</v>
      </c>
      <c r="P7" s="2" t="n">
        <v>5955026530.5167</v>
      </c>
      <c r="Q7" s="2" t="n">
        <v>7431692880.5803</v>
      </c>
      <c r="R7" s="2" t="n">
        <v>8971273111.7182</v>
      </c>
      <c r="S7" s="2" t="n">
        <v>10744973345.6623</v>
      </c>
      <c r="T7" s="2" t="n">
        <v>13369266589.6021</v>
      </c>
      <c r="U7" s="2" t="n">
        <v>16590748911.8881</v>
      </c>
      <c r="V7" s="2" t="n">
        <v>17342639166.2151</v>
      </c>
      <c r="W7" s="2" t="n">
        <v>21191830937.5294</v>
      </c>
      <c r="X7" s="2" t="n">
        <v>23268381211.2963</v>
      </c>
      <c r="Y7" s="2" t="n">
        <v>23839418805.166</v>
      </c>
      <c r="Z7" s="2" t="n">
        <v>23072500995.6789</v>
      </c>
      <c r="AA7" s="2" t="n">
        <v>22307756382.5329</v>
      </c>
      <c r="AB7" s="2" t="n">
        <v>18362398289.6815</v>
      </c>
      <c r="AC7" s="2" t="n">
        <v>18745279099.8109</v>
      </c>
      <c r="AD7" s="2" t="n">
        <v>17839633478.0537</v>
      </c>
      <c r="AE7" s="2" t="n">
        <v>18963220120.5219</v>
      </c>
      <c r="AF7" s="2" t="n">
        <v>19831918807.3787</v>
      </c>
      <c r="AG7" s="2" t="n">
        <v>20933392140.7495</v>
      </c>
      <c r="AH7" s="2" t="n">
        <v>21864474389.7937</v>
      </c>
      <c r="AI7" s="2" t="n">
        <v>25962583799.7194</v>
      </c>
      <c r="AJ7" s="2" t="n">
        <v>25307195296.8513</v>
      </c>
      <c r="AK7" s="2" t="n">
        <v>26048881437.1459</v>
      </c>
      <c r="AL7" s="2" t="n">
        <v>34307402562.9294</v>
      </c>
      <c r="AM7" s="2" t="n">
        <v>39013952262.5191</v>
      </c>
      <c r="AN7" s="2" t="n">
        <v>15056224583.12</v>
      </c>
      <c r="AO7" s="2" t="n">
        <v>10744973345.6623</v>
      </c>
      <c r="AP7" s="1" t="n">
        <v>13369266589.6021</v>
      </c>
      <c r="AQ7" s="1" t="n">
        <v>16590748911.8881</v>
      </c>
      <c r="AR7" s="1" t="n">
        <v>17342639166.2151</v>
      </c>
      <c r="AS7" s="1" t="n">
        <v>21191830937.5294</v>
      </c>
      <c r="AT7" s="1" t="n">
        <v>23268381211.2963</v>
      </c>
      <c r="AU7" s="1" t="n">
        <v>23839418805.166</v>
      </c>
      <c r="AV7" s="1" t="n">
        <v>23072500995.6789</v>
      </c>
      <c r="AW7" s="1" t="n">
        <v>22307756382.5329</v>
      </c>
      <c r="AX7" s="1" t="n">
        <v>18362398289.6815</v>
      </c>
      <c r="AY7" s="1" t="n">
        <v>18745279099.8109</v>
      </c>
      <c r="AZ7" s="1" t="n">
        <v>17839633478.0537</v>
      </c>
      <c r="BA7" s="1" t="n">
        <v>18963220120.5219</v>
      </c>
      <c r="BB7" s="1" t="n">
        <v>19831918807.3787</v>
      </c>
      <c r="BC7" s="1" t="n">
        <v>20933392140.7495</v>
      </c>
      <c r="BD7" s="1" t="n">
        <v>21864474389.7937</v>
      </c>
      <c r="BE7" s="1" t="n">
        <v>25962583799.7194</v>
      </c>
      <c r="BF7" s="1" t="n">
        <v>25307195296.8513</v>
      </c>
      <c r="BG7" s="1" t="n">
        <v>26048881437.1459</v>
      </c>
      <c r="BH7" s="1" t="n">
        <v>34307402562.9294</v>
      </c>
      <c r="BI7" s="1" t="n">
        <v>39013952262.5191</v>
      </c>
      <c r="BJ7" s="1" t="n">
        <v>15056224583.12</v>
      </c>
      <c r="BK7" s="1"/>
    </row>
    <row r="8">
      <c r="A8" t="str">
        <f>M8</f>
      </c>
      <c r="B8" t="str">
        <f>N8</f>
      </c>
      <c r="M8" t="s">
        <v>53</v>
      </c>
      <c r="N8" t="s">
        <v>58</v>
      </c>
      <c r="O8" s="2" t="n">
        <v>1475822978.4182</v>
      </c>
      <c r="P8" s="2" t="n">
        <v>1824622807.7126</v>
      </c>
      <c r="Q8" s="2" t="n">
        <v>2561396496.1442</v>
      </c>
      <c r="R8" s="2" t="n">
        <v>1738557723.3406</v>
      </c>
      <c r="S8" s="2" t="n">
        <v>1512336512.3461</v>
      </c>
      <c r="T8" s="2" t="n">
        <v>936108224.013</v>
      </c>
      <c r="U8" s="2" t="n">
        <v>651107507.8068</v>
      </c>
      <c r="V8" s="2" t="n">
        <v>254995300.3561</v>
      </c>
      <c r="W8" s="2" t="n">
        <v>153108585.0246</v>
      </c>
      <c r="X8" s="2" t="n">
        <v>79913238.7687</v>
      </c>
      <c r="Y8" s="2" t="n">
        <v>62124066.5682</v>
      </c>
      <c r="Z8" s="2" t="n">
        <v>50224192.5047</v>
      </c>
      <c r="AA8" s="2" t="n">
        <v>37161261.0433</v>
      </c>
      <c r="AB8" s="2" t="n">
        <v>14759259.871</v>
      </c>
      <c r="AC8" s="2" t="n">
        <v>16179558.8492</v>
      </c>
      <c r="AD8" s="2" t="n">
        <v>11121789.1877</v>
      </c>
      <c r="AE8" s="2" t="n">
        <v>12410183.27</v>
      </c>
      <c r="AF8" s="2" t="n">
        <v>3407278.2707</v>
      </c>
      <c r="AG8" s="2" t="n">
        <v>115497.7188</v>
      </c>
      <c r="AH8" s="2" t="n">
        <v>257682.2611</v>
      </c>
      <c r="AI8" s="2" t="n">
        <v>-263753.7399</v>
      </c>
      <c r="AJ8" s="2" t="n">
        <v>-11690.3995</v>
      </c>
      <c r="AK8" s="2" t="n">
        <v>-378123.9375</v>
      </c>
      <c r="AL8" s="2" t="n">
        <v>-13433503.0898</v>
      </c>
      <c r="AM8" s="2" t="n">
        <v>0</v>
      </c>
      <c r="AN8" s="2" t="n">
        <v>-14742791.4</v>
      </c>
      <c r="AO8" s="2" t="n">
        <v>1512336512.3461</v>
      </c>
      <c r="AP8" s="1" t="n">
        <v>936108224.013</v>
      </c>
      <c r="AQ8" s="1" t="n">
        <v>651107507.8068</v>
      </c>
      <c r="AR8" s="1" t="n">
        <v>254995300.3561</v>
      </c>
      <c r="AS8" s="1" t="n">
        <v>153108585.0246</v>
      </c>
      <c r="AT8" s="1" t="n">
        <v>79913238.7687</v>
      </c>
      <c r="AU8" s="1" t="n">
        <v>62124066.5682</v>
      </c>
      <c r="AV8" s="1" t="n">
        <v>50224192.5047</v>
      </c>
      <c r="AW8" s="1" t="n">
        <v>37161261.0433</v>
      </c>
      <c r="AX8" s="1" t="n">
        <v>14759259.871</v>
      </c>
      <c r="AY8" s="1" t="n">
        <v>16179558.8492</v>
      </c>
      <c r="AZ8" s="1" t="n">
        <v>11121789.1877</v>
      </c>
      <c r="BA8" s="1" t="n">
        <v>12410183.27</v>
      </c>
      <c r="BB8" s="1" t="n">
        <v>3407278.2707</v>
      </c>
      <c r="BC8" s="1" t="n">
        <v>115497.7188</v>
      </c>
      <c r="BD8" s="1" t="n">
        <v>257682.2611</v>
      </c>
      <c r="BE8" s="1" t="n">
        <v>-263753.7399</v>
      </c>
      <c r="BF8" s="1" t="n">
        <v>-11690.3995</v>
      </c>
      <c r="BG8" s="1" t="n">
        <v>-378123.9375</v>
      </c>
      <c r="BH8" s="1" t="n">
        <v>-13433503.0898</v>
      </c>
      <c r="BI8" s="1" t="n">
        <v>0</v>
      </c>
      <c r="BJ8" s="1" t="n">
        <v>-14742791.4</v>
      </c>
      <c r="BK8" s="1"/>
    </row>
    <row r="9">
      <c r="A9" t="str">
        <f>M9</f>
      </c>
      <c r="B9" t="str">
        <f>N9</f>
      </c>
      <c r="M9"/>
      <c r="N9"/>
      <c r="O9" s="2" t="n">
        <v>50000</v>
      </c>
      <c r="P9" s="2" t="n">
        <v>0</v>
      </c>
      <c r="Q9" s="2" t="n">
        <v>0</v>
      </c>
      <c r="R9" s="2" t="n">
        <v>439600</v>
      </c>
      <c r="S9" s="2" t="n">
        <v>830513.9</v>
      </c>
      <c r="T9" s="2" t="n">
        <v>22960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/>
      <c r="AB9" s="2" t="n">
        <v>269000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-500</v>
      </c>
      <c r="AK9" s="2" t="n">
        <v>0</v>
      </c>
      <c r="AL9" s="2" t="n">
        <v>-10000</v>
      </c>
      <c r="AM9" s="2" t="n">
        <v>2458732.2</v>
      </c>
      <c r="AN9" s="2" t="n">
        <v>-6300111</v>
      </c>
      <c r="AO9" s="2" t="n">
        <v>830513.9</v>
      </c>
      <c r="AP9" s="1" t="n">
        <v>22960</v>
      </c>
      <c r="AQ9" s="1" t="n">
        <v>0</v>
      </c>
      <c r="AR9" s="1" t="n">
        <v>0</v>
      </c>
      <c r="AS9" s="1" t="n">
        <v>0</v>
      </c>
      <c r="AT9" s="1" t="n">
        <v>0</v>
      </c>
      <c r="AU9" s="1" t="n">
        <v>0</v>
      </c>
      <c r="AV9" s="1" t="n">
        <v>0</v>
      </c>
      <c r="AW9" s="1"/>
      <c r="AX9" s="1" t="n">
        <v>269000</v>
      </c>
      <c r="AY9" s="1" t="n">
        <v>0</v>
      </c>
      <c r="AZ9" s="1" t="n">
        <v>0</v>
      </c>
      <c r="BA9" s="1" t="n">
        <v>0</v>
      </c>
      <c r="BB9" s="1" t="n">
        <v>0</v>
      </c>
      <c r="BC9" s="1" t="n">
        <v>0</v>
      </c>
      <c r="BD9" s="1" t="n">
        <v>0</v>
      </c>
      <c r="BE9" s="1" t="n">
        <v>0</v>
      </c>
      <c r="BF9" s="1" t="n">
        <v>-500</v>
      </c>
      <c r="BG9" s="1" t="n">
        <v>0</v>
      </c>
      <c r="BH9" s="1" t="n">
        <v>-10000</v>
      </c>
      <c r="BI9" s="1" t="n">
        <v>2458732.2</v>
      </c>
      <c r="BJ9" s="1" t="n">
        <v>-6300111</v>
      </c>
      <c r="BK9" s="1"/>
    </row>
    <row r="10">
      <c r="A10" t="str">
        <f>M10</f>
      </c>
      <c r="B10" t="str">
        <f>N10</f>
      </c>
      <c r="M10" t="s">
        <v>59</v>
      </c>
      <c r="N10" t="s">
        <v>60</v>
      </c>
      <c r="O10" s="2" t="str">
        <f>Sum(O2:O9)</f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 t="str">
        <f>Sum(BI2:BI9)</f>
      </c>
      <c r="BJ10" s="1" t="str">
        <f>Sum(BJ2:BJ9)</f>
      </c>
      <c r="BK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24</v>
      </c>
      <c r="P13" t="s">
        <v>25</v>
      </c>
      <c r="Q13" t="s">
        <v>26</v>
      </c>
      <c r="R13" t="s">
        <v>27</v>
      </c>
      <c r="S13" t="s">
        <v>28</v>
      </c>
      <c r="T13" t="s">
        <v>29</v>
      </c>
      <c r="U13" t="s">
        <v>30</v>
      </c>
      <c r="V13" t="s">
        <v>31</v>
      </c>
      <c r="W13" t="s">
        <v>32</v>
      </c>
      <c r="X13" t="s">
        <v>33</v>
      </c>
      <c r="Y13" t="s">
        <v>34</v>
      </c>
      <c r="Z13" t="s">
        <v>35</v>
      </c>
      <c r="AA13" t="s">
        <v>36</v>
      </c>
      <c r="AB13" t="s">
        <v>37</v>
      </c>
      <c r="AC13" t="s">
        <v>38</v>
      </c>
      <c r="AD13" t="s">
        <v>39</v>
      </c>
      <c r="AE13" t="s">
        <v>40</v>
      </c>
      <c r="AF13" t="s">
        <v>41</v>
      </c>
      <c r="AG13" t="s">
        <v>42</v>
      </c>
      <c r="AH13" t="s">
        <v>43</v>
      </c>
      <c r="AI13" t="s">
        <v>44</v>
      </c>
      <c r="AJ13" t="s">
        <v>45</v>
      </c>
      <c r="AK13" t="s">
        <v>46</v>
      </c>
      <c r="AL13" t="s">
        <v>47</v>
      </c>
      <c r="AM13" t="s">
        <v>48</v>
      </c>
      <c r="AN13" t="s">
        <v>49</v>
      </c>
      <c r="AO13" t="s">
        <v>29</v>
      </c>
      <c r="AP13" t="s">
        <v>30</v>
      </c>
      <c r="AQ13" t="s">
        <v>31</v>
      </c>
      <c r="AR13" t="s">
        <v>32</v>
      </c>
      <c r="AS13" t="s">
        <v>33</v>
      </c>
      <c r="AT13" t="s">
        <v>34</v>
      </c>
      <c r="AU13" t="s">
        <v>35</v>
      </c>
      <c r="AV13" t="s">
        <v>36</v>
      </c>
      <c r="AW13" t="s">
        <v>37</v>
      </c>
      <c r="AX13" t="s">
        <v>38</v>
      </c>
      <c r="AY13" t="s">
        <v>39</v>
      </c>
      <c r="AZ13" t="s">
        <v>40</v>
      </c>
      <c r="BA13" t="s">
        <v>41</v>
      </c>
      <c r="BB13" t="s">
        <v>42</v>
      </c>
      <c r="BC13" t="s">
        <v>43</v>
      </c>
      <c r="BD13" t="s">
        <v>44</v>
      </c>
      <c r="BE13" t="s">
        <v>45</v>
      </c>
      <c r="BF13" t="s">
        <v>46</v>
      </c>
      <c r="BG13" t="s">
        <v>47</v>
      </c>
      <c r="BH13" t="s">
        <v>48</v>
      </c>
      <c r="BI13" t="s">
        <v>49</v>
      </c>
    </row>
    <row r="14">
      <c r="A14" t="str">
        <f>M14</f>
      </c>
      <c r="B14" t="str">
        <f>N14</f>
      </c>
      <c r="M14" t="s">
        <v>50</v>
      </c>
      <c r="N14" t="s">
        <v>51</v>
      </c>
      <c r="O14" s="2" t="n">
        <v>20009362724.6801</v>
      </c>
      <c r="P14" s="2" t="n">
        <v>18880533513.0817</v>
      </c>
      <c r="Q14" s="2" t="n">
        <v>23207718660.6589</v>
      </c>
      <c r="R14" s="2" t="n">
        <v>27327936069.0443</v>
      </c>
      <c r="S14" s="2" t="n">
        <v>29786666194.7359</v>
      </c>
      <c r="T14" s="2" t="n">
        <v>34393504212.0023</v>
      </c>
      <c r="U14" s="2" t="n">
        <v>34162846865.1999</v>
      </c>
      <c r="V14" s="2" t="n">
        <v>34067025551.3719</v>
      </c>
      <c r="W14" s="2" t="n">
        <v>36494006271.6545</v>
      </c>
      <c r="X14" s="2" t="n">
        <v>39170307050.52</v>
      </c>
      <c r="Y14" s="2" t="n">
        <v>39269576009.2101</v>
      </c>
      <c r="Z14" s="2" t="n">
        <v>36491426994.5337</v>
      </c>
      <c r="AA14" s="2" t="n">
        <v>34251706357.7828</v>
      </c>
      <c r="AB14" s="2" t="n">
        <v>31789757162.6515</v>
      </c>
      <c r="AC14" s="2" t="n">
        <v>31291517451.99</v>
      </c>
      <c r="AD14" s="2" t="n">
        <v>32735462505.1501</v>
      </c>
      <c r="AE14" s="2" t="n">
        <v>31092135733.6005</v>
      </c>
      <c r="AF14" s="2" t="n">
        <v>31977166963.4814</v>
      </c>
      <c r="AG14" s="2" t="n">
        <v>31496874970.611</v>
      </c>
      <c r="AH14" s="2" t="n">
        <v>34019429831.7949</v>
      </c>
      <c r="AI14" s="2" t="n">
        <v>39318488835.0776</v>
      </c>
      <c r="AJ14" s="2" t="n">
        <v>45812474960.2318</v>
      </c>
      <c r="AK14" s="2" t="n">
        <v>46086983252.2156</v>
      </c>
      <c r="AL14" s="2" t="n">
        <v>47122194018.36</v>
      </c>
      <c r="AM14" s="2" t="n">
        <v>45674373870.1366</v>
      </c>
      <c r="AN14" s="2" t="n">
        <v>16182883355.169</v>
      </c>
      <c r="AO14" s="2" t="n">
        <v>34393504212.0023</v>
      </c>
      <c r="AP14" s="1" t="n">
        <v>34162846865.1999</v>
      </c>
      <c r="AQ14" s="1" t="n">
        <v>34067025551.3719</v>
      </c>
      <c r="AR14" s="1" t="n">
        <v>36494006271.6545</v>
      </c>
      <c r="AS14" s="1" t="n">
        <v>39170307050.52</v>
      </c>
      <c r="AT14" s="1" t="n">
        <v>39269576009.2101</v>
      </c>
      <c r="AU14" s="1" t="n">
        <v>36491426994.5337</v>
      </c>
      <c r="AV14" s="1" t="n">
        <v>34251706357.7828</v>
      </c>
      <c r="AW14" s="1" t="n">
        <v>31789757162.6515</v>
      </c>
      <c r="AX14" s="1" t="n">
        <v>31291517451.99</v>
      </c>
      <c r="AY14" s="1" t="n">
        <v>32735462505.1501</v>
      </c>
      <c r="AZ14" s="1" t="n">
        <v>31092135733.6005</v>
      </c>
      <c r="BA14" s="1" t="n">
        <v>31977166963.4814</v>
      </c>
      <c r="BB14" s="1" t="n">
        <v>31496874970.611</v>
      </c>
      <c r="BC14" s="1" t="n">
        <v>34019429831.7949</v>
      </c>
      <c r="BD14" s="1" t="n">
        <v>39318488835.0776</v>
      </c>
      <c r="BE14" s="1" t="n">
        <v>45812474960.2318</v>
      </c>
      <c r="BF14" s="1" t="n">
        <v>46086983252.2156</v>
      </c>
      <c r="BG14" s="1" t="n">
        <v>47122194018.36</v>
      </c>
      <c r="BH14" s="1" t="n">
        <v>45674373870.1366</v>
      </c>
      <c r="BI14" s="1" t="n">
        <v>16182883355.169</v>
      </c>
      <c r="BJ14" s="1"/>
    </row>
    <row r="15">
      <c r="A15" t="str">
        <f>M15</f>
      </c>
      <c r="B15" t="str">
        <f>N15</f>
      </c>
      <c r="M15" t="s">
        <v>50</v>
      </c>
      <c r="N15" t="s">
        <v>52</v>
      </c>
      <c r="O15" s="2" t="n">
        <v>3918379261.45491</v>
      </c>
      <c r="P15" s="2" t="n">
        <v>3407325412.4561</v>
      </c>
      <c r="Q15" s="2" t="n">
        <v>5045467569.43653</v>
      </c>
      <c r="R15" s="2" t="n">
        <v>6018193346.8457</v>
      </c>
      <c r="S15" s="2" t="n">
        <v>2159017240.50932</v>
      </c>
      <c r="T15" s="2" t="n">
        <v>3071304663.23742</v>
      </c>
      <c r="U15" s="2" t="n">
        <v>2620417462.20442</v>
      </c>
      <c r="V15" s="2" t="n">
        <v>2692589045.35042</v>
      </c>
      <c r="W15" s="2" t="n">
        <v>3027424220.19649</v>
      </c>
      <c r="X15" s="2" t="n">
        <v>3106120406.5336</v>
      </c>
      <c r="Y15" s="2" t="n">
        <v>3064120206.83104</v>
      </c>
      <c r="Z15" s="2" t="n">
        <v>2825988092.69412</v>
      </c>
      <c r="AA15" s="2" t="n">
        <v>2341501570.8413</v>
      </c>
      <c r="AB15" s="2" t="n">
        <v>1686200803.22652</v>
      </c>
      <c r="AC15" s="2" t="n">
        <v>1786585516.94177</v>
      </c>
      <c r="AD15" s="2" t="n">
        <v>1938399007.56352</v>
      </c>
      <c r="AE15" s="2" t="n">
        <v>2112841793.68486</v>
      </c>
      <c r="AF15" s="2" t="n">
        <v>2034792712.46568</v>
      </c>
      <c r="AG15" s="2" t="n">
        <v>2175757538.18911</v>
      </c>
      <c r="AH15" s="2" t="n">
        <v>2281259207.18193</v>
      </c>
      <c r="AI15" s="2" t="n">
        <v>2285524607.86757</v>
      </c>
      <c r="AJ15" s="2" t="n">
        <v>2245638928.33245</v>
      </c>
      <c r="AK15" s="2" t="n">
        <v>2115550588.86566</v>
      </c>
      <c r="AL15" s="2" t="n">
        <v>2809152382.38</v>
      </c>
      <c r="AM15" s="2" t="n">
        <v>2774993038.89323</v>
      </c>
      <c r="AN15" s="2" t="n">
        <v>575035497.447059</v>
      </c>
      <c r="AO15" s="2" t="n">
        <v>3071304663.23742</v>
      </c>
      <c r="AP15" s="1" t="n">
        <v>2620417462.20442</v>
      </c>
      <c r="AQ15" s="1" t="n">
        <v>2692589045.35042</v>
      </c>
      <c r="AR15" s="1" t="n">
        <v>3027424220.19649</v>
      </c>
      <c r="AS15" s="1" t="n">
        <v>3106120406.5336</v>
      </c>
      <c r="AT15" s="1" t="n">
        <v>3064120206.83104</v>
      </c>
      <c r="AU15" s="1" t="n">
        <v>2825988092.69412</v>
      </c>
      <c r="AV15" s="1" t="n">
        <v>2341501570.8413</v>
      </c>
      <c r="AW15" s="1" t="n">
        <v>1686200803.22652</v>
      </c>
      <c r="AX15" s="1" t="n">
        <v>1786585516.94177</v>
      </c>
      <c r="AY15" s="1" t="n">
        <v>1938399007.56352</v>
      </c>
      <c r="AZ15" s="1" t="n">
        <v>2112841793.68486</v>
      </c>
      <c r="BA15" s="1" t="n">
        <v>2034792712.46568</v>
      </c>
      <c r="BB15" s="1" t="n">
        <v>2175757538.18911</v>
      </c>
      <c r="BC15" s="1" t="n">
        <v>2281259207.18193</v>
      </c>
      <c r="BD15" s="1" t="n">
        <v>2285524607.86757</v>
      </c>
      <c r="BE15" s="1" t="n">
        <v>2245638928.33245</v>
      </c>
      <c r="BF15" s="1" t="n">
        <v>2115550588.86566</v>
      </c>
      <c r="BG15" s="1" t="n">
        <v>2809152382.38</v>
      </c>
      <c r="BH15" s="1" t="n">
        <v>2774993038.89323</v>
      </c>
      <c r="BI15" s="1" t="n">
        <v>575035497.447059</v>
      </c>
      <c r="BJ15" s="1"/>
    </row>
    <row r="16">
      <c r="A16" t="str">
        <f>M16</f>
      </c>
      <c r="B16" t="str">
        <f>N16</f>
      </c>
      <c r="M16" t="s">
        <v>53</v>
      </c>
      <c r="N16" t="s">
        <v>54</v>
      </c>
      <c r="O16" s="2" t="n">
        <v>234582120.050363</v>
      </c>
      <c r="P16" s="2" t="n">
        <v>450816708.954886</v>
      </c>
      <c r="Q16" s="2" t="n">
        <v>558872954.945485</v>
      </c>
      <c r="R16" s="2" t="n">
        <v>333254778.698102</v>
      </c>
      <c r="S16" s="2" t="n">
        <v>638591876.674247</v>
      </c>
      <c r="T16" s="2" t="n">
        <v>1554312207.99465</v>
      </c>
      <c r="U16" s="2" t="n">
        <v>2321133696.06837</v>
      </c>
      <c r="V16" s="2" t="n">
        <v>2725751848.90433</v>
      </c>
      <c r="W16" s="2" t="n">
        <v>3077023431.10569</v>
      </c>
      <c r="X16" s="2" t="n">
        <v>3731065893.45887</v>
      </c>
      <c r="Y16" s="2" t="n">
        <v>4396039740.11226</v>
      </c>
      <c r="Z16" s="2" t="n">
        <v>4620992161.7169</v>
      </c>
      <c r="AA16" s="2" t="n">
        <v>4970353450.21399</v>
      </c>
      <c r="AB16" s="2" t="n">
        <v>4705872489.21116</v>
      </c>
      <c r="AC16" s="2" t="n">
        <v>5285598670.85264</v>
      </c>
      <c r="AD16" s="2" t="n">
        <v>6174009582.94932</v>
      </c>
      <c r="AE16" s="2" t="n">
        <v>7143464197.46978</v>
      </c>
      <c r="AF16" s="2" t="n">
        <v>7455190921.63628</v>
      </c>
      <c r="AG16" s="2" t="n">
        <v>7662523176.48163</v>
      </c>
      <c r="AH16" s="2" t="n">
        <v>8150132321.92841</v>
      </c>
      <c r="AI16" s="2" t="n">
        <v>9080602918.00135</v>
      </c>
      <c r="AJ16" s="2" t="n">
        <v>9130403084.80445</v>
      </c>
      <c r="AK16" s="2" t="n">
        <v>8182640368.36976</v>
      </c>
      <c r="AL16" s="2" t="n">
        <v>8863563555.5035</v>
      </c>
      <c r="AM16" s="2" t="n">
        <v>8879557357.66099</v>
      </c>
      <c r="AN16" s="2" t="n">
        <v>2903160440.84029</v>
      </c>
      <c r="AO16" s="2" t="n">
        <v>1554312207.99465</v>
      </c>
      <c r="AP16" s="1" t="n">
        <v>2321133696.06837</v>
      </c>
      <c r="AQ16" s="1" t="n">
        <v>2725751848.90433</v>
      </c>
      <c r="AR16" s="1" t="n">
        <v>3077023431.10569</v>
      </c>
      <c r="AS16" s="1" t="n">
        <v>3731065893.45887</v>
      </c>
      <c r="AT16" s="1" t="n">
        <v>4396039740.11226</v>
      </c>
      <c r="AU16" s="1" t="n">
        <v>4620992161.7169</v>
      </c>
      <c r="AV16" s="1" t="n">
        <v>4970353450.21399</v>
      </c>
      <c r="AW16" s="1" t="n">
        <v>4705872489.21116</v>
      </c>
      <c r="AX16" s="1" t="n">
        <v>5285598670.85264</v>
      </c>
      <c r="AY16" s="1" t="n">
        <v>6174009582.94932</v>
      </c>
      <c r="AZ16" s="1" t="n">
        <v>7143464197.46978</v>
      </c>
      <c r="BA16" s="1" t="n">
        <v>7455190921.63628</v>
      </c>
      <c r="BB16" s="1" t="n">
        <v>7662523176.48163</v>
      </c>
      <c r="BC16" s="1" t="n">
        <v>8150132321.92841</v>
      </c>
      <c r="BD16" s="1" t="n">
        <v>9080602918.00135</v>
      </c>
      <c r="BE16" s="1" t="n">
        <v>9130403084.80445</v>
      </c>
      <c r="BF16" s="1" t="n">
        <v>8182640368.36976</v>
      </c>
      <c r="BG16" s="1" t="n">
        <v>8863563555.5035</v>
      </c>
      <c r="BH16" s="1" t="n">
        <v>8879557357.66099</v>
      </c>
      <c r="BI16" s="1" t="n">
        <v>2903160440.84029</v>
      </c>
      <c r="BJ16" s="1"/>
    </row>
    <row r="17">
      <c r="A17" t="str">
        <f>M17</f>
      </c>
      <c r="B17" t="str">
        <f>N17</f>
      </c>
      <c r="M17" t="s">
        <v>53</v>
      </c>
      <c r="N17" t="s">
        <v>55</v>
      </c>
      <c r="O17" s="2" t="n">
        <v>2204373041.54795</v>
      </c>
      <c r="P17" s="2" t="n">
        <v>4519391462.06392</v>
      </c>
      <c r="Q17" s="2" t="n">
        <v>5720795430.54823</v>
      </c>
      <c r="R17" s="2" t="n">
        <v>7577237264.70193</v>
      </c>
      <c r="S17" s="2" t="n">
        <v>9738883424.58676</v>
      </c>
      <c r="T17" s="2" t="n">
        <v>9936931771.8117</v>
      </c>
      <c r="U17" s="2" t="n">
        <v>11174105167.315</v>
      </c>
      <c r="V17" s="2" t="n">
        <v>10871218541.0535</v>
      </c>
      <c r="W17" s="2" t="n">
        <v>11073350446.4658</v>
      </c>
      <c r="X17" s="2" t="n">
        <v>11596745346.1789</v>
      </c>
      <c r="Y17" s="2" t="n">
        <v>12741686564.8327</v>
      </c>
      <c r="Z17" s="2" t="n">
        <v>11878569852.0251</v>
      </c>
      <c r="AA17" s="2" t="n">
        <v>10912054156.7716</v>
      </c>
      <c r="AB17" s="2" t="n">
        <v>11201513882.7124</v>
      </c>
      <c r="AC17" s="2" t="n">
        <v>11585030916.9834</v>
      </c>
      <c r="AD17" s="2" t="n">
        <v>10759093394.2879</v>
      </c>
      <c r="AE17" s="2" t="n">
        <v>10227798019.3293</v>
      </c>
      <c r="AF17" s="2" t="n">
        <v>9574806953.01162</v>
      </c>
      <c r="AG17" s="2" t="n">
        <v>10068011677.7496</v>
      </c>
      <c r="AH17" s="2" t="n">
        <v>10516002042.8152</v>
      </c>
      <c r="AI17" s="2" t="n">
        <v>11284141893.4505</v>
      </c>
      <c r="AJ17" s="2" t="n">
        <v>12270426425.9178</v>
      </c>
      <c r="AK17" s="2" t="n">
        <v>12229043265.3336</v>
      </c>
      <c r="AL17" s="2" t="n">
        <v>13504775344.3988</v>
      </c>
      <c r="AM17" s="2" t="n">
        <v>13716157095.8326</v>
      </c>
      <c r="AN17" s="2" t="n">
        <v>4372696649.63769</v>
      </c>
      <c r="AO17" s="2" t="n">
        <v>9936931771.8117</v>
      </c>
      <c r="AP17" s="1" t="n">
        <v>11174105167.315</v>
      </c>
      <c r="AQ17" s="1" t="n">
        <v>10871218541.0535</v>
      </c>
      <c r="AR17" s="1" t="n">
        <v>11073350446.4658</v>
      </c>
      <c r="AS17" s="1" t="n">
        <v>11596745346.1789</v>
      </c>
      <c r="AT17" s="1" t="n">
        <v>12741686564.8327</v>
      </c>
      <c r="AU17" s="1" t="n">
        <v>11878569852.0251</v>
      </c>
      <c r="AV17" s="1" t="n">
        <v>10912054156.7716</v>
      </c>
      <c r="AW17" s="1" t="n">
        <v>11201513882.7124</v>
      </c>
      <c r="AX17" s="1" t="n">
        <v>11585030916.9834</v>
      </c>
      <c r="AY17" s="1" t="n">
        <v>10759093394.2879</v>
      </c>
      <c r="AZ17" s="1" t="n">
        <v>10227798019.3293</v>
      </c>
      <c r="BA17" s="1" t="n">
        <v>9574806953.01162</v>
      </c>
      <c r="BB17" s="1" t="n">
        <v>10068011677.7496</v>
      </c>
      <c r="BC17" s="1" t="n">
        <v>10516002042.8152</v>
      </c>
      <c r="BD17" s="1" t="n">
        <v>11284141893.4505</v>
      </c>
      <c r="BE17" s="1" t="n">
        <v>12270426425.9178</v>
      </c>
      <c r="BF17" s="1" t="n">
        <v>12229043265.3336</v>
      </c>
      <c r="BG17" s="1" t="n">
        <v>13504775344.3988</v>
      </c>
      <c r="BH17" s="1" t="n">
        <v>13716157095.8326</v>
      </c>
      <c r="BI17" s="1" t="n">
        <v>4372696649.63769</v>
      </c>
      <c r="BJ17" s="1"/>
    </row>
    <row r="18">
      <c r="A18" t="str">
        <f>M18</f>
      </c>
      <c r="B18" t="str">
        <f>N18</f>
      </c>
      <c r="M18" t="s">
        <v>53</v>
      </c>
      <c r="N18" t="s">
        <v>56</v>
      </c>
      <c r="O18" s="2" t="n">
        <v>2170867813.05314</v>
      </c>
      <c r="P18" s="2" t="n">
        <v>2433371611.04168</v>
      </c>
      <c r="Q18" s="2" t="n">
        <v>4440417287.80824</v>
      </c>
      <c r="R18" s="2" t="n">
        <v>4876083935.82251</v>
      </c>
      <c r="S18" s="2" t="n">
        <v>6900568200.29897</v>
      </c>
      <c r="T18" s="2" t="n">
        <v>9554717801.1671</v>
      </c>
      <c r="U18" s="2" t="n">
        <v>12245946233.5938</v>
      </c>
      <c r="V18" s="2" t="n">
        <v>14643484794.0384</v>
      </c>
      <c r="W18" s="2" t="n">
        <v>17794416974.0257</v>
      </c>
      <c r="X18" s="2" t="n">
        <v>21290418377.0308</v>
      </c>
      <c r="Y18" s="2" t="n">
        <v>23756964860.3958</v>
      </c>
      <c r="Z18" s="2" t="n">
        <v>24024921099.9556</v>
      </c>
      <c r="AA18" s="2" t="n">
        <v>24567505035.3229</v>
      </c>
      <c r="AB18" s="2" t="n">
        <v>23361400486.6783</v>
      </c>
      <c r="AC18" s="2" t="n">
        <v>21622171973.1695</v>
      </c>
      <c r="AD18" s="2" t="n">
        <v>21654714156.6049</v>
      </c>
      <c r="AE18" s="2" t="n">
        <v>23642210659.2062</v>
      </c>
      <c r="AF18" s="2" t="n">
        <v>25316604212.7382</v>
      </c>
      <c r="AG18" s="2" t="n">
        <v>29724543787.9711</v>
      </c>
      <c r="AH18" s="2" t="n">
        <v>31400095535.941</v>
      </c>
      <c r="AI18" s="2" t="n">
        <v>33273652994.3699</v>
      </c>
      <c r="AJ18" s="2" t="n">
        <v>34014306428.236</v>
      </c>
      <c r="AK18" s="2" t="n">
        <v>33482120167.5603</v>
      </c>
      <c r="AL18" s="2" t="n">
        <v>37660222831.6998</v>
      </c>
      <c r="AM18" s="2" t="n">
        <v>40739954509.1189</v>
      </c>
      <c r="AN18" s="2" t="n">
        <v>15245036292.6081</v>
      </c>
      <c r="AO18" s="2" t="n">
        <v>9554717801.1671</v>
      </c>
      <c r="AP18" s="1" t="n">
        <v>12245946233.5938</v>
      </c>
      <c r="AQ18" s="1" t="n">
        <v>14643484794.0384</v>
      </c>
      <c r="AR18" s="1" t="n">
        <v>17794416974.0257</v>
      </c>
      <c r="AS18" s="1" t="n">
        <v>21290418377.0308</v>
      </c>
      <c r="AT18" s="1" t="n">
        <v>23756964860.3958</v>
      </c>
      <c r="AU18" s="1" t="n">
        <v>24024921099.9556</v>
      </c>
      <c r="AV18" s="1" t="n">
        <v>24567505035.3229</v>
      </c>
      <c r="AW18" s="1" t="n">
        <v>23361400486.6783</v>
      </c>
      <c r="AX18" s="1" t="n">
        <v>21622171973.1695</v>
      </c>
      <c r="AY18" s="1" t="n">
        <v>21654714156.6049</v>
      </c>
      <c r="AZ18" s="1" t="n">
        <v>23642210659.2062</v>
      </c>
      <c r="BA18" s="1" t="n">
        <v>25316604212.7382</v>
      </c>
      <c r="BB18" s="1" t="n">
        <v>29724543787.9711</v>
      </c>
      <c r="BC18" s="1" t="n">
        <v>31400095535.941</v>
      </c>
      <c r="BD18" s="1" t="n">
        <v>33273652994.3699</v>
      </c>
      <c r="BE18" s="1" t="n">
        <v>34014306428.236</v>
      </c>
      <c r="BF18" s="1" t="n">
        <v>33482120167.5603</v>
      </c>
      <c r="BG18" s="1" t="n">
        <v>37660222831.6998</v>
      </c>
      <c r="BH18" s="1" t="n">
        <v>40739954509.1189</v>
      </c>
      <c r="BI18" s="1" t="n">
        <v>15245036292.6081</v>
      </c>
      <c r="BJ18" s="1"/>
    </row>
    <row r="19">
      <c r="A19" t="str">
        <f>M19</f>
      </c>
      <c r="B19" t="str">
        <f>N19</f>
      </c>
      <c r="M19" t="s">
        <v>53</v>
      </c>
      <c r="N19" t="s">
        <v>57</v>
      </c>
      <c r="O19" s="2" t="n">
        <v>8705277558.63642</v>
      </c>
      <c r="P19" s="2" t="n">
        <v>9774507034.68662</v>
      </c>
      <c r="Q19" s="2" t="n">
        <v>12009355973.1917</v>
      </c>
      <c r="R19" s="2" t="n">
        <v>14224227926.4246</v>
      </c>
      <c r="S19" s="2" t="n">
        <v>16630390469.9109</v>
      </c>
      <c r="T19" s="2" t="n">
        <v>20081043109.077</v>
      </c>
      <c r="U19" s="2" t="n">
        <v>24135773076.6681</v>
      </c>
      <c r="V19" s="2" t="n">
        <v>24553653021.65</v>
      </c>
      <c r="W19" s="2" t="n">
        <v>29393100801.0139</v>
      </c>
      <c r="X19" s="2" t="n">
        <v>31946589729.336</v>
      </c>
      <c r="Y19" s="2" t="n">
        <v>32449574626.2265</v>
      </c>
      <c r="Z19" s="2" t="n">
        <v>30787715329.5238</v>
      </c>
      <c r="AA19" s="2" t="n">
        <v>29236717013.7347</v>
      </c>
      <c r="AB19" s="2" t="n">
        <v>23637013165.189</v>
      </c>
      <c r="AC19" s="2" t="n">
        <v>23697558199.6454</v>
      </c>
      <c r="AD19" s="2" t="n">
        <v>22321484815.8042</v>
      </c>
      <c r="AE19" s="2" t="n">
        <v>23539152746.6155</v>
      </c>
      <c r="AF19" s="2" t="n">
        <v>24208823292.8177</v>
      </c>
      <c r="AG19" s="2" t="n">
        <v>24998426704.6502</v>
      </c>
      <c r="AH19" s="2" t="n">
        <v>25636311496.1012</v>
      </c>
      <c r="AI19" s="2" t="n">
        <v>30048853740.0378</v>
      </c>
      <c r="AJ19" s="2" t="n">
        <v>28315759210.6518</v>
      </c>
      <c r="AK19" s="2" t="n">
        <v>27240529059.1247</v>
      </c>
      <c r="AL19" s="2" t="n">
        <v>34307402562.9294</v>
      </c>
      <c r="AM19" s="2" t="n">
        <v>37999147485.7543</v>
      </c>
      <c r="AN19" s="2" t="n">
        <v>14349729348.2983</v>
      </c>
      <c r="AO19" s="2" t="n">
        <v>20081043109.077</v>
      </c>
      <c r="AP19" s="1" t="n">
        <v>24135773076.6681</v>
      </c>
      <c r="AQ19" s="1" t="n">
        <v>24553653021.65</v>
      </c>
      <c r="AR19" s="1" t="n">
        <v>29393100801.0139</v>
      </c>
      <c r="AS19" s="1" t="n">
        <v>31946589729.336</v>
      </c>
      <c r="AT19" s="1" t="n">
        <v>32449574626.2265</v>
      </c>
      <c r="AU19" s="1" t="n">
        <v>30787715329.5238</v>
      </c>
      <c r="AV19" s="1" t="n">
        <v>29236717013.7347</v>
      </c>
      <c r="AW19" s="1" t="n">
        <v>23637013165.189</v>
      </c>
      <c r="AX19" s="1" t="n">
        <v>23697558199.6454</v>
      </c>
      <c r="AY19" s="1" t="n">
        <v>22321484815.8042</v>
      </c>
      <c r="AZ19" s="1" t="n">
        <v>23539152746.6155</v>
      </c>
      <c r="BA19" s="1" t="n">
        <v>24208823292.8177</v>
      </c>
      <c r="BB19" s="1" t="n">
        <v>24998426704.6502</v>
      </c>
      <c r="BC19" s="1" t="n">
        <v>25636311496.1012</v>
      </c>
      <c r="BD19" s="1" t="n">
        <v>30048853740.0378</v>
      </c>
      <c r="BE19" s="1" t="n">
        <v>28315759210.6518</v>
      </c>
      <c r="BF19" s="1" t="n">
        <v>27240529059.1247</v>
      </c>
      <c r="BG19" s="1" t="n">
        <v>34307402562.9294</v>
      </c>
      <c r="BH19" s="1" t="n">
        <v>37999147485.7543</v>
      </c>
      <c r="BI19" s="1" t="n">
        <v>14349729348.2983</v>
      </c>
      <c r="BJ19" s="1"/>
    </row>
    <row r="20">
      <c r="A20" t="str">
        <f>M20</f>
      </c>
      <c r="B20" t="str">
        <f>N20</f>
      </c>
      <c r="M20" t="s">
        <v>53</v>
      </c>
      <c r="N20" t="s">
        <v>58</v>
      </c>
      <c r="O20" s="2" t="n">
        <v>2481114321.69908</v>
      </c>
      <c r="P20" s="2" t="n">
        <v>2994913352.31532</v>
      </c>
      <c r="Q20" s="2" t="n">
        <v>4139127222.4209</v>
      </c>
      <c r="R20" s="2" t="n">
        <v>2756536448.29305</v>
      </c>
      <c r="S20" s="2" t="n">
        <v>2340698847.09134</v>
      </c>
      <c r="T20" s="2" t="n">
        <v>1406062888.72919</v>
      </c>
      <c r="U20" s="2" t="n">
        <v>947213603.219517</v>
      </c>
      <c r="V20" s="2" t="n">
        <v>361021530.06171</v>
      </c>
      <c r="W20" s="2" t="n">
        <v>212361833.500609</v>
      </c>
      <c r="X20" s="2" t="n">
        <v>109717793.846644</v>
      </c>
      <c r="Y20" s="2" t="n">
        <v>84561605.7448777</v>
      </c>
      <c r="Z20" s="2" t="n">
        <v>67018661.8164845</v>
      </c>
      <c r="AA20" s="2" t="n">
        <v>48703834.4137199</v>
      </c>
      <c r="AB20" s="2" t="n">
        <v>18998870.1026768</v>
      </c>
      <c r="AC20" s="2" t="n">
        <v>20454005.2688451</v>
      </c>
      <c r="AD20" s="2" t="n">
        <v>13915916.4218942</v>
      </c>
      <c r="AE20" s="2" t="n">
        <v>15404830.9173971</v>
      </c>
      <c r="AF20" s="2" t="n">
        <v>4159264.58584248</v>
      </c>
      <c r="AG20" s="2" t="n">
        <v>137926.105743545</v>
      </c>
      <c r="AH20" s="2" t="n">
        <v>302134.988237493</v>
      </c>
      <c r="AI20" s="2" t="n">
        <v>-305266.132784855</v>
      </c>
      <c r="AJ20" s="2" t="n">
        <v>-13080.1747659295</v>
      </c>
      <c r="AK20" s="2" t="n">
        <v>-395421.820022226</v>
      </c>
      <c r="AL20" s="2" t="n">
        <v>-13433503.0898</v>
      </c>
      <c r="AM20" s="2" t="n">
        <v>0</v>
      </c>
      <c r="AN20" s="2" t="n">
        <v>-14051003.6404213</v>
      </c>
      <c r="AO20" s="2" t="n">
        <v>1406062888.72919</v>
      </c>
      <c r="AP20" s="1" t="n">
        <v>947213603.219517</v>
      </c>
      <c r="AQ20" s="1" t="n">
        <v>361021530.06171</v>
      </c>
      <c r="AR20" s="1" t="n">
        <v>212361833.500609</v>
      </c>
      <c r="AS20" s="1" t="n">
        <v>109717793.846644</v>
      </c>
      <c r="AT20" s="1" t="n">
        <v>84561605.7448777</v>
      </c>
      <c r="AU20" s="1" t="n">
        <v>67018661.8164845</v>
      </c>
      <c r="AV20" s="1" t="n">
        <v>48703834.4137199</v>
      </c>
      <c r="AW20" s="1" t="n">
        <v>18998870.1026768</v>
      </c>
      <c r="AX20" s="1" t="n">
        <v>20454005.2688451</v>
      </c>
      <c r="AY20" s="1" t="n">
        <v>13915916.4218942</v>
      </c>
      <c r="AZ20" s="1" t="n">
        <v>15404830.9173971</v>
      </c>
      <c r="BA20" s="1" t="n">
        <v>4159264.58584248</v>
      </c>
      <c r="BB20" s="1" t="n">
        <v>137926.105743545</v>
      </c>
      <c r="BC20" s="1" t="n">
        <v>302134.988237493</v>
      </c>
      <c r="BD20" s="1" t="n">
        <v>-305266.132784855</v>
      </c>
      <c r="BE20" s="1" t="n">
        <v>-13080.1747659295</v>
      </c>
      <c r="BF20" s="1" t="n">
        <v>-395421.820022226</v>
      </c>
      <c r="BG20" s="1" t="n">
        <v>-13433503.0898</v>
      </c>
      <c r="BH20" s="1" t="n">
        <v>0</v>
      </c>
      <c r="BI20" s="1" t="n">
        <v>-14051003.6404213</v>
      </c>
      <c r="BJ20" s="1"/>
    </row>
    <row r="21">
      <c r="A21" t="str">
        <f>M21</f>
      </c>
      <c r="B21" t="str">
        <f>N21</f>
      </c>
      <c r="M21"/>
      <c r="N21"/>
      <c r="O21" s="2" t="n">
        <v>84058.6695688382</v>
      </c>
      <c r="P21" s="2" t="n">
        <v>0</v>
      </c>
      <c r="Q21" s="2" t="n">
        <v>0</v>
      </c>
      <c r="R21" s="2" t="n">
        <v>696999.246214976</v>
      </c>
      <c r="S21" s="2" t="n">
        <v>1285416.91108655</v>
      </c>
      <c r="T21" s="2" t="n">
        <v>34486.6150057174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/>
      <c r="AB21" s="2" t="n">
        <v>346270.483905625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-559.440879925852</v>
      </c>
      <c r="AK21" s="2" t="n">
        <v>0</v>
      </c>
      <c r="AL21" s="2" t="n">
        <v>-10000</v>
      </c>
      <c r="AM21" s="2" t="n">
        <v>2394777.30600321</v>
      </c>
      <c r="AN21" s="2" t="n">
        <v>-6004485.86663571</v>
      </c>
      <c r="AO21" s="2" t="n">
        <v>34486.6150057174</v>
      </c>
      <c r="AP21" s="1" t="n">
        <v>0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0</v>
      </c>
      <c r="AV21" s="1"/>
      <c r="AW21" s="1" t="n">
        <v>346270.483905625</v>
      </c>
      <c r="AX21" s="1" t="n">
        <v>0</v>
      </c>
      <c r="AY21" s="1" t="n">
        <v>0</v>
      </c>
      <c r="AZ21" s="1" t="n">
        <v>0</v>
      </c>
      <c r="BA21" s="1" t="n">
        <v>0</v>
      </c>
      <c r="BB21" s="1" t="n">
        <v>0</v>
      </c>
      <c r="BC21" s="1" t="n">
        <v>0</v>
      </c>
      <c r="BD21" s="1" t="n">
        <v>0</v>
      </c>
      <c r="BE21" s="1" t="n">
        <v>-559.440879925852</v>
      </c>
      <c r="BF21" s="1" t="n">
        <v>0</v>
      </c>
      <c r="BG21" s="1" t="n">
        <v>-10000</v>
      </c>
      <c r="BH21" s="1" t="n">
        <v>2394777.30600321</v>
      </c>
      <c r="BI21" s="1" t="n">
        <v>-6004485.86663571</v>
      </c>
      <c r="BJ21" s="1"/>
    </row>
    <row r="22">
      <c r="A22" t="str">
        <f>M22</f>
      </c>
      <c r="B22" t="str">
        <f>N22</f>
      </c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50</v>
      </c>
      <c r="O2" t="s">
        <v>51</v>
      </c>
      <c r="P2" s="3" t="n">
        <v>11902022020.6399</v>
      </c>
      <c r="Q2" s="3" t="n">
        <v>11502787565.83</v>
      </c>
      <c r="R2" s="3" t="n">
        <v>14361522627.02</v>
      </c>
      <c r="S2" s="3" t="n">
        <v>17235830255.47</v>
      </c>
      <c r="T2" s="3" t="n">
        <v>19245304847.03</v>
      </c>
      <c r="U2" s="3" t="n">
        <v>22898010041.77</v>
      </c>
      <c r="V2" s="3" t="n">
        <v>23483284030.53</v>
      </c>
      <c r="W2" s="3" t="n">
        <v>24062086854.56</v>
      </c>
      <c r="X2" s="3" t="n">
        <v>26311440102.14</v>
      </c>
      <c r="Y2" s="3" t="n">
        <v>28529794395.49</v>
      </c>
      <c r="Z2" s="3" t="n">
        <v>28849804028.8093</v>
      </c>
      <c r="AA2" s="3" t="n">
        <v>27346897184.5968</v>
      </c>
      <c r="AB2" s="3" t="n">
        <v>26134217489.4851</v>
      </c>
      <c r="AC2" s="3" t="n">
        <v>24695852156.6739</v>
      </c>
      <c r="AD2" s="3" t="n">
        <v>24752264480.2676</v>
      </c>
      <c r="AE2" s="3" t="n">
        <v>26162625723.4003</v>
      </c>
      <c r="AF2" s="3" t="n">
        <v>25047928456.9062</v>
      </c>
      <c r="AG2" s="3" t="n">
        <v>26195762232.6031</v>
      </c>
      <c r="AH2" s="3" t="n">
        <v>26375117232.69</v>
      </c>
      <c r="AI2" s="3" t="n">
        <v>29014195447.96</v>
      </c>
      <c r="AJ2" s="3" t="n">
        <v>33971663947.33</v>
      </c>
      <c r="AK2" s="3" t="n">
        <v>40944876039.72</v>
      </c>
      <c r="AL2" s="3" t="n">
        <v>44070890103.75</v>
      </c>
      <c r="AM2" s="3" t="n">
        <v>47122194018.36</v>
      </c>
      <c r="AN2" s="3" t="n">
        <v>46894153150.62</v>
      </c>
      <c r="AO2" s="3" t="n">
        <v>16979632178.69</v>
      </c>
      <c r="AP2" s="3"/>
    </row>
    <row r="3">
      <c r="A3" t="str">
        <f>N3</f>
      </c>
      <c r="B3" t="str">
        <f>O3</f>
      </c>
      <c r="N3" t="s">
        <v>50</v>
      </c>
      <c r="O3" t="s">
        <v>52</v>
      </c>
      <c r="P3" s="3" t="n">
        <v>2330740708.575</v>
      </c>
      <c r="Q3" s="3" t="n">
        <v>2075880978.68</v>
      </c>
      <c r="R3" s="3" t="n">
        <v>3122262800.66</v>
      </c>
      <c r="S3" s="3" t="n">
        <v>3795696781.08</v>
      </c>
      <c r="T3" s="3" t="n">
        <v>1394951173.52</v>
      </c>
      <c r="U3" s="3" t="n">
        <v>2044768819.91</v>
      </c>
      <c r="V3" s="3" t="n">
        <v>1801255257.98</v>
      </c>
      <c r="W3" s="3" t="n">
        <v>1901818853.4</v>
      </c>
      <c r="X3" s="3" t="n">
        <v>2182711605.86</v>
      </c>
      <c r="Y3" s="3" t="n">
        <v>2262350827.42</v>
      </c>
      <c r="Z3" s="3" t="n">
        <v>2251087902.4275</v>
      </c>
      <c r="AA3" s="3" t="n">
        <v>2117812653.0206</v>
      </c>
      <c r="AB3" s="3" t="n">
        <v>1786577015.029</v>
      </c>
      <c r="AC3" s="3" t="n">
        <v>1309923996.2698</v>
      </c>
      <c r="AD3" s="3" t="n">
        <v>1413227635.8859</v>
      </c>
      <c r="AE3" s="3" t="n">
        <v>1549194783.1657</v>
      </c>
      <c r="AF3" s="3" t="n">
        <v>1702112410.1098</v>
      </c>
      <c r="AG3" s="3" t="n">
        <v>1666906457.0122</v>
      </c>
      <c r="AH3" s="3" t="n">
        <v>1821954088.88</v>
      </c>
      <c r="AI3" s="3" t="n">
        <v>1945620512.51</v>
      </c>
      <c r="AJ3" s="3" t="n">
        <v>1974721720.55</v>
      </c>
      <c r="AK3" s="3" t="n">
        <v>2007038642.43</v>
      </c>
      <c r="AL3" s="3" t="n">
        <v>2023004999.0599</v>
      </c>
      <c r="AM3" s="3" t="n">
        <v>2809152382.38</v>
      </c>
      <c r="AN3" s="3" t="n">
        <v>2849101969.69</v>
      </c>
      <c r="AO3" s="3" t="n">
        <v>603346821.58</v>
      </c>
      <c r="AP3" s="3"/>
    </row>
    <row r="4">
      <c r="A4" t="str">
        <f>N4</f>
      </c>
      <c r="B4" t="str">
        <f>O4</f>
      </c>
      <c r="N4" t="s">
        <v>53</v>
      </c>
      <c r="O4" t="s">
        <v>54</v>
      </c>
      <c r="P4" s="3" t="n">
        <v>139534756.6489</v>
      </c>
      <c r="Q4" s="3" t="n">
        <v>274655842.2537</v>
      </c>
      <c r="R4" s="3" t="n">
        <v>345844703.8866</v>
      </c>
      <c r="S4" s="3" t="n">
        <v>210185020.3013</v>
      </c>
      <c r="T4" s="3" t="n">
        <v>412597209.0695</v>
      </c>
      <c r="U4" s="3" t="n">
        <v>1034807512.7014</v>
      </c>
      <c r="V4" s="3" t="n">
        <v>1595529847.752</v>
      </c>
      <c r="W4" s="3" t="n">
        <v>1925242273.7468</v>
      </c>
      <c r="X4" s="3" t="n">
        <v>2218471633.3351</v>
      </c>
      <c r="Y4" s="3" t="n">
        <v>2717531488.3061</v>
      </c>
      <c r="Z4" s="3" t="n">
        <v>3229596494.1244</v>
      </c>
      <c r="AA4" s="3" t="n">
        <v>3462999612.381</v>
      </c>
      <c r="AB4" s="3" t="n">
        <v>3792403704.2315</v>
      </c>
      <c r="AC4" s="3" t="n">
        <v>3655753979.7207</v>
      </c>
      <c r="AD4" s="3" t="n">
        <v>4181022426.8678</v>
      </c>
      <c r="AE4" s="3" t="n">
        <v>4934352215.3071</v>
      </c>
      <c r="AF4" s="3" t="n">
        <v>5754798630.939</v>
      </c>
      <c r="AG4" s="3" t="n">
        <v>6107308036.5398</v>
      </c>
      <c r="AH4" s="3" t="n">
        <v>6416507900.1165</v>
      </c>
      <c r="AI4" s="3" t="n">
        <v>6951013973.0255</v>
      </c>
      <c r="AJ4" s="3" t="n">
        <v>7845753992.8207</v>
      </c>
      <c r="AK4" s="3" t="n">
        <v>8160293082.2776</v>
      </c>
      <c r="AL4" s="3" t="n">
        <v>7824687557.8604</v>
      </c>
      <c r="AM4" s="3" t="n">
        <v>8863563555.5035</v>
      </c>
      <c r="AN4" s="3" t="n">
        <v>9116694709.9</v>
      </c>
      <c r="AO4" s="3" t="n">
        <v>3046094775.53</v>
      </c>
      <c r="AP4" s="3"/>
    </row>
    <row r="5">
      <c r="A5" t="str">
        <f>N5</f>
      </c>
      <c r="B5" t="str">
        <f>O5</f>
      </c>
      <c r="N5" t="s">
        <v>53</v>
      </c>
      <c r="O5" t="s">
        <v>55</v>
      </c>
      <c r="P5" s="3" t="n">
        <v>1311210998.7315</v>
      </c>
      <c r="Q5" s="3" t="n">
        <v>2753396765.9827</v>
      </c>
      <c r="R5" s="3" t="n">
        <v>3540172742.599</v>
      </c>
      <c r="S5" s="3" t="n">
        <v>4778991540.7392</v>
      </c>
      <c r="T5" s="3" t="n">
        <v>6292338294.9443</v>
      </c>
      <c r="U5" s="3" t="n">
        <v>6615666786.7511</v>
      </c>
      <c r="V5" s="3" t="n">
        <v>7680995862.7415</v>
      </c>
      <c r="W5" s="3" t="n">
        <v>7678516116.8612</v>
      </c>
      <c r="X5" s="3" t="n">
        <v>7983661613.7289</v>
      </c>
      <c r="Y5" s="3" t="n">
        <v>8446519450.4761</v>
      </c>
      <c r="Z5" s="3" t="n">
        <v>9360813070.8038</v>
      </c>
      <c r="AA5" s="3" t="n">
        <v>8901872445.0552</v>
      </c>
      <c r="AB5" s="3" t="n">
        <v>8325950059.5745</v>
      </c>
      <c r="AC5" s="3" t="n">
        <v>8701888767.5996</v>
      </c>
      <c r="AD5" s="3" t="n">
        <v>9164009054.825</v>
      </c>
      <c r="AE5" s="3" t="n">
        <v>8598813398.5759</v>
      </c>
      <c r="AF5" s="3" t="n">
        <v>8239548265.6727</v>
      </c>
      <c r="AG5" s="3" t="n">
        <v>7843701934.2773</v>
      </c>
      <c r="AH5" s="3" t="n">
        <v>8430836028.9239</v>
      </c>
      <c r="AI5" s="3" t="n">
        <v>8968796364.6065</v>
      </c>
      <c r="AJ5" s="3" t="n">
        <v>9749639106.0761</v>
      </c>
      <c r="AK5" s="3" t="n">
        <v>10966687335.7057</v>
      </c>
      <c r="AL5" s="3" t="n">
        <v>11694078973.9066</v>
      </c>
      <c r="AM5" s="3" t="n">
        <v>13504775344.3988</v>
      </c>
      <c r="AN5" s="3" t="n">
        <v>14082460622.64</v>
      </c>
      <c r="AO5" s="3" t="n">
        <v>4587982197.63</v>
      </c>
      <c r="AP5" s="3"/>
    </row>
    <row r="6">
      <c r="A6" t="str">
        <f>N6</f>
      </c>
      <c r="B6" t="str">
        <f>O6</f>
      </c>
      <c r="N6" t="s">
        <v>53</v>
      </c>
      <c r="O6" t="s">
        <v>56</v>
      </c>
      <c r="P6" s="3" t="n">
        <v>1291281330.1639</v>
      </c>
      <c r="Q6" s="3" t="n">
        <v>1482508780.334</v>
      </c>
      <c r="R6" s="3" t="n">
        <v>2747842400.3981</v>
      </c>
      <c r="S6" s="3" t="n">
        <v>3075364155.4534</v>
      </c>
      <c r="T6" s="3" t="n">
        <v>4458489505.4803</v>
      </c>
      <c r="U6" s="3" t="n">
        <v>6361201894.6605</v>
      </c>
      <c r="V6" s="3" t="n">
        <v>8417771351.4567</v>
      </c>
      <c r="W6" s="3" t="n">
        <v>10342928308.6733</v>
      </c>
      <c r="X6" s="3" t="n">
        <v>12829414586.0395</v>
      </c>
      <c r="Y6" s="3" t="n">
        <v>15506931260.6419</v>
      </c>
      <c r="Z6" s="3" t="n">
        <v>17453302281.1599</v>
      </c>
      <c r="AA6" s="3" t="n">
        <v>18004421895.7772</v>
      </c>
      <c r="AB6" s="3" t="n">
        <v>18745125076.7032</v>
      </c>
      <c r="AC6" s="3" t="n">
        <v>18148288759.8043</v>
      </c>
      <c r="AD6" s="3" t="n">
        <v>17103603880.4722</v>
      </c>
      <c r="AE6" s="3" t="n">
        <v>17306741321.8109</v>
      </c>
      <c r="AF6" s="3" t="n">
        <v>19046243919.3245</v>
      </c>
      <c r="AG6" s="3" t="n">
        <v>20739415259.9942</v>
      </c>
      <c r="AH6" s="3" t="n">
        <v>24890987687.7464</v>
      </c>
      <c r="AI6" s="3" t="n">
        <v>26780240394.0625</v>
      </c>
      <c r="AJ6" s="3" t="n">
        <v>28748850510.6627</v>
      </c>
      <c r="AK6" s="3" t="n">
        <v>30400268954.911</v>
      </c>
      <c r="AL6" s="3" t="n">
        <v>32017431695.8393</v>
      </c>
      <c r="AM6" s="3" t="n">
        <v>37660222831.6998</v>
      </c>
      <c r="AN6" s="3" t="n">
        <v>41827955245.36</v>
      </c>
      <c r="AO6" s="3" t="n">
        <v>15995611110.71</v>
      </c>
      <c r="AP6" s="3"/>
    </row>
    <row r="7">
      <c r="A7" t="str">
        <f>N7</f>
      </c>
      <c r="B7" t="str">
        <f>O7</f>
      </c>
      <c r="N7" t="s">
        <v>53</v>
      </c>
      <c r="O7" t="s">
        <v>57</v>
      </c>
      <c r="P7" s="3" t="n">
        <v>5178096205.4767</v>
      </c>
      <c r="Q7" s="3" t="n">
        <v>5955026530.5167</v>
      </c>
      <c r="R7" s="3" t="n">
        <v>7431692880.5803</v>
      </c>
      <c r="S7" s="3" t="n">
        <v>8971273111.7182</v>
      </c>
      <c r="T7" s="3" t="n">
        <v>10744973345.6623</v>
      </c>
      <c r="U7" s="3" t="n">
        <v>13369266589.6021</v>
      </c>
      <c r="V7" s="3" t="n">
        <v>16590748911.8881</v>
      </c>
      <c r="W7" s="3" t="n">
        <v>17342639166.2151</v>
      </c>
      <c r="X7" s="3" t="n">
        <v>21191830937.5294</v>
      </c>
      <c r="Y7" s="3" t="n">
        <v>23268381211.2963</v>
      </c>
      <c r="Z7" s="3" t="n">
        <v>23839418805.166</v>
      </c>
      <c r="AA7" s="3" t="n">
        <v>23072500995.6789</v>
      </c>
      <c r="AB7" s="3" t="n">
        <v>22307756382.5329</v>
      </c>
      <c r="AC7" s="3" t="n">
        <v>18362398289.6815</v>
      </c>
      <c r="AD7" s="3" t="n">
        <v>18745279099.8109</v>
      </c>
      <c r="AE7" s="3" t="n">
        <v>17839633478.0537</v>
      </c>
      <c r="AF7" s="3" t="n">
        <v>18963220120.5219</v>
      </c>
      <c r="AG7" s="3" t="n">
        <v>19831918807.3787</v>
      </c>
      <c r="AH7" s="3" t="n">
        <v>20933392140.7495</v>
      </c>
      <c r="AI7" s="3" t="n">
        <v>21864474389.7937</v>
      </c>
      <c r="AJ7" s="3" t="n">
        <v>25962583799.7194</v>
      </c>
      <c r="AK7" s="3" t="n">
        <v>25307195296.8513</v>
      </c>
      <c r="AL7" s="3" t="n">
        <v>26048881437.1459</v>
      </c>
      <c r="AM7" s="3" t="n">
        <v>34307402562.9294</v>
      </c>
      <c r="AN7" s="3" t="n">
        <v>39013952262.5191</v>
      </c>
      <c r="AO7" s="3" t="n">
        <v>15056224583.12</v>
      </c>
      <c r="AP7" s="3"/>
    </row>
    <row r="8">
      <c r="A8" t="str">
        <f>N8</f>
      </c>
      <c r="B8" t="str">
        <f>O8</f>
      </c>
      <c r="N8" t="s">
        <v>53</v>
      </c>
      <c r="O8" t="s">
        <v>58</v>
      </c>
      <c r="P8" s="3" t="n">
        <v>1475822978.4182</v>
      </c>
      <c r="Q8" s="3" t="n">
        <v>1824622807.7126</v>
      </c>
      <c r="R8" s="3" t="n">
        <v>2561396496.1442</v>
      </c>
      <c r="S8" s="3" t="n">
        <v>1738557723.3406</v>
      </c>
      <c r="T8" s="3" t="n">
        <v>1512336512.3461</v>
      </c>
      <c r="U8" s="3" t="n">
        <v>936108224.013</v>
      </c>
      <c r="V8" s="3" t="n">
        <v>651107507.8068</v>
      </c>
      <c r="W8" s="3" t="n">
        <v>254995300.3561</v>
      </c>
      <c r="X8" s="3" t="n">
        <v>153108585.0246</v>
      </c>
      <c r="Y8" s="3" t="n">
        <v>79913238.7687</v>
      </c>
      <c r="Z8" s="3" t="n">
        <v>62124066.5682</v>
      </c>
      <c r="AA8" s="3" t="n">
        <v>50224192.5047</v>
      </c>
      <c r="AB8" s="3" t="n">
        <v>37161261.0433</v>
      </c>
      <c r="AC8" s="3" t="n">
        <v>14759259.871</v>
      </c>
      <c r="AD8" s="3" t="n">
        <v>16179558.8492</v>
      </c>
      <c r="AE8" s="3" t="n">
        <v>11121789.1877</v>
      </c>
      <c r="AF8" s="3" t="n">
        <v>12410183.27</v>
      </c>
      <c r="AG8" s="3" t="n">
        <v>3407278.2707</v>
      </c>
      <c r="AH8" s="3" t="n">
        <v>115497.7188</v>
      </c>
      <c r="AI8" s="3" t="n">
        <v>257682.2611</v>
      </c>
      <c r="AJ8" s="3" t="n">
        <v>-263753.7399</v>
      </c>
      <c r="AK8" s="3" t="n">
        <v>-11690.3995</v>
      </c>
      <c r="AL8" s="3" t="n">
        <v>-378123.9375</v>
      </c>
      <c r="AM8" s="3" t="n">
        <v>-13433503.0898</v>
      </c>
      <c r="AN8" s="3" t="n">
        <v>0</v>
      </c>
      <c r="AO8" s="3" t="n">
        <v>-14742791.4</v>
      </c>
      <c r="AP8" s="3"/>
    </row>
    <row r="9">
      <c r="A9" t="str">
        <f>N9</f>
      </c>
      <c r="B9" t="str">
        <f>O9</f>
      </c>
      <c r="N9"/>
      <c r="O9"/>
      <c r="P9" s="3" t="n">
        <v>50000</v>
      </c>
      <c r="Q9" s="3" t="n">
        <v>0</v>
      </c>
      <c r="R9" s="3" t="n">
        <v>0</v>
      </c>
      <c r="S9" s="3" t="n">
        <v>439600</v>
      </c>
      <c r="T9" s="3" t="n">
        <v>830513.9</v>
      </c>
      <c r="U9" s="3" t="n">
        <v>22960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/>
      <c r="AC9" s="3" t="n">
        <v>269000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-500</v>
      </c>
      <c r="AL9" s="3" t="n">
        <v>0</v>
      </c>
      <c r="AM9" s="3" t="n">
        <v>-10000</v>
      </c>
      <c r="AN9" s="3" t="n">
        <v>2458732.2</v>
      </c>
      <c r="AO9" s="3" t="n">
        <v>-6300111</v>
      </c>
      <c r="AP9" s="3"/>
    </row>
    <row r="10">
      <c r="A10" t="str">
        <f>N10</f>
      </c>
      <c r="B10" t="str">
        <f>O10</f>
      </c>
      <c r="N10" t="s">
        <v>59</v>
      </c>
      <c r="O10" t="s">
        <v>60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50</v>
      </c>
      <c r="O14" t="s">
        <v>51</v>
      </c>
      <c r="P14" s="3" t="n">
        <v>20009362724.6801</v>
      </c>
      <c r="Q14" s="3" t="n">
        <v>18880533513.0817</v>
      </c>
      <c r="R14" s="3" t="n">
        <v>23207718660.6589</v>
      </c>
      <c r="S14" s="3" t="n">
        <v>27327936069.0443</v>
      </c>
      <c r="T14" s="3" t="n">
        <v>29786666194.7359</v>
      </c>
      <c r="U14" s="3" t="n">
        <v>34393504212.0023</v>
      </c>
      <c r="V14" s="3" t="n">
        <v>34162846865.1999</v>
      </c>
      <c r="W14" s="3" t="n">
        <v>34067025551.3719</v>
      </c>
      <c r="X14" s="3" t="n">
        <v>36494006271.6545</v>
      </c>
      <c r="Y14" s="3" t="n">
        <v>39170307050.52</v>
      </c>
      <c r="Z14" s="3" t="n">
        <v>39269576009.2101</v>
      </c>
      <c r="AA14" s="3" t="n">
        <v>36491426994.5337</v>
      </c>
      <c r="AB14" s="3" t="n">
        <v>34251706357.7828</v>
      </c>
      <c r="AC14" s="3" t="n">
        <v>31789757162.6515</v>
      </c>
      <c r="AD14" s="3" t="n">
        <v>31291517451.99</v>
      </c>
      <c r="AE14" s="3" t="n">
        <v>32735462505.1501</v>
      </c>
      <c r="AF14" s="3" t="n">
        <v>31092135733.6005</v>
      </c>
      <c r="AG14" s="3" t="n">
        <v>31977166963.4814</v>
      </c>
      <c r="AH14" s="3" t="n">
        <v>31496874970.611</v>
      </c>
      <c r="AI14" s="3" t="n">
        <v>34019429831.7949</v>
      </c>
      <c r="AJ14" s="3" t="n">
        <v>39318488835.0776</v>
      </c>
      <c r="AK14" s="3" t="n">
        <v>45812474960.2318</v>
      </c>
      <c r="AL14" s="3" t="n">
        <v>46086983252.2156</v>
      </c>
      <c r="AM14" s="3" t="n">
        <v>47122194018.36</v>
      </c>
      <c r="AN14" s="3" t="n">
        <v>45674373870.1366</v>
      </c>
      <c r="AO14" s="3" t="n">
        <v>16182883355.169</v>
      </c>
      <c r="AP14" s="3"/>
    </row>
    <row r="15">
      <c r="A15" t="str">
        <f>N15</f>
      </c>
      <c r="B15" t="str">
        <f>O15</f>
      </c>
      <c r="N15" t="s">
        <v>50</v>
      </c>
      <c r="O15" t="s">
        <v>52</v>
      </c>
      <c r="P15" s="3" t="n">
        <v>3918379261.45491</v>
      </c>
      <c r="Q15" s="3" t="n">
        <v>3407325412.4561</v>
      </c>
      <c r="R15" s="3" t="n">
        <v>5045467569.43653</v>
      </c>
      <c r="S15" s="3" t="n">
        <v>6018193346.8457</v>
      </c>
      <c r="T15" s="3" t="n">
        <v>2159017240.50932</v>
      </c>
      <c r="U15" s="3" t="n">
        <v>3071304663.23742</v>
      </c>
      <c r="V15" s="3" t="n">
        <v>2620417462.20442</v>
      </c>
      <c r="W15" s="3" t="n">
        <v>2692589045.35042</v>
      </c>
      <c r="X15" s="3" t="n">
        <v>3027424220.19649</v>
      </c>
      <c r="Y15" s="3" t="n">
        <v>3106120406.5336</v>
      </c>
      <c r="Z15" s="3" t="n">
        <v>3064120206.83104</v>
      </c>
      <c r="AA15" s="3" t="n">
        <v>2825988092.69412</v>
      </c>
      <c r="AB15" s="3" t="n">
        <v>2341501570.8413</v>
      </c>
      <c r="AC15" s="3" t="n">
        <v>1686200803.22652</v>
      </c>
      <c r="AD15" s="3" t="n">
        <v>1786585516.94177</v>
      </c>
      <c r="AE15" s="3" t="n">
        <v>1938399007.56352</v>
      </c>
      <c r="AF15" s="3" t="n">
        <v>2112841793.68486</v>
      </c>
      <c r="AG15" s="3" t="n">
        <v>2034792712.46568</v>
      </c>
      <c r="AH15" s="3" t="n">
        <v>2175757538.18911</v>
      </c>
      <c r="AI15" s="3" t="n">
        <v>2281259207.18193</v>
      </c>
      <c r="AJ15" s="3" t="n">
        <v>2285524607.86757</v>
      </c>
      <c r="AK15" s="3" t="n">
        <v>2245638928.33245</v>
      </c>
      <c r="AL15" s="3" t="n">
        <v>2115550588.86566</v>
      </c>
      <c r="AM15" s="3" t="n">
        <v>2809152382.38</v>
      </c>
      <c r="AN15" s="3" t="n">
        <v>2774993038.89323</v>
      </c>
      <c r="AO15" s="3" t="n">
        <v>575035497.447059</v>
      </c>
      <c r="AP15" s="3"/>
    </row>
    <row r="16">
      <c r="A16" t="str">
        <f>N16</f>
      </c>
      <c r="B16" t="str">
        <f>O16</f>
      </c>
      <c r="N16" t="s">
        <v>53</v>
      </c>
      <c r="O16" t="s">
        <v>54</v>
      </c>
      <c r="P16" s="3" t="n">
        <v>234582120.050363</v>
      </c>
      <c r="Q16" s="3" t="n">
        <v>450816708.954886</v>
      </c>
      <c r="R16" s="3" t="n">
        <v>558872954.945485</v>
      </c>
      <c r="S16" s="3" t="n">
        <v>333254778.698102</v>
      </c>
      <c r="T16" s="3" t="n">
        <v>638591876.674247</v>
      </c>
      <c r="U16" s="3" t="n">
        <v>1554312207.99465</v>
      </c>
      <c r="V16" s="3" t="n">
        <v>2321133696.06837</v>
      </c>
      <c r="W16" s="3" t="n">
        <v>2725751848.90433</v>
      </c>
      <c r="X16" s="3" t="n">
        <v>3077023431.10569</v>
      </c>
      <c r="Y16" s="3" t="n">
        <v>3731065893.45887</v>
      </c>
      <c r="Z16" s="3" t="n">
        <v>4396039740.11226</v>
      </c>
      <c r="AA16" s="3" t="n">
        <v>4620992161.7169</v>
      </c>
      <c r="AB16" s="3" t="n">
        <v>4970353450.21399</v>
      </c>
      <c r="AC16" s="3" t="n">
        <v>4705872489.21116</v>
      </c>
      <c r="AD16" s="3" t="n">
        <v>5285598670.85264</v>
      </c>
      <c r="AE16" s="3" t="n">
        <v>6174009582.94932</v>
      </c>
      <c r="AF16" s="3" t="n">
        <v>7143464197.46978</v>
      </c>
      <c r="AG16" s="3" t="n">
        <v>7455190921.63628</v>
      </c>
      <c r="AH16" s="3" t="n">
        <v>7662523176.48163</v>
      </c>
      <c r="AI16" s="3" t="n">
        <v>8150132321.92841</v>
      </c>
      <c r="AJ16" s="3" t="n">
        <v>9080602918.00135</v>
      </c>
      <c r="AK16" s="3" t="n">
        <v>9130403084.80445</v>
      </c>
      <c r="AL16" s="3" t="n">
        <v>8182640368.36976</v>
      </c>
      <c r="AM16" s="3" t="n">
        <v>8863563555.5035</v>
      </c>
      <c r="AN16" s="3" t="n">
        <v>8879557357.66099</v>
      </c>
      <c r="AO16" s="3" t="n">
        <v>2903160440.84029</v>
      </c>
      <c r="AP16" s="3"/>
    </row>
    <row r="17">
      <c r="A17" t="str">
        <f>N17</f>
      </c>
      <c r="B17" t="str">
        <f>O17</f>
      </c>
      <c r="N17" t="s">
        <v>53</v>
      </c>
      <c r="O17" t="s">
        <v>55</v>
      </c>
      <c r="P17" s="3" t="n">
        <v>2204373041.54795</v>
      </c>
      <c r="Q17" s="3" t="n">
        <v>4519391462.06392</v>
      </c>
      <c r="R17" s="3" t="n">
        <v>5720795430.54823</v>
      </c>
      <c r="S17" s="3" t="n">
        <v>7577237264.70193</v>
      </c>
      <c r="T17" s="3" t="n">
        <v>9738883424.58676</v>
      </c>
      <c r="U17" s="3" t="n">
        <v>9936931771.8117</v>
      </c>
      <c r="V17" s="3" t="n">
        <v>11174105167.315</v>
      </c>
      <c r="W17" s="3" t="n">
        <v>10871218541.0535</v>
      </c>
      <c r="X17" s="3" t="n">
        <v>11073350446.4658</v>
      </c>
      <c r="Y17" s="3" t="n">
        <v>11596745346.1789</v>
      </c>
      <c r="Z17" s="3" t="n">
        <v>12741686564.8327</v>
      </c>
      <c r="AA17" s="3" t="n">
        <v>11878569852.0251</v>
      </c>
      <c r="AB17" s="3" t="n">
        <v>10912054156.7716</v>
      </c>
      <c r="AC17" s="3" t="n">
        <v>11201513882.7124</v>
      </c>
      <c r="AD17" s="3" t="n">
        <v>11585030916.9834</v>
      </c>
      <c r="AE17" s="3" t="n">
        <v>10759093394.2879</v>
      </c>
      <c r="AF17" s="3" t="n">
        <v>10227798019.3293</v>
      </c>
      <c r="AG17" s="3" t="n">
        <v>9574806953.01162</v>
      </c>
      <c r="AH17" s="3" t="n">
        <v>10068011677.7496</v>
      </c>
      <c r="AI17" s="3" t="n">
        <v>10516002042.8152</v>
      </c>
      <c r="AJ17" s="3" t="n">
        <v>11284141893.4505</v>
      </c>
      <c r="AK17" s="3" t="n">
        <v>12270426425.9178</v>
      </c>
      <c r="AL17" s="3" t="n">
        <v>12229043265.3336</v>
      </c>
      <c r="AM17" s="3" t="n">
        <v>13504775344.3988</v>
      </c>
      <c r="AN17" s="3" t="n">
        <v>13716157095.8326</v>
      </c>
      <c r="AO17" s="3" t="n">
        <v>4372696649.63769</v>
      </c>
      <c r="AP17" s="3"/>
    </row>
    <row r="18">
      <c r="A18" t="str">
        <f>N18</f>
      </c>
      <c r="B18" t="str">
        <f>O18</f>
      </c>
      <c r="N18" t="s">
        <v>53</v>
      </c>
      <c r="O18" t="s">
        <v>56</v>
      </c>
      <c r="P18" s="3" t="n">
        <v>2170867813.05314</v>
      </c>
      <c r="Q18" s="3" t="n">
        <v>2433371611.04168</v>
      </c>
      <c r="R18" s="3" t="n">
        <v>4440417287.80824</v>
      </c>
      <c r="S18" s="3" t="n">
        <v>4876083935.82251</v>
      </c>
      <c r="T18" s="3" t="n">
        <v>6900568200.29897</v>
      </c>
      <c r="U18" s="3" t="n">
        <v>9554717801.1671</v>
      </c>
      <c r="V18" s="3" t="n">
        <v>12245946233.5938</v>
      </c>
      <c r="W18" s="3" t="n">
        <v>14643484794.0384</v>
      </c>
      <c r="X18" s="3" t="n">
        <v>17794416974.0257</v>
      </c>
      <c r="Y18" s="3" t="n">
        <v>21290418377.0308</v>
      </c>
      <c r="Z18" s="3" t="n">
        <v>23756964860.3958</v>
      </c>
      <c r="AA18" s="3" t="n">
        <v>24024921099.9556</v>
      </c>
      <c r="AB18" s="3" t="n">
        <v>24567505035.3229</v>
      </c>
      <c r="AC18" s="3" t="n">
        <v>23361400486.6783</v>
      </c>
      <c r="AD18" s="3" t="n">
        <v>21622171973.1695</v>
      </c>
      <c r="AE18" s="3" t="n">
        <v>21654714156.6049</v>
      </c>
      <c r="AF18" s="3" t="n">
        <v>23642210659.2062</v>
      </c>
      <c r="AG18" s="3" t="n">
        <v>25316604212.7382</v>
      </c>
      <c r="AH18" s="3" t="n">
        <v>29724543787.9711</v>
      </c>
      <c r="AI18" s="3" t="n">
        <v>31400095535.941</v>
      </c>
      <c r="AJ18" s="3" t="n">
        <v>33273652994.3699</v>
      </c>
      <c r="AK18" s="3" t="n">
        <v>34014306428.236</v>
      </c>
      <c r="AL18" s="3" t="n">
        <v>33482120167.5603</v>
      </c>
      <c r="AM18" s="3" t="n">
        <v>37660222831.6998</v>
      </c>
      <c r="AN18" s="3" t="n">
        <v>40739954509.1189</v>
      </c>
      <c r="AO18" s="3" t="n">
        <v>15245036292.6081</v>
      </c>
      <c r="AP18" s="3"/>
    </row>
    <row r="19">
      <c r="A19" t="str">
        <f>N19</f>
      </c>
      <c r="B19" t="str">
        <f>O19</f>
      </c>
      <c r="N19" t="s">
        <v>53</v>
      </c>
      <c r="O19" t="s">
        <v>57</v>
      </c>
      <c r="P19" s="3" t="n">
        <v>8705277558.63642</v>
      </c>
      <c r="Q19" s="3" t="n">
        <v>9774507034.68662</v>
      </c>
      <c r="R19" s="3" t="n">
        <v>12009355973.1917</v>
      </c>
      <c r="S19" s="3" t="n">
        <v>14224227926.4246</v>
      </c>
      <c r="T19" s="3" t="n">
        <v>16630390469.9109</v>
      </c>
      <c r="U19" s="3" t="n">
        <v>20081043109.077</v>
      </c>
      <c r="V19" s="3" t="n">
        <v>24135773076.6681</v>
      </c>
      <c r="W19" s="3" t="n">
        <v>24553653021.65</v>
      </c>
      <c r="X19" s="3" t="n">
        <v>29393100801.0139</v>
      </c>
      <c r="Y19" s="3" t="n">
        <v>31946589729.336</v>
      </c>
      <c r="Z19" s="3" t="n">
        <v>32449574626.2265</v>
      </c>
      <c r="AA19" s="3" t="n">
        <v>30787715329.5238</v>
      </c>
      <c r="AB19" s="3" t="n">
        <v>29236717013.7347</v>
      </c>
      <c r="AC19" s="3" t="n">
        <v>23637013165.189</v>
      </c>
      <c r="AD19" s="3" t="n">
        <v>23697558199.6454</v>
      </c>
      <c r="AE19" s="3" t="n">
        <v>22321484815.8042</v>
      </c>
      <c r="AF19" s="3" t="n">
        <v>23539152746.6155</v>
      </c>
      <c r="AG19" s="3" t="n">
        <v>24208823292.8177</v>
      </c>
      <c r="AH19" s="3" t="n">
        <v>24998426704.6502</v>
      </c>
      <c r="AI19" s="3" t="n">
        <v>25636311496.1012</v>
      </c>
      <c r="AJ19" s="3" t="n">
        <v>30048853740.0378</v>
      </c>
      <c r="AK19" s="3" t="n">
        <v>28315759210.6518</v>
      </c>
      <c r="AL19" s="3" t="n">
        <v>27240529059.1247</v>
      </c>
      <c r="AM19" s="3" t="n">
        <v>34307402562.9294</v>
      </c>
      <c r="AN19" s="3" t="n">
        <v>37999147485.7543</v>
      </c>
      <c r="AO19" s="3" t="n">
        <v>14349729348.2983</v>
      </c>
      <c r="AP19" s="3"/>
    </row>
    <row r="20">
      <c r="A20" t="str">
        <f>N20</f>
      </c>
      <c r="B20" t="str">
        <f>O20</f>
      </c>
      <c r="N20" t="s">
        <v>53</v>
      </c>
      <c r="O20" t="s">
        <v>58</v>
      </c>
      <c r="P20" s="3" t="n">
        <v>2481114321.69908</v>
      </c>
      <c r="Q20" s="3" t="n">
        <v>2994913352.31532</v>
      </c>
      <c r="R20" s="3" t="n">
        <v>4139127222.4209</v>
      </c>
      <c r="S20" s="3" t="n">
        <v>2756536448.29305</v>
      </c>
      <c r="T20" s="3" t="n">
        <v>2340698847.09134</v>
      </c>
      <c r="U20" s="3" t="n">
        <v>1406062888.72919</v>
      </c>
      <c r="V20" s="3" t="n">
        <v>947213603.219517</v>
      </c>
      <c r="W20" s="3" t="n">
        <v>361021530.06171</v>
      </c>
      <c r="X20" s="3" t="n">
        <v>212361833.500609</v>
      </c>
      <c r="Y20" s="3" t="n">
        <v>109717793.846644</v>
      </c>
      <c r="Z20" s="3" t="n">
        <v>84561605.7448777</v>
      </c>
      <c r="AA20" s="3" t="n">
        <v>67018661.8164845</v>
      </c>
      <c r="AB20" s="3" t="n">
        <v>48703834.4137199</v>
      </c>
      <c r="AC20" s="3" t="n">
        <v>18998870.1026768</v>
      </c>
      <c r="AD20" s="3" t="n">
        <v>20454005.2688451</v>
      </c>
      <c r="AE20" s="3" t="n">
        <v>13915916.4218942</v>
      </c>
      <c r="AF20" s="3" t="n">
        <v>15404830.9173971</v>
      </c>
      <c r="AG20" s="3" t="n">
        <v>4159264.58584248</v>
      </c>
      <c r="AH20" s="3" t="n">
        <v>137926.105743545</v>
      </c>
      <c r="AI20" s="3" t="n">
        <v>302134.988237493</v>
      </c>
      <c r="AJ20" s="3" t="n">
        <v>-305266.132784855</v>
      </c>
      <c r="AK20" s="3" t="n">
        <v>-13080.1747659295</v>
      </c>
      <c r="AL20" s="3" t="n">
        <v>-395421.820022226</v>
      </c>
      <c r="AM20" s="3" t="n">
        <v>-13433503.0898</v>
      </c>
      <c r="AN20" s="3" t="n">
        <v>0</v>
      </c>
      <c r="AO20" s="3" t="n">
        <v>-14051003.6404213</v>
      </c>
      <c r="AP20" s="3"/>
    </row>
    <row r="21">
      <c r="A21" t="str">
        <f>N21</f>
      </c>
      <c r="B21" t="str">
        <f>O21</f>
      </c>
      <c r="N21"/>
      <c r="O21"/>
      <c r="P21" s="3" t="n">
        <v>84058.6695688382</v>
      </c>
      <c r="Q21" s="3" t="n">
        <v>0</v>
      </c>
      <c r="R21" s="3" t="n">
        <v>0</v>
      </c>
      <c r="S21" s="3" t="n">
        <v>696999.246214976</v>
      </c>
      <c r="T21" s="3" t="n">
        <v>1285416.91108655</v>
      </c>
      <c r="U21" s="3" t="n">
        <v>34486.6150057174</v>
      </c>
      <c r="V21" s="3" t="n">
        <v>0</v>
      </c>
      <c r="W21" s="3" t="n">
        <v>0</v>
      </c>
      <c r="X21" s="3" t="n">
        <v>0</v>
      </c>
      <c r="Y21" s="3" t="n">
        <v>0</v>
      </c>
      <c r="Z21" s="3" t="n">
        <v>0</v>
      </c>
      <c r="AA21" s="3" t="n">
        <v>0</v>
      </c>
      <c r="AB21" s="3"/>
      <c r="AC21" s="3" t="n">
        <v>346270.483905625</v>
      </c>
      <c r="AD21" s="3" t="n">
        <v>0</v>
      </c>
      <c r="AE21" s="3" t="n">
        <v>0</v>
      </c>
      <c r="AF21" s="3" t="n">
        <v>0</v>
      </c>
      <c r="AG21" s="3" t="n">
        <v>0</v>
      </c>
      <c r="AH21" s="3" t="n">
        <v>0</v>
      </c>
      <c r="AI21" s="3" t="n">
        <v>0</v>
      </c>
      <c r="AJ21" s="3" t="n">
        <v>0</v>
      </c>
      <c r="AK21" s="3" t="n">
        <v>-559.440879925852</v>
      </c>
      <c r="AL21" s="3" t="n">
        <v>0</v>
      </c>
      <c r="AM21" s="3" t="n">
        <v>-10000</v>
      </c>
      <c r="AN21" s="3" t="n">
        <v>2394777.30600321</v>
      </c>
      <c r="AO21" s="3" t="n">
        <v>-6004485.86663571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61</v>
      </c>
      <c r="O1" t="s">
        <v>62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</row>
    <row r="2">
      <c r="A2" t="str">
        <f>N2</f>
      </c>
      <c r="B2" t="str">
        <f>O2</f>
      </c>
      <c r="N2" t="s">
        <v>63</v>
      </c>
      <c r="O2" t="s">
        <v>64</v>
      </c>
      <c r="P2" s="4" t="n">
        <v>12298218150.2353</v>
      </c>
      <c r="Q2" s="4" t="n">
        <v>13391260697.4639</v>
      </c>
      <c r="R2" s="4" t="n">
        <v>15517851009.2682</v>
      </c>
      <c r="S2" s="4" t="n">
        <v>18615523588.1439</v>
      </c>
      <c r="T2" s="4" t="n">
        <v>18183330201.6731</v>
      </c>
      <c r="U2" s="4" t="n">
        <v>21661449242.3562</v>
      </c>
      <c r="V2" s="4" t="n">
        <v>24266611708.5913</v>
      </c>
      <c r="W2" s="4" t="n">
        <v>24950450956.7474</v>
      </c>
      <c r="X2" s="4" t="n">
        <v>27945380221.0686</v>
      </c>
      <c r="Y2" s="4" t="n">
        <v>31261609218.7124</v>
      </c>
      <c r="Z2" s="4" t="n">
        <v>36591916242.9801</v>
      </c>
      <c r="AA2" s="4" t="n">
        <v>36294408561.2951</v>
      </c>
      <c r="AB2" s="4" t="n">
        <v>35072835342.0798</v>
      </c>
      <c r="AC2" s="4" t="n">
        <v>33237576044.752</v>
      </c>
      <c r="AD2" s="4" t="n">
        <v>32596172981.4712</v>
      </c>
      <c r="AE2" s="4" t="n">
        <v>33410779738.3088</v>
      </c>
      <c r="AF2" s="4" t="n">
        <v>33262913387.2911</v>
      </c>
      <c r="AG2" s="4" t="n">
        <v>35308705893.5718</v>
      </c>
      <c r="AH2" s="4" t="n">
        <v>38807792451.219</v>
      </c>
      <c r="AI2" s="4" t="n">
        <v>41949810664.7174</v>
      </c>
      <c r="AJ2" s="4" t="n">
        <v>47618860171.8312</v>
      </c>
      <c r="AK2" s="4" t="n">
        <v>48638884319.6026</v>
      </c>
      <c r="AL2" s="4" t="n">
        <v>52073492293.7886</v>
      </c>
      <c r="AM2" s="4" t="n">
        <v>62330532555.843</v>
      </c>
      <c r="AN2" s="4" t="n">
        <v>66638337156.46</v>
      </c>
      <c r="AO2" s="4" t="n">
        <v>28036621097.22</v>
      </c>
      <c r="AP2" s="4"/>
    </row>
    <row r="3">
      <c r="A3" t="str">
        <f>N3</f>
      </c>
      <c r="B3" t="str">
        <f>O3</f>
      </c>
      <c r="N3" t="s">
        <v>63</v>
      </c>
      <c r="O3" t="s">
        <v>65</v>
      </c>
      <c r="P3" s="4" t="n">
        <v>2005191186.8618</v>
      </c>
      <c r="Q3" s="4" t="n">
        <v>2202059647.7099</v>
      </c>
      <c r="R3" s="4" t="n">
        <v>3547646978.8298</v>
      </c>
      <c r="S3" s="4" t="n">
        <v>4266261211.3082</v>
      </c>
      <c r="T3" s="4" t="n">
        <v>5731881600.2559</v>
      </c>
      <c r="U3" s="4" t="n">
        <v>7605993335.1372</v>
      </c>
      <c r="V3" s="4" t="n">
        <v>8911063326.7904</v>
      </c>
      <c r="W3" s="4" t="n">
        <v>9044129037.0009</v>
      </c>
      <c r="X3" s="4" t="n">
        <v>9940898729.9776</v>
      </c>
      <c r="Y3" s="4" t="n">
        <v>10632530928.2627</v>
      </c>
      <c r="Z3" s="4" t="n">
        <v>11489290464.0907</v>
      </c>
      <c r="AA3" s="4" t="n">
        <v>10453511233.8979</v>
      </c>
      <c r="AB3" s="4" t="n">
        <v>10237567297.3466</v>
      </c>
      <c r="AC3" s="4" t="n">
        <v>9473465884.3843</v>
      </c>
      <c r="AD3" s="4" t="n">
        <v>9062357082.5978</v>
      </c>
      <c r="AE3" s="4" t="n">
        <v>9034898245.2014</v>
      </c>
      <c r="AF3" s="4" t="n">
        <v>9577105086.839</v>
      </c>
      <c r="AG3" s="4" t="n">
        <v>10578945262.4999</v>
      </c>
      <c r="AH3" s="4" t="n">
        <v>13024168515.9034</v>
      </c>
      <c r="AI3" s="4" t="n">
        <v>15533575683.5868</v>
      </c>
      <c r="AJ3" s="4" t="n">
        <v>18702468357.9877</v>
      </c>
      <c r="AK3" s="4" t="n">
        <v>18836565818.4364</v>
      </c>
      <c r="AL3" s="4" t="n">
        <v>18296298672.6822</v>
      </c>
      <c r="AM3" s="4" t="n">
        <v>20006367877.7189</v>
      </c>
      <c r="AN3" s="4" t="n">
        <v>21701867167.79</v>
      </c>
      <c r="AO3" s="4" t="n">
        <v>5032781598.57</v>
      </c>
      <c r="AP3" s="4"/>
    </row>
    <row r="4">
      <c r="A4" t="str">
        <f>N4</f>
      </c>
      <c r="B4" t="str">
        <f>O4</f>
      </c>
      <c r="N4" t="s">
        <v>66</v>
      </c>
      <c r="O4" t="s">
        <v>67</v>
      </c>
      <c r="P4" s="4" t="n">
        <v>4227788.625</v>
      </c>
      <c r="Q4" s="4" t="n">
        <v>199141331.6992</v>
      </c>
      <c r="R4" s="4" t="n">
        <v>22304493.9571</v>
      </c>
      <c r="S4" s="4" t="n">
        <v>74666706.9302</v>
      </c>
      <c r="T4" s="4" t="n">
        <v>522771125.5053</v>
      </c>
      <c r="U4" s="4" t="n">
        <v>741162506.9293</v>
      </c>
      <c r="V4" s="4" t="n">
        <v>2832249996.6293</v>
      </c>
      <c r="W4" s="4" t="n">
        <v>6430794940.1015</v>
      </c>
      <c r="X4" s="4" t="n">
        <v>8609944600.5955</v>
      </c>
      <c r="Y4" s="4" t="n">
        <v>9478563541.605</v>
      </c>
      <c r="Z4" s="4" t="n">
        <v>1091111428.1851</v>
      </c>
      <c r="AA4" s="4" t="n">
        <v>893735633.2621</v>
      </c>
      <c r="AB4" s="4" t="n">
        <v>292570783.3237</v>
      </c>
      <c r="AC4" s="4" t="n">
        <v>186315608.2759</v>
      </c>
      <c r="AD4" s="4" t="n">
        <v>36588730.1277</v>
      </c>
      <c r="AE4" s="4" t="n">
        <v>33768793.5188</v>
      </c>
      <c r="AF4" s="4" t="n">
        <v>-5752262.0324</v>
      </c>
      <c r="AG4" s="4" t="n">
        <v>-2283366.885</v>
      </c>
      <c r="AH4" s="4" t="n">
        <v>31026102.4648</v>
      </c>
      <c r="AI4" s="4" t="n">
        <v>36085863.8834</v>
      </c>
      <c r="AJ4" s="4" t="n">
        <v>23250283.9452</v>
      </c>
      <c r="AK4" s="4" t="n">
        <v>32811056.5684</v>
      </c>
      <c r="AL4" s="4" t="n">
        <v>14405112.6503</v>
      </c>
      <c r="AM4" s="4" t="n">
        <v>765299.5979</v>
      </c>
      <c r="AN4" s="4" t="n">
        <v>819998.38</v>
      </c>
      <c r="AO4" s="4" t="n">
        <v>934873.64</v>
      </c>
      <c r="AP4" s="4"/>
    </row>
    <row r="5">
      <c r="A5" t="str">
        <f>N5</f>
      </c>
      <c r="B5" t="str">
        <f>O5</f>
      </c>
      <c r="N5" t="s">
        <v>66</v>
      </c>
      <c r="O5" t="s">
        <v>68</v>
      </c>
      <c r="P5" s="4" t="n">
        <v>337053617</v>
      </c>
      <c r="Q5" s="4" t="n">
        <v>441645772</v>
      </c>
      <c r="R5" s="4" t="n">
        <v>462795682.28</v>
      </c>
      <c r="S5" s="4" t="n">
        <v>794344904.4752</v>
      </c>
      <c r="T5" s="4" t="n">
        <v>982154865.9398</v>
      </c>
      <c r="U5" s="4" t="n">
        <v>1311137807.9809</v>
      </c>
      <c r="V5" s="4" t="n">
        <v>1620778782.5462</v>
      </c>
      <c r="W5" s="4" t="n">
        <v>1504256891.3596</v>
      </c>
      <c r="X5" s="4" t="n">
        <v>1413697774.2212</v>
      </c>
      <c r="Y5" s="4" t="n">
        <v>2052466084.7222</v>
      </c>
      <c r="Z5" s="4" t="n">
        <v>2885682962.8849</v>
      </c>
      <c r="AA5" s="4" t="n">
        <v>1522850023.852</v>
      </c>
      <c r="AB5" s="4" t="n">
        <v>974665006.6357</v>
      </c>
      <c r="AC5" s="4" t="n">
        <v>754667568.5035</v>
      </c>
      <c r="AD5" s="4" t="n">
        <v>787674347.7349</v>
      </c>
      <c r="AE5" s="4" t="n">
        <v>672529255.5479</v>
      </c>
      <c r="AF5" s="4" t="n">
        <v>1072706058.3299</v>
      </c>
      <c r="AG5" s="4" t="n">
        <v>1331860596.5813</v>
      </c>
      <c r="AH5" s="4" t="n">
        <v>1377088352.8486</v>
      </c>
      <c r="AI5" s="4" t="n">
        <v>1863520146.957</v>
      </c>
      <c r="AJ5" s="4" t="n">
        <v>2438774288.4927</v>
      </c>
      <c r="AK5" s="4" t="n">
        <v>2062602631.7575</v>
      </c>
      <c r="AL5" s="4" t="n">
        <v>1323801737.7526</v>
      </c>
      <c r="AM5" s="4" t="n">
        <v>1406870135.1725</v>
      </c>
      <c r="AN5" s="4" t="n">
        <v>1357895297.1</v>
      </c>
      <c r="AO5" s="4" t="n">
        <v>443303503.7</v>
      </c>
      <c r="AP5" s="4"/>
    </row>
    <row r="6">
      <c r="A6" t="str">
        <f>N6</f>
      </c>
      <c r="B6" t="str">
        <f>O6</f>
      </c>
      <c r="N6" t="s">
        <v>66</v>
      </c>
      <c r="O6"/>
      <c r="P6" s="4" t="n">
        <v>1805471265.5027</v>
      </c>
      <c r="Q6" s="4" t="n">
        <v>1068850360.772</v>
      </c>
      <c r="R6" s="4" t="n">
        <v>1326541882.2548</v>
      </c>
      <c r="S6" s="4" t="n">
        <v>2002014783.9453</v>
      </c>
      <c r="T6" s="4" t="n">
        <v>1783388335.0892</v>
      </c>
      <c r="U6" s="4" t="n">
        <v>2122321342.0827</v>
      </c>
      <c r="V6" s="4" t="n">
        <v>1947917351.4167</v>
      </c>
      <c r="W6" s="4" t="n">
        <v>1640666372.9352</v>
      </c>
      <c r="X6" s="4" t="n">
        <v>2182061071.6232</v>
      </c>
      <c r="Y6" s="4" t="n">
        <v>2095377713.4886</v>
      </c>
      <c r="Z6" s="4" t="n">
        <v>985087788.0525</v>
      </c>
      <c r="AA6" s="4" t="n">
        <v>424189961.7044</v>
      </c>
      <c r="AB6" s="4" t="n">
        <v>298327489.3701</v>
      </c>
      <c r="AC6" s="4" t="n">
        <v>155940277.113</v>
      </c>
      <c r="AD6" s="4" t="n">
        <v>183615893.3794</v>
      </c>
      <c r="AE6" s="4" t="n">
        <v>380647343.7648</v>
      </c>
      <c r="AF6" s="4" t="n">
        <v>118663282.9018</v>
      </c>
      <c r="AG6" s="4" t="n">
        <v>255131240.6896</v>
      </c>
      <c r="AH6" s="4" t="n">
        <v>85298721.3001</v>
      </c>
      <c r="AI6" s="4" t="n">
        <v>89905317.4997</v>
      </c>
      <c r="AJ6" s="4" t="n">
        <v>103696276.0504</v>
      </c>
      <c r="AK6" s="4" t="n">
        <v>53273652.3604</v>
      </c>
      <c r="AL6" s="4" t="n">
        <v>-24485384.7768</v>
      </c>
      <c r="AM6" s="4" t="n">
        <v>2251402.4703</v>
      </c>
      <c r="AN6" s="4" t="n">
        <v>1595578.03</v>
      </c>
      <c r="AO6" s="4" t="n">
        <v>26416456.15</v>
      </c>
      <c r="AP6" s="4"/>
    </row>
    <row r="7">
      <c r="A7" t="str">
        <f>N7</f>
      </c>
      <c r="B7" t="str">
        <f>O7</f>
      </c>
      <c r="N7" t="s">
        <v>69</v>
      </c>
      <c r="O7" t="s">
        <v>70</v>
      </c>
      <c r="P7" s="4" t="n">
        <v>6313494340.0085</v>
      </c>
      <c r="Q7" s="4" t="n">
        <v>7328926919.0575</v>
      </c>
      <c r="R7" s="4" t="n">
        <v>11830027935.5299</v>
      </c>
      <c r="S7" s="4" t="n">
        <v>12008164099.7345</v>
      </c>
      <c r="T7" s="4" t="n">
        <v>14803450772.5235</v>
      </c>
      <c r="U7" s="4" t="n">
        <v>17424668033.5006</v>
      </c>
      <c r="V7" s="4" t="n">
        <v>17598299882.7211</v>
      </c>
      <c r="W7" s="4" t="n">
        <v>17325468447.7266</v>
      </c>
      <c r="X7" s="4" t="n">
        <v>19899415723.8841</v>
      </c>
      <c r="Y7" s="4" t="n">
        <v>21663428446.3203</v>
      </c>
      <c r="Z7" s="4" t="n">
        <v>28600932767.9611</v>
      </c>
      <c r="AA7" s="4" t="n">
        <v>29940881866.24</v>
      </c>
      <c r="AB7" s="4" t="n">
        <v>30888033191.4064</v>
      </c>
      <c r="AC7" s="4" t="n">
        <v>27453904145.5694</v>
      </c>
      <c r="AD7" s="4" t="n">
        <v>28503124734.0827</v>
      </c>
      <c r="AE7" s="4" t="n">
        <v>29171883082.6846</v>
      </c>
      <c r="AF7" s="4" t="n">
        <v>31265476521.8482</v>
      </c>
      <c r="AG7" s="4" t="n">
        <v>31993615998.3818</v>
      </c>
      <c r="AH7" s="4" t="n">
        <v>33001169375.9054</v>
      </c>
      <c r="AI7" s="4" t="n">
        <v>33639688425.8717</v>
      </c>
      <c r="AJ7" s="4" t="n">
        <v>36866990245.6942</v>
      </c>
      <c r="AK7" s="4" t="n">
        <v>43157338530.9793</v>
      </c>
      <c r="AL7" s="4" t="n">
        <v>46302073868.2667</v>
      </c>
      <c r="AM7" s="4" t="n">
        <v>51723956344.1387</v>
      </c>
      <c r="AN7" s="4" t="n">
        <v>52821401808.3291</v>
      </c>
      <c r="AO7" s="4" t="n">
        <v>17819814320.68</v>
      </c>
      <c r="AP7" s="4"/>
    </row>
    <row r="8">
      <c r="A8" t="str">
        <f>N8</f>
      </c>
      <c r="B8" t="str">
        <f>O8</f>
      </c>
      <c r="N8" t="s">
        <v>69</v>
      </c>
      <c r="O8" t="s">
        <v>71</v>
      </c>
      <c r="P8" s="4" t="n">
        <v>328909701.4208</v>
      </c>
      <c r="Q8" s="4" t="n">
        <v>538914168.6872</v>
      </c>
      <c r="R8" s="4" t="n">
        <v>579319494.6911</v>
      </c>
      <c r="S8" s="4" t="n">
        <v>799831159.4418</v>
      </c>
      <c r="T8" s="4" t="n">
        <v>647333059.8107</v>
      </c>
      <c r="U8" s="4" t="n">
        <v>880912919.4235</v>
      </c>
      <c r="V8" s="4" t="n">
        <v>825038411.4142</v>
      </c>
      <c r="W8" s="4" t="n">
        <v>511232024.156</v>
      </c>
      <c r="X8" s="4" t="n">
        <v>744327450.7788</v>
      </c>
      <c r="Y8" s="4" t="n">
        <v>1077293796.7361</v>
      </c>
      <c r="Z8" s="4" t="n">
        <v>1021489303.4875</v>
      </c>
      <c r="AA8" s="4" t="n">
        <v>1156063349.6333</v>
      </c>
      <c r="AB8" s="4" t="n">
        <v>1124720371.3932</v>
      </c>
      <c r="AC8" s="4" t="n">
        <v>1005152681.0382</v>
      </c>
      <c r="AD8" s="4" t="n">
        <v>1069238453.2376</v>
      </c>
      <c r="AE8" s="4" t="n">
        <v>747621437.4428</v>
      </c>
      <c r="AF8" s="4" t="n">
        <v>829647251.9264</v>
      </c>
      <c r="AG8" s="4" t="n">
        <v>351918638.7797</v>
      </c>
      <c r="AH8" s="4" t="n">
        <v>365869124.7206</v>
      </c>
      <c r="AI8" s="4" t="n">
        <v>166165272.7601</v>
      </c>
      <c r="AJ8" s="4" t="n">
        <v>167648450.4974</v>
      </c>
      <c r="AK8" s="4" t="n">
        <v>169233895.8814</v>
      </c>
      <c r="AL8" s="4" t="n">
        <v>129215461.4127</v>
      </c>
      <c r="AM8" s="4" t="n">
        <v>86430715.5994</v>
      </c>
      <c r="AN8" s="4" t="n">
        <v>693028977.37</v>
      </c>
      <c r="AO8" s="4" t="n">
        <v>512086316.88</v>
      </c>
      <c r="AP8" s="4"/>
    </row>
    <row r="9">
      <c r="A9" t="str">
        <f>N9</f>
      </c>
      <c r="B9" t="str">
        <f>O9</f>
      </c>
      <c r="N9" t="s">
        <v>72</v>
      </c>
      <c r="O9" t="s">
        <v>72</v>
      </c>
      <c r="P9" s="4" t="n">
        <v>536192949</v>
      </c>
      <c r="Q9" s="4" t="n">
        <v>698080373.92</v>
      </c>
      <c r="R9" s="4" t="n">
        <v>824247174.4773</v>
      </c>
      <c r="S9" s="4" t="n">
        <v>1245531734.1236</v>
      </c>
      <c r="T9" s="4" t="n">
        <v>1407511441.155</v>
      </c>
      <c r="U9" s="4" t="n">
        <v>1512207641.9977</v>
      </c>
      <c r="V9" s="4" t="n">
        <v>2218733310.0459</v>
      </c>
      <c r="W9" s="4" t="n">
        <v>2101228203.7853</v>
      </c>
      <c r="X9" s="4" t="n">
        <v>2134913491.5085</v>
      </c>
      <c r="Y9" s="4" t="n">
        <v>2550152142.5518</v>
      </c>
      <c r="Z9" s="4" t="n">
        <v>2380635691.4172</v>
      </c>
      <c r="AA9" s="4" t="n">
        <v>2271088349.1296</v>
      </c>
      <c r="AB9" s="4" t="n">
        <v>2240471507.044</v>
      </c>
      <c r="AC9" s="4" t="n">
        <v>2622111999.9845</v>
      </c>
      <c r="AD9" s="4" t="n">
        <v>3136813914.3473</v>
      </c>
      <c r="AE9" s="4" t="n">
        <v>2950354813.0322</v>
      </c>
      <c r="AF9" s="4" t="n">
        <v>2645502659.6401</v>
      </c>
      <c r="AG9" s="4" t="n">
        <v>2570525742.4569</v>
      </c>
      <c r="AH9" s="4" t="n">
        <v>2176497932.4632</v>
      </c>
      <c r="AI9" s="4" t="n">
        <v>2245847388.9432</v>
      </c>
      <c r="AJ9" s="4" t="n">
        <v>2331261248.9202</v>
      </c>
      <c r="AK9" s="4" t="n">
        <v>4835637255.9101</v>
      </c>
      <c r="AL9" s="4" t="n">
        <v>5563794881.8483</v>
      </c>
      <c r="AM9" s="4" t="n">
        <v>8696692861.641</v>
      </c>
      <c r="AN9" s="4" t="n">
        <v>10571830709.47</v>
      </c>
      <c r="AO9" s="4" t="n">
        <v>4375890598.02</v>
      </c>
      <c r="AP9" s="4"/>
    </row>
    <row r="10">
      <c r="A10" t="str">
        <f>N10</f>
      </c>
      <c r="B10" t="str">
        <f>O10</f>
      </c>
      <c r="N10" t="s">
        <v>59</v>
      </c>
      <c r="O10" t="s">
        <v>60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/>
    </row>
    <row r="13">
      <c r="A13" t="str">
        <f>N13</f>
      </c>
      <c r="B13" t="str">
        <f>O13</f>
      </c>
      <c r="N13" t="s">
        <v>61</v>
      </c>
      <c r="O13" t="s">
        <v>62</v>
      </c>
      <c r="P13" t="s">
        <v>24</v>
      </c>
      <c r="Q13" t="s">
        <v>25</v>
      </c>
      <c r="R13" t="s">
        <v>26</v>
      </c>
      <c r="S13" t="s">
        <v>27</v>
      </c>
      <c r="T13" t="s">
        <v>28</v>
      </c>
      <c r="U13" t="s">
        <v>29</v>
      </c>
      <c r="V13" t="s">
        <v>30</v>
      </c>
      <c r="W13" t="s">
        <v>31</v>
      </c>
      <c r="X13" t="s">
        <v>32</v>
      </c>
      <c r="Y13" t="s">
        <v>33</v>
      </c>
      <c r="Z13" t="s">
        <v>34</v>
      </c>
      <c r="AA13" t="s">
        <v>35</v>
      </c>
      <c r="AB13" t="s">
        <v>36</v>
      </c>
      <c r="AC13" t="s">
        <v>37</v>
      </c>
      <c r="AD13" t="s">
        <v>38</v>
      </c>
      <c r="AE13" t="s">
        <v>39</v>
      </c>
      <c r="AF13" t="s">
        <v>40</v>
      </c>
      <c r="AG13" t="s">
        <v>41</v>
      </c>
      <c r="AH13" t="s">
        <v>42</v>
      </c>
      <c r="AI13" t="s">
        <v>43</v>
      </c>
      <c r="AJ13" t="s">
        <v>44</v>
      </c>
      <c r="AK13" t="s">
        <v>45</v>
      </c>
      <c r="AL13" t="s">
        <v>46</v>
      </c>
      <c r="AM13" t="s">
        <v>47</v>
      </c>
      <c r="AN13" t="s">
        <v>48</v>
      </c>
      <c r="AO13" t="s">
        <v>49</v>
      </c>
    </row>
    <row r="14">
      <c r="A14" t="str">
        <f>N14</f>
      </c>
      <c r="B14" t="str">
        <f>O14</f>
      </c>
      <c r="N14" t="s">
        <v>63</v>
      </c>
      <c r="O14" t="s">
        <v>64</v>
      </c>
      <c r="P14" s="4" t="n">
        <v>20675437115.5224</v>
      </c>
      <c r="Q14" s="4" t="n">
        <v>21980249998.8738</v>
      </c>
      <c r="R14" s="4" t="n">
        <v>25076304915.1597</v>
      </c>
      <c r="S14" s="4" t="n">
        <v>29515482049.2116</v>
      </c>
      <c r="T14" s="4" t="n">
        <v>28143008974.4451</v>
      </c>
      <c r="U14" s="4" t="n">
        <v>32536152460.2364</v>
      </c>
      <c r="V14" s="4" t="n">
        <v>35302410798.255</v>
      </c>
      <c r="W14" s="4" t="n">
        <v>35324768603.7956</v>
      </c>
      <c r="X14" s="4" t="n">
        <v>38760283629.1922</v>
      </c>
      <c r="Y14" s="4" t="n">
        <v>42920983411.7804</v>
      </c>
      <c r="Z14" s="4" t="n">
        <v>49807930576.9781</v>
      </c>
      <c r="AA14" s="4" t="n">
        <v>48430896981.9899</v>
      </c>
      <c r="AB14" s="4" t="n">
        <v>45966727634.1876</v>
      </c>
      <c r="AC14" s="4" t="n">
        <v>42785098664.9305</v>
      </c>
      <c r="AD14" s="4" t="n">
        <v>41207692998.3888</v>
      </c>
      <c r="AE14" s="4" t="n">
        <v>41804570342.2266</v>
      </c>
      <c r="AF14" s="4" t="n">
        <v>41289443145.447</v>
      </c>
      <c r="AG14" s="4" t="n">
        <v>43101337292.5629</v>
      </c>
      <c r="AH14" s="4" t="n">
        <v>46343839003.168</v>
      </c>
      <c r="AI14" s="4" t="n">
        <v>49186566035.412</v>
      </c>
      <c r="AJ14" s="4" t="n">
        <v>55113627195.5386</v>
      </c>
      <c r="AK14" s="4" t="n">
        <v>54421160484.7404</v>
      </c>
      <c r="AL14" s="4" t="n">
        <v>54455677241.3363</v>
      </c>
      <c r="AM14" s="4" t="n">
        <v>62330532555.843</v>
      </c>
      <c r="AN14" s="4" t="n">
        <v>64904985395.3516</v>
      </c>
      <c r="AO14" s="4" t="n">
        <v>26721036363.7209</v>
      </c>
      <c r="AP14" s="4"/>
    </row>
    <row r="15">
      <c r="A15" t="str">
        <f>N15</f>
      </c>
      <c r="B15" t="str">
        <f>O15</f>
      </c>
      <c r="N15" t="s">
        <v>63</v>
      </c>
      <c r="O15" t="s">
        <v>65</v>
      </c>
      <c r="P15" s="4" t="n">
        <v>3371074067.97525</v>
      </c>
      <c r="Q15" s="4" t="n">
        <v>3614433522.17482</v>
      </c>
      <c r="R15" s="4" t="n">
        <v>5732873535.08857</v>
      </c>
      <c r="S15" s="4" t="n">
        <v>6764287644.30847</v>
      </c>
      <c r="T15" s="4" t="n">
        <v>8871443983.43575</v>
      </c>
      <c r="U15" s="4" t="n">
        <v>11424432224.9534</v>
      </c>
      <c r="V15" s="4" t="n">
        <v>12963574065.853</v>
      </c>
      <c r="W15" s="4" t="n">
        <v>12804648942.3682</v>
      </c>
      <c r="X15" s="4" t="n">
        <v>13788041216.6485</v>
      </c>
      <c r="Y15" s="4" t="n">
        <v>14598054770.7711</v>
      </c>
      <c r="Z15" s="4" t="n">
        <v>15638912649.8383</v>
      </c>
      <c r="AA15" s="4" t="n">
        <v>13949061184.2861</v>
      </c>
      <c r="AB15" s="4" t="n">
        <v>13417434404.8311</v>
      </c>
      <c r="AC15" s="4" t="n">
        <v>12194727197.2089</v>
      </c>
      <c r="AD15" s="4" t="n">
        <v>11456523706.4406</v>
      </c>
      <c r="AE15" s="4" t="n">
        <v>11304735842.286</v>
      </c>
      <c r="AF15" s="4" t="n">
        <v>11888114891.7068</v>
      </c>
      <c r="AG15" s="4" t="n">
        <v>12913718484.4144</v>
      </c>
      <c r="AH15" s="4" t="n">
        <v>15553318824.0445</v>
      </c>
      <c r="AI15" s="4" t="n">
        <v>18213270430.0719</v>
      </c>
      <c r="AJ15" s="4" t="n">
        <v>21646063450.4695</v>
      </c>
      <c r="AK15" s="4" t="n">
        <v>21075889912.4946</v>
      </c>
      <c r="AL15" s="4" t="n">
        <v>19133292032.9124</v>
      </c>
      <c r="AM15" s="4" t="n">
        <v>20006367877.7189</v>
      </c>
      <c r="AN15" s="4" t="n">
        <v>21137372744.9128</v>
      </c>
      <c r="AO15" s="4" t="n">
        <v>4796624373.51942</v>
      </c>
      <c r="AP15" s="4"/>
    </row>
    <row r="16">
      <c r="A16" t="str">
        <f>N16</f>
      </c>
      <c r="B16" t="str">
        <f>O16</f>
      </c>
      <c r="N16" t="s">
        <v>66</v>
      </c>
      <c r="O16" t="s">
        <v>67</v>
      </c>
      <c r="P16" s="4" t="n">
        <v>7107645.74071535</v>
      </c>
      <c r="Q16" s="4" t="n">
        <v>326868123.528209</v>
      </c>
      <c r="R16" s="4" t="n">
        <v>36043282.74015</v>
      </c>
      <c r="S16" s="4" t="n">
        <v>118386347.697234</v>
      </c>
      <c r="T16" s="4" t="n">
        <v>809112099.571436</v>
      </c>
      <c r="U16" s="4" t="n">
        <v>1113248520.60728</v>
      </c>
      <c r="V16" s="4" t="n">
        <v>4120280740.67569</v>
      </c>
      <c r="W16" s="4" t="n">
        <v>9104698892.6712</v>
      </c>
      <c r="X16" s="4" t="n">
        <v>11942005873.9838</v>
      </c>
      <c r="Y16" s="4" t="n">
        <v>13013702067.9414</v>
      </c>
      <c r="Z16" s="4" t="n">
        <v>1485191480.70625</v>
      </c>
      <c r="AA16" s="4" t="n">
        <v>1192591919.78705</v>
      </c>
      <c r="AB16" s="4" t="n">
        <v>383445517.865678</v>
      </c>
      <c r="AC16" s="4" t="n">
        <v>239834928.761587</v>
      </c>
      <c r="AD16" s="4" t="n">
        <v>46255036.1099204</v>
      </c>
      <c r="AE16" s="4" t="n">
        <v>42252527.9291868</v>
      </c>
      <c r="AF16" s="4" t="n">
        <v>-7140315.50330882</v>
      </c>
      <c r="AG16" s="4" t="n">
        <v>-2787305.95705494</v>
      </c>
      <c r="AH16" s="4" t="n">
        <v>37051030.3911739</v>
      </c>
      <c r="AI16" s="4" t="n">
        <v>42311030.6988486</v>
      </c>
      <c r="AJ16" s="4" t="n">
        <v>26909663.0394396</v>
      </c>
      <c r="AK16" s="4" t="n">
        <v>36711692.7158452</v>
      </c>
      <c r="AL16" s="4" t="n">
        <v>15064097.5005895</v>
      </c>
      <c r="AM16" s="4" t="n">
        <v>765299.5979</v>
      </c>
      <c r="AN16" s="4" t="n">
        <v>798669.131751475</v>
      </c>
      <c r="AO16" s="4" t="n">
        <v>891005.818543559</v>
      </c>
      <c r="AP16" s="4"/>
    </row>
    <row r="17">
      <c r="A17" t="str">
        <f>N17</f>
      </c>
      <c r="B17" t="str">
        <f>O17</f>
      </c>
      <c r="N17" t="s">
        <v>66</v>
      </c>
      <c r="O17" t="s">
        <v>68</v>
      </c>
      <c r="P17" s="4" t="n">
        <v>566645572.367695</v>
      </c>
      <c r="Q17" s="4" t="n">
        <v>724911918.214249</v>
      </c>
      <c r="R17" s="4" t="n">
        <v>747861648.841796</v>
      </c>
      <c r="S17" s="4" t="n">
        <v>1259458142.9798</v>
      </c>
      <c r="T17" s="4" t="n">
        <v>1520117211.7468</v>
      </c>
      <c r="U17" s="4" t="n">
        <v>1969368676.10094</v>
      </c>
      <c r="V17" s="4" t="n">
        <v>2357865163.93982</v>
      </c>
      <c r="W17" s="4" t="n">
        <v>2129722091.99981</v>
      </c>
      <c r="X17" s="4" t="n">
        <v>1960800900.23109</v>
      </c>
      <c r="Y17" s="4" t="n">
        <v>2817956751.97913</v>
      </c>
      <c r="Z17" s="4" t="n">
        <v>3927913906.67093</v>
      </c>
      <c r="AA17" s="4" t="n">
        <v>2032075891.2393</v>
      </c>
      <c r="AB17" s="4" t="n">
        <v>1277403450.77958</v>
      </c>
      <c r="AC17" s="4" t="n">
        <v>971446483.767987</v>
      </c>
      <c r="AD17" s="4" t="n">
        <v>995768513.150802</v>
      </c>
      <c r="AE17" s="4" t="n">
        <v>841488788.677418</v>
      </c>
      <c r="AF17" s="4" t="n">
        <v>1331556117.5141</v>
      </c>
      <c r="AG17" s="4" t="n">
        <v>1625802230.55911</v>
      </c>
      <c r="AH17" s="4" t="n">
        <v>1644503768.09693</v>
      </c>
      <c r="AI17" s="4" t="n">
        <v>2184995720.22416</v>
      </c>
      <c r="AJ17" s="4" t="n">
        <v>2822614746.86791</v>
      </c>
      <c r="AK17" s="4" t="n">
        <v>2307808462.49559</v>
      </c>
      <c r="AL17" s="4" t="n">
        <v>1384361159.33739</v>
      </c>
      <c r="AM17" s="4" t="n">
        <v>1406870135.1725</v>
      </c>
      <c r="AN17" s="4" t="n">
        <v>1322574634.77461</v>
      </c>
      <c r="AO17" s="4" t="n">
        <v>422502019.821038</v>
      </c>
      <c r="AP17" s="4"/>
    </row>
    <row r="18">
      <c r="A18" t="str">
        <f>N18</f>
      </c>
      <c r="B18" t="str">
        <f>O18</f>
      </c>
      <c r="N18" t="s">
        <v>66</v>
      </c>
      <c r="O18"/>
      <c r="P18" s="4" t="n">
        <v>3035310250.45847</v>
      </c>
      <c r="Q18" s="4" t="n">
        <v>1754397787.6261</v>
      </c>
      <c r="R18" s="4" t="n">
        <v>2143645321.91239</v>
      </c>
      <c r="S18" s="4" t="n">
        <v>3174255676.34466</v>
      </c>
      <c r="T18" s="4" t="n">
        <v>2760215723.00974</v>
      </c>
      <c r="U18" s="4" t="n">
        <v>3187790899.07768</v>
      </c>
      <c r="V18" s="4" t="n">
        <v>2833777511.52689</v>
      </c>
      <c r="W18" s="4" t="n">
        <v>2322850199.39856</v>
      </c>
      <c r="X18" s="4" t="n">
        <v>3026521928.24951</v>
      </c>
      <c r="Y18" s="4" t="n">
        <v>2876872762.78233</v>
      </c>
      <c r="Z18" s="4" t="n">
        <v>1340874958.11211</v>
      </c>
      <c r="AA18" s="4" t="n">
        <v>566034856.344466</v>
      </c>
      <c r="AB18" s="4" t="n">
        <v>390990301.066809</v>
      </c>
      <c r="AC18" s="4" t="n">
        <v>200734257.30965</v>
      </c>
      <c r="AD18" s="4" t="n">
        <v>232125021.802535</v>
      </c>
      <c r="AE18" s="4" t="n">
        <v>476277380.612931</v>
      </c>
      <c r="AF18" s="4" t="n">
        <v>147297406.447204</v>
      </c>
      <c r="AG18" s="4" t="n">
        <v>311438705.569622</v>
      </c>
      <c r="AH18" s="4" t="n">
        <v>101862795.006361</v>
      </c>
      <c r="AI18" s="4" t="n">
        <v>105414869.96157</v>
      </c>
      <c r="AJ18" s="4" t="n">
        <v>120017108.330286</v>
      </c>
      <c r="AK18" s="4" t="n">
        <v>59606917.9067323</v>
      </c>
      <c r="AL18" s="4" t="n">
        <v>-25605507.750714</v>
      </c>
      <c r="AM18" s="4" t="n">
        <v>2251402.4703</v>
      </c>
      <c r="AN18" s="4" t="n">
        <v>1554074.92373562</v>
      </c>
      <c r="AO18" s="4" t="n">
        <v>25176895.7085481</v>
      </c>
      <c r="AP18" s="4"/>
    </row>
    <row r="19">
      <c r="A19" t="str">
        <f>N19</f>
      </c>
      <c r="B19" t="str">
        <f>O19</f>
      </c>
      <c r="N19" t="s">
        <v>69</v>
      </c>
      <c r="O19" t="s">
        <v>70</v>
      </c>
      <c r="P19" s="4" t="n">
        <v>10614078691.0301</v>
      </c>
      <c r="Q19" s="4" t="n">
        <v>12029610172.1676</v>
      </c>
      <c r="R19" s="4" t="n">
        <v>19116911709.5547</v>
      </c>
      <c r="S19" s="4" t="n">
        <v>19039311478.482</v>
      </c>
      <c r="T19" s="4" t="n">
        <v>22911845262.8414</v>
      </c>
      <c r="U19" s="4" t="n">
        <v>26172378835.9654</v>
      </c>
      <c r="V19" s="4" t="n">
        <v>25601530995.3945</v>
      </c>
      <c r="W19" s="4" t="n">
        <v>24529342773.3736</v>
      </c>
      <c r="X19" s="4" t="n">
        <v>27600518991.3805</v>
      </c>
      <c r="Y19" s="4" t="n">
        <v>29743051500.6963</v>
      </c>
      <c r="Z19" s="4" t="n">
        <v>38930819153.7172</v>
      </c>
      <c r="AA19" s="4" t="n">
        <v>39952814295.4827</v>
      </c>
      <c r="AB19" s="4" t="n">
        <v>40482093763.3647</v>
      </c>
      <c r="AC19" s="4" t="n">
        <v>35340061983.5872</v>
      </c>
      <c r="AD19" s="4" t="n">
        <v>36033310235.6684</v>
      </c>
      <c r="AE19" s="4" t="n">
        <v>36500735627.7591</v>
      </c>
      <c r="AF19" s="4" t="n">
        <v>38810013429.4728</v>
      </c>
      <c r="AG19" s="4" t="n">
        <v>39054607056.7271</v>
      </c>
      <c r="AH19" s="4" t="n">
        <v>39409633577.9903</v>
      </c>
      <c r="AI19" s="4" t="n">
        <v>39442865890.2499</v>
      </c>
      <c r="AJ19" s="4" t="n">
        <v>42669512644.5865</v>
      </c>
      <c r="AK19" s="4" t="n">
        <v>48287958886.0579</v>
      </c>
      <c r="AL19" s="4" t="n">
        <v>48420236076.1504</v>
      </c>
      <c r="AM19" s="4" t="n">
        <v>51723956344.1387</v>
      </c>
      <c r="AN19" s="4" t="n">
        <v>51447446908.5585</v>
      </c>
      <c r="AO19" s="4" t="n">
        <v>16983640960.3887</v>
      </c>
      <c r="AP19" s="4"/>
    </row>
    <row r="20">
      <c r="A20" t="str">
        <f>N20</f>
      </c>
      <c r="B20" t="str">
        <f>O20</f>
      </c>
      <c r="N20" t="s">
        <v>69</v>
      </c>
      <c r="O20" t="s">
        <v>71</v>
      </c>
      <c r="P20" s="4" t="n">
        <v>552954238.194325</v>
      </c>
      <c r="Q20" s="4" t="n">
        <v>884567063.795814</v>
      </c>
      <c r="R20" s="4" t="n">
        <v>936160057.439251</v>
      </c>
      <c r="S20" s="4" t="n">
        <v>1268156768.03955</v>
      </c>
      <c r="T20" s="4" t="n">
        <v>1001901186.94711</v>
      </c>
      <c r="U20" s="4" t="n">
        <v>1323157870.45822</v>
      </c>
      <c r="V20" s="4" t="n">
        <v>1200243580.51488</v>
      </c>
      <c r="W20" s="4" t="n">
        <v>723800663.461635</v>
      </c>
      <c r="X20" s="4" t="n">
        <v>1032383273.26207</v>
      </c>
      <c r="Y20" s="4" t="n">
        <v>1479082821.86724</v>
      </c>
      <c r="Z20" s="4" t="n">
        <v>1390423720.2388</v>
      </c>
      <c r="AA20" s="4" t="n">
        <v>1542639409.48888</v>
      </c>
      <c r="AB20" s="4" t="n">
        <v>1474067165.43459</v>
      </c>
      <c r="AC20" s="4" t="n">
        <v>1293883662.68451</v>
      </c>
      <c r="AD20" s="4" t="n">
        <v>1351718496.16005</v>
      </c>
      <c r="AE20" s="4" t="n">
        <v>935446380.351857</v>
      </c>
      <c r="AF20" s="4" t="n">
        <v>1029845841.83416</v>
      </c>
      <c r="AG20" s="4" t="n">
        <v>429587082.440903</v>
      </c>
      <c r="AH20" s="4" t="n">
        <v>436916885.535159</v>
      </c>
      <c r="AI20" s="4" t="n">
        <v>194830418.347538</v>
      </c>
      <c r="AJ20" s="4" t="n">
        <v>194034762.009888</v>
      </c>
      <c r="AK20" s="4" t="n">
        <v>189352719.250341</v>
      </c>
      <c r="AL20" s="4" t="n">
        <v>135126628.757328</v>
      </c>
      <c r="AM20" s="4" t="n">
        <v>86430715.5994</v>
      </c>
      <c r="AN20" s="4" t="n">
        <v>675002372.120187</v>
      </c>
      <c r="AO20" s="4" t="n">
        <v>488057282.197646</v>
      </c>
      <c r="AP20" s="4"/>
    </row>
    <row r="21">
      <c r="A21" t="str">
        <f>N21</f>
      </c>
      <c r="B21" t="str">
        <f>O21</f>
      </c>
      <c r="N21" t="s">
        <v>72</v>
      </c>
      <c r="O21" t="s">
        <v>72</v>
      </c>
      <c r="P21" s="4" t="n">
        <v>901433318.502638</v>
      </c>
      <c r="Q21" s="4" t="n">
        <v>1145820508.21958</v>
      </c>
      <c r="R21" s="4" t="n">
        <v>1331954628.27339</v>
      </c>
      <c r="S21" s="4" t="n">
        <v>1974828662.01315</v>
      </c>
      <c r="T21" s="4" t="n">
        <v>2178457228.7212</v>
      </c>
      <c r="U21" s="4" t="n">
        <v>2271381653.23512</v>
      </c>
      <c r="V21" s="4" t="n">
        <v>3227753248.10929</v>
      </c>
      <c r="W21" s="4" t="n">
        <v>2974912165.36156</v>
      </c>
      <c r="X21" s="4" t="n">
        <v>2961128165.01497</v>
      </c>
      <c r="Y21" s="4" t="n">
        <v>3501260509.08682</v>
      </c>
      <c r="Z21" s="4" t="n">
        <v>3240457167.0917</v>
      </c>
      <c r="AA21" s="4" t="n">
        <v>3030517653.64732</v>
      </c>
      <c r="AB21" s="4" t="n">
        <v>2936379181.551</v>
      </c>
      <c r="AC21" s="4" t="n">
        <v>3375315952.00513</v>
      </c>
      <c r="AD21" s="4" t="n">
        <v>3965522727.1304</v>
      </c>
      <c r="AE21" s="4" t="n">
        <v>3691572488.93871</v>
      </c>
      <c r="AF21" s="4" t="n">
        <v>3283877463.90469</v>
      </c>
      <c r="AG21" s="4" t="n">
        <v>3137840774.41992</v>
      </c>
      <c r="AH21" s="4" t="n">
        <v>2599149897.52616</v>
      </c>
      <c r="AI21" s="4" t="n">
        <v>2633278175.78498</v>
      </c>
      <c r="AJ21" s="4" t="n">
        <v>2698180151.8298</v>
      </c>
      <c r="AK21" s="4" t="n">
        <v>5410506322.89716</v>
      </c>
      <c r="AL21" s="4" t="n">
        <v>5818319551.40581</v>
      </c>
      <c r="AM21" s="4" t="n">
        <v>8696692861.641</v>
      </c>
      <c r="AN21" s="4" t="n">
        <v>10296843334.9295</v>
      </c>
      <c r="AO21" s="4" t="n">
        <v>4170557193.31852</v>
      </c>
      <c r="AP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Z1" t="s">
        <v>36</v>
      </c>
      <c r="AA1" t="s">
        <v>37</v>
      </c>
      <c r="AB1" t="s">
        <v>38</v>
      </c>
      <c r="AC1" t="s">
        <v>39</v>
      </c>
      <c r="AD1" t="s">
        <v>40</v>
      </c>
      <c r="AE1" t="s">
        <v>41</v>
      </c>
      <c r="AF1" t="s">
        <v>42</v>
      </c>
      <c r="AG1" t="s">
        <v>43</v>
      </c>
      <c r="AH1" t="s">
        <v>44</v>
      </c>
      <c r="AI1" t="s">
        <v>45</v>
      </c>
      <c r="AJ1" t="s">
        <v>46</v>
      </c>
      <c r="AK1" t="s">
        <v>47</v>
      </c>
      <c r="AL1" t="s">
        <v>48</v>
      </c>
      <c r="AM1" t="s">
        <v>49</v>
      </c>
    </row>
    <row r="2">
      <c r="A2" t="str">
        <f>M2</f>
      </c>
      <c r="M2" t="s">
        <v>74</v>
      </c>
      <c r="N2" s="5" t="n">
        <v>6930962857.8004</v>
      </c>
      <c r="O2" s="5" t="n">
        <v>7531017640.855</v>
      </c>
      <c r="P2" s="5" t="n">
        <v>9643982403.1677</v>
      </c>
      <c r="Q2" s="5" t="n">
        <v>10522259463.3393</v>
      </c>
      <c r="R2" s="5" t="n">
        <v>11696522819.7423</v>
      </c>
      <c r="S2" s="5" t="n">
        <v>13384463726.4568</v>
      </c>
      <c r="T2" s="5" t="n">
        <v>13498442996.5967</v>
      </c>
      <c r="U2" s="5" t="n">
        <v>14746226986.0845</v>
      </c>
      <c r="V2" s="5" t="n">
        <v>17774242230.8555</v>
      </c>
      <c r="W2" s="5" t="n">
        <v>20518667440.1242</v>
      </c>
      <c r="X2" s="5" t="n">
        <v>20481908852.5737</v>
      </c>
      <c r="Y2" s="5" t="n">
        <v>19556276344.6689</v>
      </c>
      <c r="Z2" s="5" t="n">
        <v>18438855395.1961</v>
      </c>
      <c r="AA2" s="5" t="n">
        <v>16160257392.5918</v>
      </c>
      <c r="AB2" s="5" t="n">
        <v>16755319977.6093</v>
      </c>
      <c r="AC2" s="5" t="n">
        <v>15946255551.2335</v>
      </c>
      <c r="AD2" s="5" t="n">
        <v>16389536188.9527</v>
      </c>
      <c r="AE2" s="5" t="n">
        <v>16561758123.9922</v>
      </c>
      <c r="AF2" s="5" t="n">
        <v>17010091316.2719</v>
      </c>
      <c r="AG2" s="5" t="n">
        <v>18050779328.2102</v>
      </c>
      <c r="AH2" s="5" t="n">
        <v>23479659158.3362</v>
      </c>
      <c r="AI2" s="5" t="n">
        <v>27610894415.8622</v>
      </c>
      <c r="AJ2" s="5" t="n">
        <v>31097935220.0737</v>
      </c>
      <c r="AK2" s="5" t="n">
        <v>42160293135.0982</v>
      </c>
      <c r="AL2" s="5" t="n">
        <v>44969222419.78</v>
      </c>
      <c r="AM2" s="5" t="n">
        <v>16918453209.98</v>
      </c>
      <c r="AN2" s="5"/>
      <c r="AO2" s="5"/>
    </row>
    <row r="3">
      <c r="A3" t="str">
        <f>M3</f>
      </c>
      <c r="M3" t="s">
        <v>75</v>
      </c>
      <c r="N3" s="5" t="n">
        <v>16697796140.8537</v>
      </c>
      <c r="O3" s="5" t="n">
        <v>18337861630.4547</v>
      </c>
      <c r="P3" s="5" t="n">
        <v>24466752248.1205</v>
      </c>
      <c r="Q3" s="5" t="n">
        <v>29284078724.7634</v>
      </c>
      <c r="R3" s="5" t="n">
        <v>32365298582.2102</v>
      </c>
      <c r="S3" s="5" t="n">
        <v>39875389102.9513</v>
      </c>
      <c r="T3" s="5" t="n">
        <v>46722249773.5584</v>
      </c>
      <c r="U3" s="5" t="n">
        <v>48761999887.728</v>
      </c>
      <c r="V3" s="5" t="n">
        <v>55096396832.802</v>
      </c>
      <c r="W3" s="5" t="n">
        <v>60292754432.2749</v>
      </c>
      <c r="X3" s="5" t="n">
        <v>64564237796.4854</v>
      </c>
      <c r="Y3" s="5" t="n">
        <v>63400452634.3455</v>
      </c>
      <c r="Z3" s="5" t="n">
        <v>62690335593.4034</v>
      </c>
      <c r="AA3" s="5" t="n">
        <v>58728876817.029</v>
      </c>
      <c r="AB3" s="5" t="n">
        <v>58620266159.3693</v>
      </c>
      <c r="AC3" s="5" t="n">
        <v>60456227158.2678</v>
      </c>
      <c r="AD3" s="5" t="n">
        <v>62376725797.7914</v>
      </c>
      <c r="AE3" s="5" t="n">
        <v>65826661882.0838</v>
      </c>
      <c r="AF3" s="5" t="n">
        <v>71858819260.5532</v>
      </c>
      <c r="AG3" s="5" t="n">
        <v>77473819436.0091</v>
      </c>
      <c r="AH3" s="5" t="n">
        <v>84773290165.0828</v>
      </c>
      <c r="AI3" s="5" t="n">
        <v>90175452745.6339</v>
      </c>
      <c r="AJ3" s="5" t="n">
        <v>92580661423.5509</v>
      </c>
      <c r="AK3" s="5" t="n">
        <v>102093574057.083</v>
      </c>
      <c r="AL3" s="5" t="n">
        <v>108817554273.149</v>
      </c>
      <c r="AM3" s="5" t="n">
        <v>39329395554.88</v>
      </c>
      <c r="AN3" s="5"/>
      <c r="AO3" s="5"/>
    </row>
    <row r="4">
      <c r="A4" t="str">
        <f>M4</f>
      </c>
      <c r="M4" t="s">
        <v>59</v>
      </c>
      <c r="N4" s="5" t="str">
        <f>Sum(N2:N3)</f>
      </c>
      <c r="O4" s="5" t="str">
        <f>Sum(O2:O3)</f>
      </c>
      <c r="P4" s="5" t="str">
        <f>Sum(P2:P3)</f>
      </c>
      <c r="Q4" s="5" t="str">
        <f>Sum(Q2:Q3)</f>
      </c>
      <c r="R4" s="5" t="str">
        <f>Sum(R2:R3)</f>
      </c>
      <c r="S4" s="5" t="str">
        <f>Sum(S2:S3)</f>
      </c>
      <c r="T4" s="5" t="str">
        <f>Sum(T2:T3)</f>
      </c>
      <c r="U4" s="5" t="str">
        <f>Sum(U2:U3)</f>
      </c>
      <c r="V4" s="5" t="str">
        <f>Sum(V2:V3)</f>
      </c>
      <c r="W4" s="5" t="str">
        <f>Sum(W2:W3)</f>
      </c>
      <c r="X4" s="5" t="str">
        <f>Sum(X2:X3)</f>
      </c>
      <c r="Y4" s="5" t="str">
        <f>Sum(Y2:Y3)</f>
      </c>
      <c r="Z4" s="5" t="str">
        <f>Sum(Z2:Z3)</f>
      </c>
      <c r="AA4" s="5" t="str">
        <f>Sum(AA2:AA3)</f>
      </c>
      <c r="AB4" s="5" t="str">
        <f>Sum(AB2:AB3)</f>
      </c>
      <c r="AC4" s="5" t="str">
        <f>Sum(AC2:AC3)</f>
      </c>
      <c r="AD4" s="5" t="str">
        <f>Sum(AD2:AD3)</f>
      </c>
      <c r="AE4" s="5" t="str">
        <f>Sum(AE2:AE3)</f>
      </c>
      <c r="AF4" s="5" t="str">
        <f>Sum(AF2:AF3)</f>
      </c>
      <c r="AG4" s="5" t="str">
        <f>Sum(AG2:AG3)</f>
      </c>
      <c r="AH4" s="5" t="str">
        <f>Sum(AH2:AH3)</f>
      </c>
      <c r="AI4" s="5" t="str">
        <f>Sum(AI2:AI3)</f>
      </c>
      <c r="AJ4" s="5" t="str">
        <f>Sum(AJ2:AJ3)</f>
      </c>
      <c r="AK4" s="5" t="str">
        <f>Sum(AK2:AK3)</f>
      </c>
      <c r="AL4" s="5" t="str">
        <f>Sum(AL2:AL3)</f>
      </c>
      <c r="AM4" s="5" t="str">
        <f>Sum(AM2:AM3)</f>
      </c>
      <c r="AN4" s="5" t="str">
        <f>Sum(AN2:AN3)</f>
      </c>
      <c r="AO4" s="5"/>
    </row>
    <row r="7">
      <c r="A7" t="str">
        <f>M7</f>
      </c>
      <c r="M7" t="s">
        <v>73</v>
      </c>
      <c r="N7" t="s">
        <v>24</v>
      </c>
      <c r="O7" t="s">
        <v>25</v>
      </c>
      <c r="P7" t="s">
        <v>26</v>
      </c>
      <c r="Q7" t="s">
        <v>27</v>
      </c>
      <c r="R7" t="s">
        <v>28</v>
      </c>
      <c r="S7" t="s">
        <v>29</v>
      </c>
      <c r="T7" t="s">
        <v>30</v>
      </c>
      <c r="U7" t="s">
        <v>31</v>
      </c>
      <c r="V7" t="s">
        <v>32</v>
      </c>
      <c r="W7" t="s">
        <v>33</v>
      </c>
      <c r="X7" t="s">
        <v>34</v>
      </c>
      <c r="Y7" t="s">
        <v>35</v>
      </c>
      <c r="Z7" t="s">
        <v>36</v>
      </c>
      <c r="AA7" t="s">
        <v>37</v>
      </c>
      <c r="AB7" t="s">
        <v>38</v>
      </c>
      <c r="AC7" t="s">
        <v>39</v>
      </c>
      <c r="AD7" t="s">
        <v>40</v>
      </c>
      <c r="AE7" t="s">
        <v>41</v>
      </c>
      <c r="AF7" t="s">
        <v>42</v>
      </c>
      <c r="AG7" t="s">
        <v>43</v>
      </c>
      <c r="AH7" t="s">
        <v>44</v>
      </c>
      <c r="AI7" t="s">
        <v>45</v>
      </c>
      <c r="AJ7" t="s">
        <v>46</v>
      </c>
      <c r="AK7" t="s">
        <v>47</v>
      </c>
      <c r="AL7" t="s">
        <v>48</v>
      </c>
      <c r="AM7" t="s">
        <v>49</v>
      </c>
    </row>
    <row r="8">
      <c r="A8" t="str">
        <f>M8</f>
      </c>
      <c r="M8" t="s">
        <v>74</v>
      </c>
      <c r="N8" s="5" t="n">
        <v>11652150333.1547</v>
      </c>
      <c r="O8" s="5" t="n">
        <v>12361319388.1941</v>
      </c>
      <c r="P8" s="5" t="n">
        <v>15584338526.8894</v>
      </c>
      <c r="Q8" s="5" t="n">
        <v>16683364227.5384</v>
      </c>
      <c r="R8" s="5" t="n">
        <v>18103138590.9453</v>
      </c>
      <c r="S8" s="5" t="n">
        <v>20103869668.6544</v>
      </c>
      <c r="T8" s="5" t="n">
        <v>19637170014.7152</v>
      </c>
      <c r="U8" s="5" t="n">
        <v>20877660967.551</v>
      </c>
      <c r="V8" s="5" t="n">
        <v>24652900218.6387</v>
      </c>
      <c r="W8" s="5" t="n">
        <v>28171338803.0664</v>
      </c>
      <c r="X8" s="5" t="n">
        <v>27879422532.5298</v>
      </c>
      <c r="Y8" s="5" t="n">
        <v>26095700206.8362</v>
      </c>
      <c r="Z8" s="5" t="n">
        <v>24166105636.1829</v>
      </c>
      <c r="AA8" s="5" t="n">
        <v>20802305380.5659</v>
      </c>
      <c r="AB8" s="5" t="n">
        <v>21181875618.3301</v>
      </c>
      <c r="AC8" s="5" t="n">
        <v>19952433529.1795</v>
      </c>
      <c r="AD8" s="5" t="n">
        <v>20344424277.4165</v>
      </c>
      <c r="AE8" s="5" t="n">
        <v>20216938145.841</v>
      </c>
      <c r="AF8" s="5" t="n">
        <v>20313264001.8468</v>
      </c>
      <c r="AG8" s="5" t="n">
        <v>21164716487.3716</v>
      </c>
      <c r="AH8" s="5" t="n">
        <v>27175139784.1384</v>
      </c>
      <c r="AI8" s="5" t="n">
        <v>30893326135.0995</v>
      </c>
      <c r="AJ8" s="5" t="n">
        <v>32520559859.1727</v>
      </c>
      <c r="AK8" s="5" t="n">
        <v>42160293135.0982</v>
      </c>
      <c r="AL8" s="5" t="n">
        <v>43799513147.2633</v>
      </c>
      <c r="AM8" s="5" t="n">
        <v>16124575136.0035</v>
      </c>
      <c r="AN8" s="5"/>
      <c r="AO8" s="5"/>
    </row>
    <row r="9">
      <c r="A9" t="str">
        <f>M9</f>
      </c>
      <c r="M9" t="s">
        <v>75</v>
      </c>
      <c r="N9" s="5" t="n">
        <v>28071890566.6369</v>
      </c>
      <c r="O9" s="5" t="n">
        <v>30099539706.4061</v>
      </c>
      <c r="P9" s="5" t="n">
        <v>39537416572.1206</v>
      </c>
      <c r="Q9" s="5" t="n">
        <v>46430802541.538</v>
      </c>
      <c r="R9" s="5" t="n">
        <v>50092963079.7733</v>
      </c>
      <c r="S9" s="5" t="n">
        <v>59894041471.98</v>
      </c>
      <c r="T9" s="5" t="n">
        <v>67970266089.554</v>
      </c>
      <c r="U9" s="5" t="n">
        <v>69037083364.8792</v>
      </c>
      <c r="V9" s="5" t="n">
        <v>76418783759.324</v>
      </c>
      <c r="W9" s="5" t="n">
        <v>82779625793.8384</v>
      </c>
      <c r="X9" s="5" t="n">
        <v>87883101080.8235</v>
      </c>
      <c r="Y9" s="5" t="n">
        <v>84600931985.4295</v>
      </c>
      <c r="Z9" s="5" t="n">
        <v>82162435782.8981</v>
      </c>
      <c r="AA9" s="5" t="n">
        <v>75598797749.6896</v>
      </c>
      <c r="AB9" s="5" t="n">
        <v>74107041116.5214</v>
      </c>
      <c r="AC9" s="5" t="n">
        <v>75644645849.6024</v>
      </c>
      <c r="AD9" s="5" t="n">
        <v>77428583703.407</v>
      </c>
      <c r="AE9" s="5" t="n">
        <v>80354606174.8958</v>
      </c>
      <c r="AF9" s="5" t="n">
        <v>85813011779.9117</v>
      </c>
      <c r="AG9" s="5" t="n">
        <v>90838816083.3793</v>
      </c>
      <c r="AH9" s="5" t="n">
        <v>98115819938.5335</v>
      </c>
      <c r="AI9" s="5" t="n">
        <v>100895669263.459</v>
      </c>
      <c r="AJ9" s="5" t="n">
        <v>96815911420.4769</v>
      </c>
      <c r="AK9" s="5" t="n">
        <v>102093574057.083</v>
      </c>
      <c r="AL9" s="5" t="n">
        <v>105987064987.439</v>
      </c>
      <c r="AM9" s="5" t="n">
        <v>37483910958.4898</v>
      </c>
      <c r="AN9" s="5"/>
      <c r="AO9" s="5"/>
    </row>
    <row r="10">
      <c r="A10" t="str">
        <f>M10</f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../output/FedAcqTrends/Platform//Other_RandD_and_Knowledge_Based/Fed_Other_RandD_and_Knowledge_Based_Contracts.xlsx</dc:creator>
  <cp:lastModifiedBy>../output/FedAcqTrends/Platform//Other_RandD_and_Knowledge_Based/Fed_Other_RandD_and_Knowledge_Based_Contracts.xlsx</cp:lastModifiedBy>
  <dcterms:created xsi:type="dcterms:W3CDTF">2025-11-13T21:12:46Z</dcterms:created>
</coreProperties>
</file>