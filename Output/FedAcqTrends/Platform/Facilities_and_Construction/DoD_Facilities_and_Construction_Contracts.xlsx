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<sst xmlns="http://schemas.openxmlformats.org/spreadsheetml/2006/main" count="63" uniqueCount="63">
  <si>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Vehicle.AwardTask</t>
  </si>
  <si>
    <t xml:space="preserve">Vehicle.sum7</t>
  </si>
  <si>
    <t xml:space="preserve">1970</t>
  </si>
  <si>
    <t xml:space="preserve">1974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</si>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</sst>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</row>
    <row r="2">
      <c r="A2" t="str">
        <f>M2</f>
      </c>
      <c r="B2" t="str">
        <f>N2</f>
      </c>
      <c r="M2" t="s">
        <v>52</v>
      </c>
      <c r="N2" t="s">
        <v>53</v>
      </c>
      <c r="O2" s="1" t="n">
        <v>12164</v>
      </c>
      <c r="P2" s="1"/>
      <c r="Q2" s="1" t="n">
        <v>3176463000</v>
      </c>
      <c r="R2" s="1" t="n">
        <v>100051432.31</v>
      </c>
      <c r="S2" s="1" t="n">
        <v>459400326.57</v>
      </c>
      <c r="T2" s="1" t="n">
        <v>2630241483.9</v>
      </c>
      <c r="U2" s="1" t="n">
        <v>628836900</v>
      </c>
      <c r="V2" s="1" t="n">
        <v>680532010</v>
      </c>
      <c r="W2" s="1" t="n">
        <v>1594193131</v>
      </c>
      <c r="X2" s="1" t="n">
        <v>2307088023</v>
      </c>
      <c r="Y2" s="1" t="n">
        <v>1867704354.16</v>
      </c>
      <c r="Z2" s="1" t="n">
        <v>2332518874</v>
      </c>
      <c r="AA2" s="1" t="n">
        <v>2769797201</v>
      </c>
      <c r="AB2" s="1" t="n">
        <v>2503824896</v>
      </c>
      <c r="AC2" s="1" t="n">
        <v>2445076972.56</v>
      </c>
      <c r="AD2" s="1" t="n">
        <v>2815529586</v>
      </c>
      <c r="AE2" s="1" t="n">
        <v>3091666468</v>
      </c>
      <c r="AF2" s="1" t="n">
        <v>3533320973</v>
      </c>
      <c r="AG2" s="1" t="n">
        <v>5418940430.25</v>
      </c>
      <c r="AH2" s="1" t="n">
        <v>4093232059.87</v>
      </c>
      <c r="AI2" s="1" t="n">
        <v>3601184037.77</v>
      </c>
      <c r="AJ2" s="1" t="n">
        <v>4728898952.89</v>
      </c>
      <c r="AK2" s="1" t="n">
        <v>4678050623.52</v>
      </c>
      <c r="AL2" s="1" t="n">
        <v>6626050379.57</v>
      </c>
      <c r="AM2" s="1" t="n">
        <v>32232061493.8976</v>
      </c>
      <c r="AN2" s="1" t="n">
        <v>35123480920.95</v>
      </c>
      <c r="AO2" s="1" t="n">
        <v>42557712292.46</v>
      </c>
      <c r="AP2" s="1" t="n">
        <v>46184657780.64</v>
      </c>
      <c r="AQ2" s="1" t="n">
        <v>41405639427.4</v>
      </c>
      <c r="AR2" s="1" t="n">
        <v>46491648773.88</v>
      </c>
      <c r="AS2" s="1" t="n">
        <v>49048376985.79</v>
      </c>
      <c r="AT2" s="1" t="n">
        <v>51406121924.92</v>
      </c>
      <c r="AU2" s="1" t="n">
        <v>55096164122.92</v>
      </c>
      <c r="AV2" s="1" t="n">
        <v>71454179655.55</v>
      </c>
      <c r="AW2" s="1" t="n">
        <v>68794110450.0543</v>
      </c>
      <c r="AX2" s="1" t="n">
        <v>57699668695.9277</v>
      </c>
      <c r="AY2" s="1" t="n">
        <v>55237891050.7905</v>
      </c>
      <c r="AZ2" s="1" t="n">
        <v>49473395921.6996</v>
      </c>
      <c r="BA2" s="1" t="n">
        <v>51905166983.2266</v>
      </c>
      <c r="BB2" s="1" t="n">
        <v>49675436805.8403</v>
      </c>
      <c r="BC2" s="1" t="n">
        <v>52702419420.363</v>
      </c>
      <c r="BD2" s="1" t="n">
        <v>56335160101.0228</v>
      </c>
      <c r="BE2" s="1" t="n">
        <v>60526422241.42</v>
      </c>
      <c r="BF2" s="1" t="n">
        <v>66936130705.94</v>
      </c>
      <c r="BG2" s="1" t="n">
        <v>70444126110.24</v>
      </c>
      <c r="BH2" s="1" t="n">
        <v>67593240380.38</v>
      </c>
      <c r="BI2" s="1" t="n">
        <v>74326774223.16</v>
      </c>
      <c r="BJ2" s="1" t="n">
        <v>79770361918.8</v>
      </c>
      <c r="BK2" s="1" t="n">
        <v>78313483455.98</v>
      </c>
      <c r="BL2" s="1" t="n">
        <v>29118051346.15</v>
      </c>
      <c r="BM2" s="1"/>
    </row>
    <row r="3">
      <c r="A3" t="str">
        <f>M3</f>
      </c>
      <c r="B3" t="str">
        <f>N3</f>
      </c>
      <c r="M3" t="s">
        <v>52</v>
      </c>
      <c r="N3" t="s">
        <v>54</v>
      </c>
      <c r="O3" s="1"/>
      <c r="P3" s="1"/>
      <c r="Q3" s="1"/>
      <c r="R3" s="1" t="n">
        <v>882000</v>
      </c>
      <c r="S3" s="1" t="n">
        <v>303000</v>
      </c>
      <c r="T3" s="1" t="n">
        <v>546000</v>
      </c>
      <c r="U3" s="1" t="n">
        <v>162000</v>
      </c>
      <c r="V3" s="1" t="n">
        <v>1499000</v>
      </c>
      <c r="W3" s="1" t="n">
        <v>2565000</v>
      </c>
      <c r="X3" s="1" t="n">
        <v>2918000</v>
      </c>
      <c r="Y3" s="1" t="n">
        <v>5729000</v>
      </c>
      <c r="Z3" s="1" t="n">
        <v>861000</v>
      </c>
      <c r="AA3" s="1" t="n">
        <v>6930000</v>
      </c>
      <c r="AB3" s="1" t="n">
        <v>25092000</v>
      </c>
      <c r="AC3" s="1" t="n">
        <v>15013000</v>
      </c>
      <c r="AD3" s="1" t="n">
        <v>14942000</v>
      </c>
      <c r="AE3" s="1" t="n">
        <v>10200000</v>
      </c>
      <c r="AF3" s="1" t="n">
        <v>10780000</v>
      </c>
      <c r="AG3" s="1" t="n">
        <v>21318000</v>
      </c>
      <c r="AH3" s="1" t="n">
        <v>6471000</v>
      </c>
      <c r="AI3" s="1" t="n">
        <v>7114000</v>
      </c>
      <c r="AJ3" s="1" t="n">
        <v>10825406</v>
      </c>
      <c r="AK3" s="1" t="n">
        <v>87045439</v>
      </c>
      <c r="AL3" s="1" t="n">
        <v>200163690</v>
      </c>
      <c r="AM3" s="1" t="n">
        <v>6238197465.62</v>
      </c>
      <c r="AN3" s="1" t="n">
        <v>6264966228.9</v>
      </c>
      <c r="AO3" s="1" t="n">
        <v>7165727524.45</v>
      </c>
      <c r="AP3" s="1" t="n">
        <v>8006590937</v>
      </c>
      <c r="AQ3" s="1" t="n">
        <v>2918112846.27</v>
      </c>
      <c r="AR3" s="1" t="n">
        <v>3941643103.21</v>
      </c>
      <c r="AS3" s="1" t="n">
        <v>3805582729.72</v>
      </c>
      <c r="AT3" s="1" t="n">
        <v>4380551445.58</v>
      </c>
      <c r="AU3" s="1" t="n">
        <v>4639174264.22</v>
      </c>
      <c r="AV3" s="1" t="n">
        <v>4556242828.53</v>
      </c>
      <c r="AW3" s="1" t="n">
        <v>4934633951.8734</v>
      </c>
      <c r="AX3" s="1" t="n">
        <v>4347183345.0859</v>
      </c>
      <c r="AY3" s="1" t="n">
        <v>3645246968.7906</v>
      </c>
      <c r="AZ3" s="1" t="n">
        <v>2970875297.0103</v>
      </c>
      <c r="BA3" s="1" t="n">
        <v>3391159653.7058</v>
      </c>
      <c r="BB3" s="1" t="n">
        <v>3350931698.2572</v>
      </c>
      <c r="BC3" s="1" t="n">
        <v>3352209239.2094</v>
      </c>
      <c r="BD3" s="1" t="n">
        <v>3468123289.1936</v>
      </c>
      <c r="BE3" s="1" t="n">
        <v>3828905954.88</v>
      </c>
      <c r="BF3" s="1" t="n">
        <v>4054716856.46</v>
      </c>
      <c r="BG3" s="1" t="n">
        <v>4179382274.62</v>
      </c>
      <c r="BH3" s="1" t="n">
        <v>4300046758.88</v>
      </c>
      <c r="BI3" s="1" t="n">
        <v>4476857655.1</v>
      </c>
      <c r="BJ3" s="1" t="n">
        <v>5094708924.35</v>
      </c>
      <c r="BK3" s="1" t="n">
        <v>4755894549.02</v>
      </c>
      <c r="BL3" s="1" t="n">
        <v>1648993963.56</v>
      </c>
      <c r="BM3" s="1"/>
    </row>
    <row r="4">
      <c r="A4" t="str">
        <f>M4</f>
      </c>
      <c r="B4" t="str">
        <f>N4</f>
      </c>
      <c r="M4" t="s">
        <v>55</v>
      </c>
      <c r="N4" t="s">
        <v>56</v>
      </c>
      <c r="O4" s="1"/>
      <c r="P4" s="1"/>
      <c r="Q4" s="1"/>
      <c r="R4" s="1" t="n">
        <v>232000</v>
      </c>
      <c r="S4" s="1" t="n">
        <v>645000</v>
      </c>
      <c r="T4" s="1" t="n">
        <v>1818000</v>
      </c>
      <c r="U4" s="1" t="n">
        <v>3259000</v>
      </c>
      <c r="V4" s="1" t="n">
        <v>1440000</v>
      </c>
      <c r="W4" s="1" t="n">
        <v>8034000</v>
      </c>
      <c r="X4" s="1" t="n">
        <v>4071000</v>
      </c>
      <c r="Y4" s="1" t="n">
        <v>2217000</v>
      </c>
      <c r="Z4" s="1" t="n">
        <v>18761000</v>
      </c>
      <c r="AA4" s="1" t="n">
        <v>2103000</v>
      </c>
      <c r="AB4" s="1" t="n">
        <v>1508000</v>
      </c>
      <c r="AC4" s="1" t="n">
        <v>1892000</v>
      </c>
      <c r="AD4" s="1" t="n">
        <v>4592000</v>
      </c>
      <c r="AE4" s="1" t="n">
        <v>6295000</v>
      </c>
      <c r="AF4" s="1" t="n">
        <v>6010000</v>
      </c>
      <c r="AG4" s="1" t="n">
        <v>6148000</v>
      </c>
      <c r="AH4" s="1" t="n">
        <v>5227000</v>
      </c>
      <c r="AI4" s="1" t="n">
        <v>17358000</v>
      </c>
      <c r="AJ4" s="1" t="n">
        <v>8381638</v>
      </c>
      <c r="AK4" s="1" t="n">
        <v>8715852</v>
      </c>
      <c r="AL4" s="1" t="n">
        <v>8565828.88</v>
      </c>
      <c r="AM4" s="1" t="n">
        <v>2374542130.6635</v>
      </c>
      <c r="AN4" s="1" t="n">
        <v>2482417728.6434</v>
      </c>
      <c r="AO4" s="1" t="n">
        <v>2541664758.7806</v>
      </c>
      <c r="AP4" s="1" t="n">
        <v>4975316391.131</v>
      </c>
      <c r="AQ4" s="1" t="n">
        <v>4549073575.874</v>
      </c>
      <c r="AR4" s="1" t="n">
        <v>4412476289.895</v>
      </c>
      <c r="AS4" s="1" t="n">
        <v>6125357665.0187</v>
      </c>
      <c r="AT4" s="1" t="n">
        <v>5097714037.1657</v>
      </c>
      <c r="AU4" s="1" t="n">
        <v>5424227518.5217</v>
      </c>
      <c r="AV4" s="1" t="n">
        <v>5036324098.9099</v>
      </c>
      <c r="AW4" s="1" t="n">
        <v>6568401808.1746</v>
      </c>
      <c r="AX4" s="1" t="n">
        <v>4853037438.6142</v>
      </c>
      <c r="AY4" s="1" t="n">
        <v>1973381966.903</v>
      </c>
      <c r="AZ4" s="1" t="n">
        <v>1764414174.2512</v>
      </c>
      <c r="BA4" s="1" t="n">
        <v>1681680434.8004</v>
      </c>
      <c r="BB4" s="1" t="n">
        <v>1649443793.0001</v>
      </c>
      <c r="BC4" s="1" t="n">
        <v>1675120152.384</v>
      </c>
      <c r="BD4" s="1" t="n">
        <v>1939836181.2983</v>
      </c>
      <c r="BE4" s="1" t="n">
        <v>3130264968.0241</v>
      </c>
      <c r="BF4" s="1" t="n">
        <v>2133389961.1595</v>
      </c>
      <c r="BG4" s="1" t="n">
        <v>2395126629.541</v>
      </c>
      <c r="BH4" s="1" t="n">
        <v>2502732204.3525</v>
      </c>
      <c r="BI4" s="1" t="n">
        <v>3623425946.5266</v>
      </c>
      <c r="BJ4" s="1" t="n">
        <v>5381460029.1132</v>
      </c>
      <c r="BK4" s="1" t="n">
        <v>6081559469.1</v>
      </c>
      <c r="BL4" s="1" t="n">
        <v>1897289415.04</v>
      </c>
      <c r="BM4" s="1"/>
    </row>
    <row r="5">
      <c r="A5" t="str">
        <f>M5</f>
      </c>
      <c r="B5" t="str">
        <f>N5</f>
      </c>
      <c r="M5" t="s">
        <v>55</v>
      </c>
      <c r="N5" t="s">
        <v>57</v>
      </c>
      <c r="O5" s="1"/>
      <c r="P5" s="1"/>
      <c r="Q5" s="1"/>
      <c r="R5" s="1" t="n">
        <v>2411000</v>
      </c>
      <c r="S5" s="1" t="n">
        <v>2272000</v>
      </c>
      <c r="T5" s="1" t="n">
        <v>2442000</v>
      </c>
      <c r="U5" s="1" t="n">
        <v>3037000</v>
      </c>
      <c r="V5" s="1" t="n">
        <v>1544000</v>
      </c>
      <c r="W5" s="1" t="n">
        <v>2496000</v>
      </c>
      <c r="X5" s="1" t="n">
        <v>1782000</v>
      </c>
      <c r="Y5" s="1" t="n">
        <v>779000</v>
      </c>
      <c r="Z5" s="1" t="n">
        <v>5889000</v>
      </c>
      <c r="AA5" s="1" t="n">
        <v>316000</v>
      </c>
      <c r="AB5" s="1" t="n">
        <v>1650000</v>
      </c>
      <c r="AC5" s="1" t="n">
        <v>2046000</v>
      </c>
      <c r="AD5" s="1" t="n">
        <v>744000</v>
      </c>
      <c r="AE5" s="1" t="n">
        <v>2470000</v>
      </c>
      <c r="AF5" s="1" t="n">
        <v>4097000</v>
      </c>
      <c r="AG5" s="1" t="n">
        <v>11289000</v>
      </c>
      <c r="AH5" s="1" t="n">
        <v>44902000</v>
      </c>
      <c r="AI5" s="1" t="n">
        <v>83323000</v>
      </c>
      <c r="AJ5" s="1" t="n">
        <v>154706659</v>
      </c>
      <c r="AK5" s="1" t="n">
        <v>210884937</v>
      </c>
      <c r="AL5" s="1" t="n">
        <v>373224667.19</v>
      </c>
      <c r="AM5" s="1" t="n">
        <v>1332478542.1378</v>
      </c>
      <c r="AN5" s="1" t="n">
        <v>1712063842.7267</v>
      </c>
      <c r="AO5" s="1" t="n">
        <v>2720812684.9858</v>
      </c>
      <c r="AP5" s="1" t="n">
        <v>3351211350.7732</v>
      </c>
      <c r="AQ5" s="1" t="n">
        <v>3325764191.7976</v>
      </c>
      <c r="AR5" s="1" t="n">
        <v>3403722086.6947</v>
      </c>
      <c r="AS5" s="1" t="n">
        <v>3578057867.3524</v>
      </c>
      <c r="AT5" s="1" t="n">
        <v>3931894370.4256</v>
      </c>
      <c r="AU5" s="1" t="n">
        <v>3956426109.1765</v>
      </c>
      <c r="AV5" s="1" t="n">
        <v>3856660544.8306</v>
      </c>
      <c r="AW5" s="1" t="n">
        <v>3732308637.2156</v>
      </c>
      <c r="AX5" s="1" t="n">
        <v>3438952714.5121</v>
      </c>
      <c r="AY5" s="1" t="n">
        <v>2984340763.7982</v>
      </c>
      <c r="AZ5" s="1" t="n">
        <v>2467464874.0877</v>
      </c>
      <c r="BA5" s="1" t="n">
        <v>2495266365.1123</v>
      </c>
      <c r="BB5" s="1" t="n">
        <v>2265617217.0307</v>
      </c>
      <c r="BC5" s="1" t="n">
        <v>2320341249.8297</v>
      </c>
      <c r="BD5" s="1" t="n">
        <v>2240410521.8015</v>
      </c>
      <c r="BE5" s="1" t="n">
        <v>2440707988.5773</v>
      </c>
      <c r="BF5" s="1" t="n">
        <v>2395253998.3594</v>
      </c>
      <c r="BG5" s="1" t="n">
        <v>2504009119.5941</v>
      </c>
      <c r="BH5" s="1" t="n">
        <v>2493528109.9966</v>
      </c>
      <c r="BI5" s="1" t="n">
        <v>2506137305.8171</v>
      </c>
      <c r="BJ5" s="1" t="n">
        <v>2528021609.5731</v>
      </c>
      <c r="BK5" s="1" t="n">
        <v>2707204894.19</v>
      </c>
      <c r="BL5" s="1" t="n">
        <v>873651892.15</v>
      </c>
      <c r="BM5" s="1"/>
    </row>
    <row r="6">
      <c r="A6" t="str">
        <f>M6</f>
      </c>
      <c r="B6" t="str">
        <f>N6</f>
      </c>
      <c r="M6" t="s">
        <v>55</v>
      </c>
      <c r="N6" t="s">
        <v>58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n">
        <v>117882</v>
      </c>
      <c r="AI6" s="1" t="n">
        <v>3000</v>
      </c>
      <c r="AJ6" s="1" t="n">
        <v>242030211</v>
      </c>
      <c r="AK6" s="1" t="n">
        <v>344911515</v>
      </c>
      <c r="AL6" s="1" t="n">
        <v>546967577</v>
      </c>
      <c r="AM6" s="1" t="n">
        <v>1784516491.0595</v>
      </c>
      <c r="AN6" s="1" t="n">
        <v>2328826167.2462</v>
      </c>
      <c r="AO6" s="1" t="n">
        <v>3193074980.5683</v>
      </c>
      <c r="AP6" s="1" t="n">
        <v>4913330057.5129</v>
      </c>
      <c r="AQ6" s="1" t="n">
        <v>6896372744.3368</v>
      </c>
      <c r="AR6" s="1" t="n">
        <v>8830600334.1208</v>
      </c>
      <c r="AS6" s="1" t="n">
        <v>11838524345.7198</v>
      </c>
      <c r="AT6" s="1" t="n">
        <v>10560906985.1373</v>
      </c>
      <c r="AU6" s="1" t="n">
        <v>13422164682.8837</v>
      </c>
      <c r="AV6" s="1" t="n">
        <v>16339017256.5368</v>
      </c>
      <c r="AW6" s="1" t="n">
        <v>16672656710.7808</v>
      </c>
      <c r="AX6" s="1" t="n">
        <v>14596154595.6638</v>
      </c>
      <c r="AY6" s="1" t="n">
        <v>13766715906.2616</v>
      </c>
      <c r="AZ6" s="1" t="n">
        <v>11702713040.2677</v>
      </c>
      <c r="BA6" s="1" t="n">
        <v>13756574470.539</v>
      </c>
      <c r="BB6" s="1" t="n">
        <v>11694285575.0247</v>
      </c>
      <c r="BC6" s="1" t="n">
        <v>12059596909.3431</v>
      </c>
      <c r="BD6" s="1" t="n">
        <v>12356224817.9537</v>
      </c>
      <c r="BE6" s="1" t="n">
        <v>14852733118.0124</v>
      </c>
      <c r="BF6" s="1" t="n">
        <v>16155253752.0959</v>
      </c>
      <c r="BG6" s="1" t="n">
        <v>22101700934.9498</v>
      </c>
      <c r="BH6" s="1" t="n">
        <v>16927258432.6066</v>
      </c>
      <c r="BI6" s="1" t="n">
        <v>21902319704.2255</v>
      </c>
      <c r="BJ6" s="1" t="n">
        <v>25724105346.3903</v>
      </c>
      <c r="BK6" s="1" t="n">
        <v>25912826325.6817</v>
      </c>
      <c r="BL6" s="1" t="n">
        <v>7117992223.7</v>
      </c>
      <c r="BM6" s="1"/>
    </row>
    <row r="7">
      <c r="A7" t="str">
        <f>M7</f>
      </c>
      <c r="B7" t="str">
        <f>N7</f>
      </c>
      <c r="M7" t="s">
        <v>55</v>
      </c>
      <c r="N7" t="s">
        <v>59</v>
      </c>
      <c r="O7" s="1" t="n">
        <v>0</v>
      </c>
      <c r="P7" s="1" t="n">
        <v>0</v>
      </c>
      <c r="Q7" s="1"/>
      <c r="R7" s="1" t="n">
        <v>37626000</v>
      </c>
      <c r="S7" s="1" t="n">
        <v>29490371.68</v>
      </c>
      <c r="T7" s="1" t="n">
        <v>57792000</v>
      </c>
      <c r="U7" s="1" t="n">
        <v>52070000</v>
      </c>
      <c r="V7" s="1" t="n">
        <v>53730000</v>
      </c>
      <c r="W7" s="1" t="n">
        <v>46396000</v>
      </c>
      <c r="X7" s="1" t="n">
        <v>51528000</v>
      </c>
      <c r="Y7" s="1" t="n">
        <v>50129000</v>
      </c>
      <c r="Z7" s="1" t="n">
        <v>51952000</v>
      </c>
      <c r="AA7" s="1" t="n">
        <v>53323000</v>
      </c>
      <c r="AB7" s="1" t="n">
        <v>29058000</v>
      </c>
      <c r="AC7" s="1" t="n">
        <v>33284000</v>
      </c>
      <c r="AD7" s="1" t="n">
        <v>32585000</v>
      </c>
      <c r="AE7" s="1" t="n">
        <v>345938000</v>
      </c>
      <c r="AF7" s="1" t="n">
        <v>61846000</v>
      </c>
      <c r="AG7" s="1" t="n">
        <v>52627000</v>
      </c>
      <c r="AH7" s="1" t="n">
        <v>45860000</v>
      </c>
      <c r="AI7" s="1" t="n">
        <v>102137000</v>
      </c>
      <c r="AJ7" s="1" t="n">
        <v>543429136</v>
      </c>
      <c r="AK7" s="1" t="n">
        <v>998599883</v>
      </c>
      <c r="AL7" s="1" t="n">
        <v>2403049794.99</v>
      </c>
      <c r="AM7" s="1" t="n">
        <v>8484046590.4903</v>
      </c>
      <c r="AN7" s="1" t="n">
        <v>9344685320.9737</v>
      </c>
      <c r="AO7" s="1" t="n">
        <v>9904282951.251</v>
      </c>
      <c r="AP7" s="1" t="n">
        <v>15409200454.0419</v>
      </c>
      <c r="AQ7" s="1" t="n">
        <v>16234294762.8232</v>
      </c>
      <c r="AR7" s="1" t="n">
        <v>19037922234.5074</v>
      </c>
      <c r="AS7" s="1" t="n">
        <v>20823066479.9583</v>
      </c>
      <c r="AT7" s="1" t="n">
        <v>20807780337.9132</v>
      </c>
      <c r="AU7" s="1" t="n">
        <v>23125892727.5822</v>
      </c>
      <c r="AV7" s="1" t="n">
        <v>24724805368.9215</v>
      </c>
      <c r="AW7" s="1" t="n">
        <v>21943557994.7978</v>
      </c>
      <c r="AX7" s="1" t="n">
        <v>21642878483.7748</v>
      </c>
      <c r="AY7" s="1" t="n">
        <v>20646535135.7343</v>
      </c>
      <c r="AZ7" s="1" t="n">
        <v>16830120354.9038</v>
      </c>
      <c r="BA7" s="1" t="n">
        <v>17516964828.9613</v>
      </c>
      <c r="BB7" s="1" t="n">
        <v>16846362254.0362</v>
      </c>
      <c r="BC7" s="1" t="n">
        <v>17774969671.7654</v>
      </c>
      <c r="BD7" s="1" t="n">
        <v>17941821699.725</v>
      </c>
      <c r="BE7" s="1" t="n">
        <v>20623822268.0968</v>
      </c>
      <c r="BF7" s="1" t="n">
        <v>21021412001.4591</v>
      </c>
      <c r="BG7" s="1" t="n">
        <v>21693391917.1638</v>
      </c>
      <c r="BH7" s="1" t="n">
        <v>23508829498.2628</v>
      </c>
      <c r="BI7" s="1" t="n">
        <v>26221757238.3457</v>
      </c>
      <c r="BJ7" s="1" t="n">
        <v>29314885971.2339</v>
      </c>
      <c r="BK7" s="1" t="n">
        <v>29301220826.7765</v>
      </c>
      <c r="BL7" s="1" t="n">
        <v>13760825232.56</v>
      </c>
      <c r="BM7" s="1"/>
    </row>
    <row r="8">
      <c r="A8" t="str">
        <f>M8</f>
      </c>
      <c r="B8" t="str">
        <f>N8</f>
      </c>
      <c r="M8" t="s">
        <v>55</v>
      </c>
      <c r="N8" t="s">
        <v>60</v>
      </c>
      <c r="O8" s="1"/>
      <c r="P8" s="1"/>
      <c r="Q8" s="1"/>
      <c r="R8" s="1" t="n">
        <v>14000</v>
      </c>
      <c r="S8" s="1" t="n">
        <v>180000</v>
      </c>
      <c r="T8" s="1" t="n">
        <v>20629000</v>
      </c>
      <c r="U8" s="1" t="n">
        <v>16822000</v>
      </c>
      <c r="V8" s="1" t="n">
        <v>25171000</v>
      </c>
      <c r="W8" s="1" t="n">
        <v>39090000</v>
      </c>
      <c r="X8" s="1" t="n">
        <v>39477000</v>
      </c>
      <c r="Y8" s="1" t="n">
        <v>33098000</v>
      </c>
      <c r="Z8" s="1" t="n">
        <v>115791000</v>
      </c>
      <c r="AA8" s="1" t="n">
        <v>28234000</v>
      </c>
      <c r="AB8" s="1" t="n">
        <v>2154000</v>
      </c>
      <c r="AC8" s="1" t="n">
        <v>2076000</v>
      </c>
      <c r="AD8" s="1" t="n">
        <v>1871000</v>
      </c>
      <c r="AE8" s="1" t="n">
        <v>1964000</v>
      </c>
      <c r="AF8" s="1" t="n">
        <v>2318000</v>
      </c>
      <c r="AG8" s="1" t="n">
        <v>7482000</v>
      </c>
      <c r="AH8" s="1" t="n">
        <v>13012000</v>
      </c>
      <c r="AI8" s="1" t="n">
        <v>12783000</v>
      </c>
      <c r="AJ8" s="1" t="n">
        <v>23886883</v>
      </c>
      <c r="AK8" s="1" t="n">
        <v>36464646</v>
      </c>
      <c r="AL8" s="1" t="n">
        <v>66146424</v>
      </c>
      <c r="AM8" s="1" t="n">
        <v>1508943310.5183</v>
      </c>
      <c r="AN8" s="1" t="n">
        <v>1471845799.5311</v>
      </c>
      <c r="AO8" s="1" t="n">
        <v>1790788793.2658</v>
      </c>
      <c r="AP8" s="1" t="n">
        <v>1295000323.5638</v>
      </c>
      <c r="AQ8" s="1" t="n">
        <v>920584562.7032</v>
      </c>
      <c r="AR8" s="1" t="n">
        <v>635956707.3582</v>
      </c>
      <c r="AS8" s="1" t="n">
        <v>375101443.6006</v>
      </c>
      <c r="AT8" s="1" t="n">
        <v>226425303.3068</v>
      </c>
      <c r="AU8" s="1" t="n">
        <v>65445529.239</v>
      </c>
      <c r="AV8" s="1" t="n">
        <v>33542977.5288</v>
      </c>
      <c r="AW8" s="1" t="n">
        <v>36347004.1735</v>
      </c>
      <c r="AX8" s="1" t="n">
        <v>5522278.0096</v>
      </c>
      <c r="AY8" s="1" t="n">
        <v>1131739.7445</v>
      </c>
      <c r="AZ8" s="1" t="n">
        <v>489206.43</v>
      </c>
      <c r="BA8" s="1" t="n">
        <v>950669.11</v>
      </c>
      <c r="BB8" s="1" t="n">
        <v>1359117.1798</v>
      </c>
      <c r="BC8" s="1" t="n">
        <v>-80699.97</v>
      </c>
      <c r="BD8" s="1" t="n">
        <v>-234935.9799</v>
      </c>
      <c r="BE8" s="1" t="n">
        <v>2144956.011</v>
      </c>
      <c r="BF8" s="1" t="n">
        <v>1151915.5</v>
      </c>
      <c r="BG8" s="1" t="n">
        <v>1481539.125</v>
      </c>
      <c r="BH8" s="1" t="n">
        <v>1930569.125</v>
      </c>
      <c r="BI8" s="1" t="n">
        <v>1306848.125</v>
      </c>
      <c r="BJ8" s="1"/>
      <c r="BK8" s="1" t="n">
        <v>-1308610.11</v>
      </c>
      <c r="BL8" s="1" t="n">
        <v>0</v>
      </c>
      <c r="BM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n">
        <v>670000</v>
      </c>
      <c r="AB9" s="1" t="n">
        <v>419467000</v>
      </c>
      <c r="AC9" s="1" t="n">
        <v>12183236305</v>
      </c>
      <c r="AD9" s="1" t="n">
        <v>18492829868</v>
      </c>
      <c r="AE9" s="1" t="n">
        <v>17657715911</v>
      </c>
      <c r="AF9" s="1" t="n">
        <v>17178015869</v>
      </c>
      <c r="AG9" s="1" t="n">
        <v>20421359377</v>
      </c>
      <c r="AH9" s="1" t="n">
        <v>20227490886</v>
      </c>
      <c r="AI9" s="1" t="n">
        <v>20389861737</v>
      </c>
      <c r="AJ9" s="1" t="n">
        <v>20332759516</v>
      </c>
      <c r="AK9" s="1" t="n">
        <v>19691224046</v>
      </c>
      <c r="AL9" s="1" t="n">
        <v>20719399452</v>
      </c>
      <c r="AM9" s="1" t="n">
        <v>39500</v>
      </c>
      <c r="AN9" s="1" t="n">
        <v>773740.3125</v>
      </c>
      <c r="AO9" s="1" t="n">
        <v>1369209.8414</v>
      </c>
      <c r="AP9" s="1" t="n">
        <v>5637322.5</v>
      </c>
      <c r="AQ9" s="1" t="n">
        <v>1621693.3657</v>
      </c>
      <c r="AR9" s="1" t="n">
        <v>369047.8403</v>
      </c>
      <c r="AS9" s="1" t="n">
        <v>647421.89</v>
      </c>
      <c r="AT9" s="1" t="n">
        <v>0</v>
      </c>
      <c r="AU9" s="1" t="n">
        <v>0</v>
      </c>
      <c r="AV9" s="1" t="n">
        <v>0</v>
      </c>
      <c r="AW9" s="1" t="n">
        <v>0</v>
      </c>
      <c r="AX9" s="1"/>
      <c r="AY9" s="1"/>
      <c r="AZ9" s="1"/>
      <c r="BA9" s="1" t="n">
        <v>0</v>
      </c>
      <c r="BB9" s="1" t="n">
        <v>10740</v>
      </c>
      <c r="BC9" s="1" t="n">
        <v>-5000</v>
      </c>
      <c r="BD9" s="1"/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21971.79</v>
      </c>
      <c r="BM9" s="1"/>
    </row>
    <row r="10">
      <c r="A10" t="str">
        <f>M10</f>
      </c>
      <c r="B10" t="str">
        <f>N10</f>
      </c>
      <c r="M10" t="s">
        <v>61</v>
      </c>
      <c r="N10" t="s">
        <v>62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 t="str">
        <f>Sum(BK2:BK9)</f>
      </c>
      <c r="BL10" s="1" t="str">
        <f>Sum(BL2:BL9)</f>
      </c>
      <c r="BM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4</v>
      </c>
      <c r="P13" t="s">
        <v>5</v>
      </c>
      <c r="Q13" t="s">
        <v>6</v>
      </c>
      <c r="R13" t="s">
        <v>7</v>
      </c>
      <c r="S13" t="s">
        <v>8</v>
      </c>
      <c r="T13" t="s">
        <v>9</v>
      </c>
      <c r="U13" t="s">
        <v>10</v>
      </c>
      <c r="V13" t="s">
        <v>11</v>
      </c>
      <c r="W13" t="s">
        <v>12</v>
      </c>
      <c r="X13" t="s">
        <v>13</v>
      </c>
      <c r="Y13" t="s">
        <v>14</v>
      </c>
      <c r="Z13" t="s">
        <v>15</v>
      </c>
      <c r="AA13" t="s">
        <v>16</v>
      </c>
      <c r="AB13" t="s">
        <v>17</v>
      </c>
      <c r="AC13" t="s">
        <v>18</v>
      </c>
      <c r="AD13" t="s">
        <v>19</v>
      </c>
      <c r="AE13" t="s">
        <v>20</v>
      </c>
      <c r="AF13" t="s">
        <v>21</v>
      </c>
      <c r="AG13" t="s">
        <v>22</v>
      </c>
      <c r="AH13" t="s">
        <v>23</v>
      </c>
      <c r="AI13" t="s">
        <v>24</v>
      </c>
      <c r="AJ13" t="s">
        <v>25</v>
      </c>
      <c r="AK13" t="s">
        <v>26</v>
      </c>
      <c r="AL13" t="s">
        <v>27</v>
      </c>
      <c r="AM13" t="s">
        <v>28</v>
      </c>
      <c r="AN13" t="s">
        <v>29</v>
      </c>
      <c r="AO13" t="s">
        <v>30</v>
      </c>
      <c r="AP13" t="s">
        <v>31</v>
      </c>
      <c r="AQ13" t="s">
        <v>32</v>
      </c>
      <c r="AR13" t="s">
        <v>33</v>
      </c>
      <c r="AS13" t="s">
        <v>34</v>
      </c>
      <c r="AT13" t="s">
        <v>35</v>
      </c>
      <c r="AU13" t="s">
        <v>36</v>
      </c>
      <c r="AV13" t="s">
        <v>37</v>
      </c>
      <c r="AW13" t="s">
        <v>38</v>
      </c>
      <c r="AX13" t="s">
        <v>39</v>
      </c>
      <c r="AY13" t="s">
        <v>40</v>
      </c>
      <c r="AZ13" t="s">
        <v>41</v>
      </c>
      <c r="BA13" t="s">
        <v>42</v>
      </c>
      <c r="BB13" t="s">
        <v>43</v>
      </c>
      <c r="BC13" t="s">
        <v>44</v>
      </c>
      <c r="BD13" t="s">
        <v>45</v>
      </c>
      <c r="BE13" t="s">
        <v>46</v>
      </c>
      <c r="BF13" t="s">
        <v>47</v>
      </c>
      <c r="BG13" t="s">
        <v>48</v>
      </c>
      <c r="BH13" t="s">
        <v>49</v>
      </c>
      <c r="BI13" t="s">
        <v>50</v>
      </c>
      <c r="BJ13" t="s">
        <v>51</v>
      </c>
    </row>
    <row r="14">
      <c r="A14" t="str">
        <f>M14</f>
      </c>
      <c r="B14" t="str">
        <f>N14</f>
      </c>
      <c r="M14" t="s">
        <v>52</v>
      </c>
      <c r="N14" t="s">
        <v>53</v>
      </c>
      <c r="O14" s="1" t="n">
        <v>11789323139.4801</v>
      </c>
      <c r="P14" s="1" t="n">
        <v>343552132.848585</v>
      </c>
      <c r="Q14" s="1" t="n">
        <v>1450944315.26343</v>
      </c>
      <c r="R14" s="1" t="n">
        <v>7565352921.08131</v>
      </c>
      <c r="S14" s="1" t="n">
        <v>1691168106.68209</v>
      </c>
      <c r="T14" s="1" t="n">
        <v>1753695219.5767</v>
      </c>
      <c r="U14" s="1" t="n">
        <v>3965827502.29339</v>
      </c>
      <c r="V14" s="1" t="n">
        <v>5553662695.42938</v>
      </c>
      <c r="W14" s="1" t="n">
        <v>4397119975.20121</v>
      </c>
      <c r="X14" s="1" t="n">
        <v>5371261625.25043</v>
      </c>
      <c r="Y14" s="1" t="n">
        <v>6177766200.54469</v>
      </c>
      <c r="Z14" s="1" t="n">
        <v>5367788990.76696</v>
      </c>
      <c r="AA14" s="1" t="n">
        <v>5057108537.467</v>
      </c>
      <c r="AB14" s="1" t="n">
        <v>5622308139.33805</v>
      </c>
      <c r="AC14" s="1" t="n">
        <v>6022976792.31888</v>
      </c>
      <c r="AD14" s="1" t="n">
        <v>6725596305.90635</v>
      </c>
      <c r="AE14" s="1" t="n">
        <v>10094461447.4271</v>
      </c>
      <c r="AF14" s="1" t="n">
        <v>7466539718.00732</v>
      </c>
      <c r="AG14" s="1" t="n">
        <v>6447587787.71114</v>
      </c>
      <c r="AH14" s="1" t="n">
        <v>8319018524.28523</v>
      </c>
      <c r="AI14" s="1" t="n">
        <v>8127663536.46766</v>
      </c>
      <c r="AJ14" s="1" t="n">
        <v>11371319688.3008</v>
      </c>
      <c r="AK14" s="1" t="n">
        <v>54187684132.7602</v>
      </c>
      <c r="AL14" s="1" t="n">
        <v>57651247997.8353</v>
      </c>
      <c r="AM14" s="1" t="n">
        <v>68771775763.2791</v>
      </c>
      <c r="AN14" s="1" t="n">
        <v>73227187579.169</v>
      </c>
      <c r="AO14" s="1" t="n">
        <v>64085031128.7167</v>
      </c>
      <c r="AP14" s="1" t="n">
        <v>69831863773.7732</v>
      </c>
      <c r="AQ14" s="1" t="n">
        <v>71354253083.755</v>
      </c>
      <c r="AR14" s="1" t="n">
        <v>72780622881.8972</v>
      </c>
      <c r="AS14" s="1" t="n">
        <v>76418460990.374</v>
      </c>
      <c r="AT14" s="1" t="n">
        <v>98103832027.3827</v>
      </c>
      <c r="AU14" s="1" t="n">
        <v>93640689781.0009</v>
      </c>
      <c r="AV14" s="1" t="n">
        <v>76993862726.4879</v>
      </c>
      <c r="AW14" s="1" t="n">
        <v>72395204672.0397</v>
      </c>
      <c r="AX14" s="1" t="n">
        <v>63684671919.1878</v>
      </c>
      <c r="AY14" s="1" t="n">
        <v>65617892851.7384</v>
      </c>
      <c r="AZ14" s="1" t="n">
        <v>62155397404.5534</v>
      </c>
      <c r="BA14" s="1" t="n">
        <v>65419812298.1012</v>
      </c>
      <c r="BB14" s="1" t="n">
        <v>68768329948.5289</v>
      </c>
      <c r="BC14" s="1" t="n">
        <v>72279987874.0854</v>
      </c>
      <c r="BD14" s="1" t="n">
        <v>78483272294.9995</v>
      </c>
      <c r="BE14" s="1" t="n">
        <v>81531378335.0891</v>
      </c>
      <c r="BF14" s="1" t="n">
        <v>75628843750.8789</v>
      </c>
      <c r="BG14" s="1" t="n">
        <v>77726971040.2901</v>
      </c>
      <c r="BH14" s="1" t="n">
        <v>79770361918.8</v>
      </c>
      <c r="BI14" s="1" t="n">
        <v>76276445614.7109</v>
      </c>
      <c r="BJ14" s="1" t="n">
        <v>27751721798.5414</v>
      </c>
      <c r="BK14" s="1"/>
    </row>
    <row r="15">
      <c r="A15" t="str">
        <f>M15</f>
      </c>
      <c r="B15" t="str">
        <f>N15</f>
      </c>
      <c r="M15" t="s">
        <v>52</v>
      </c>
      <c r="N15" t="s">
        <v>54</v>
      </c>
      <c r="O15" s="1"/>
      <c r="P15" s="1" t="n">
        <v>3028572.14710925</v>
      </c>
      <c r="Q15" s="1" t="n">
        <v>956978.265138067</v>
      </c>
      <c r="R15" s="1" t="n">
        <v>1570457.58733362</v>
      </c>
      <c r="S15" s="1" t="n">
        <v>435676.140001483</v>
      </c>
      <c r="T15" s="1" t="n">
        <v>3862844.20940828</v>
      </c>
      <c r="U15" s="1" t="n">
        <v>6380875.28140437</v>
      </c>
      <c r="V15" s="1" t="n">
        <v>7024260.70600902</v>
      </c>
      <c r="W15" s="1" t="n">
        <v>13487734.4381721</v>
      </c>
      <c r="X15" s="1" t="n">
        <v>1982687.6047566</v>
      </c>
      <c r="Y15" s="1" t="n">
        <v>15456698.3295087</v>
      </c>
      <c r="Z15" s="1" t="n">
        <v>53793123.3016722</v>
      </c>
      <c r="AA15" s="1" t="n">
        <v>31051116.7235366</v>
      </c>
      <c r="AB15" s="1" t="n">
        <v>29837558.3178792</v>
      </c>
      <c r="AC15" s="1" t="n">
        <v>19870954.3598972</v>
      </c>
      <c r="AD15" s="1" t="n">
        <v>20519485.4166085</v>
      </c>
      <c r="AE15" s="1" t="n">
        <v>39711403.3464884</v>
      </c>
      <c r="AF15" s="1" t="n">
        <v>11803869.8535846</v>
      </c>
      <c r="AG15" s="1" t="n">
        <v>12736960.6886796</v>
      </c>
      <c r="AH15" s="1" t="n">
        <v>19043915.7072433</v>
      </c>
      <c r="AI15" s="1" t="n">
        <v>151233087.77787</v>
      </c>
      <c r="AJ15" s="1" t="n">
        <v>343511621.342011</v>
      </c>
      <c r="AK15" s="1" t="n">
        <v>10487491589.3543</v>
      </c>
      <c r="AL15" s="1" t="n">
        <v>10283238229.5271</v>
      </c>
      <c r="AM15" s="1" t="n">
        <v>11579565252.6074</v>
      </c>
      <c r="AN15" s="1" t="n">
        <v>12694694831.3027</v>
      </c>
      <c r="AO15" s="1" t="n">
        <v>4516470586.53005</v>
      </c>
      <c r="AP15" s="1" t="n">
        <v>5920467255.67702</v>
      </c>
      <c r="AQ15" s="1" t="n">
        <v>5536258892.03792</v>
      </c>
      <c r="AR15" s="1" t="n">
        <v>6201970715.49477</v>
      </c>
      <c r="AS15" s="1" t="n">
        <v>6434541554.41583</v>
      </c>
      <c r="AT15" s="1" t="n">
        <v>6255545627.71271</v>
      </c>
      <c r="AU15" s="1" t="n">
        <v>6716890792.64498</v>
      </c>
      <c r="AV15" s="1" t="n">
        <v>5800838120.6189</v>
      </c>
      <c r="AW15" s="1" t="n">
        <v>4777488701.42556</v>
      </c>
      <c r="AX15" s="1" t="n">
        <v>3824261809.3644</v>
      </c>
      <c r="AY15" s="1" t="n">
        <v>4287063576.38565</v>
      </c>
      <c r="AZ15" s="1" t="n">
        <v>4192786309.95761</v>
      </c>
      <c r="BA15" s="1" t="n">
        <v>4161116351.48778</v>
      </c>
      <c r="BB15" s="1" t="n">
        <v>4233538099.93189</v>
      </c>
      <c r="BC15" s="1" t="n">
        <v>4572437387.52411</v>
      </c>
      <c r="BD15" s="1" t="n">
        <v>4754195436.28378</v>
      </c>
      <c r="BE15" s="1" t="n">
        <v>4837178289.43974</v>
      </c>
      <c r="BF15" s="1" t="n">
        <v>4811243885.02027</v>
      </c>
      <c r="BG15" s="1" t="n">
        <v>4681658647.86086</v>
      </c>
      <c r="BH15" s="1" t="n">
        <v>5094708924.35</v>
      </c>
      <c r="BI15" s="1" t="n">
        <v>4632187407.69631</v>
      </c>
      <c r="BJ15" s="1" t="n">
        <v>1571616904.58527</v>
      </c>
      <c r="BK15" s="1"/>
    </row>
    <row r="16">
      <c r="A16" t="str">
        <f>M16</f>
      </c>
      <c r="B16" t="str">
        <f>N16</f>
      </c>
      <c r="M16" t="s">
        <v>55</v>
      </c>
      <c r="N16" t="s">
        <v>56</v>
      </c>
      <c r="O16" s="1"/>
      <c r="P16" s="1" t="n">
        <v>796631.222368872</v>
      </c>
      <c r="Q16" s="1" t="n">
        <v>2037131.95054143</v>
      </c>
      <c r="R16" s="1" t="n">
        <v>5229106.03255041</v>
      </c>
      <c r="S16" s="1" t="n">
        <v>8764620.61891873</v>
      </c>
      <c r="T16" s="1" t="n">
        <v>3710804.31057233</v>
      </c>
      <c r="U16" s="1" t="n">
        <v>19985946.203042</v>
      </c>
      <c r="V16" s="1" t="n">
        <v>9799782.49971307</v>
      </c>
      <c r="W16" s="1" t="n">
        <v>5219463.6497517</v>
      </c>
      <c r="X16" s="1" t="n">
        <v>43202325.3807649</v>
      </c>
      <c r="Y16" s="1" t="n">
        <v>4690539.19003707</v>
      </c>
      <c r="Z16" s="1" t="n">
        <v>3232904.11043048</v>
      </c>
      <c r="AA16" s="1" t="n">
        <v>3913189.42522689</v>
      </c>
      <c r="AB16" s="1" t="n">
        <v>9169727.46591494</v>
      </c>
      <c r="AC16" s="1" t="n">
        <v>12263495.8525052</v>
      </c>
      <c r="AD16" s="1" t="n">
        <v>11439898.641356</v>
      </c>
      <c r="AE16" s="1" t="n">
        <v>11452561.5805522</v>
      </c>
      <c r="AF16" s="1" t="n">
        <v>9534666.62412093</v>
      </c>
      <c r="AG16" s="1" t="n">
        <v>31077897.6151393</v>
      </c>
      <c r="AH16" s="1" t="n">
        <v>14744870.313467</v>
      </c>
      <c r="AI16" s="1" t="n">
        <v>15142955.515164</v>
      </c>
      <c r="AJ16" s="1" t="n">
        <v>14700277.391504</v>
      </c>
      <c r="AK16" s="1" t="n">
        <v>3992017046.77456</v>
      </c>
      <c r="AL16" s="1" t="n">
        <v>4074609815.30679</v>
      </c>
      <c r="AM16" s="1" t="n">
        <v>4107241424.42349</v>
      </c>
      <c r="AN16" s="1" t="n">
        <v>7888516320.06215</v>
      </c>
      <c r="AO16" s="1" t="n">
        <v>7040768497.92086</v>
      </c>
      <c r="AP16" s="1" t="n">
        <v>6627672954.3321</v>
      </c>
      <c r="AQ16" s="1" t="n">
        <v>8911004765.45612</v>
      </c>
      <c r="AR16" s="1" t="n">
        <v>7217327217.18607</v>
      </c>
      <c r="AS16" s="1" t="n">
        <v>7523411577.29758</v>
      </c>
      <c r="AT16" s="1" t="n">
        <v>6914678690.82925</v>
      </c>
      <c r="AU16" s="1" t="n">
        <v>8940731583.7421</v>
      </c>
      <c r="AV16" s="1" t="n">
        <v>6475844780.39715</v>
      </c>
      <c r="AW16" s="1" t="n">
        <v>2586329576.89666</v>
      </c>
      <c r="AX16" s="1" t="n">
        <v>2271243680.0294</v>
      </c>
      <c r="AY16" s="1" t="n">
        <v>2125960342.58511</v>
      </c>
      <c r="AZ16" s="1" t="n">
        <v>2063833577.36961</v>
      </c>
      <c r="BA16" s="1" t="n">
        <v>2079336150.99626</v>
      </c>
      <c r="BB16" s="1" t="n">
        <v>2367958026.96572</v>
      </c>
      <c r="BC16" s="1" t="n">
        <v>3738128003.48578</v>
      </c>
      <c r="BD16" s="1" t="n">
        <v>2501420734.471</v>
      </c>
      <c r="BE16" s="1" t="n">
        <v>2772097351.1398</v>
      </c>
      <c r="BF16" s="1" t="n">
        <v>2800261413.24346</v>
      </c>
      <c r="BG16" s="1" t="n">
        <v>3789185344.79533</v>
      </c>
      <c r="BH16" s="1" t="n">
        <v>5381460029.1132</v>
      </c>
      <c r="BI16" s="1" t="n">
        <v>5923370020.41523</v>
      </c>
      <c r="BJ16" s="1" t="n">
        <v>1808261390.55728</v>
      </c>
      <c r="BK16" s="1"/>
    </row>
    <row r="17">
      <c r="A17" t="str">
        <f>M17</f>
      </c>
      <c r="B17" t="str">
        <f>N17</f>
      </c>
      <c r="M17" t="s">
        <v>55</v>
      </c>
      <c r="N17" t="s">
        <v>57</v>
      </c>
      <c r="O17" s="1"/>
      <c r="P17" s="1" t="n">
        <v>8278783.95315237</v>
      </c>
      <c r="Q17" s="1" t="n">
        <v>7175757.81648082</v>
      </c>
      <c r="R17" s="1" t="n">
        <v>7023914.70378883</v>
      </c>
      <c r="S17" s="1" t="n">
        <v>8167582.94558336</v>
      </c>
      <c r="T17" s="1" t="n">
        <v>3978806.84411367</v>
      </c>
      <c r="U17" s="1" t="n">
        <v>6209226.00482858</v>
      </c>
      <c r="V17" s="1" t="n">
        <v>4289661.61004389</v>
      </c>
      <c r="W17" s="1" t="n">
        <v>1833992.86565475</v>
      </c>
      <c r="X17" s="1" t="n">
        <v>13561030.5510007</v>
      </c>
      <c r="Y17" s="1" t="n">
        <v>704807.600595204</v>
      </c>
      <c r="Z17" s="1" t="n">
        <v>3537328.76804396</v>
      </c>
      <c r="AA17" s="1" t="n">
        <v>4231704.84355931</v>
      </c>
      <c r="AB17" s="1" t="n">
        <v>1485687.55109772</v>
      </c>
      <c r="AC17" s="1" t="n">
        <v>4811887.96754373</v>
      </c>
      <c r="AD17" s="1" t="n">
        <v>7798546.54469806</v>
      </c>
      <c r="AE17" s="1" t="n">
        <v>21029272.5573932</v>
      </c>
      <c r="AF17" s="1" t="n">
        <v>81906562.2261867</v>
      </c>
      <c r="AG17" s="1" t="n">
        <v>149182144.42829</v>
      </c>
      <c r="AH17" s="1" t="n">
        <v>272157974.799766</v>
      </c>
      <c r="AI17" s="1" t="n">
        <v>366392318.250605</v>
      </c>
      <c r="AJ17" s="1" t="n">
        <v>640510826.670259</v>
      </c>
      <c r="AK17" s="1" t="n">
        <v>2240127469.62257</v>
      </c>
      <c r="AL17" s="1" t="n">
        <v>2810160456.68444</v>
      </c>
      <c r="AM17" s="1" t="n">
        <v>4396738212.33291</v>
      </c>
      <c r="AN17" s="1" t="n">
        <v>5313448101.44675</v>
      </c>
      <c r="AO17" s="1" t="n">
        <v>5147407568.28119</v>
      </c>
      <c r="AP17" s="1" t="n">
        <v>5112493605.84918</v>
      </c>
      <c r="AQ17" s="1" t="n">
        <v>5205261872.15839</v>
      </c>
      <c r="AR17" s="1" t="n">
        <v>5566763464.5413</v>
      </c>
      <c r="AS17" s="1" t="n">
        <v>5487568855.26313</v>
      </c>
      <c r="AT17" s="1" t="n">
        <v>5295046141.4654</v>
      </c>
      <c r="AU17" s="1" t="n">
        <v>5080317965.85547</v>
      </c>
      <c r="AV17" s="1" t="n">
        <v>4588904220.91306</v>
      </c>
      <c r="AW17" s="1" t="n">
        <v>3911299948.21173</v>
      </c>
      <c r="AX17" s="1" t="n">
        <v>3176246304.72298</v>
      </c>
      <c r="AY17" s="1" t="n">
        <v>3154485969.29468</v>
      </c>
      <c r="AZ17" s="1" t="n">
        <v>2834808258.28562</v>
      </c>
      <c r="BA17" s="1" t="n">
        <v>2880252760.70627</v>
      </c>
      <c r="BB17" s="1" t="n">
        <v>2734869124.48846</v>
      </c>
      <c r="BC17" s="1" t="n">
        <v>2914666641.20493</v>
      </c>
      <c r="BD17" s="1" t="n">
        <v>2808458896.35872</v>
      </c>
      <c r="BE17" s="1" t="n">
        <v>2898116935.4653</v>
      </c>
      <c r="BF17" s="1" t="n">
        <v>2789963119.95269</v>
      </c>
      <c r="BG17" s="1" t="n">
        <v>2620784553.45556</v>
      </c>
      <c r="BH17" s="1" t="n">
        <v>2528021609.5731</v>
      </c>
      <c r="BI17" s="1" t="n">
        <v>2636786895.01322</v>
      </c>
      <c r="BJ17" s="1" t="n">
        <v>832656827.597834</v>
      </c>
      <c r="BK17" s="1"/>
    </row>
    <row r="18">
      <c r="A18" t="str">
        <f>M18</f>
      </c>
      <c r="B18" t="str">
        <f>N18</f>
      </c>
      <c r="M18" t="s">
        <v>55</v>
      </c>
      <c r="N18" t="s">
        <v>58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n">
        <v>215030.719530251</v>
      </c>
      <c r="AG18" s="1" t="n">
        <v>5371.22323109908</v>
      </c>
      <c r="AH18" s="1" t="n">
        <v>425776450.0371</v>
      </c>
      <c r="AI18" s="1" t="n">
        <v>599250621.547134</v>
      </c>
      <c r="AJ18" s="1" t="n">
        <v>938680333.065309</v>
      </c>
      <c r="AK18" s="1" t="n">
        <v>3000081641.24226</v>
      </c>
      <c r="AL18" s="1" t="n">
        <v>3822506522.45796</v>
      </c>
      <c r="AM18" s="1" t="n">
        <v>5159897577.43359</v>
      </c>
      <c r="AN18" s="1" t="n">
        <v>7790235092.11073</v>
      </c>
      <c r="AO18" s="1" t="n">
        <v>10673769759.5752</v>
      </c>
      <c r="AP18" s="1" t="n">
        <v>13263829006.6282</v>
      </c>
      <c r="AQ18" s="1" t="n">
        <v>17222365228.2606</v>
      </c>
      <c r="AR18" s="1" t="n">
        <v>14952098306.4755</v>
      </c>
      <c r="AS18" s="1" t="n">
        <v>18616562233.57</v>
      </c>
      <c r="AT18" s="1" t="n">
        <v>22432840348.2453</v>
      </c>
      <c r="AU18" s="1" t="n">
        <v>22694371141.158</v>
      </c>
      <c r="AV18" s="1" t="n">
        <v>19476963190.1275</v>
      </c>
      <c r="AW18" s="1" t="n">
        <v>18042763703.2564</v>
      </c>
      <c r="AX18" s="1" t="n">
        <v>15064327537.0341</v>
      </c>
      <c r="AY18" s="1" t="n">
        <v>17390897324.4705</v>
      </c>
      <c r="AZ18" s="1" t="n">
        <v>14632241083.6363</v>
      </c>
      <c r="BA18" s="1" t="n">
        <v>14969646078.4333</v>
      </c>
      <c r="BB18" s="1" t="n">
        <v>15083243638.1736</v>
      </c>
      <c r="BC18" s="1" t="n">
        <v>17736970564.4405</v>
      </c>
      <c r="BD18" s="1" t="n">
        <v>18942194086.3402</v>
      </c>
      <c r="BE18" s="1" t="n">
        <v>25580303714.1296</v>
      </c>
      <c r="BF18" s="1" t="n">
        <v>18939600704.5395</v>
      </c>
      <c r="BG18" s="1" t="n">
        <v>22904276247.1326</v>
      </c>
      <c r="BH18" s="1" t="n">
        <v>25724105346.3903</v>
      </c>
      <c r="BI18" s="1" t="n">
        <v>25238799255.6265</v>
      </c>
      <c r="BJ18" s="1" t="n">
        <v>6783988997.3414</v>
      </c>
      <c r="BK18" s="1"/>
    </row>
    <row r="19">
      <c r="A19" t="str">
        <f>M19</f>
      </c>
      <c r="B19" t="str">
        <f>N19</f>
      </c>
      <c r="M19" t="s">
        <v>55</v>
      </c>
      <c r="N19" t="s">
        <v>59</v>
      </c>
      <c r="O19" s="1"/>
      <c r="P19" s="1" t="n">
        <v>129198475.745048</v>
      </c>
      <c r="Q19" s="1" t="n">
        <v>93140741.6785584</v>
      </c>
      <c r="R19" s="1" t="n">
        <v>166226895.397774</v>
      </c>
      <c r="S19" s="1" t="n">
        <v>140034917.344921</v>
      </c>
      <c r="T19" s="1" t="n">
        <v>138459385.83823</v>
      </c>
      <c r="U19" s="1" t="n">
        <v>115417968.637831</v>
      </c>
      <c r="V19" s="1" t="n">
        <v>124039104.064165</v>
      </c>
      <c r="W19" s="1" t="n">
        <v>118018264.906812</v>
      </c>
      <c r="X19" s="1" t="n">
        <v>119633666.018949</v>
      </c>
      <c r="Y19" s="1" t="n">
        <v>118931821.792842</v>
      </c>
      <c r="Z19" s="1" t="n">
        <v>62295575.3586797</v>
      </c>
      <c r="AA19" s="1" t="n">
        <v>68840695.9985475</v>
      </c>
      <c r="AB19" s="1" t="n">
        <v>65068721.5759666</v>
      </c>
      <c r="AC19" s="1" t="n">
        <v>673933157.779815</v>
      </c>
      <c r="AD19" s="1" t="n">
        <v>117722457.799218</v>
      </c>
      <c r="AE19" s="1" t="n">
        <v>98034150.6668377</v>
      </c>
      <c r="AF19" s="1" t="n">
        <v>83654067.6070759</v>
      </c>
      <c r="AG19" s="1" t="n">
        <v>182866875.718256</v>
      </c>
      <c r="AH19" s="1" t="n">
        <v>955993582.027693</v>
      </c>
      <c r="AI19" s="1" t="n">
        <v>1734971360.88555</v>
      </c>
      <c r="AJ19" s="1" t="n">
        <v>4124002366.47617</v>
      </c>
      <c r="AK19" s="1" t="n">
        <v>14263153379.133</v>
      </c>
      <c r="AL19" s="1" t="n">
        <v>15338251129.3136</v>
      </c>
      <c r="AM19" s="1" t="n">
        <v>16004975115.6427</v>
      </c>
      <c r="AN19" s="1" t="n">
        <v>24431758647.0488</v>
      </c>
      <c r="AO19" s="1" t="n">
        <v>25126415136.0943</v>
      </c>
      <c r="AP19" s="1" t="n">
        <v>28595535479.5402</v>
      </c>
      <c r="AQ19" s="1" t="n">
        <v>30292834277.0906</v>
      </c>
      <c r="AR19" s="1" t="n">
        <v>29459588801.4047</v>
      </c>
      <c r="AS19" s="1" t="n">
        <v>32075647359.5435</v>
      </c>
      <c r="AT19" s="1" t="n">
        <v>33946203910.1866</v>
      </c>
      <c r="AU19" s="1" t="n">
        <v>29868979967.0291</v>
      </c>
      <c r="AV19" s="1" t="n">
        <v>28880041300.8857</v>
      </c>
      <c r="AW19" s="1" t="n">
        <v>27059507676.4531</v>
      </c>
      <c r="AX19" s="1" t="n">
        <v>21664587061.2731</v>
      </c>
      <c r="AY19" s="1" t="n">
        <v>22144737952.6955</v>
      </c>
      <c r="AZ19" s="1" t="n">
        <v>21078674049.98</v>
      </c>
      <c r="BA19" s="1" t="n">
        <v>22064170721.5825</v>
      </c>
      <c r="BB19" s="1" t="n">
        <v>21901581753.0616</v>
      </c>
      <c r="BC19" s="1" t="n">
        <v>24628741766.8512</v>
      </c>
      <c r="BD19" s="1" t="n">
        <v>24647812545.1234</v>
      </c>
      <c r="BE19" s="1" t="n">
        <v>25107730643.1734</v>
      </c>
      <c r="BF19" s="1" t="n">
        <v>26303600521.07</v>
      </c>
      <c r="BG19" s="1" t="n">
        <v>27421313339.5386</v>
      </c>
      <c r="BH19" s="1" t="n">
        <v>29314885971.2339</v>
      </c>
      <c r="BI19" s="1" t="n">
        <v>28539057110.0638</v>
      </c>
      <c r="BJ19" s="1" t="n">
        <v>13115115054.6634</v>
      </c>
      <c r="BK19" s="1"/>
    </row>
    <row r="20">
      <c r="A20" t="str">
        <f>M20</f>
      </c>
      <c r="B20" t="str">
        <f>N20</f>
      </c>
      <c r="M20" t="s">
        <v>55</v>
      </c>
      <c r="N20" t="s">
        <v>60</v>
      </c>
      <c r="O20" s="1"/>
      <c r="P20" s="1" t="n">
        <v>48072.5737636388</v>
      </c>
      <c r="Q20" s="1" t="n">
        <v>568501.939685981</v>
      </c>
      <c r="R20" s="1" t="n">
        <v>59335109.1009254</v>
      </c>
      <c r="S20" s="1" t="n">
        <v>45240395.2290429</v>
      </c>
      <c r="T20" s="1" t="n">
        <v>64864343.9593168</v>
      </c>
      <c r="U20" s="1" t="n">
        <v>97243046.6861977</v>
      </c>
      <c r="V20" s="1" t="n">
        <v>95029725.8023023</v>
      </c>
      <c r="W20" s="1" t="n">
        <v>77922331.0236724</v>
      </c>
      <c r="X20" s="1" t="n">
        <v>266640395.403451</v>
      </c>
      <c r="Y20" s="1" t="n">
        <v>62973220.8709018</v>
      </c>
      <c r="Z20" s="1" t="n">
        <v>4617821.91901012</v>
      </c>
      <c r="AA20" s="1" t="n">
        <v>4293753.30167602</v>
      </c>
      <c r="AB20" s="1" t="n">
        <v>3736184.6883116</v>
      </c>
      <c r="AC20" s="1" t="n">
        <v>3826132.7806704</v>
      </c>
      <c r="AD20" s="1" t="n">
        <v>4412260.40776424</v>
      </c>
      <c r="AE20" s="1" t="n">
        <v>13937551.3574644</v>
      </c>
      <c r="AF20" s="1" t="n">
        <v>23735427.9917853</v>
      </c>
      <c r="AG20" s="1" t="n">
        <v>22886782.1877132</v>
      </c>
      <c r="AH20" s="1" t="n">
        <v>42021498.9036701</v>
      </c>
      <c r="AI20" s="1" t="n">
        <v>63353819.2541824</v>
      </c>
      <c r="AJ20" s="1" t="n">
        <v>113517418.439958</v>
      </c>
      <c r="AK20" s="1" t="n">
        <v>2536795342.73933</v>
      </c>
      <c r="AL20" s="1" t="n">
        <v>2415869525.98218</v>
      </c>
      <c r="AM20" s="1" t="n">
        <v>2893852105.66613</v>
      </c>
      <c r="AN20" s="1" t="n">
        <v>2053262623.68544</v>
      </c>
      <c r="AO20" s="1" t="n">
        <v>1424822588.74163</v>
      </c>
      <c r="AP20" s="1" t="n">
        <v>955226225.04207</v>
      </c>
      <c r="AQ20" s="1" t="n">
        <v>545687441.329879</v>
      </c>
      <c r="AR20" s="1" t="n">
        <v>320572219.685429</v>
      </c>
      <c r="AS20" s="1" t="n">
        <v>90773045.687665</v>
      </c>
      <c r="AT20" s="1" t="n">
        <v>46053214.0883388</v>
      </c>
      <c r="AU20" s="1" t="n">
        <v>49474562.8661119</v>
      </c>
      <c r="AV20" s="1" t="n">
        <v>7368872.72697033</v>
      </c>
      <c r="AW20" s="1" t="n">
        <v>1483266.80979228</v>
      </c>
      <c r="AX20" s="1" t="n">
        <v>629731.402400905</v>
      </c>
      <c r="AY20" s="1" t="n">
        <v>1201824.54701661</v>
      </c>
      <c r="AZ20" s="1" t="n">
        <v>1700568.20557022</v>
      </c>
      <c r="BA20" s="1" t="n">
        <v>-100173.330710934</v>
      </c>
      <c r="BB20" s="1" t="n">
        <v>-286786.350719022</v>
      </c>
      <c r="BC20" s="1" t="n">
        <v>2561482.8817592</v>
      </c>
      <c r="BD20" s="1" t="n">
        <v>1350632.26532315</v>
      </c>
      <c r="BE20" s="1" t="n">
        <v>1714719.64503586</v>
      </c>
      <c r="BF20" s="1" t="n">
        <v>2160078.58009537</v>
      </c>
      <c r="BG20" s="1" t="n">
        <v>1366631.97653318</v>
      </c>
      <c r="BH20" s="1"/>
      <c r="BI20" s="1" t="n">
        <v>-1274571.42092757</v>
      </c>
      <c r="BJ20" s="1" t="n">
        <v>0</v>
      </c>
      <c r="BK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n">
        <v>1494370.54556578</v>
      </c>
      <c r="Z21" s="1" t="n">
        <v>899268294.754604</v>
      </c>
      <c r="AA21" s="1" t="n">
        <v>25198367586.5573</v>
      </c>
      <c r="AB21" s="1" t="n">
        <v>36928181612.1716</v>
      </c>
      <c r="AC21" s="1" t="n">
        <v>34399575192.8933</v>
      </c>
      <c r="AD21" s="1" t="n">
        <v>32697963461.0589</v>
      </c>
      <c r="AE21" s="1" t="n">
        <v>38041131396.1741</v>
      </c>
      <c r="AF21" s="1" t="n">
        <v>36897337333.1652</v>
      </c>
      <c r="AG21" s="1" t="n">
        <v>36506166346.8909</v>
      </c>
      <c r="AH21" s="1" t="n">
        <v>35769130351.1715</v>
      </c>
      <c r="AI21" s="1" t="n">
        <v>34211610037.4016</v>
      </c>
      <c r="AJ21" s="1" t="n">
        <v>35557670319.6733</v>
      </c>
      <c r="AK21" s="1" t="n">
        <v>66406.3489593822</v>
      </c>
      <c r="AL21" s="1" t="n">
        <v>1270007.79741206</v>
      </c>
      <c r="AM21" s="1" t="n">
        <v>2212595.2527368</v>
      </c>
      <c r="AN21" s="1" t="n">
        <v>8938147.25471047</v>
      </c>
      <c r="AO21" s="1" t="n">
        <v>2509954.47140336</v>
      </c>
      <c r="AP21" s="1" t="n">
        <v>554321.027313483</v>
      </c>
      <c r="AQ21" s="1" t="n">
        <v>941851.866054747</v>
      </c>
      <c r="AR21" s="1" t="n">
        <v>0</v>
      </c>
      <c r="AS21" s="1" t="n">
        <v>0</v>
      </c>
      <c r="AT21" s="1" t="n">
        <v>0</v>
      </c>
      <c r="AU21" s="1" t="n">
        <v>0</v>
      </c>
      <c r="AV21" s="1"/>
      <c r="AW21" s="1"/>
      <c r="AX21" s="1"/>
      <c r="AY21" s="1" t="n">
        <v>0</v>
      </c>
      <c r="AZ21" s="1" t="n">
        <v>13438.2103318802</v>
      </c>
      <c r="BA21" s="1" t="n">
        <v>-6206.52837361243</v>
      </c>
      <c r="BB21" s="1"/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20940.7901733299</v>
      </c>
      <c r="BK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../output/FedAcqTrends/Platform//Facilities_and_Construction/DoD_Facilities_and_Construction_Contracts.xlsx</dc:creator>
  <cp:lastModifiedBy>../output/FedAcqTrends/Platform//Facilities_and_Construction/DoD_Facilities_and_Construction_Contracts.xlsx</cp:lastModifiedBy>
  <dcterms:created xsi:type="dcterms:W3CDTF">2025-11-13T21:10:27Z</dcterms:created>
</coreProperties>
</file>