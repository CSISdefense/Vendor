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<sst xmlns="http://schemas.openxmlformats.org/spreadsheetml/2006/main" count="59" uniqueCount="59">
  <si>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Vehicle.AwardTask</t>
  </si>
  <si>
    <t xml:space="preserve">Vehicle.sum7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</si>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</sst>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</row>
    <row r="2">
      <c r="A2" t="str">
        <f>M2</f>
      </c>
      <c r="B2" t="str">
        <f>N2</f>
      </c>
      <c r="M2" t="s">
        <v>48</v>
      </c>
      <c r="N2" t="s">
        <v>49</v>
      </c>
      <c r="O2" s="1"/>
      <c r="P2" s="1"/>
      <c r="Q2" s="1"/>
      <c r="R2" s="1"/>
      <c r="S2" s="1" t="n">
        <v>34259000</v>
      </c>
      <c r="T2" s="1" t="n">
        <v>54615000</v>
      </c>
      <c r="U2" s="1" t="n">
        <v>23796000</v>
      </c>
      <c r="V2" s="1" t="n">
        <v>-359000</v>
      </c>
      <c r="W2" s="1" t="n">
        <v>2341000</v>
      </c>
      <c r="X2" s="1" t="n">
        <v>60283000</v>
      </c>
      <c r="Y2" s="1" t="n">
        <v>274497000</v>
      </c>
      <c r="Z2" s="1" t="n">
        <v>233218000</v>
      </c>
      <c r="AA2" s="1" t="n">
        <v>218971000</v>
      </c>
      <c r="AB2" s="1" t="n">
        <v>153526000</v>
      </c>
      <c r="AC2" s="1" t="n">
        <v>124305000</v>
      </c>
      <c r="AD2" s="1" t="n">
        <v>90664000</v>
      </c>
      <c r="AE2" s="1" t="n">
        <v>119962000</v>
      </c>
      <c r="AF2" s="1" t="n">
        <v>2045244093</v>
      </c>
      <c r="AG2" s="1" t="n">
        <v>2349238382</v>
      </c>
      <c r="AH2" s="1" t="n">
        <v>2348803755.01</v>
      </c>
      <c r="AI2" s="1" t="n">
        <v>6903484077.6768</v>
      </c>
      <c r="AJ2" s="1" t="n">
        <v>7152388125.92</v>
      </c>
      <c r="AK2" s="1" t="n">
        <v>9309649374.83</v>
      </c>
      <c r="AL2" s="1" t="n">
        <v>10316775732.08</v>
      </c>
      <c r="AM2" s="1" t="n">
        <v>10432107196.62</v>
      </c>
      <c r="AN2" s="1" t="n">
        <v>10383379963.48</v>
      </c>
      <c r="AO2" s="1" t="n">
        <v>9741542231.56</v>
      </c>
      <c r="AP2" s="1" t="n">
        <v>11700179136.08</v>
      </c>
      <c r="AQ2" s="1" t="n">
        <v>11556361917.31</v>
      </c>
      <c r="AR2" s="1" t="n">
        <v>11179979785.09</v>
      </c>
      <c r="AS2" s="1" t="n">
        <v>10867174293.5434</v>
      </c>
      <c r="AT2" s="1" t="n">
        <v>10370344980.0866</v>
      </c>
      <c r="AU2" s="1" t="n">
        <v>11010530649.3743</v>
      </c>
      <c r="AV2" s="1" t="n">
        <v>9013084703.1511</v>
      </c>
      <c r="AW2" s="1" t="n">
        <v>8729702339.0091</v>
      </c>
      <c r="AX2" s="1" t="n">
        <v>8672938009.144</v>
      </c>
      <c r="AY2" s="1" t="n">
        <v>10211555119.4425</v>
      </c>
      <c r="AZ2" s="1" t="n">
        <v>12471323502.2065</v>
      </c>
      <c r="BA2" s="1" t="n">
        <v>12768025257.62</v>
      </c>
      <c r="BB2" s="1" t="n">
        <v>14581804234.95</v>
      </c>
      <c r="BC2" s="1" t="n">
        <v>15715255930.17</v>
      </c>
      <c r="BD2" s="1" t="n">
        <v>12983811392.85</v>
      </c>
      <c r="BE2" s="1" t="n">
        <v>10968528740.51</v>
      </c>
      <c r="BF2" s="1" t="n">
        <v>17078180270.95</v>
      </c>
      <c r="BG2" s="1" t="n">
        <v>18308914911.45</v>
      </c>
      <c r="BH2" s="1" t="n">
        <v>7895375276</v>
      </c>
      <c r="BI2" s="1"/>
    </row>
    <row r="3">
      <c r="A3" t="str">
        <f>M3</f>
      </c>
      <c r="B3" t="str">
        <f>N3</f>
      </c>
      <c r="M3" t="s">
        <v>48</v>
      </c>
      <c r="N3" t="s">
        <v>50</v>
      </c>
      <c r="O3" s="1"/>
      <c r="P3" s="1"/>
      <c r="Q3" s="1"/>
      <c r="R3" s="1"/>
      <c r="S3" s="1"/>
      <c r="T3" s="1"/>
      <c r="U3" s="1"/>
      <c r="V3" s="1"/>
      <c r="W3" s="1"/>
      <c r="X3" s="1" t="n">
        <v>462396000</v>
      </c>
      <c r="Y3" s="1" t="n">
        <v>177015000</v>
      </c>
      <c r="Z3" s="1" t="n">
        <v>33915000</v>
      </c>
      <c r="AA3" s="1" t="n">
        <v>257213000</v>
      </c>
      <c r="AB3" s="1" t="n">
        <v>117315000</v>
      </c>
      <c r="AC3" s="1" t="n">
        <v>334233000</v>
      </c>
      <c r="AD3" s="1" t="n">
        <v>272402000</v>
      </c>
      <c r="AE3" s="1" t="n">
        <v>186254000</v>
      </c>
      <c r="AF3" s="1" t="n">
        <v>5449635</v>
      </c>
      <c r="AG3" s="1" t="n">
        <v>16685247</v>
      </c>
      <c r="AH3" s="1" t="n">
        <v>16729772</v>
      </c>
      <c r="AI3" s="1" t="n">
        <v>38334647</v>
      </c>
      <c r="AJ3" s="1" t="n">
        <v>68127182</v>
      </c>
      <c r="AK3" s="1" t="n">
        <v>78573301.4</v>
      </c>
      <c r="AL3" s="1" t="n">
        <v>106584082.9</v>
      </c>
      <c r="AM3" s="1" t="n">
        <v>146222351.75</v>
      </c>
      <c r="AN3" s="1" t="n">
        <v>206522557.12</v>
      </c>
      <c r="AO3" s="1" t="n">
        <v>170551810.97</v>
      </c>
      <c r="AP3" s="1" t="n">
        <v>177155787.79</v>
      </c>
      <c r="AQ3" s="1" t="n">
        <v>191188414.7</v>
      </c>
      <c r="AR3" s="1" t="n">
        <v>180868741.43</v>
      </c>
      <c r="AS3" s="1" t="n">
        <v>192842362.8803</v>
      </c>
      <c r="AT3" s="1" t="n">
        <v>219104184.0955</v>
      </c>
      <c r="AU3" s="1" t="n">
        <v>140924400.4799</v>
      </c>
      <c r="AV3" s="1" t="n">
        <v>166119898.5349</v>
      </c>
      <c r="AW3" s="1" t="n">
        <v>156176643.1186</v>
      </c>
      <c r="AX3" s="1" t="n">
        <v>165432605.2502</v>
      </c>
      <c r="AY3" s="1" t="n">
        <v>165276484.9629</v>
      </c>
      <c r="AZ3" s="1" t="n">
        <v>157015305.0791</v>
      </c>
      <c r="BA3" s="1" t="n">
        <v>218007554.14</v>
      </c>
      <c r="BB3" s="1" t="n">
        <v>231868741.07</v>
      </c>
      <c r="BC3" s="1" t="n">
        <v>214050075.76</v>
      </c>
      <c r="BD3" s="1" t="n">
        <v>160084469.37</v>
      </c>
      <c r="BE3" s="1" t="n">
        <v>169393266.84</v>
      </c>
      <c r="BF3" s="1" t="n">
        <v>205357839.59</v>
      </c>
      <c r="BG3" s="1" t="n">
        <v>206000445.67</v>
      </c>
      <c r="BH3" s="1" t="n">
        <v>102166863.14</v>
      </c>
      <c r="BI3" s="1"/>
    </row>
    <row r="4">
      <c r="A4" t="str">
        <f>M4</f>
      </c>
      <c r="B4" t="str">
        <f>N4</f>
      </c>
      <c r="M4" t="s">
        <v>51</v>
      </c>
      <c r="N4" t="s">
        <v>52</v>
      </c>
      <c r="O4" s="1"/>
      <c r="P4" s="1" t="n">
        <v>2006000</v>
      </c>
      <c r="Q4" s="1" t="n">
        <v>1435000</v>
      </c>
      <c r="R4" s="1"/>
      <c r="S4" s="1" t="n">
        <v>1446000</v>
      </c>
      <c r="T4" s="1" t="n">
        <v>623000</v>
      </c>
      <c r="U4" s="1" t="n">
        <v>468000</v>
      </c>
      <c r="V4" s="1" t="n">
        <v>1481000</v>
      </c>
      <c r="W4" s="1" t="n">
        <v>542000</v>
      </c>
      <c r="X4" s="1" t="n">
        <v>200000</v>
      </c>
      <c r="Y4" s="1"/>
      <c r="Z4" s="1" t="n">
        <v>100000</v>
      </c>
      <c r="AA4" s="1" t="n">
        <v>100000</v>
      </c>
      <c r="AB4" s="1"/>
      <c r="AC4" s="1"/>
      <c r="AD4" s="1"/>
      <c r="AE4" s="1"/>
      <c r="AF4" s="1" t="n">
        <v>11001200</v>
      </c>
      <c r="AG4" s="1" t="n">
        <v>28041251</v>
      </c>
      <c r="AH4" s="1" t="n">
        <v>408989</v>
      </c>
      <c r="AI4" s="1" t="n">
        <v>-37054</v>
      </c>
      <c r="AJ4" s="1" t="n">
        <v>1401145</v>
      </c>
      <c r="AK4" s="1" t="n">
        <v>4474116</v>
      </c>
      <c r="AL4" s="1" t="n">
        <v>3432732</v>
      </c>
      <c r="AM4" s="1" t="n">
        <v>666551.3394</v>
      </c>
      <c r="AN4" s="1" t="n">
        <v>692401.0306</v>
      </c>
      <c r="AO4" s="1" t="n">
        <v>3570166.8244</v>
      </c>
      <c r="AP4" s="1" t="n">
        <v>630397.6832</v>
      </c>
      <c r="AQ4" s="1" t="n">
        <v>3166605.7361</v>
      </c>
      <c r="AR4" s="1" t="n">
        <v>747894.0905</v>
      </c>
      <c r="AS4" s="1" t="n">
        <v>40501897.0106</v>
      </c>
      <c r="AT4" s="1" t="n">
        <v>152660155.9413</v>
      </c>
      <c r="AU4" s="1" t="n">
        <v>328674733.8747</v>
      </c>
      <c r="AV4" s="1" t="n">
        <v>136619271.837</v>
      </c>
      <c r="AW4" s="1" t="n">
        <v>208547676.2052</v>
      </c>
      <c r="AX4" s="1" t="n">
        <v>241889352.4813</v>
      </c>
      <c r="AY4" s="1" t="n">
        <v>433016788.1477</v>
      </c>
      <c r="AZ4" s="1" t="n">
        <v>699133306.1929</v>
      </c>
      <c r="BA4" s="1" t="n">
        <v>616075155.7597</v>
      </c>
      <c r="BB4" s="1" t="n">
        <v>620550535.1839</v>
      </c>
      <c r="BC4" s="1" t="n">
        <v>485167577.8556</v>
      </c>
      <c r="BD4" s="1" t="n">
        <v>371649655.7276</v>
      </c>
      <c r="BE4" s="1" t="n">
        <v>385450520.7718</v>
      </c>
      <c r="BF4" s="1" t="n">
        <v>589836933.2394</v>
      </c>
      <c r="BG4" s="1" t="n">
        <v>770022110.17</v>
      </c>
      <c r="BH4" s="1" t="n">
        <v>409859427.76</v>
      </c>
      <c r="BI4" s="1"/>
    </row>
    <row r="5">
      <c r="A5" t="str">
        <f>M5</f>
      </c>
      <c r="B5" t="str">
        <f>N5</f>
      </c>
      <c r="M5" t="s">
        <v>51</v>
      </c>
      <c r="N5" t="s">
        <v>53</v>
      </c>
      <c r="O5" s="1"/>
      <c r="P5" s="1"/>
      <c r="Q5" s="1"/>
      <c r="R5" s="1"/>
      <c r="S5" s="1" t="n">
        <v>11000</v>
      </c>
      <c r="T5" s="1"/>
      <c r="U5" s="1"/>
      <c r="V5" s="1"/>
      <c r="W5" s="1"/>
      <c r="X5" s="1"/>
      <c r="Y5" s="1"/>
      <c r="Z5" s="1"/>
      <c r="AA5" s="1"/>
      <c r="AB5" s="1"/>
      <c r="AC5" s="1" t="n">
        <v>294000</v>
      </c>
      <c r="AD5" s="1"/>
      <c r="AE5" s="1" t="n">
        <v>129000</v>
      </c>
      <c r="AF5" s="1" t="n">
        <v>216189</v>
      </c>
      <c r="AG5" s="1" t="n">
        <v>1569638</v>
      </c>
      <c r="AH5" s="1" t="n">
        <v>3168646</v>
      </c>
      <c r="AI5" s="1" t="n">
        <v>13917858</v>
      </c>
      <c r="AJ5" s="1" t="n">
        <v>10584824</v>
      </c>
      <c r="AK5" s="1" t="n">
        <v>33710559</v>
      </c>
      <c r="AL5" s="1" t="n">
        <v>40228314.5078</v>
      </c>
      <c r="AM5" s="1" t="n">
        <v>48147297.4626</v>
      </c>
      <c r="AN5" s="1" t="n">
        <v>68095317.7436</v>
      </c>
      <c r="AO5" s="1" t="n">
        <v>71154370.6214</v>
      </c>
      <c r="AP5" s="1" t="n">
        <v>64006348.944</v>
      </c>
      <c r="AQ5" s="1" t="n">
        <v>51092889.5179</v>
      </c>
      <c r="AR5" s="1" t="n">
        <v>49940810.6498</v>
      </c>
      <c r="AS5" s="1" t="n">
        <v>51944488.3715</v>
      </c>
      <c r="AT5" s="1" t="n">
        <v>77613757.8388</v>
      </c>
      <c r="AU5" s="1" t="n">
        <v>37307398.6525</v>
      </c>
      <c r="AV5" s="1" t="n">
        <v>30497508.9168</v>
      </c>
      <c r="AW5" s="1" t="n">
        <v>38409794.4889</v>
      </c>
      <c r="AX5" s="1" t="n">
        <v>48062727.6514</v>
      </c>
      <c r="AY5" s="1" t="n">
        <v>37150420.1147</v>
      </c>
      <c r="AZ5" s="1" t="n">
        <v>32963262.4299</v>
      </c>
      <c r="BA5" s="1" t="n">
        <v>40685791.951</v>
      </c>
      <c r="BB5" s="1" t="n">
        <v>26743015.1664</v>
      </c>
      <c r="BC5" s="1" t="n">
        <v>32046547.6237</v>
      </c>
      <c r="BD5" s="1" t="n">
        <v>33381738.9408</v>
      </c>
      <c r="BE5" s="1" t="n">
        <v>33874468.295</v>
      </c>
      <c r="BF5" s="1" t="n">
        <v>28269686.3032</v>
      </c>
      <c r="BG5" s="1" t="n">
        <v>49805546.26</v>
      </c>
      <c r="BH5" s="1" t="n">
        <v>17760022.74</v>
      </c>
      <c r="BI5" s="1"/>
    </row>
    <row r="6">
      <c r="A6" t="str">
        <f>M6</f>
      </c>
      <c r="B6" t="str">
        <f>N6</f>
      </c>
      <c r="M6" t="s">
        <v>51</v>
      </c>
      <c r="N6" t="s">
        <v>54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n">
        <v>254337</v>
      </c>
      <c r="AG6" s="1" t="n">
        <v>5761396</v>
      </c>
      <c r="AH6" s="1" t="n">
        <v>75918027</v>
      </c>
      <c r="AI6" s="1" t="n">
        <v>35481005</v>
      </c>
      <c r="AJ6" s="1" t="n">
        <v>188511963.4004</v>
      </c>
      <c r="AK6" s="1" t="n">
        <v>151819642</v>
      </c>
      <c r="AL6" s="1" t="n">
        <v>465652399.1094</v>
      </c>
      <c r="AM6" s="1" t="n">
        <v>457571364.7642</v>
      </c>
      <c r="AN6" s="1" t="n">
        <v>463460084.8517</v>
      </c>
      <c r="AO6" s="1" t="n">
        <v>460939341.7</v>
      </c>
      <c r="AP6" s="1" t="n">
        <v>630369098.1438</v>
      </c>
      <c r="AQ6" s="1" t="n">
        <v>688077062.5678</v>
      </c>
      <c r="AR6" s="1" t="n">
        <v>558548537.6352</v>
      </c>
      <c r="AS6" s="1" t="n">
        <v>383972069.6498</v>
      </c>
      <c r="AT6" s="1" t="n">
        <v>642034139.6776</v>
      </c>
      <c r="AU6" s="1" t="n">
        <v>363949617.6796</v>
      </c>
      <c r="AV6" s="1" t="n">
        <v>570378454.2603</v>
      </c>
      <c r="AW6" s="1" t="n">
        <v>916484175.9976</v>
      </c>
      <c r="AX6" s="1" t="n">
        <v>765894550.8454</v>
      </c>
      <c r="AY6" s="1" t="n">
        <v>1301890901.8866</v>
      </c>
      <c r="AZ6" s="1" t="n">
        <v>1266885615.6946</v>
      </c>
      <c r="BA6" s="1" t="n">
        <v>1445369497.1129</v>
      </c>
      <c r="BB6" s="1" t="n">
        <v>1470671155.5311</v>
      </c>
      <c r="BC6" s="1" t="n">
        <v>1259560658.6769</v>
      </c>
      <c r="BD6" s="1" t="n">
        <v>1111297810.204</v>
      </c>
      <c r="BE6" s="1" t="n">
        <v>1689608268.0997</v>
      </c>
      <c r="BF6" s="1" t="n">
        <v>3411587205.3401</v>
      </c>
      <c r="BG6" s="1" t="n">
        <v>4107042474.94</v>
      </c>
      <c r="BH6" s="1" t="n">
        <v>843577099.97</v>
      </c>
      <c r="BI6" s="1"/>
    </row>
    <row r="7">
      <c r="A7" t="str">
        <f>M7</f>
      </c>
      <c r="B7" t="str">
        <f>N7</f>
      </c>
      <c r="M7" t="s">
        <v>51</v>
      </c>
      <c r="N7" t="s">
        <v>55</v>
      </c>
      <c r="O7" s="1"/>
      <c r="P7" s="1"/>
      <c r="Q7" s="1"/>
      <c r="R7" s="1"/>
      <c r="S7" s="1"/>
      <c r="T7" s="1"/>
      <c r="U7" s="1" t="n">
        <v>9281000</v>
      </c>
      <c r="V7" s="1" t="n">
        <v>11655000</v>
      </c>
      <c r="W7" s="1" t="n">
        <v>1274000</v>
      </c>
      <c r="X7" s="1"/>
      <c r="Y7" s="1"/>
      <c r="Z7" s="1"/>
      <c r="AA7" s="1" t="n">
        <v>630000</v>
      </c>
      <c r="AB7" s="1"/>
      <c r="AC7" s="1"/>
      <c r="AD7" s="1"/>
      <c r="AE7" s="1" t="n">
        <v>1205000</v>
      </c>
      <c r="AF7" s="1" t="n">
        <v>108630748</v>
      </c>
      <c r="AG7" s="1" t="n">
        <v>450014666</v>
      </c>
      <c r="AH7" s="1" t="n">
        <v>828220354</v>
      </c>
      <c r="AI7" s="1" t="n">
        <v>1012351104.9</v>
      </c>
      <c r="AJ7" s="1" t="n">
        <v>1116931756.1192</v>
      </c>
      <c r="AK7" s="1" t="n">
        <v>1918400163.2734</v>
      </c>
      <c r="AL7" s="1" t="n">
        <v>1943523170.9405</v>
      </c>
      <c r="AM7" s="1" t="n">
        <v>2210980312.4865</v>
      </c>
      <c r="AN7" s="1" t="n">
        <v>3066762605.9183</v>
      </c>
      <c r="AO7" s="1" t="n">
        <v>3309991610.5808</v>
      </c>
      <c r="AP7" s="1" t="n">
        <v>4208252399.8447</v>
      </c>
      <c r="AQ7" s="1" t="n">
        <v>5295965973.8905</v>
      </c>
      <c r="AR7" s="1" t="n">
        <v>4328112157.2649</v>
      </c>
      <c r="AS7" s="1" t="n">
        <v>3404080915.7349</v>
      </c>
      <c r="AT7" s="1" t="n">
        <v>2991990532.4533</v>
      </c>
      <c r="AU7" s="1" t="n">
        <v>2663022383.5985</v>
      </c>
      <c r="AV7" s="1" t="n">
        <v>2061458576.8889</v>
      </c>
      <c r="AW7" s="1" t="n">
        <v>1895958039.4872</v>
      </c>
      <c r="AX7" s="1" t="n">
        <v>2332713218.684</v>
      </c>
      <c r="AY7" s="1" t="n">
        <v>3550198299.5458</v>
      </c>
      <c r="AZ7" s="1" t="n">
        <v>3373521341.0583</v>
      </c>
      <c r="BA7" s="1" t="n">
        <v>5475760933.7408</v>
      </c>
      <c r="BB7" s="1" t="n">
        <v>6191445612.073</v>
      </c>
      <c r="BC7" s="1" t="n">
        <v>5384706174.5772</v>
      </c>
      <c r="BD7" s="1" t="n">
        <v>6098620635.3419</v>
      </c>
      <c r="BE7" s="1" t="n">
        <v>6078750113.2702</v>
      </c>
      <c r="BF7" s="1" t="n">
        <v>11517306938.0966</v>
      </c>
      <c r="BG7" s="1" t="n">
        <v>12280572596.04</v>
      </c>
      <c r="BH7" s="1" t="n">
        <v>4539818100.38</v>
      </c>
      <c r="BI7" s="1"/>
    </row>
    <row r="8">
      <c r="A8" t="str">
        <f>M8</f>
      </c>
      <c r="B8" t="str">
        <f>N8</f>
      </c>
      <c r="M8" t="s">
        <v>51</v>
      </c>
      <c r="N8" t="s">
        <v>56</v>
      </c>
      <c r="O8" s="1" t="n">
        <v>0</v>
      </c>
      <c r="P8" s="1" t="n">
        <v>17471000</v>
      </c>
      <c r="Q8" s="1" t="n">
        <v>24886000</v>
      </c>
      <c r="R8" s="1" t="n">
        <v>17682000</v>
      </c>
      <c r="S8" s="1" t="n">
        <v>294299000</v>
      </c>
      <c r="T8" s="1" t="n">
        <v>322836000</v>
      </c>
      <c r="U8" s="1" t="n">
        <v>284087000</v>
      </c>
      <c r="V8" s="1" t="n">
        <v>791886000</v>
      </c>
      <c r="W8" s="1" t="n">
        <v>786068000</v>
      </c>
      <c r="X8" s="1"/>
      <c r="Y8" s="1"/>
      <c r="Z8" s="1"/>
      <c r="AA8" s="1"/>
      <c r="AB8" s="1"/>
      <c r="AC8" s="1"/>
      <c r="AD8" s="1"/>
      <c r="AE8" s="1"/>
      <c r="AF8" s="1" t="n">
        <v>133849</v>
      </c>
      <c r="AG8" s="1"/>
      <c r="AH8" s="1" t="n">
        <v>565282</v>
      </c>
      <c r="AI8" s="1" t="n">
        <v>2569900</v>
      </c>
      <c r="AJ8" s="1" t="n">
        <v>1402908</v>
      </c>
      <c r="AK8" s="1" t="n">
        <v>2463260</v>
      </c>
      <c r="AL8" s="1" t="n">
        <v>6219749</v>
      </c>
      <c r="AM8" s="1" t="n">
        <v>2125018.51</v>
      </c>
      <c r="AN8" s="1" t="n">
        <v>873671.4404</v>
      </c>
      <c r="AO8" s="1" t="n">
        <v>320466.2793</v>
      </c>
      <c r="AP8" s="1" t="n">
        <v>1641801.2213</v>
      </c>
      <c r="AQ8" s="1" t="n">
        <v>81591.2</v>
      </c>
      <c r="AR8" s="1"/>
      <c r="AS8" s="1" t="n">
        <v>7743.7598</v>
      </c>
      <c r="AT8" s="1"/>
      <c r="AU8" s="1" t="n">
        <v>0</v>
      </c>
      <c r="AV8" s="1" t="n">
        <v>82019.8</v>
      </c>
      <c r="AW8" s="1"/>
      <c r="AX8" s="1"/>
      <c r="AY8" s="1"/>
      <c r="AZ8" s="1" t="n">
        <v>0</v>
      </c>
      <c r="BA8" s="1"/>
      <c r="BB8" s="1"/>
      <c r="BC8" s="1" t="n">
        <v>0</v>
      </c>
      <c r="BD8" s="1"/>
      <c r="BE8" s="1"/>
      <c r="BF8" s="1"/>
      <c r="BG8" s="1"/>
      <c r="BH8" s="1"/>
      <c r="BI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 t="n">
        <v>54000</v>
      </c>
      <c r="X9" s="1" t="n">
        <v>263575000</v>
      </c>
      <c r="Y9" s="1" t="n">
        <v>9948334000</v>
      </c>
      <c r="Z9" s="1" t="n">
        <v>13324621004</v>
      </c>
      <c r="AA9" s="1" t="n">
        <v>11940745763</v>
      </c>
      <c r="AB9" s="1" t="n">
        <v>9656274218</v>
      </c>
      <c r="AC9" s="1" t="n">
        <v>7599158037</v>
      </c>
      <c r="AD9" s="1" t="n">
        <v>7502011208</v>
      </c>
      <c r="AE9" s="1" t="n">
        <v>7752766759</v>
      </c>
      <c r="AF9" s="1" t="n">
        <v>6997644666</v>
      </c>
      <c r="AG9" s="1" t="n">
        <v>7441508406</v>
      </c>
      <c r="AH9" s="1" t="n">
        <v>8477887249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 t="n">
        <v>0</v>
      </c>
      <c r="BH9" s="1" t="n">
        <v>0</v>
      </c>
      <c r="BI9" s="1"/>
    </row>
    <row r="10">
      <c r="A10" t="str">
        <f>M10</f>
      </c>
      <c r="B10" t="str">
        <f>N10</f>
      </c>
      <c r="M10" t="s">
        <v>57</v>
      </c>
      <c r="N10" t="s">
        <v>58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  <c r="BA13" t="s">
        <v>40</v>
      </c>
      <c r="BB13" t="s">
        <v>41</v>
      </c>
      <c r="BC13" t="s">
        <v>42</v>
      </c>
      <c r="BD13" t="s">
        <v>43</v>
      </c>
      <c r="BE13" t="s">
        <v>44</v>
      </c>
      <c r="BF13" t="s">
        <v>45</v>
      </c>
      <c r="BG13" t="s">
        <v>46</v>
      </c>
      <c r="BH13" t="s">
        <v>47</v>
      </c>
    </row>
    <row r="14">
      <c r="A14" t="str">
        <f>M14</f>
      </c>
      <c r="B14" t="str">
        <f>N14</f>
      </c>
      <c r="M14" t="s">
        <v>48</v>
      </c>
      <c r="N14" t="s">
        <v>49</v>
      </c>
      <c r="O14" s="1"/>
      <c r="P14" s="1"/>
      <c r="Q14" s="1"/>
      <c r="R14" s="1"/>
      <c r="S14" s="1" t="n">
        <v>85225109.6552173</v>
      </c>
      <c r="T14" s="1" t="n">
        <v>131470184.530049</v>
      </c>
      <c r="U14" s="1" t="n">
        <v>56022714.0322469</v>
      </c>
      <c r="V14" s="1" t="n">
        <v>-826695.528580277</v>
      </c>
      <c r="W14" s="1" t="n">
        <v>5221375.29428282</v>
      </c>
      <c r="X14" s="1" t="n">
        <v>129236842.49939</v>
      </c>
      <c r="Y14" s="1" t="n">
        <v>567737186.922043</v>
      </c>
      <c r="Z14" s="1" t="n">
        <v>465711128.080521</v>
      </c>
      <c r="AA14" s="1" t="n">
        <v>426584583.053044</v>
      </c>
      <c r="AB14" s="1" t="n">
        <v>292233257.705959</v>
      </c>
      <c r="AC14" s="1" t="n">
        <v>231556712.308155</v>
      </c>
      <c r="AD14" s="1" t="n">
        <v>165381866.2348</v>
      </c>
      <c r="AE14" s="1" t="n">
        <v>214780893.749703</v>
      </c>
      <c r="AF14" s="1" t="n">
        <v>3597967236.31699</v>
      </c>
      <c r="AG14" s="1" t="n">
        <v>4081575996.60274</v>
      </c>
      <c r="AH14" s="1" t="n">
        <v>4030907833.97173</v>
      </c>
      <c r="AI14" s="1" t="n">
        <v>11605953739.1834</v>
      </c>
      <c r="AJ14" s="1" t="n">
        <v>11739841576.415</v>
      </c>
      <c r="AK14" s="1" t="n">
        <v>15044068037.3224</v>
      </c>
      <c r="AL14" s="1" t="n">
        <v>16357563486.4165</v>
      </c>
      <c r="AM14" s="1" t="n">
        <v>16146156023.1599</v>
      </c>
      <c r="AN14" s="1" t="n">
        <v>15596151013.0059</v>
      </c>
      <c r="AO14" s="1" t="n">
        <v>14171732329.0473</v>
      </c>
      <c r="AP14" s="1" t="n">
        <v>16565076171.227</v>
      </c>
      <c r="AQ14" s="1" t="n">
        <v>16028691042.7802</v>
      </c>
      <c r="AR14" s="1" t="n">
        <v>15349680931.0974</v>
      </c>
      <c r="AS14" s="1" t="n">
        <v>14792104878.7536</v>
      </c>
      <c r="AT14" s="1" t="n">
        <v>13838084964.2463</v>
      </c>
      <c r="AU14" s="1" t="n">
        <v>14430486116.4284</v>
      </c>
      <c r="AV14" s="1" t="n">
        <v>11602101121.3477</v>
      </c>
      <c r="AW14" s="1" t="n">
        <v>11035985548.2939</v>
      </c>
      <c r="AX14" s="1" t="n">
        <v>10851840331.6793</v>
      </c>
      <c r="AY14" s="1" t="n">
        <v>12675661317.5054</v>
      </c>
      <c r="AZ14" s="1" t="n">
        <v>15223744602.068</v>
      </c>
      <c r="BA14" s="1" t="n">
        <v>15247435361.6302</v>
      </c>
      <c r="BB14" s="1" t="n">
        <v>17097309035.558</v>
      </c>
      <c r="BC14" s="1" t="n">
        <v>18188691486.7866</v>
      </c>
      <c r="BD14" s="1" t="n">
        <v>14527349740.8146</v>
      </c>
      <c r="BE14" s="1" t="n">
        <v>11470301579.4618</v>
      </c>
      <c r="BF14" s="1" t="n">
        <v>17078180270.95</v>
      </c>
      <c r="BG14" s="1" t="n">
        <v>17832675688.5049</v>
      </c>
      <c r="BH14" s="1" t="n">
        <v>7524894284.64467</v>
      </c>
      <c r="BI14" s="1"/>
    </row>
    <row r="15">
      <c r="A15" t="str">
        <f>M15</f>
      </c>
      <c r="B15" t="str">
        <f>N15</f>
      </c>
      <c r="M15" t="s">
        <v>48</v>
      </c>
      <c r="N15" t="s">
        <v>50</v>
      </c>
      <c r="O15" s="1"/>
      <c r="P15" s="1"/>
      <c r="Q15" s="1"/>
      <c r="R15" s="1"/>
      <c r="S15" s="1"/>
      <c r="T15" s="1"/>
      <c r="U15" s="1"/>
      <c r="V15" s="1"/>
      <c r="W15" s="1"/>
      <c r="X15" s="1" t="n">
        <v>991301013.95664</v>
      </c>
      <c r="Y15" s="1" t="n">
        <v>366116927.11762</v>
      </c>
      <c r="Z15" s="1" t="n">
        <v>67724587.7627407</v>
      </c>
      <c r="AA15" s="1" t="n">
        <v>501085076.840416</v>
      </c>
      <c r="AB15" s="1" t="n">
        <v>223306440.783806</v>
      </c>
      <c r="AC15" s="1" t="n">
        <v>622612884.637717</v>
      </c>
      <c r="AD15" s="1" t="n">
        <v>496893487.22858</v>
      </c>
      <c r="AE15" s="1" t="n">
        <v>333470603.895043</v>
      </c>
      <c r="AF15" s="1" t="n">
        <v>9586928.15541912</v>
      </c>
      <c r="AG15" s="1" t="n">
        <v>28989013.7052034</v>
      </c>
      <c r="AH15" s="1" t="n">
        <v>28710857.1210002</v>
      </c>
      <c r="AI15" s="1" t="n">
        <v>64447188.5042211</v>
      </c>
      <c r="AJ15" s="1" t="n">
        <v>111823115.53104</v>
      </c>
      <c r="AK15" s="1" t="n">
        <v>126971709.092989</v>
      </c>
      <c r="AL15" s="1" t="n">
        <v>168992323.566457</v>
      </c>
      <c r="AM15" s="1" t="n">
        <v>226313712.170616</v>
      </c>
      <c r="AN15" s="1" t="n">
        <v>310203132.290667</v>
      </c>
      <c r="AO15" s="1" t="n">
        <v>248114164.661796</v>
      </c>
      <c r="AP15" s="1" t="n">
        <v>250816597.317353</v>
      </c>
      <c r="AQ15" s="1" t="n">
        <v>265178613.486914</v>
      </c>
      <c r="AR15" s="1" t="n">
        <v>248325804.22571</v>
      </c>
      <c r="AS15" s="1" t="n">
        <v>262491829.038471</v>
      </c>
      <c r="AT15" s="1" t="n">
        <v>292370439.108582</v>
      </c>
      <c r="AU15" s="1" t="n">
        <v>184696602.675255</v>
      </c>
      <c r="AV15" s="1" t="n">
        <v>213837983.836555</v>
      </c>
      <c r="AW15" s="1" t="n">
        <v>197436648.983562</v>
      </c>
      <c r="AX15" s="1" t="n">
        <v>206994240.698612</v>
      </c>
      <c r="AY15" s="1" t="n">
        <v>205158638.682633</v>
      </c>
      <c r="AZ15" s="1" t="n">
        <v>191668582.946877</v>
      </c>
      <c r="BA15" s="1" t="n">
        <v>260342223.877803</v>
      </c>
      <c r="BB15" s="1" t="n">
        <v>271868381.846587</v>
      </c>
      <c r="BC15" s="1" t="n">
        <v>247739572.808842</v>
      </c>
      <c r="BD15" s="1" t="n">
        <v>179115592.813632</v>
      </c>
      <c r="BE15" s="1" t="n">
        <v>177142431.966195</v>
      </c>
      <c r="BF15" s="1" t="n">
        <v>205357839.59</v>
      </c>
      <c r="BG15" s="1" t="n">
        <v>200642100.151071</v>
      </c>
      <c r="BH15" s="1" t="n">
        <v>97372805.93352</v>
      </c>
      <c r="BI15" s="1"/>
    </row>
    <row r="16">
      <c r="A16" t="str">
        <f>M16</f>
      </c>
      <c r="B16" t="str">
        <f>N16</f>
      </c>
      <c r="M16" t="s">
        <v>51</v>
      </c>
      <c r="N16" t="s">
        <v>52</v>
      </c>
      <c r="O16" s="1"/>
      <c r="P16" s="1" t="n">
        <v>5769849.67067993</v>
      </c>
      <c r="Q16" s="1" t="n">
        <v>3859230.00556869</v>
      </c>
      <c r="R16" s="1"/>
      <c r="S16" s="1" t="n">
        <v>3597171.79606656</v>
      </c>
      <c r="T16" s="1" t="n">
        <v>1499696.51125552</v>
      </c>
      <c r="U16" s="1" t="n">
        <v>1101808.29412891</v>
      </c>
      <c r="V16" s="1" t="n">
        <v>3410406.90202616</v>
      </c>
      <c r="W16" s="1" t="n">
        <v>1208878.85924874</v>
      </c>
      <c r="X16" s="1" t="n">
        <v>428767.123399268</v>
      </c>
      <c r="Y16" s="1"/>
      <c r="Z16" s="1" t="n">
        <v>199689.1869755</v>
      </c>
      <c r="AA16" s="1" t="n">
        <v>194813.278038208</v>
      </c>
      <c r="AB16" s="1"/>
      <c r="AC16" s="1"/>
      <c r="AD16" s="1"/>
      <c r="AE16" s="1"/>
      <c r="AF16" s="1" t="n">
        <v>19353170.2624849</v>
      </c>
      <c r="AG16" s="1" t="n">
        <v>48718979.6800759</v>
      </c>
      <c r="AH16" s="1" t="n">
        <v>701887.912343381</v>
      </c>
      <c r="AI16" s="1" t="n">
        <v>-62294.1988440745</v>
      </c>
      <c r="AJ16" s="1" t="n">
        <v>2299822.10640591</v>
      </c>
      <c r="AK16" s="1" t="n">
        <v>7230015.09518202</v>
      </c>
      <c r="AL16" s="1" t="n">
        <v>5442701.58429942</v>
      </c>
      <c r="AM16" s="1" t="n">
        <v>1031646.02515641</v>
      </c>
      <c r="AN16" s="1" t="n">
        <v>1040007.30713694</v>
      </c>
      <c r="AO16" s="1" t="n">
        <v>5193782.19616252</v>
      </c>
      <c r="AP16" s="1" t="n">
        <v>892515.022113727</v>
      </c>
      <c r="AQ16" s="1" t="n">
        <v>4392086.83160187</v>
      </c>
      <c r="AR16" s="1" t="n">
        <v>1026829.73315733</v>
      </c>
      <c r="AS16" s="1" t="n">
        <v>55130091.0601228</v>
      </c>
      <c r="AT16" s="1" t="n">
        <v>203708190.289457</v>
      </c>
      <c r="AU16" s="1" t="n">
        <v>430763633.01974</v>
      </c>
      <c r="AV16" s="1" t="n">
        <v>175863276.467778</v>
      </c>
      <c r="AW16" s="1" t="n">
        <v>263643484.205225</v>
      </c>
      <c r="AX16" s="1" t="n">
        <v>302659217.47542</v>
      </c>
      <c r="AY16" s="1" t="n">
        <v>537506196.377845</v>
      </c>
      <c r="AZ16" s="1" t="n">
        <v>853432027.033617</v>
      </c>
      <c r="BA16" s="1" t="n">
        <v>735710176.461798</v>
      </c>
      <c r="BB16" s="1" t="n">
        <v>727601612.343029</v>
      </c>
      <c r="BC16" s="1" t="n">
        <v>561528455.675081</v>
      </c>
      <c r="BD16" s="1" t="n">
        <v>415832020.848777</v>
      </c>
      <c r="BE16" s="1" t="n">
        <v>403083569.529633</v>
      </c>
      <c r="BF16" s="1" t="n">
        <v>589836933.2394</v>
      </c>
      <c r="BG16" s="1" t="n">
        <v>749992811.155203</v>
      </c>
      <c r="BH16" s="1" t="n">
        <v>390627266.931062</v>
      </c>
      <c r="BI16" s="1"/>
    </row>
    <row r="17">
      <c r="A17" t="str">
        <f>M17</f>
      </c>
      <c r="B17" t="str">
        <f>N17</f>
      </c>
      <c r="M17" t="s">
        <v>51</v>
      </c>
      <c r="N17" t="s">
        <v>53</v>
      </c>
      <c r="O17" s="1"/>
      <c r="P17" s="1"/>
      <c r="Q17" s="1"/>
      <c r="R17" s="1"/>
      <c r="S17" s="1" t="n">
        <v>27364.377425126</v>
      </c>
      <c r="T17" s="1"/>
      <c r="U17" s="1"/>
      <c r="V17" s="1"/>
      <c r="W17" s="1"/>
      <c r="X17" s="1"/>
      <c r="Y17" s="1"/>
      <c r="Z17" s="1"/>
      <c r="AA17" s="1"/>
      <c r="AB17" s="1"/>
      <c r="AC17" s="1" t="n">
        <v>547666.412602852</v>
      </c>
      <c r="AD17" s="1"/>
      <c r="AE17" s="1" t="n">
        <v>230962.598937261</v>
      </c>
      <c r="AF17" s="1" t="n">
        <v>380316.922324505</v>
      </c>
      <c r="AG17" s="1" t="n">
        <v>2727095.2293489</v>
      </c>
      <c r="AH17" s="1" t="n">
        <v>5437882.98926183</v>
      </c>
      <c r="AI17" s="1" t="n">
        <v>23398332.5345602</v>
      </c>
      <c r="AJ17" s="1" t="n">
        <v>17373799.4480342</v>
      </c>
      <c r="AK17" s="1" t="n">
        <v>54475085.2318143</v>
      </c>
      <c r="AL17" s="1" t="n">
        <v>63783223.1311091</v>
      </c>
      <c r="AM17" s="1" t="n">
        <v>74519343.2422269</v>
      </c>
      <c r="AN17" s="1" t="n">
        <v>102281228.515485</v>
      </c>
      <c r="AO17" s="1" t="n">
        <v>103513455.109954</v>
      </c>
      <c r="AP17" s="1" t="n">
        <v>90619983.9650252</v>
      </c>
      <c r="AQ17" s="1" t="n">
        <v>70865913.2022021</v>
      </c>
      <c r="AR17" s="1" t="n">
        <v>68566806.3494276</v>
      </c>
      <c r="AS17" s="1" t="n">
        <v>70705438.1488059</v>
      </c>
      <c r="AT17" s="1" t="n">
        <v>103567024.764376</v>
      </c>
      <c r="AU17" s="1" t="n">
        <v>48895363.4878221</v>
      </c>
      <c r="AV17" s="1" t="n">
        <v>39257944.8718827</v>
      </c>
      <c r="AW17" s="1" t="n">
        <v>48557203.9493564</v>
      </c>
      <c r="AX17" s="1" t="n">
        <v>60137527.3094401</v>
      </c>
      <c r="AY17" s="1" t="n">
        <v>46115027.3067015</v>
      </c>
      <c r="AZ17" s="1" t="n">
        <v>40238254.4559087</v>
      </c>
      <c r="BA17" s="1" t="n">
        <v>48586525.354763</v>
      </c>
      <c r="BB17" s="1" t="n">
        <v>31356448.5899932</v>
      </c>
      <c r="BC17" s="1" t="n">
        <v>37090377.0536168</v>
      </c>
      <c r="BD17" s="1" t="n">
        <v>37350218.8129925</v>
      </c>
      <c r="BE17" s="1" t="n">
        <v>35424109.8674005</v>
      </c>
      <c r="BF17" s="1" t="n">
        <v>28269686.3032</v>
      </c>
      <c r="BG17" s="1" t="n">
        <v>48510037.7733455</v>
      </c>
      <c r="BH17" s="1" t="n">
        <v>16926655.0277382</v>
      </c>
      <c r="BI17" s="1"/>
    </row>
    <row r="18">
      <c r="A18" t="str">
        <f>M18</f>
      </c>
      <c r="B18" t="str">
        <f>N18</f>
      </c>
      <c r="M18" t="s">
        <v>51</v>
      </c>
      <c r="N18" t="s">
        <v>54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n">
        <v>447426.395761337</v>
      </c>
      <c r="AG18" s="1" t="n">
        <v>10009872.0507466</v>
      </c>
      <c r="AH18" s="1" t="n">
        <v>130286989.332863</v>
      </c>
      <c r="AI18" s="1" t="n">
        <v>59649721.5053059</v>
      </c>
      <c r="AJ18" s="1" t="n">
        <v>309421209.618006</v>
      </c>
      <c r="AK18" s="1" t="n">
        <v>245335235.699104</v>
      </c>
      <c r="AL18" s="1" t="n">
        <v>738306121.877723</v>
      </c>
      <c r="AM18" s="1" t="n">
        <v>708200031.687434</v>
      </c>
      <c r="AN18" s="1" t="n">
        <v>696131076.515579</v>
      </c>
      <c r="AO18" s="1" t="n">
        <v>670562095.325803</v>
      </c>
      <c r="AP18" s="1" t="n">
        <v>892474551.482653</v>
      </c>
      <c r="AQ18" s="1" t="n">
        <v>954363901.757265</v>
      </c>
      <c r="AR18" s="1" t="n">
        <v>766865593.8596</v>
      </c>
      <c r="AS18" s="1" t="n">
        <v>522652436.719129</v>
      </c>
      <c r="AT18" s="1" t="n">
        <v>856723955.84387</v>
      </c>
      <c r="AU18" s="1" t="n">
        <v>476995166.922619</v>
      </c>
      <c r="AV18" s="1" t="n">
        <v>734220161.212106</v>
      </c>
      <c r="AW18" s="1" t="n">
        <v>1158608361.29008</v>
      </c>
      <c r="AX18" s="1" t="n">
        <v>958310248.258974</v>
      </c>
      <c r="AY18" s="1" t="n">
        <v>1616044564.38141</v>
      </c>
      <c r="AZ18" s="1" t="n">
        <v>1546487271.37548</v>
      </c>
      <c r="BA18" s="1" t="n">
        <v>1726044359.7375</v>
      </c>
      <c r="BB18" s="1" t="n">
        <v>1724376409.84985</v>
      </c>
      <c r="BC18" s="1" t="n">
        <v>1457803826.50886</v>
      </c>
      <c r="BD18" s="1" t="n">
        <v>1243410849.6004</v>
      </c>
      <c r="BE18" s="1" t="n">
        <v>1766902092.77371</v>
      </c>
      <c r="BF18" s="1" t="n">
        <v>3411587205.3401</v>
      </c>
      <c r="BG18" s="1" t="n">
        <v>4000212838.86775</v>
      </c>
      <c r="BH18" s="1" t="n">
        <v>803993258.878677</v>
      </c>
      <c r="BI18" s="1"/>
    </row>
    <row r="19">
      <c r="A19" t="str">
        <f>M19</f>
      </c>
      <c r="B19" t="str">
        <f>N19</f>
      </c>
      <c r="M19" t="s">
        <v>51</v>
      </c>
      <c r="N19" t="s">
        <v>55</v>
      </c>
      <c r="O19" s="1"/>
      <c r="P19" s="1"/>
      <c r="Q19" s="1"/>
      <c r="R19" s="1"/>
      <c r="S19" s="1"/>
      <c r="T19" s="1"/>
      <c r="U19" s="1" t="n">
        <v>21850176.8756633</v>
      </c>
      <c r="V19" s="1" t="n">
        <v>26838820.0156076</v>
      </c>
      <c r="W19" s="1" t="n">
        <v>2841534.44037433</v>
      </c>
      <c r="X19" s="1"/>
      <c r="Y19" s="1"/>
      <c r="Z19" s="1"/>
      <c r="AA19" s="1" t="n">
        <v>1227323.65164071</v>
      </c>
      <c r="AB19" s="1"/>
      <c r="AC19" s="1"/>
      <c r="AD19" s="1"/>
      <c r="AE19" s="1" t="n">
        <v>2157441.33115813</v>
      </c>
      <c r="AF19" s="1" t="n">
        <v>191101821.781723</v>
      </c>
      <c r="AG19" s="1" t="n">
        <v>781857249.114533</v>
      </c>
      <c r="AH19" s="1" t="n">
        <v>1421353276.56577</v>
      </c>
      <c r="AI19" s="1" t="n">
        <v>1701937740.28875</v>
      </c>
      <c r="AJ19" s="1" t="n">
        <v>1833317996.40273</v>
      </c>
      <c r="AK19" s="1" t="n">
        <v>3100067619.85302</v>
      </c>
      <c r="AL19" s="1" t="n">
        <v>3081515434.81999</v>
      </c>
      <c r="AM19" s="1" t="n">
        <v>3422015554.1642</v>
      </c>
      <c r="AN19" s="1" t="n">
        <v>4606370265.86389</v>
      </c>
      <c r="AO19" s="1" t="n">
        <v>4815286327.51525</v>
      </c>
      <c r="AP19" s="1" t="n">
        <v>5958030278.03313</v>
      </c>
      <c r="AQ19" s="1" t="n">
        <v>7345512625.51035</v>
      </c>
      <c r="AR19" s="1" t="n">
        <v>5942331017.14728</v>
      </c>
      <c r="AS19" s="1" t="n">
        <v>4633543234.07064</v>
      </c>
      <c r="AT19" s="1" t="n">
        <v>3992482340.73343</v>
      </c>
      <c r="AU19" s="1" t="n">
        <v>3490177608.87302</v>
      </c>
      <c r="AV19" s="1" t="n">
        <v>2653614345.61606</v>
      </c>
      <c r="AW19" s="1" t="n">
        <v>2396847534.01654</v>
      </c>
      <c r="AX19" s="1" t="n">
        <v>2918760789.25817</v>
      </c>
      <c r="AY19" s="1" t="n">
        <v>4406881295.61632</v>
      </c>
      <c r="AZ19" s="1" t="n">
        <v>4118057501.82095</v>
      </c>
      <c r="BA19" s="1" t="n">
        <v>6539093493.97042</v>
      </c>
      <c r="BB19" s="1" t="n">
        <v>7259530940.12474</v>
      </c>
      <c r="BC19" s="1" t="n">
        <v>6232208994.34121</v>
      </c>
      <c r="BD19" s="1" t="n">
        <v>6823635389.13927</v>
      </c>
      <c r="BE19" s="1" t="n">
        <v>6356832231.09781</v>
      </c>
      <c r="BF19" s="1" t="n">
        <v>11517306938.0966</v>
      </c>
      <c r="BG19" s="1" t="n">
        <v>11961138572.8472</v>
      </c>
      <c r="BH19" s="1" t="n">
        <v>4326792594.7382</v>
      </c>
      <c r="BI19" s="1"/>
    </row>
    <row r="20">
      <c r="A20" t="str">
        <f>M20</f>
      </c>
      <c r="B20" t="str">
        <f>N20</f>
      </c>
      <c r="M20" t="s">
        <v>51</v>
      </c>
      <c r="N20" t="s">
        <v>56</v>
      </c>
      <c r="O20" s="1" t="n">
        <v>0</v>
      </c>
      <c r="P20" s="1" t="n">
        <v>50251766.4987284</v>
      </c>
      <c r="Q20" s="1" t="n">
        <v>66927385.3091168</v>
      </c>
      <c r="R20" s="1" t="n">
        <v>45565584.5969028</v>
      </c>
      <c r="S20" s="1" t="n">
        <v>732118991.985195</v>
      </c>
      <c r="T20" s="1" t="n">
        <v>777136473.367076</v>
      </c>
      <c r="U20" s="1" t="n">
        <v>668823531.739743</v>
      </c>
      <c r="V20" s="1" t="n">
        <v>1823533747.48001</v>
      </c>
      <c r="W20" s="1" t="n">
        <v>1753249053.74896</v>
      </c>
      <c r="X20" s="1"/>
      <c r="Y20" s="1"/>
      <c r="Z20" s="1"/>
      <c r="AA20" s="1"/>
      <c r="AB20" s="1"/>
      <c r="AC20" s="1"/>
      <c r="AD20" s="1"/>
      <c r="AE20" s="1"/>
      <c r="AF20" s="1" t="n">
        <v>235465.44799325</v>
      </c>
      <c r="AG20" s="1"/>
      <c r="AH20" s="1" t="n">
        <v>970110.694579295</v>
      </c>
      <c r="AI20" s="1" t="n">
        <v>4320447.49849915</v>
      </c>
      <c r="AJ20" s="1" t="n">
        <v>2302715.87284235</v>
      </c>
      <c r="AK20" s="1" t="n">
        <v>3980542.07431324</v>
      </c>
      <c r="AL20" s="1" t="n">
        <v>9861602.28536476</v>
      </c>
      <c r="AM20" s="1" t="n">
        <v>3288969.31059906</v>
      </c>
      <c r="AN20" s="1" t="n">
        <v>1312280.9497633</v>
      </c>
      <c r="AO20" s="1" t="n">
        <v>466205.681068842</v>
      </c>
      <c r="AP20" s="1" t="n">
        <v>2324456.91408105</v>
      </c>
      <c r="AQ20" s="1" t="n">
        <v>113167.114872957</v>
      </c>
      <c r="AR20" s="1"/>
      <c r="AS20" s="1" t="n">
        <v>10540.5972172115</v>
      </c>
      <c r="AT20" s="1"/>
      <c r="AU20" s="1" t="n">
        <v>0</v>
      </c>
      <c r="AV20" s="1" t="n">
        <v>105580.058869303</v>
      </c>
      <c r="AW20" s="1"/>
      <c r="AX20" s="1"/>
      <c r="AY20" s="1"/>
      <c r="AZ20" s="1" t="n">
        <v>0</v>
      </c>
      <c r="BA20" s="1"/>
      <c r="BB20" s="1"/>
      <c r="BC20" s="1" t="n">
        <v>0</v>
      </c>
      <c r="BD20" s="1"/>
      <c r="BE20" s="1"/>
      <c r="BF20" s="1"/>
      <c r="BG20" s="1"/>
      <c r="BH20" s="1"/>
      <c r="BI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 t="n">
        <v>120441.805165003</v>
      </c>
      <c r="X21" s="1" t="n">
        <v>565061472.74981</v>
      </c>
      <c r="Y21" s="1" t="n">
        <v>20575959517.6666</v>
      </c>
      <c r="Z21" s="1" t="n">
        <v>26607827350.4543</v>
      </c>
      <c r="AA21" s="1" t="n">
        <v>23262158243.1087</v>
      </c>
      <c r="AB21" s="1" t="n">
        <v>18380498886.3658</v>
      </c>
      <c r="AC21" s="1" t="n">
        <v>14155794628.9997</v>
      </c>
      <c r="AD21" s="1" t="n">
        <v>13684556318.8634</v>
      </c>
      <c r="AE21" s="1" t="n">
        <v>13880613640.4112</v>
      </c>
      <c r="AF21" s="1" t="n">
        <v>12310166950.6479</v>
      </c>
      <c r="AG21" s="1" t="n">
        <v>12928905947.2071</v>
      </c>
      <c r="AH21" s="1" t="n">
        <v>14549356051.8331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 t="n">
        <v>0</v>
      </c>
      <c r="BH21" s="1" t="n">
        <v>0</v>
      </c>
      <c r="BI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../output/FedAcqTrends/Platform//Ordnance_and_Missiles/DoD_Ordnance_and_Missiles_Contracts.xlsx</dc:creator>
  <cp:lastModifiedBy>../output/FedAcqTrends/Platform//Ordnance_and_Missiles/DoD_Ordnance_and_Missiles_Contracts.xlsx</cp:lastModifiedBy>
  <dcterms:created xsi:type="dcterms:W3CDTF">2025-11-13T21:10:35Z</dcterms:created>
</coreProperties>
</file>