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<sst xmlns="http://schemas.openxmlformats.org/spreadsheetml/2006/main" count="60" uniqueCount="60">
  <si>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Vehicle.AwardTask</t>
  </si>
  <si>
    <t xml:space="preserve">Vehicle.sum7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</si>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</sst>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</row>
    <row r="2">
      <c r="A2" t="str">
        <f>M2</f>
      </c>
      <c r="B2" t="str">
        <f>N2</f>
      </c>
      <c r="M2" t="s">
        <v>49</v>
      </c>
      <c r="N2" t="s">
        <v>50</v>
      </c>
      <c r="O2" s="1"/>
      <c r="P2" s="1"/>
      <c r="Q2" s="1" t="n">
        <v>77000</v>
      </c>
      <c r="R2" s="1" t="n">
        <v>31600000</v>
      </c>
      <c r="S2" s="1" t="n">
        <v>67075991.15</v>
      </c>
      <c r="T2" s="1" t="n">
        <v>45496000</v>
      </c>
      <c r="U2" s="1" t="n">
        <v>155603000</v>
      </c>
      <c r="V2" s="1" t="n">
        <v>54835000</v>
      </c>
      <c r="W2" s="1" t="n">
        <v>682945000</v>
      </c>
      <c r="X2" s="1" t="n">
        <v>1252569000</v>
      </c>
      <c r="Y2" s="1" t="n">
        <v>1879598021</v>
      </c>
      <c r="Z2" s="1" t="n">
        <v>835811000</v>
      </c>
      <c r="AA2" s="1" t="n">
        <v>-78000000</v>
      </c>
      <c r="AB2" s="1" t="n">
        <v>678340000</v>
      </c>
      <c r="AC2" s="1" t="n">
        <v>811960000</v>
      </c>
      <c r="AD2" s="1" t="n">
        <v>764502000</v>
      </c>
      <c r="AE2" s="1" t="n">
        <v>835335000</v>
      </c>
      <c r="AF2" s="1" t="n">
        <v>1220882000</v>
      </c>
      <c r="AG2" s="1" t="n">
        <v>4026502096</v>
      </c>
      <c r="AH2" s="1" t="n">
        <v>4207937115</v>
      </c>
      <c r="AI2" s="1" t="n">
        <v>4630223978</v>
      </c>
      <c r="AJ2" s="1" t="n">
        <v>24580435226.64</v>
      </c>
      <c r="AK2" s="1" t="n">
        <v>24106302588.46</v>
      </c>
      <c r="AL2" s="1" t="n">
        <v>26106954283.46</v>
      </c>
      <c r="AM2" s="1" t="n">
        <v>32922914808.31</v>
      </c>
      <c r="AN2" s="1" t="n">
        <v>31290054553.94</v>
      </c>
      <c r="AO2" s="1" t="n">
        <v>29596095280.92</v>
      </c>
      <c r="AP2" s="1" t="n">
        <v>34712294227.77</v>
      </c>
      <c r="AQ2" s="1" t="n">
        <v>38842437992.72</v>
      </c>
      <c r="AR2" s="1" t="n">
        <v>43480407282.98</v>
      </c>
      <c r="AS2" s="1" t="n">
        <v>40718477015.63</v>
      </c>
      <c r="AT2" s="1" t="n">
        <v>37073459260.8586</v>
      </c>
      <c r="AU2" s="1" t="n">
        <v>44860435750.1891</v>
      </c>
      <c r="AV2" s="1" t="n">
        <v>49417426796.5723</v>
      </c>
      <c r="AW2" s="1" t="n">
        <v>50005122566.4256</v>
      </c>
      <c r="AX2" s="1" t="n">
        <v>36049980655.0231</v>
      </c>
      <c r="AY2" s="1" t="n">
        <v>39541344351.1707</v>
      </c>
      <c r="AZ2" s="1" t="n">
        <v>51518893786.0678</v>
      </c>
      <c r="BA2" s="1" t="n">
        <v>57851065824.5591</v>
      </c>
      <c r="BB2" s="1" t="n">
        <v>49014898965.83</v>
      </c>
      <c r="BC2" s="1" t="n">
        <v>53003631595.12</v>
      </c>
      <c r="BD2" s="1" t="n">
        <v>63030431796.26</v>
      </c>
      <c r="BE2" s="1" t="n">
        <v>35766995695.49</v>
      </c>
      <c r="BF2" s="1" t="n">
        <v>38134159314.82</v>
      </c>
      <c r="BG2" s="1" t="n">
        <v>55594750528.27</v>
      </c>
      <c r="BH2" s="1" t="n">
        <v>32270134555.06</v>
      </c>
      <c r="BI2" s="1" t="n">
        <v>24073744726.32</v>
      </c>
      <c r="BJ2" s="1"/>
    </row>
    <row r="3">
      <c r="A3" t="str">
        <f>M3</f>
      </c>
      <c r="B3" t="str">
        <f>N3</f>
      </c>
      <c r="M3" t="s">
        <v>49</v>
      </c>
      <c r="N3" t="s">
        <v>51</v>
      </c>
      <c r="O3" s="1" t="n">
        <v>42392</v>
      </c>
      <c r="P3" s="1"/>
      <c r="Q3" s="1"/>
      <c r="R3" s="1"/>
      <c r="S3" s="1"/>
      <c r="T3" s="1"/>
      <c r="U3" s="1"/>
      <c r="V3" s="1" t="n">
        <v>8000</v>
      </c>
      <c r="W3" s="1"/>
      <c r="X3" s="1" t="n">
        <v>136000</v>
      </c>
      <c r="Y3" s="1" t="n">
        <v>1244000</v>
      </c>
      <c r="Z3" s="1" t="n">
        <v>377000</v>
      </c>
      <c r="AA3" s="1" t="n">
        <v>1588000</v>
      </c>
      <c r="AB3" s="1" t="n">
        <v>389000</v>
      </c>
      <c r="AC3" s="1" t="n">
        <v>-265000</v>
      </c>
      <c r="AD3" s="1" t="n">
        <v>400000</v>
      </c>
      <c r="AE3" s="1" t="n">
        <v>35000</v>
      </c>
      <c r="AF3" s="1" t="n">
        <v>1129000</v>
      </c>
      <c r="AG3" s="1" t="n">
        <v>26716013</v>
      </c>
      <c r="AH3" s="1" t="n">
        <v>161257555</v>
      </c>
      <c r="AI3" s="1" t="n">
        <v>197627466</v>
      </c>
      <c r="AJ3" s="1" t="n">
        <v>575234048</v>
      </c>
      <c r="AK3" s="1" t="n">
        <v>669069569.94</v>
      </c>
      <c r="AL3" s="1" t="n">
        <v>686880414.67</v>
      </c>
      <c r="AM3" s="1" t="n">
        <v>835897253.19</v>
      </c>
      <c r="AN3" s="1" t="n">
        <v>600689403.78</v>
      </c>
      <c r="AO3" s="1" t="n">
        <v>800013327.8</v>
      </c>
      <c r="AP3" s="1" t="n">
        <v>888726395.39</v>
      </c>
      <c r="AQ3" s="1" t="n">
        <v>970422741.45</v>
      </c>
      <c r="AR3" s="1" t="n">
        <v>1183717660.62</v>
      </c>
      <c r="AS3" s="1" t="n">
        <v>983363800.21</v>
      </c>
      <c r="AT3" s="1" t="n">
        <v>1025939958.163</v>
      </c>
      <c r="AU3" s="1" t="n">
        <v>1099212948.0185</v>
      </c>
      <c r="AV3" s="1" t="n">
        <v>986640516.3149</v>
      </c>
      <c r="AW3" s="1" t="n">
        <v>1201698960.5381</v>
      </c>
      <c r="AX3" s="1" t="n">
        <v>1182720605.3701</v>
      </c>
      <c r="AY3" s="1" t="n">
        <v>1201505540.9714</v>
      </c>
      <c r="AZ3" s="1" t="n">
        <v>1254981007.4817</v>
      </c>
      <c r="BA3" s="1" t="n">
        <v>1308996189.4308</v>
      </c>
      <c r="BB3" s="1" t="n">
        <v>1674425531.59</v>
      </c>
      <c r="BC3" s="1" t="n">
        <v>1746988190.09</v>
      </c>
      <c r="BD3" s="1" t="n">
        <v>1213933708.27</v>
      </c>
      <c r="BE3" s="1" t="n">
        <v>1121549382.03</v>
      </c>
      <c r="BF3" s="1" t="n">
        <v>1160499837.31</v>
      </c>
      <c r="BG3" s="1" t="n">
        <v>679414620.99</v>
      </c>
      <c r="BH3" s="1" t="n">
        <v>836045048.97</v>
      </c>
      <c r="BI3" s="1" t="n">
        <v>423864529.97</v>
      </c>
      <c r="BJ3" s="1"/>
    </row>
    <row r="4">
      <c r="A4" t="str">
        <f>M4</f>
      </c>
      <c r="B4" t="str">
        <f>N4</f>
      </c>
      <c r="M4" t="s">
        <v>52</v>
      </c>
      <c r="N4" t="s">
        <v>53</v>
      </c>
      <c r="O4" s="1"/>
      <c r="P4" s="1" t="n">
        <v>46000</v>
      </c>
      <c r="Q4" s="1" t="n">
        <v>161000</v>
      </c>
      <c r="R4" s="1" t="n">
        <v>288000</v>
      </c>
      <c r="S4" s="1" t="n">
        <v>2128000</v>
      </c>
      <c r="T4" s="1" t="n">
        <v>158000</v>
      </c>
      <c r="U4" s="1" t="n">
        <v>313000</v>
      </c>
      <c r="V4" s="1" t="n">
        <v>69000</v>
      </c>
      <c r="W4" s="1" t="n">
        <v>4169000</v>
      </c>
      <c r="X4" s="1" t="n">
        <v>5544000</v>
      </c>
      <c r="Y4" s="1" t="n">
        <v>6666000</v>
      </c>
      <c r="Z4" s="1" t="n">
        <v>5853000</v>
      </c>
      <c r="AA4" s="1" t="n">
        <v>9315000</v>
      </c>
      <c r="AB4" s="1" t="n">
        <v>12552000</v>
      </c>
      <c r="AC4" s="1" t="n">
        <v>3296000</v>
      </c>
      <c r="AD4" s="1"/>
      <c r="AE4" s="1"/>
      <c r="AF4" s="1" t="n">
        <v>0</v>
      </c>
      <c r="AG4" s="1" t="n">
        <v>49844864</v>
      </c>
      <c r="AH4" s="1" t="n">
        <v>64315353</v>
      </c>
      <c r="AI4" s="1" t="n">
        <v>13896467</v>
      </c>
      <c r="AJ4" s="1" t="n">
        <v>15949044</v>
      </c>
      <c r="AK4" s="1" t="n">
        <v>3578204</v>
      </c>
      <c r="AL4" s="1" t="n">
        <v>21286774.33</v>
      </c>
      <c r="AM4" s="1" t="n">
        <v>27665290.5813</v>
      </c>
      <c r="AN4" s="1" t="n">
        <v>388233.1308</v>
      </c>
      <c r="AO4" s="1" t="n">
        <v>5356992.0713</v>
      </c>
      <c r="AP4" s="1" t="n">
        <v>5328672.7029</v>
      </c>
      <c r="AQ4" s="1" t="n">
        <v>2422638.71</v>
      </c>
      <c r="AR4" s="1" t="n">
        <v>43287639.7559</v>
      </c>
      <c r="AS4" s="1" t="n">
        <v>29153564.3068</v>
      </c>
      <c r="AT4" s="1" t="n">
        <v>165479102.4641</v>
      </c>
      <c r="AU4" s="1" t="n">
        <v>1447423460.9816</v>
      </c>
      <c r="AV4" s="1" t="n">
        <v>3501329111.7152</v>
      </c>
      <c r="AW4" s="1" t="n">
        <v>4739884418.6757</v>
      </c>
      <c r="AX4" s="1" t="n">
        <v>4576105085.1177</v>
      </c>
      <c r="AY4" s="1" t="n">
        <v>5531679587.3385</v>
      </c>
      <c r="AZ4" s="1" t="n">
        <v>5617277929.5183</v>
      </c>
      <c r="BA4" s="1" t="n">
        <v>7232676923.4378</v>
      </c>
      <c r="BB4" s="1" t="n">
        <v>9555499584.5343</v>
      </c>
      <c r="BC4" s="1" t="n">
        <v>8565000933.0606</v>
      </c>
      <c r="BD4" s="1" t="n">
        <v>7022961831.8218</v>
      </c>
      <c r="BE4" s="1" t="n">
        <v>8293095980.0951</v>
      </c>
      <c r="BF4" s="1" t="n">
        <v>9228689067.6412</v>
      </c>
      <c r="BG4" s="1" t="n">
        <v>9276520909.1715</v>
      </c>
      <c r="BH4" s="1" t="n">
        <v>8912741691.18</v>
      </c>
      <c r="BI4" s="1" t="n">
        <v>3456852755.96</v>
      </c>
      <c r="BJ4" s="1"/>
    </row>
    <row r="5">
      <c r="A5" t="str">
        <f>M5</f>
      </c>
      <c r="B5" t="str">
        <f>N5</f>
      </c>
      <c r="M5" t="s">
        <v>52</v>
      </c>
      <c r="N5" t="s">
        <v>54</v>
      </c>
      <c r="O5" s="1"/>
      <c r="P5" s="1"/>
      <c r="Q5" s="1"/>
      <c r="R5" s="1"/>
      <c r="S5" s="1" t="n">
        <v>60000</v>
      </c>
      <c r="T5" s="1"/>
      <c r="U5" s="1"/>
      <c r="V5" s="1" t="n">
        <v>41000</v>
      </c>
      <c r="W5" s="1" t="n">
        <v>35000</v>
      </c>
      <c r="X5" s="1"/>
      <c r="Y5" s="1"/>
      <c r="Z5" s="1"/>
      <c r="AA5" s="1"/>
      <c r="AB5" s="1"/>
      <c r="AC5" s="1"/>
      <c r="AD5" s="1"/>
      <c r="AE5" s="1" t="n">
        <v>31000</v>
      </c>
      <c r="AF5" s="1" t="n">
        <v>79000</v>
      </c>
      <c r="AG5" s="1" t="n">
        <v>2955037</v>
      </c>
      <c r="AH5" s="1" t="n">
        <v>26960887</v>
      </c>
      <c r="AI5" s="1" t="n">
        <v>31968679</v>
      </c>
      <c r="AJ5" s="1" t="n">
        <v>123574155</v>
      </c>
      <c r="AK5" s="1" t="n">
        <v>77356117.09</v>
      </c>
      <c r="AL5" s="1" t="n">
        <v>143038832.75</v>
      </c>
      <c r="AM5" s="1" t="n">
        <v>201534412.0035</v>
      </c>
      <c r="AN5" s="1" t="n">
        <v>241215691.4556</v>
      </c>
      <c r="AO5" s="1" t="n">
        <v>249473447.2923</v>
      </c>
      <c r="AP5" s="1" t="n">
        <v>153778002.372</v>
      </c>
      <c r="AQ5" s="1" t="n">
        <v>211961668.518</v>
      </c>
      <c r="AR5" s="1" t="n">
        <v>260637124.7695</v>
      </c>
      <c r="AS5" s="1" t="n">
        <v>189092483.019</v>
      </c>
      <c r="AT5" s="1" t="n">
        <v>217824648.2669</v>
      </c>
      <c r="AU5" s="1" t="n">
        <v>268720229.82</v>
      </c>
      <c r="AV5" s="1" t="n">
        <v>226391384.409</v>
      </c>
      <c r="AW5" s="1" t="n">
        <v>165455433.8876</v>
      </c>
      <c r="AX5" s="1" t="n">
        <v>135288401.9449</v>
      </c>
      <c r="AY5" s="1" t="n">
        <v>116552455.5742</v>
      </c>
      <c r="AZ5" s="1" t="n">
        <v>161228231.9326</v>
      </c>
      <c r="BA5" s="1" t="n">
        <v>112313980.1374</v>
      </c>
      <c r="BB5" s="1" t="n">
        <v>142102180.2154</v>
      </c>
      <c r="BC5" s="1" t="n">
        <v>205031950.6491</v>
      </c>
      <c r="BD5" s="1" t="n">
        <v>168686383.0158</v>
      </c>
      <c r="BE5" s="1" t="n">
        <v>167267132.2923</v>
      </c>
      <c r="BF5" s="1" t="n">
        <v>123998174.2661</v>
      </c>
      <c r="BG5" s="1" t="n">
        <v>84002534.7091</v>
      </c>
      <c r="BH5" s="1" t="n">
        <v>145794997.99</v>
      </c>
      <c r="BI5" s="1" t="n">
        <v>25074693.44</v>
      </c>
      <c r="BJ5" s="1"/>
    </row>
    <row r="6">
      <c r="A6" t="str">
        <f>M6</f>
      </c>
      <c r="B6" t="str">
        <f>N6</f>
      </c>
      <c r="M6" t="s">
        <v>52</v>
      </c>
      <c r="N6" t="s">
        <v>55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 t="n">
        <v>58753102</v>
      </c>
      <c r="AH6" s="1" t="n">
        <v>334892870</v>
      </c>
      <c r="AI6" s="1" t="n">
        <v>301858328.67</v>
      </c>
      <c r="AJ6" s="1" t="n">
        <v>1086185382</v>
      </c>
      <c r="AK6" s="1" t="n">
        <v>899695329.2</v>
      </c>
      <c r="AL6" s="1" t="n">
        <v>959393300.4375</v>
      </c>
      <c r="AM6" s="1" t="n">
        <v>1638044203.8125</v>
      </c>
      <c r="AN6" s="1" t="n">
        <v>1677848702.1094</v>
      </c>
      <c r="AO6" s="1" t="n">
        <v>1842600462.594</v>
      </c>
      <c r="AP6" s="1" t="n">
        <v>2536046234.8964</v>
      </c>
      <c r="AQ6" s="1" t="n">
        <v>2578596351.6838</v>
      </c>
      <c r="AR6" s="1" t="n">
        <v>2374962197.9287</v>
      </c>
      <c r="AS6" s="1" t="n">
        <v>2811345525.9451</v>
      </c>
      <c r="AT6" s="1" t="n">
        <v>2775748753.4298</v>
      </c>
      <c r="AU6" s="1" t="n">
        <v>2450371961.4397</v>
      </c>
      <c r="AV6" s="1" t="n">
        <v>1984346615.3058</v>
      </c>
      <c r="AW6" s="1" t="n">
        <v>1641988449.7969</v>
      </c>
      <c r="AX6" s="1" t="n">
        <v>1629413060.6036</v>
      </c>
      <c r="AY6" s="1" t="n">
        <v>1674497008.3088</v>
      </c>
      <c r="AZ6" s="1" t="n">
        <v>2049671519.3857</v>
      </c>
      <c r="BA6" s="1" t="n">
        <v>2022386524.3925</v>
      </c>
      <c r="BB6" s="1" t="n">
        <v>1879168550.9256</v>
      </c>
      <c r="BC6" s="1" t="n">
        <v>2237301676.2203</v>
      </c>
      <c r="BD6" s="1" t="n">
        <v>2488259003.2948</v>
      </c>
      <c r="BE6" s="1" t="n">
        <v>2372847066.4693</v>
      </c>
      <c r="BF6" s="1" t="n">
        <v>2543763097.8861</v>
      </c>
      <c r="BG6" s="1" t="n">
        <v>2900505982.4097</v>
      </c>
      <c r="BH6" s="1" t="n">
        <v>3229627715.17</v>
      </c>
      <c r="BI6" s="1" t="n">
        <v>1426643359.75</v>
      </c>
      <c r="BJ6" s="1"/>
    </row>
    <row r="7">
      <c r="A7" t="str">
        <f>M7</f>
      </c>
      <c r="B7" t="str">
        <f>N7</f>
      </c>
      <c r="M7" t="s">
        <v>52</v>
      </c>
      <c r="N7" t="s">
        <v>56</v>
      </c>
      <c r="O7" s="1"/>
      <c r="P7" s="1"/>
      <c r="Q7" s="1"/>
      <c r="R7" s="1"/>
      <c r="S7" s="1"/>
      <c r="T7" s="1"/>
      <c r="U7" s="1"/>
      <c r="V7" s="1"/>
      <c r="W7" s="1"/>
      <c r="X7" s="1"/>
      <c r="Y7" s="1" t="n">
        <v>129000</v>
      </c>
      <c r="Z7" s="1" t="n">
        <v>11436000</v>
      </c>
      <c r="AA7" s="1" t="n">
        <v>742000</v>
      </c>
      <c r="AB7" s="1" t="n">
        <v>1956000</v>
      </c>
      <c r="AC7" s="1" t="n">
        <v>6012000</v>
      </c>
      <c r="AD7" s="1" t="n">
        <v>1053000</v>
      </c>
      <c r="AE7" s="1" t="n">
        <v>1450000</v>
      </c>
      <c r="AF7" s="1" t="n">
        <v>11707768.51</v>
      </c>
      <c r="AG7" s="1" t="n">
        <v>1062604105</v>
      </c>
      <c r="AH7" s="1" t="n">
        <v>1796704708</v>
      </c>
      <c r="AI7" s="1" t="n">
        <v>3255293201.67</v>
      </c>
      <c r="AJ7" s="1" t="n">
        <v>9329208039.4441</v>
      </c>
      <c r="AK7" s="1" t="n">
        <v>10756381455.0968</v>
      </c>
      <c r="AL7" s="1" t="n">
        <v>11435695602.1251</v>
      </c>
      <c r="AM7" s="1" t="n">
        <v>14112674498.8887</v>
      </c>
      <c r="AN7" s="1" t="n">
        <v>14505525993.2919</v>
      </c>
      <c r="AO7" s="1" t="n">
        <v>15396716990.9833</v>
      </c>
      <c r="AP7" s="1" t="n">
        <v>16638673681.4488</v>
      </c>
      <c r="AQ7" s="1" t="n">
        <v>18878064792.8399</v>
      </c>
      <c r="AR7" s="1" t="n">
        <v>20734378726.0514</v>
      </c>
      <c r="AS7" s="1" t="n">
        <v>22540311719.5269</v>
      </c>
      <c r="AT7" s="1" t="n">
        <v>24388475720.6835</v>
      </c>
      <c r="AU7" s="1" t="n">
        <v>22133770192.2392</v>
      </c>
      <c r="AV7" s="1" t="n">
        <v>23669157334.0961</v>
      </c>
      <c r="AW7" s="1" t="n">
        <v>17129152511.447</v>
      </c>
      <c r="AX7" s="1" t="n">
        <v>15558290008.6225</v>
      </c>
      <c r="AY7" s="1" t="n">
        <v>14931030707.3871</v>
      </c>
      <c r="AZ7" s="1" t="n">
        <v>16019493639.0837</v>
      </c>
      <c r="BA7" s="1" t="n">
        <v>19085554036.8664</v>
      </c>
      <c r="BB7" s="1" t="n">
        <v>23384478547.1892</v>
      </c>
      <c r="BC7" s="1" t="n">
        <v>25873883211.0788</v>
      </c>
      <c r="BD7" s="1" t="n">
        <v>33201587488.55</v>
      </c>
      <c r="BE7" s="1" t="n">
        <v>27032069210.2557</v>
      </c>
      <c r="BF7" s="1" t="n">
        <v>26151121890.1863</v>
      </c>
      <c r="BG7" s="1" t="n">
        <v>30777027189.8927</v>
      </c>
      <c r="BH7" s="1" t="n">
        <v>28462941725.96</v>
      </c>
      <c r="BI7" s="1" t="n">
        <v>12888747423.91</v>
      </c>
      <c r="BJ7" s="1"/>
    </row>
    <row r="8">
      <c r="A8" t="str">
        <f>M8</f>
      </c>
      <c r="B8" t="str">
        <f>N8</f>
      </c>
      <c r="M8" t="s">
        <v>52</v>
      </c>
      <c r="N8" t="s">
        <v>57</v>
      </c>
      <c r="O8" s="1"/>
      <c r="P8" s="1" t="n">
        <v>12000</v>
      </c>
      <c r="Q8" s="1" t="n">
        <v>4252000</v>
      </c>
      <c r="R8" s="1" t="n">
        <v>3167000</v>
      </c>
      <c r="S8" s="1" t="n">
        <v>2469000</v>
      </c>
      <c r="T8" s="1" t="n">
        <v>13744000</v>
      </c>
      <c r="U8" s="1" t="n">
        <v>5298000</v>
      </c>
      <c r="V8" s="1" t="n">
        <v>7676000</v>
      </c>
      <c r="W8" s="1" t="n">
        <v>13590000</v>
      </c>
      <c r="X8" s="1" t="n">
        <v>3340000</v>
      </c>
      <c r="Y8" s="1"/>
      <c r="Z8" s="1"/>
      <c r="AA8" s="1"/>
      <c r="AB8" s="1"/>
      <c r="AC8" s="1"/>
      <c r="AD8" s="1"/>
      <c r="AE8" s="1"/>
      <c r="AF8" s="1" t="n">
        <v>0</v>
      </c>
      <c r="AG8" s="1" t="n">
        <v>149346114</v>
      </c>
      <c r="AH8" s="1" t="n">
        <v>81267222</v>
      </c>
      <c r="AI8" s="1" t="n">
        <v>55806113</v>
      </c>
      <c r="AJ8" s="1" t="n">
        <v>102867217.9786</v>
      </c>
      <c r="AK8" s="1" t="n">
        <v>143679931.0937</v>
      </c>
      <c r="AL8" s="1" t="n">
        <v>85519444.22</v>
      </c>
      <c r="AM8" s="1" t="n">
        <v>16797444</v>
      </c>
      <c r="AN8" s="1" t="n">
        <v>54540079.0787</v>
      </c>
      <c r="AO8" s="1" t="n">
        <v>5541556.6483</v>
      </c>
      <c r="AP8" s="1" t="n">
        <v>1754920.6797</v>
      </c>
      <c r="AQ8" s="1" t="n">
        <v>2179498.8436</v>
      </c>
      <c r="AR8" s="1" t="n">
        <v>-12287.3602</v>
      </c>
      <c r="AS8" s="1" t="n">
        <v>-1643.61</v>
      </c>
      <c r="AT8" s="1" t="n">
        <v>25506.8008</v>
      </c>
      <c r="AU8" s="1"/>
      <c r="AV8" s="1"/>
      <c r="AW8" s="1" t="n">
        <v>23174.96</v>
      </c>
      <c r="AX8" s="1" t="n">
        <v>46522.8</v>
      </c>
      <c r="AY8" s="1"/>
      <c r="AZ8" s="1"/>
      <c r="BA8" s="1" t="n">
        <v>8223.7002</v>
      </c>
      <c r="BB8" s="1" t="n">
        <v>0</v>
      </c>
      <c r="BC8" s="1"/>
      <c r="BD8" s="1" t="n">
        <v>1986.54</v>
      </c>
      <c r="BE8" s="1"/>
      <c r="BF8" s="1" t="n">
        <v>850</v>
      </c>
      <c r="BG8" s="1"/>
      <c r="BH8" s="1"/>
      <c r="BI8" s="1"/>
      <c r="BJ8" s="1"/>
    </row>
    <row r="9">
      <c r="A9" t="str">
        <f>M9</f>
      </c>
      <c r="B9" t="str">
        <f>N9</f>
      </c>
      <c r="M9"/>
      <c r="N9"/>
      <c r="O9" s="1"/>
      <c r="P9" s="1"/>
      <c r="Q9" s="1"/>
      <c r="R9" s="1"/>
      <c r="S9" s="1"/>
      <c r="T9" s="1"/>
      <c r="U9" s="1"/>
      <c r="V9" s="1"/>
      <c r="W9" s="1"/>
      <c r="X9" s="1" t="n">
        <v>301670</v>
      </c>
      <c r="Y9" s="1" t="n">
        <v>82809971</v>
      </c>
      <c r="Z9" s="1" t="n">
        <v>30980247148</v>
      </c>
      <c r="AA9" s="1" t="n">
        <v>30513099255</v>
      </c>
      <c r="AB9" s="1" t="n">
        <v>30337971567</v>
      </c>
      <c r="AC9" s="1" t="n">
        <v>29918044865</v>
      </c>
      <c r="AD9" s="1" t="n">
        <v>30546960405</v>
      </c>
      <c r="AE9" s="1" t="n">
        <v>26815505318</v>
      </c>
      <c r="AF9" s="1" t="n">
        <v>28856006190</v>
      </c>
      <c r="AG9" s="1" t="n">
        <v>24930833919</v>
      </c>
      <c r="AH9" s="1" t="n">
        <v>26529770069</v>
      </c>
      <c r="AI9" s="1" t="n">
        <v>27539206570</v>
      </c>
      <c r="AJ9" s="1"/>
      <c r="AK9" s="1" t="n">
        <v>0</v>
      </c>
      <c r="AL9" s="1" t="n">
        <v>0</v>
      </c>
      <c r="AM9" s="1" t="n"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 t="n">
        <v>0</v>
      </c>
      <c r="BA9" s="1"/>
      <c r="BB9" s="1"/>
      <c r="BC9" s="1"/>
      <c r="BD9" s="1"/>
      <c r="BE9" s="1" t="n">
        <v>0</v>
      </c>
      <c r="BF9" s="1" t="n">
        <v>0</v>
      </c>
      <c r="BG9" s="1" t="n">
        <v>0</v>
      </c>
      <c r="BH9" s="1" t="n">
        <v>0</v>
      </c>
      <c r="BI9" s="1" t="n">
        <v>-8156.26</v>
      </c>
      <c r="BJ9" s="1"/>
    </row>
    <row r="10">
      <c r="A10" t="str">
        <f>M10</f>
      </c>
      <c r="B10" t="str">
        <f>N10</f>
      </c>
      <c r="M10" t="s">
        <v>58</v>
      </c>
      <c r="N10" t="s">
        <v>59</v>
      </c>
      <c r="O10" s="1" t="str">
        <f>Sum(O2:O9)</f>
      </c>
      <c r="P10" s="1" t="str">
        <f>Sum(P2:P9)</f>
      </c>
      <c r="Q10" s="1" t="str">
        <f>Sum(Q2:Q9)</f>
      </c>
      <c r="R10" s="1" t="str">
        <f>Sum(R2:R9)</f>
      </c>
      <c r="S10" s="1" t="str">
        <f>Sum(S2:S9)</f>
      </c>
      <c r="T10" s="1" t="str">
        <f>Sum(T2:T9)</f>
      </c>
      <c r="U10" s="1" t="str">
        <f>Sum(U2:U9)</f>
      </c>
      <c r="V10" s="1" t="str">
        <f>Sum(V2:V9)</f>
      </c>
      <c r="W10" s="1" t="str">
        <f>Sum(W2:W9)</f>
      </c>
      <c r="X10" s="1" t="str">
        <f>Sum(X2:X9)</f>
      </c>
      <c r="Y10" s="1" t="str">
        <f>Sum(Y2:Y9)</f>
      </c>
      <c r="Z10" s="1" t="str">
        <f>Sum(Z2:Z9)</f>
      </c>
      <c r="AA10" s="1" t="str">
        <f>Sum(AA2:AA9)</f>
      </c>
      <c r="AB10" s="1" t="str">
        <f>Sum(AB2:AB9)</f>
      </c>
      <c r="AC10" s="1" t="str">
        <f>Sum(AC2:AC9)</f>
      </c>
      <c r="AD10" s="1" t="str">
        <f>Sum(AD2:AD9)</f>
      </c>
      <c r="AE10" s="1" t="str">
        <f>Sum(AE2:AE9)</f>
      </c>
      <c r="AF10" s="1" t="str">
        <f>Sum(AF2:AF9)</f>
      </c>
      <c r="AG10" s="1" t="str">
        <f>Sum(AG2:AG9)</f>
      </c>
      <c r="AH10" s="1" t="str">
        <f>Sum(AH2:AH9)</f>
      </c>
      <c r="AI10" s="1" t="str">
        <f>Sum(AI2:AI9)</f>
      </c>
      <c r="AJ10" s="1" t="str">
        <f>Sum(AJ2:AJ9)</f>
      </c>
      <c r="AK10" s="1" t="str">
        <f>Sum(AK2:AK9)</f>
      </c>
      <c r="AL10" s="1" t="str">
        <f>Sum(AL2:AL9)</f>
      </c>
      <c r="AM10" s="1" t="str">
        <f>Sum(AM2:AM9)</f>
      </c>
      <c r="AN10" s="1" t="str">
        <f>Sum(AN2:AN9)</f>
      </c>
      <c r="AO10" s="1" t="str">
        <f>Sum(AO2:AO9)</f>
      </c>
      <c r="AP10" s="1" t="str">
        <f>Sum(AP2:AP9)</f>
      </c>
      <c r="AQ10" s="1" t="str">
        <f>Sum(AQ2:AQ9)</f>
      </c>
      <c r="AR10" s="1" t="str">
        <f>Sum(AR2:AR9)</f>
      </c>
      <c r="AS10" s="1" t="str">
        <f>Sum(AS2:AS9)</f>
      </c>
      <c r="AT10" s="1" t="str">
        <f>Sum(AT2:AT9)</f>
      </c>
      <c r="AU10" s="1" t="str">
        <f>Sum(AU2:AU9)</f>
      </c>
      <c r="AV10" s="1" t="str">
        <f>Sum(AV2:AV9)</f>
      </c>
      <c r="AW10" s="1" t="str">
        <f>Sum(AW2:AW9)</f>
      </c>
      <c r="AX10" s="1" t="str">
        <f>Sum(AX2:AX9)</f>
      </c>
      <c r="AY10" s="1" t="str">
        <f>Sum(AY2:AY9)</f>
      </c>
      <c r="AZ10" s="1" t="str">
        <f>Sum(AZ2:AZ9)</f>
      </c>
      <c r="BA10" s="1" t="str">
        <f>Sum(BA2:BA9)</f>
      </c>
      <c r="BB10" s="1" t="str">
        <f>Sum(BB2:BB9)</f>
      </c>
      <c r="BC10" s="1" t="str">
        <f>Sum(BC2:BC9)</f>
      </c>
      <c r="BD10" s="1" t="str">
        <f>Sum(BD2:BD9)</f>
      </c>
      <c r="BE10" s="1" t="str">
        <f>Sum(BE2:BE9)</f>
      </c>
      <c r="BF10" s="1" t="str">
        <f>Sum(BF2:BF9)</f>
      </c>
      <c r="BG10" s="1" t="str">
        <f>Sum(BG2:BG9)</f>
      </c>
      <c r="BH10" s="1" t="str">
        <f>Sum(BH2:BH9)</f>
      </c>
      <c r="BI10" s="1" t="str">
        <f>Sum(BI2:BI9)</f>
      </c>
      <c r="BJ10" s="1"/>
    </row>
    <row r="13">
      <c r="A13" t="str">
        <f>M13</f>
      </c>
      <c r="B13" t="str">
        <f>N13</f>
      </c>
      <c r="M13" t="s">
        <v>0</v>
      </c>
      <c r="N13" t="s">
        <v>1</v>
      </c>
      <c r="O13" t="s">
        <v>2</v>
      </c>
      <c r="P13" t="s">
        <v>3</v>
      </c>
      <c r="Q13" t="s">
        <v>4</v>
      </c>
      <c r="R13" t="s">
        <v>5</v>
      </c>
      <c r="S13" t="s">
        <v>6</v>
      </c>
      <c r="T13" t="s">
        <v>7</v>
      </c>
      <c r="U13" t="s">
        <v>8</v>
      </c>
      <c r="V13" t="s">
        <v>9</v>
      </c>
      <c r="W13" t="s">
        <v>10</v>
      </c>
      <c r="X13" t="s">
        <v>11</v>
      </c>
      <c r="Y13" t="s">
        <v>12</v>
      </c>
      <c r="Z13" t="s">
        <v>13</v>
      </c>
      <c r="AA13" t="s">
        <v>14</v>
      </c>
      <c r="AB13" t="s">
        <v>15</v>
      </c>
      <c r="AC13" t="s">
        <v>16</v>
      </c>
      <c r="AD13" t="s">
        <v>17</v>
      </c>
      <c r="AE13" t="s">
        <v>18</v>
      </c>
      <c r="AF13" t="s">
        <v>19</v>
      </c>
      <c r="AG13" t="s">
        <v>20</v>
      </c>
      <c r="AH13" t="s">
        <v>21</v>
      </c>
      <c r="AI13" t="s">
        <v>22</v>
      </c>
      <c r="AJ13" t="s">
        <v>23</v>
      </c>
      <c r="AK13" t="s">
        <v>24</v>
      </c>
      <c r="AL13" t="s">
        <v>25</v>
      </c>
      <c r="AM13" t="s">
        <v>26</v>
      </c>
      <c r="AN13" t="s">
        <v>27</v>
      </c>
      <c r="AO13" t="s">
        <v>28</v>
      </c>
      <c r="AP13" t="s">
        <v>29</v>
      </c>
      <c r="AQ13" t="s">
        <v>30</v>
      </c>
      <c r="AR13" t="s">
        <v>31</v>
      </c>
      <c r="AS13" t="s">
        <v>32</v>
      </c>
      <c r="AT13" t="s">
        <v>33</v>
      </c>
      <c r="AU13" t="s">
        <v>34</v>
      </c>
      <c r="AV13" t="s">
        <v>35</v>
      </c>
      <c r="AW13" t="s">
        <v>36</v>
      </c>
      <c r="AX13" t="s">
        <v>37</v>
      </c>
      <c r="AY13" t="s">
        <v>38</v>
      </c>
      <c r="AZ13" t="s">
        <v>39</v>
      </c>
      <c r="BA13" t="s">
        <v>40</v>
      </c>
      <c r="BB13" t="s">
        <v>41</v>
      </c>
      <c r="BC13" t="s">
        <v>42</v>
      </c>
      <c r="BD13" t="s">
        <v>43</v>
      </c>
      <c r="BE13" t="s">
        <v>44</v>
      </c>
      <c r="BF13" t="s">
        <v>45</v>
      </c>
      <c r="BG13" t="s">
        <v>46</v>
      </c>
      <c r="BH13" t="s">
        <v>47</v>
      </c>
      <c r="BI13" t="s">
        <v>48</v>
      </c>
    </row>
    <row r="14">
      <c r="A14" t="str">
        <f>M14</f>
      </c>
      <c r="B14" t="str">
        <f>N14</f>
      </c>
      <c r="M14" t="s">
        <v>49</v>
      </c>
      <c r="N14" t="s">
        <v>50</v>
      </c>
      <c r="O14" s="1"/>
      <c r="P14" s="1"/>
      <c r="Q14" s="1" t="n">
        <v>221474.787957306</v>
      </c>
      <c r="R14" s="1" t="n">
        <v>84983740.8891782</v>
      </c>
      <c r="S14" s="1" t="n">
        <v>172851303.538425</v>
      </c>
      <c r="T14" s="1" t="n">
        <v>113179065.030321</v>
      </c>
      <c r="U14" s="1" t="n">
        <v>374570266.839315</v>
      </c>
      <c r="V14" s="1" t="n">
        <v>129097559.419997</v>
      </c>
      <c r="W14" s="1" t="n">
        <v>1572667347.53832</v>
      </c>
      <c r="X14" s="1" t="n">
        <v>2793734656.55042</v>
      </c>
      <c r="Y14" s="1" t="n">
        <v>4029549183.05564</v>
      </c>
      <c r="Z14" s="1" t="n">
        <v>1728692794.23272</v>
      </c>
      <c r="AA14" s="1" t="n">
        <v>-155757565.84089</v>
      </c>
      <c r="AB14" s="1" t="n">
        <v>1321496390.24438</v>
      </c>
      <c r="AC14" s="1" t="n">
        <v>1545547437.74299</v>
      </c>
      <c r="AD14" s="1" t="n">
        <v>1424122679.48199</v>
      </c>
      <c r="AE14" s="1" t="n">
        <v>1523749903.28296</v>
      </c>
      <c r="AF14" s="1" t="n">
        <v>2185876586.94357</v>
      </c>
      <c r="AG14" s="1" t="n">
        <v>7083370961.90782</v>
      </c>
      <c r="AH14" s="1" t="n">
        <v>7310886479.3772</v>
      </c>
      <c r="AI14" s="1" t="n">
        <v>7946175182.21929</v>
      </c>
      <c r="AJ14" s="1" t="n">
        <v>41323973651.4872</v>
      </c>
      <c r="AK14" s="1" t="n">
        <v>39567787485.6994</v>
      </c>
      <c r="AL14" s="1" t="n">
        <v>42187925739.664</v>
      </c>
      <c r="AM14" s="1" t="n">
        <v>52200288454.4857</v>
      </c>
      <c r="AN14" s="1" t="n">
        <v>48428768347.4716</v>
      </c>
      <c r="AO14" s="1" t="n">
        <v>44454230994.1471</v>
      </c>
      <c r="AP14" s="1" t="n">
        <v>50498507385.1404</v>
      </c>
      <c r="AQ14" s="1" t="n">
        <v>54992999384.2077</v>
      </c>
      <c r="AR14" s="1" t="n">
        <v>60307389102.2068</v>
      </c>
      <c r="AS14" s="1" t="n">
        <v>55904898059.2689</v>
      </c>
      <c r="AT14" s="1" t="n">
        <v>50463393959.7935</v>
      </c>
      <c r="AU14" s="1" t="n">
        <v>59861318272.0798</v>
      </c>
      <c r="AV14" s="1" t="n">
        <v>64766859473.5786</v>
      </c>
      <c r="AW14" s="1" t="n">
        <v>64369137504.9676</v>
      </c>
      <c r="AX14" s="1" t="n">
        <v>45573955454.0491</v>
      </c>
      <c r="AY14" s="1" t="n">
        <v>49475316778.0572</v>
      </c>
      <c r="AZ14" s="1" t="n">
        <v>63950695212.071</v>
      </c>
      <c r="BA14" s="1" t="n">
        <v>70618796065.6052</v>
      </c>
      <c r="BB14" s="1" t="n">
        <v>58533053362.5243</v>
      </c>
      <c r="BC14" s="1" t="n">
        <v>62147279910.4369</v>
      </c>
      <c r="BD14" s="1" t="n">
        <v>72950837282.9099</v>
      </c>
      <c r="BE14" s="1" t="n">
        <v>40019039088.3782</v>
      </c>
      <c r="BF14" s="1" t="n">
        <v>39878667245.9308</v>
      </c>
      <c r="BG14" s="1" t="n">
        <v>55594750528.27</v>
      </c>
      <c r="BH14" s="1" t="n">
        <v>31430745444.391</v>
      </c>
      <c r="BI14" s="1" t="n">
        <v>22944113201.5268</v>
      </c>
      <c r="BJ14" s="1"/>
    </row>
    <row r="15">
      <c r="A15" t="str">
        <f>M15</f>
      </c>
      <c r="B15" t="str">
        <f>N15</f>
      </c>
      <c r="M15" t="s">
        <v>49</v>
      </c>
      <c r="N15" t="s">
        <v>51</v>
      </c>
      <c r="O15" s="1" t="n">
        <v>145563.753356298</v>
      </c>
      <c r="P15" s="1"/>
      <c r="Q15" s="1"/>
      <c r="R15" s="1"/>
      <c r="S15" s="1"/>
      <c r="T15" s="1"/>
      <c r="U15" s="1"/>
      <c r="V15" s="1" t="n">
        <v>18834.3298141694</v>
      </c>
      <c r="W15" s="1"/>
      <c r="X15" s="1" t="n">
        <v>303334.91671186</v>
      </c>
      <c r="Y15" s="1" t="n">
        <v>2666931.50754345</v>
      </c>
      <c r="Z15" s="1" t="n">
        <v>779742.290333265</v>
      </c>
      <c r="AA15" s="1" t="n">
        <v>3171064.28917093</v>
      </c>
      <c r="AB15" s="1" t="n">
        <v>757823.651568628</v>
      </c>
      <c r="AC15" s="1" t="n">
        <v>-504421.487514031</v>
      </c>
      <c r="AD15" s="1" t="n">
        <v>745124.370888234</v>
      </c>
      <c r="AE15" s="1" t="n">
        <v>63844.1423080606</v>
      </c>
      <c r="AF15" s="1" t="n">
        <v>2021370.34263695</v>
      </c>
      <c r="AG15" s="1" t="n">
        <v>46998468.1965385</v>
      </c>
      <c r="AH15" s="1" t="n">
        <v>280169509.744901</v>
      </c>
      <c r="AI15" s="1" t="n">
        <v>339159071.594719</v>
      </c>
      <c r="AJ15" s="1" t="n">
        <v>967068175.311544</v>
      </c>
      <c r="AK15" s="1" t="n">
        <v>1098202532.69398</v>
      </c>
      <c r="AL15" s="1" t="n">
        <v>1109974745.10026</v>
      </c>
      <c r="AM15" s="1" t="n">
        <v>1325340662.84486</v>
      </c>
      <c r="AN15" s="1" t="n">
        <v>929709084.856146</v>
      </c>
      <c r="AO15" s="1" t="n">
        <v>1201644234.98612</v>
      </c>
      <c r="AP15" s="1" t="n">
        <v>1292895138.14582</v>
      </c>
      <c r="AQ15" s="1" t="n">
        <v>1373921411.24054</v>
      </c>
      <c r="AR15" s="1" t="n">
        <v>1641818143.09058</v>
      </c>
      <c r="AS15" s="1" t="n">
        <v>1350120560.37393</v>
      </c>
      <c r="AT15" s="1" t="n">
        <v>1396481831.4792</v>
      </c>
      <c r="AU15" s="1" t="n">
        <v>1466778800.2895</v>
      </c>
      <c r="AV15" s="1" t="n">
        <v>1293098645.83112</v>
      </c>
      <c r="AW15" s="1" t="n">
        <v>1546888031.87515</v>
      </c>
      <c r="AX15" s="1" t="n">
        <v>1495181279.00056</v>
      </c>
      <c r="AY15" s="1" t="n">
        <v>1503359792.78335</v>
      </c>
      <c r="AZ15" s="1" t="n">
        <v>1557815046.25598</v>
      </c>
      <c r="BA15" s="1" t="n">
        <v>1597891648.74513</v>
      </c>
      <c r="BB15" s="1" t="n">
        <v>1999580557.34148</v>
      </c>
      <c r="BC15" s="1" t="n">
        <v>2048360853.44286</v>
      </c>
      <c r="BD15" s="1" t="n">
        <v>1404995617.20437</v>
      </c>
      <c r="BE15" s="1" t="n">
        <v>1254881146.32632</v>
      </c>
      <c r="BF15" s="1" t="n">
        <v>1213588753.03846</v>
      </c>
      <c r="BG15" s="1" t="n">
        <v>679414620.99</v>
      </c>
      <c r="BH15" s="1" t="n">
        <v>814298405.523666</v>
      </c>
      <c r="BI15" s="1" t="n">
        <v>403975196.55972</v>
      </c>
      <c r="BJ15" s="1"/>
    </row>
    <row r="16">
      <c r="A16" t="str">
        <f>M16</f>
      </c>
      <c r="B16" t="str">
        <f>N16</f>
      </c>
      <c r="M16" t="s">
        <v>52</v>
      </c>
      <c r="N16" t="s">
        <v>53</v>
      </c>
      <c r="O16" s="1"/>
      <c r="P16" s="1" t="n">
        <v>145283.829030862</v>
      </c>
      <c r="Q16" s="1" t="n">
        <v>463083.647547093</v>
      </c>
      <c r="R16" s="1" t="n">
        <v>774535.360002637</v>
      </c>
      <c r="S16" s="1" t="n">
        <v>5483744.14784578</v>
      </c>
      <c r="T16" s="1" t="n">
        <v>393051.966651809</v>
      </c>
      <c r="U16" s="1" t="n">
        <v>753459.081898843</v>
      </c>
      <c r="V16" s="1" t="n">
        <v>162446.094647211</v>
      </c>
      <c r="W16" s="1" t="n">
        <v>9600260.88760775</v>
      </c>
      <c r="X16" s="1" t="n">
        <v>12365358.663607</v>
      </c>
      <c r="Y16" s="1" t="n">
        <v>14290808.2228976</v>
      </c>
      <c r="Z16" s="1" t="n">
        <v>12105654.1785692</v>
      </c>
      <c r="AA16" s="1" t="n">
        <v>18601047.7667678</v>
      </c>
      <c r="AB16" s="1" t="n">
        <v>24452962.6593558</v>
      </c>
      <c r="AC16" s="1" t="n">
        <v>6273861.21828772</v>
      </c>
      <c r="AD16" s="1"/>
      <c r="AE16" s="1"/>
      <c r="AF16" s="1" t="n">
        <v>0</v>
      </c>
      <c r="AG16" s="1" t="n">
        <v>87686446.9060106</v>
      </c>
      <c r="AH16" s="1" t="n">
        <v>111741747.039885</v>
      </c>
      <c r="AI16" s="1" t="n">
        <v>23848470.7695774</v>
      </c>
      <c r="AJ16" s="1" t="n">
        <v>26813108.3906972</v>
      </c>
      <c r="AK16" s="1" t="n">
        <v>5873219.87405304</v>
      </c>
      <c r="AL16" s="1" t="n">
        <v>34398683.3898882</v>
      </c>
      <c r="AM16" s="1" t="n">
        <v>43864164.4255786</v>
      </c>
      <c r="AN16" s="1" t="n">
        <v>600882.696574249</v>
      </c>
      <c r="AO16" s="1" t="n">
        <v>8046364.24876323</v>
      </c>
      <c r="AP16" s="1" t="n">
        <v>7752009.01659559</v>
      </c>
      <c r="AQ16" s="1" t="n">
        <v>3429964.13129778</v>
      </c>
      <c r="AR16" s="1" t="n">
        <v>60040020.2575172</v>
      </c>
      <c r="AS16" s="1" t="n">
        <v>40026719.0742517</v>
      </c>
      <c r="AT16" s="1" t="n">
        <v>225245696.146174</v>
      </c>
      <c r="AU16" s="1" t="n">
        <v>1931427437.63762</v>
      </c>
      <c r="AV16" s="1" t="n">
        <v>4588868851.52299</v>
      </c>
      <c r="AW16" s="1" t="n">
        <v>6101420339.44821</v>
      </c>
      <c r="AX16" s="1" t="n">
        <v>5785057453.92523</v>
      </c>
      <c r="AY16" s="1" t="n">
        <v>6921403517.99096</v>
      </c>
      <c r="AZ16" s="1" t="n">
        <v>6972758970.40445</v>
      </c>
      <c r="BA16" s="1" t="n">
        <v>8828928722.13656</v>
      </c>
      <c r="BB16" s="1" t="n">
        <v>11411072528.7232</v>
      </c>
      <c r="BC16" s="1" t="n">
        <v>10042547923.6234</v>
      </c>
      <c r="BD16" s="1" t="n">
        <v>8128310900.5723</v>
      </c>
      <c r="BE16" s="1" t="n">
        <v>9278993824.8279</v>
      </c>
      <c r="BF16" s="1" t="n">
        <v>9650870166.20285</v>
      </c>
      <c r="BG16" s="1" t="n">
        <v>9276520909.1715</v>
      </c>
      <c r="BH16" s="1" t="n">
        <v>8680909428.16241</v>
      </c>
      <c r="BI16" s="1" t="n">
        <v>3294644096.93774</v>
      </c>
      <c r="BJ16" s="1"/>
    </row>
    <row r="17">
      <c r="A17" t="str">
        <f>M17</f>
      </c>
      <c r="B17" t="str">
        <f>N17</f>
      </c>
      <c r="M17" t="s">
        <v>52</v>
      </c>
      <c r="N17" t="s">
        <v>54</v>
      </c>
      <c r="O17" s="1"/>
      <c r="P17" s="1"/>
      <c r="Q17" s="1"/>
      <c r="R17" s="1"/>
      <c r="S17" s="1" t="n">
        <v>154616.846273847</v>
      </c>
      <c r="T17" s="1"/>
      <c r="U17" s="1"/>
      <c r="V17" s="1" t="n">
        <v>96525.9402976182</v>
      </c>
      <c r="W17" s="1" t="n">
        <v>80597.0571039269</v>
      </c>
      <c r="X17" s="1"/>
      <c r="Y17" s="1"/>
      <c r="Z17" s="1"/>
      <c r="AA17" s="1"/>
      <c r="AB17" s="1"/>
      <c r="AC17" s="1"/>
      <c r="AD17" s="1"/>
      <c r="AE17" s="1" t="n">
        <v>56547.6689014251</v>
      </c>
      <c r="AF17" s="1" t="n">
        <v>141442.211752276</v>
      </c>
      <c r="AG17" s="1" t="n">
        <v>5198463.27609193</v>
      </c>
      <c r="AH17" s="1" t="n">
        <v>46841951.0210091</v>
      </c>
      <c r="AI17" s="1" t="n">
        <v>54863161.0231221</v>
      </c>
      <c r="AJ17" s="1" t="n">
        <v>207749581.247868</v>
      </c>
      <c r="AK17" s="1" t="n">
        <v>126971375.660125</v>
      </c>
      <c r="AL17" s="1" t="n">
        <v>231145754.821671</v>
      </c>
      <c r="AM17" s="1" t="n">
        <v>319538974.642443</v>
      </c>
      <c r="AN17" s="1" t="n">
        <v>373338398.088778</v>
      </c>
      <c r="AO17" s="1" t="n">
        <v>374716669.465099</v>
      </c>
      <c r="AP17" s="1" t="n">
        <v>223712081.301791</v>
      </c>
      <c r="AQ17" s="1" t="n">
        <v>300094651.846279</v>
      </c>
      <c r="AR17" s="1" t="n">
        <v>361504076.897354</v>
      </c>
      <c r="AS17" s="1" t="n">
        <v>259616684.162657</v>
      </c>
      <c r="AT17" s="1" t="n">
        <v>296497042.865685</v>
      </c>
      <c r="AU17" s="1" t="n">
        <v>358577595.923902</v>
      </c>
      <c r="AV17" s="1" t="n">
        <v>296710288.870477</v>
      </c>
      <c r="AW17" s="1" t="n">
        <v>212982651.141541</v>
      </c>
      <c r="AX17" s="1" t="n">
        <v>171029983.696462</v>
      </c>
      <c r="AY17" s="1" t="n">
        <v>145833930.419294</v>
      </c>
      <c r="AZ17" s="1" t="n">
        <v>200133519.22341</v>
      </c>
      <c r="BA17" s="1" t="n">
        <v>137101675.580061</v>
      </c>
      <c r="BB17" s="1" t="n">
        <v>169696861.015211</v>
      </c>
      <c r="BC17" s="1" t="n">
        <v>240401980.847396</v>
      </c>
      <c r="BD17" s="1" t="n">
        <v>195236055.481987</v>
      </c>
      <c r="BE17" s="1" t="n">
        <v>187152143.344557</v>
      </c>
      <c r="BF17" s="1" t="n">
        <v>129670668.490102</v>
      </c>
      <c r="BG17" s="1" t="n">
        <v>84002534.7091</v>
      </c>
      <c r="BH17" s="1" t="n">
        <v>142002676.222825</v>
      </c>
      <c r="BI17" s="1" t="n">
        <v>23898093.6003672</v>
      </c>
      <c r="BJ17" s="1"/>
    </row>
    <row r="18">
      <c r="A18" t="str">
        <f>M18</f>
      </c>
      <c r="B18" t="str">
        <f>N18</f>
      </c>
      <c r="M18" t="s">
        <v>52</v>
      </c>
      <c r="N18" t="s">
        <v>55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 t="n">
        <v>103357705.200809</v>
      </c>
      <c r="AH18" s="1" t="n">
        <v>581844188.354233</v>
      </c>
      <c r="AI18" s="1" t="n">
        <v>518035233.548209</v>
      </c>
      <c r="AJ18" s="1" t="n">
        <v>1826065962.32081</v>
      </c>
      <c r="AK18" s="1" t="n">
        <v>1476748806.95738</v>
      </c>
      <c r="AL18" s="1" t="n">
        <v>1550346044.75602</v>
      </c>
      <c r="AM18" s="1" t="n">
        <v>2597169188.6354</v>
      </c>
      <c r="AN18" s="1" t="n">
        <v>2596868151.07615</v>
      </c>
      <c r="AO18" s="1" t="n">
        <v>2767641670.85523</v>
      </c>
      <c r="AP18" s="1" t="n">
        <v>3689371514.35873</v>
      </c>
      <c r="AQ18" s="1" t="n">
        <v>3650768461.20846</v>
      </c>
      <c r="AR18" s="1" t="n">
        <v>3294076075.26215</v>
      </c>
      <c r="AS18" s="1" t="n">
        <v>3859868947.87378</v>
      </c>
      <c r="AT18" s="1" t="n">
        <v>3778274422.4686</v>
      </c>
      <c r="AU18" s="1" t="n">
        <v>3269751918.71836</v>
      </c>
      <c r="AV18" s="1" t="n">
        <v>2600699929.388</v>
      </c>
      <c r="AW18" s="1" t="n">
        <v>2113651059.77182</v>
      </c>
      <c r="AX18" s="1" t="n">
        <v>2059884551.69524</v>
      </c>
      <c r="AY18" s="1" t="n">
        <v>2095180912.26795</v>
      </c>
      <c r="AZ18" s="1" t="n">
        <v>2544268888.33053</v>
      </c>
      <c r="BA18" s="1" t="n">
        <v>2468727230.80017</v>
      </c>
      <c r="BB18" s="1" t="n">
        <v>2244082419.61665</v>
      </c>
      <c r="BC18" s="1" t="n">
        <v>2623258243.47768</v>
      </c>
      <c r="BD18" s="1" t="n">
        <v>2879887896.91054</v>
      </c>
      <c r="BE18" s="1" t="n">
        <v>2654935301.59013</v>
      </c>
      <c r="BF18" s="1" t="n">
        <v>2660131597.38531</v>
      </c>
      <c r="BG18" s="1" t="n">
        <v>2900505982.4097</v>
      </c>
      <c r="BH18" s="1" t="n">
        <v>3145620803.73296</v>
      </c>
      <c r="BI18" s="1" t="n">
        <v>1359699835.50267</v>
      </c>
      <c r="BJ18" s="1"/>
    </row>
    <row r="19">
      <c r="A19" t="str">
        <f>M19</f>
      </c>
      <c r="B19" t="str">
        <f>N19</f>
      </c>
      <c r="M19" t="s">
        <v>52</v>
      </c>
      <c r="N19" t="s">
        <v>56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 t="n">
        <v>276554.794592528</v>
      </c>
      <c r="Z19" s="1" t="n">
        <v>23652872.2340881</v>
      </c>
      <c r="AA19" s="1" t="n">
        <v>1481693.76735821</v>
      </c>
      <c r="AB19" s="1" t="n">
        <v>3810547.71842735</v>
      </c>
      <c r="AC19" s="1" t="n">
        <v>11443705.5959787</v>
      </c>
      <c r="AD19" s="1" t="n">
        <v>1961539.90636328</v>
      </c>
      <c r="AE19" s="1" t="n">
        <v>2644971.60990537</v>
      </c>
      <c r="AF19" s="1" t="n">
        <v>20961679.4017474</v>
      </c>
      <c r="AG19" s="1" t="n">
        <v>1869319543.83889</v>
      </c>
      <c r="AH19" s="1" t="n">
        <v>3121601820.12382</v>
      </c>
      <c r="AI19" s="1" t="n">
        <v>5586582889.48054</v>
      </c>
      <c r="AJ19" s="1" t="n">
        <v>15684016318.5316</v>
      </c>
      <c r="AK19" s="1" t="n">
        <v>17655391737.0195</v>
      </c>
      <c r="AL19" s="1" t="n">
        <v>18479684439.8471</v>
      </c>
      <c r="AM19" s="1" t="n">
        <v>22376077087.8133</v>
      </c>
      <c r="AN19" s="1" t="n">
        <v>22450736123.7216</v>
      </c>
      <c r="AO19" s="1" t="n">
        <v>23126334983.4507</v>
      </c>
      <c r="AP19" s="1" t="n">
        <v>24205492736.0404</v>
      </c>
      <c r="AQ19" s="1" t="n">
        <v>26727503709.2742</v>
      </c>
      <c r="AR19" s="1" t="n">
        <v>28758613908.2458</v>
      </c>
      <c r="AS19" s="1" t="n">
        <v>30946978405.4201</v>
      </c>
      <c r="AT19" s="1" t="n">
        <v>33196936107.6344</v>
      </c>
      <c r="AU19" s="1" t="n">
        <v>29535082303.1878</v>
      </c>
      <c r="AV19" s="1" t="n">
        <v>31020979567.106</v>
      </c>
      <c r="AW19" s="1" t="n">
        <v>22049516464.803</v>
      </c>
      <c r="AX19" s="1" t="n">
        <v>19668604612.5615</v>
      </c>
      <c r="AY19" s="1" t="n">
        <v>18682153735.3473</v>
      </c>
      <c r="AZ19" s="1" t="n">
        <v>19885088360.3754</v>
      </c>
      <c r="BA19" s="1" t="n">
        <v>23297735817.2783</v>
      </c>
      <c r="BB19" s="1" t="n">
        <v>27925487138.3422</v>
      </c>
      <c r="BC19" s="1" t="n">
        <v>30337382815.0468</v>
      </c>
      <c r="BD19" s="1" t="n">
        <v>38427209482.5666</v>
      </c>
      <c r="BE19" s="1" t="n">
        <v>30245689170.404</v>
      </c>
      <c r="BF19" s="1" t="n">
        <v>27347446664.7342</v>
      </c>
      <c r="BG19" s="1" t="n">
        <v>30777027189.8927</v>
      </c>
      <c r="BH19" s="1" t="n">
        <v>27722582763.3529</v>
      </c>
      <c r="BI19" s="1" t="n">
        <v>12283958448.59</v>
      </c>
      <c r="BJ19" s="1"/>
    </row>
    <row r="20">
      <c r="A20" t="str">
        <f>M20</f>
      </c>
      <c r="B20" t="str">
        <f>N20</f>
      </c>
      <c r="M20" t="s">
        <v>52</v>
      </c>
      <c r="N20" t="s">
        <v>57</v>
      </c>
      <c r="O20" s="1"/>
      <c r="P20" s="1" t="n">
        <v>37900.1293123987</v>
      </c>
      <c r="Q20" s="1" t="n">
        <v>12230010.3687593</v>
      </c>
      <c r="R20" s="1" t="n">
        <v>8517199.60114011</v>
      </c>
      <c r="S20" s="1" t="n">
        <v>6362483.22416881</v>
      </c>
      <c r="T20" s="1" t="n">
        <v>34190545.7573574</v>
      </c>
      <c r="U20" s="1" t="n">
        <v>12753438.3894571</v>
      </c>
      <c r="V20" s="1" t="n">
        <v>18071539.4566956</v>
      </c>
      <c r="W20" s="1" t="n">
        <v>31294685.8869247</v>
      </c>
      <c r="X20" s="1" t="n">
        <v>7449548.68983538</v>
      </c>
      <c r="Y20" s="1"/>
      <c r="Z20" s="1"/>
      <c r="AA20" s="1"/>
      <c r="AB20" s="1"/>
      <c r="AC20" s="1"/>
      <c r="AD20" s="1"/>
      <c r="AE20" s="1"/>
      <c r="AF20" s="1" t="n">
        <v>0</v>
      </c>
      <c r="AG20" s="1" t="n">
        <v>262727772.632302</v>
      </c>
      <c r="AH20" s="1" t="n">
        <v>141193990.855623</v>
      </c>
      <c r="AI20" s="1" t="n">
        <v>95771857.3105116</v>
      </c>
      <c r="AJ20" s="1" t="n">
        <v>172937629.710576</v>
      </c>
      <c r="AK20" s="1" t="n">
        <v>235834465.22392</v>
      </c>
      <c r="AL20" s="1" t="n">
        <v>138196433.137222</v>
      </c>
      <c r="AM20" s="1" t="n">
        <v>26632861.2519069</v>
      </c>
      <c r="AN20" s="1" t="n">
        <v>84413686.489484</v>
      </c>
      <c r="AO20" s="1" t="n">
        <v>8323585.83023936</v>
      </c>
      <c r="AP20" s="1" t="n">
        <v>2553011.17012511</v>
      </c>
      <c r="AQ20" s="1" t="n">
        <v>3085727.48668454</v>
      </c>
      <c r="AR20" s="1" t="n">
        <v>-17042.5867402221</v>
      </c>
      <c r="AS20" s="1" t="n">
        <v>-2256.61312096531</v>
      </c>
      <c r="AT20" s="1" t="n">
        <v>34719.170077105</v>
      </c>
      <c r="AU20" s="1"/>
      <c r="AV20" s="1"/>
      <c r="AW20" s="1" t="n">
        <v>29831.9874115</v>
      </c>
      <c r="AX20" s="1" t="n">
        <v>58813.5687252362</v>
      </c>
      <c r="AY20" s="1"/>
      <c r="AZ20" s="1"/>
      <c r="BA20" s="1" t="n">
        <v>10038.6708360684</v>
      </c>
      <c r="BB20" s="1" t="n">
        <v>0</v>
      </c>
      <c r="BC20" s="1"/>
      <c r="BD20" s="1" t="n">
        <v>2299.20297491268</v>
      </c>
      <c r="BE20" s="1"/>
      <c r="BF20" s="1" t="n">
        <v>888.884605510837</v>
      </c>
      <c r="BG20" s="1"/>
      <c r="BH20" s="1"/>
      <c r="BI20" s="1"/>
      <c r="BJ20" s="1"/>
    </row>
    <row r="21">
      <c r="A21" t="str">
        <f>M21</f>
      </c>
      <c r="B21" t="str">
        <f>N21</f>
      </c>
      <c r="M21"/>
      <c r="N21"/>
      <c r="O21" s="1"/>
      <c r="P21" s="1"/>
      <c r="Q21" s="1"/>
      <c r="R21" s="1"/>
      <c r="S21" s="1"/>
      <c r="T21" s="1"/>
      <c r="U21" s="1"/>
      <c r="V21" s="1"/>
      <c r="W21" s="1"/>
      <c r="X21" s="1" t="n">
        <v>672845.914150491</v>
      </c>
      <c r="Y21" s="1" t="n">
        <v>177530965.272234</v>
      </c>
      <c r="Z21" s="1" t="n">
        <v>64075885586.9287</v>
      </c>
      <c r="AA21" s="1" t="n">
        <v>60931359823.3367</v>
      </c>
      <c r="AB21" s="1" t="n">
        <v>59102396899.9721</v>
      </c>
      <c r="AC21" s="1" t="n">
        <v>56948319601.188</v>
      </c>
      <c r="AD21" s="1" t="n">
        <v>56903211635.8085</v>
      </c>
      <c r="AE21" s="1" t="n">
        <v>48914655359.5699</v>
      </c>
      <c r="AF21" s="1" t="n">
        <v>51664016934.8223</v>
      </c>
      <c r="AG21" s="1" t="n">
        <v>43858004001.3944</v>
      </c>
      <c r="AH21" s="1" t="n">
        <v>46092926770.9453</v>
      </c>
      <c r="AI21" s="1" t="n">
        <v>47261506316.8213</v>
      </c>
      <c r="AJ21" s="1"/>
      <c r="AK21" s="1" t="n">
        <v>0</v>
      </c>
      <c r="AL21" s="1" t="n">
        <v>0</v>
      </c>
      <c r="AM21" s="1" t="n"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 t="n">
        <v>0</v>
      </c>
      <c r="BA21" s="1"/>
      <c r="BB21" s="1"/>
      <c r="BC21" s="1"/>
      <c r="BD21" s="1"/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-7773.53730666113</v>
      </c>
      <c r="BJ21" s="1"/>
    </row>
    <row r="22">
      <c r="A22" t="str">
        <f>M22</f>
      </c>
      <c r="B22" t="str">
        <f>N22</f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../output/FedAcqTrends/Platform//Aircraft/DoD_Aircraft_Contracts.xlsx</dc:creator>
  <cp:lastModifiedBy>../output/FedAcqTrends/Platform//Aircraft/DoD_Aircraft_Contracts.xlsx</cp:lastModifiedBy>
  <dcterms:created xsi:type="dcterms:W3CDTF">2025-11-13T21:10:12Z</dcterms:created>
</coreProperties>
</file>