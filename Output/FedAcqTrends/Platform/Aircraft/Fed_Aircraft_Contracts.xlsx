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  <sheet name="PSR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<sst xmlns="http://schemas.openxmlformats.org/spreadsheetml/2006/main" count="77" uniqueCount="77">
  <si>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Vehicle.AwardTask</t>
  </si>
  <si>
    <t xml:space="preserve">Vehicle.sum7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</si>
  <si>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</si>
  <si>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</si>
  <si>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</si>
  <si>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</si>
  <si>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</si>
  <si>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</si>
  <si>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</si>
  <si>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</si>
  <si>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</si>
  <si>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</si>
  <si>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</si>
  <si>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</si>
  <si>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</si>
  <si>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</si>
  <si>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</si>
  <si>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</si>
  <si>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</si>
  <si>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</si>
  <si>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</si>
  <si>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</si>
  <si>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</si>
  <si>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</si>
  <si>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</si>
  <si>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</si>
  <si>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</si>
  <si>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</si>
  <si>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</si>
  <si>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</si>
  <si>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</si>
  <si>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</si>
  <si>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</si>
  <si>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</si>
  <si>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</si>
  <si>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</si>
  <si>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</si>
  <si>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</si>
  <si>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</si>
  <si>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</si>
  <si>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</si>
  <si>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</si>
  <si>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</si>
  <si>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</si>
  <si>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</si>
  <si>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</si>
  <si>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</si>
  <si>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</si>
  <si>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</si>
  <si>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</si>
  <si>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</si>
  <si>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</si>
  <si>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</si>
  <si>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</si>
  <si>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</si>
  <si>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</si>
  <si>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</si>
  <si>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</si>
  <si>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</si>
  <si>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</si>
  <si>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</si>
  <si>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</si>
  <si>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</si>
  <si>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</si>
  <si>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</si>
  <si>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</si>
  <si>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</si>
  <si>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</si>
  <si>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</si>
  <si>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</si>
  <si>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</si>
  <si>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</si>
  <si>
    <t xml:space="preserve">SimpleArea</t>
  </si>
  <si>
    <t xml:space="preserve">Products (All)</t>
  </si>
  <si>
    <t xml:space="preserve">R&amp;D</t>
  </si>
  <si>
    <t xml:space="preserve">Services (Non-R&amp;D)</t>
  </si>
  <si>
    <t xml:space="preserve">Unlabeled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</si>
</sst>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,,,&quot;B&quot;"/>
    <numFmt numFmtId="170" formatCode="0.00,,,&quot;B&quot;"/>
    <numFmt numFmtId="171" formatCode="0.00,,,&quot;B&quot;"/>
    <numFmt numFmtId="172" formatCode="0.00,,,&quot;B&quot;"/>
    <numFmt numFmtId="173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</row>
    <row r="2">
      <c r="A2" t="str">
        <f>M2</f>
      </c>
      <c r="B2" t="str">
        <f>N2</f>
      </c>
      <c r="M2" t="s">
        <v>49</v>
      </c>
      <c r="N2" t="s">
        <v>50</v>
      </c>
      <c r="O2" s="2" t="n">
        <v>24580435226.64</v>
      </c>
      <c r="P2" s="2" t="n">
        <v>24106302588.46</v>
      </c>
      <c r="Q2" s="2" t="n">
        <v>26106954283.46</v>
      </c>
      <c r="R2" s="2" t="n">
        <v>32922914808.31</v>
      </c>
      <c r="S2" s="2" t="n">
        <v>31290054553.94</v>
      </c>
      <c r="T2" s="2" t="n">
        <v>29596095280.92</v>
      </c>
      <c r="U2" s="2" t="n">
        <v>34712294227.77</v>
      </c>
      <c r="V2" s="2" t="n">
        <v>38842437992.72</v>
      </c>
      <c r="W2" s="2" t="n">
        <v>43480407282.98</v>
      </c>
      <c r="X2" s="2" t="n">
        <v>40718477015.63</v>
      </c>
      <c r="Y2" s="2" t="n">
        <v>37073459260.8586</v>
      </c>
      <c r="Z2" s="2" t="n">
        <v>44860435750.1891</v>
      </c>
      <c r="AA2" s="2" t="n">
        <v>49417426796.5723</v>
      </c>
      <c r="AB2" s="2" t="n">
        <v>50005122566.4256</v>
      </c>
      <c r="AC2" s="2" t="n">
        <v>36049980655.0231</v>
      </c>
      <c r="AD2" s="2" t="n">
        <v>39541344351.1707</v>
      </c>
      <c r="AE2" s="2" t="n">
        <v>51518893786.0678</v>
      </c>
      <c r="AF2" s="2" t="n">
        <v>57851065824.5591</v>
      </c>
      <c r="AG2" s="2" t="n">
        <v>49014898965.83</v>
      </c>
      <c r="AH2" s="2" t="n">
        <v>53003631595.12</v>
      </c>
      <c r="AI2" s="2" t="n">
        <v>63030431796.26</v>
      </c>
      <c r="AJ2" s="2" t="n">
        <v>35766995695.49</v>
      </c>
      <c r="AK2" s="2" t="n">
        <v>38134159314.82</v>
      </c>
      <c r="AL2" s="2" t="n">
        <v>55594750528.27</v>
      </c>
      <c r="AM2" s="2" t="n">
        <v>32270134555.06</v>
      </c>
      <c r="AN2" s="2" t="n">
        <v>24073744726.32</v>
      </c>
      <c r="AO2" s="2" t="n">
        <v>29596095280.92</v>
      </c>
      <c r="AP2" s="1" t="n">
        <v>34712294227.77</v>
      </c>
      <c r="AQ2" s="1" t="n">
        <v>38842437992.72</v>
      </c>
      <c r="AR2" s="1" t="n">
        <v>43480407282.98</v>
      </c>
      <c r="AS2" s="1" t="n">
        <v>40718477015.63</v>
      </c>
      <c r="AT2" s="1" t="n">
        <v>37073459260.8586</v>
      </c>
      <c r="AU2" s="1" t="n">
        <v>44860435750.1891</v>
      </c>
      <c r="AV2" s="1" t="n">
        <v>49417426796.5723</v>
      </c>
      <c r="AW2" s="1" t="n">
        <v>50005122566.4256</v>
      </c>
      <c r="AX2" s="1" t="n">
        <v>36049980655.0231</v>
      </c>
      <c r="AY2" s="1" t="n">
        <v>39541344351.1707</v>
      </c>
      <c r="AZ2" s="1" t="n">
        <v>51518893786.0678</v>
      </c>
      <c r="BA2" s="1" t="n">
        <v>57851065824.5591</v>
      </c>
      <c r="BB2" s="1" t="n">
        <v>49014898965.83</v>
      </c>
      <c r="BC2" s="1" t="n">
        <v>53003631595.12</v>
      </c>
      <c r="BD2" s="1" t="n">
        <v>63030431796.26</v>
      </c>
      <c r="BE2" s="1" t="n">
        <v>35766995695.49</v>
      </c>
      <c r="BF2" s="1" t="n">
        <v>38134159314.82</v>
      </c>
      <c r="BG2" s="1" t="n">
        <v>55594750528.27</v>
      </c>
      <c r="BH2" s="1" t="n">
        <v>32270134555.06</v>
      </c>
      <c r="BI2" s="1" t="n">
        <v>24073744726.32</v>
      </c>
      <c r="BJ2" s="1"/>
    </row>
    <row r="3">
      <c r="A3" t="str">
        <f>M3</f>
      </c>
      <c r="B3" t="str">
        <f>N3</f>
      </c>
      <c r="M3" t="s">
        <v>49</v>
      </c>
      <c r="N3" t="s">
        <v>51</v>
      </c>
      <c r="O3" s="2" t="n">
        <v>575234048</v>
      </c>
      <c r="P3" s="2" t="n">
        <v>669069569.94</v>
      </c>
      <c r="Q3" s="2" t="n">
        <v>686880414.67</v>
      </c>
      <c r="R3" s="2" t="n">
        <v>835897253.19</v>
      </c>
      <c r="S3" s="2" t="n">
        <v>600689403.78</v>
      </c>
      <c r="T3" s="2" t="n">
        <v>800013327.8</v>
      </c>
      <c r="U3" s="2" t="n">
        <v>888726395.39</v>
      </c>
      <c r="V3" s="2" t="n">
        <v>970422741.45</v>
      </c>
      <c r="W3" s="2" t="n">
        <v>1183717660.62</v>
      </c>
      <c r="X3" s="2" t="n">
        <v>983363800.21</v>
      </c>
      <c r="Y3" s="2" t="n">
        <v>1025939958.163</v>
      </c>
      <c r="Z3" s="2" t="n">
        <v>1099212948.0185</v>
      </c>
      <c r="AA3" s="2" t="n">
        <v>986640516.3149</v>
      </c>
      <c r="AB3" s="2" t="n">
        <v>1201698960.5381</v>
      </c>
      <c r="AC3" s="2" t="n">
        <v>1182720605.3701</v>
      </c>
      <c r="AD3" s="2" t="n">
        <v>1201505540.9714</v>
      </c>
      <c r="AE3" s="2" t="n">
        <v>1254981007.4817</v>
      </c>
      <c r="AF3" s="2" t="n">
        <v>1308996189.4308</v>
      </c>
      <c r="AG3" s="2" t="n">
        <v>1674425531.59</v>
      </c>
      <c r="AH3" s="2" t="n">
        <v>1746988190.09</v>
      </c>
      <c r="AI3" s="2" t="n">
        <v>1213933708.27</v>
      </c>
      <c r="AJ3" s="2" t="n">
        <v>1121549382.03</v>
      </c>
      <c r="AK3" s="2" t="n">
        <v>1160499837.31</v>
      </c>
      <c r="AL3" s="2" t="n">
        <v>679414620.99</v>
      </c>
      <c r="AM3" s="2" t="n">
        <v>836045048.97</v>
      </c>
      <c r="AN3" s="2" t="n">
        <v>423864529.97</v>
      </c>
      <c r="AO3" s="2" t="n">
        <v>800013327.8</v>
      </c>
      <c r="AP3" s="1" t="n">
        <v>888726395.39</v>
      </c>
      <c r="AQ3" s="1" t="n">
        <v>970422741.45</v>
      </c>
      <c r="AR3" s="1" t="n">
        <v>1183717660.62</v>
      </c>
      <c r="AS3" s="1" t="n">
        <v>983363800.21</v>
      </c>
      <c r="AT3" s="1" t="n">
        <v>1025939958.163</v>
      </c>
      <c r="AU3" s="1" t="n">
        <v>1099212948.0185</v>
      </c>
      <c r="AV3" s="1" t="n">
        <v>986640516.3149</v>
      </c>
      <c r="AW3" s="1" t="n">
        <v>1201698960.5381</v>
      </c>
      <c r="AX3" s="1" t="n">
        <v>1182720605.3701</v>
      </c>
      <c r="AY3" s="1" t="n">
        <v>1201505540.9714</v>
      </c>
      <c r="AZ3" s="1" t="n">
        <v>1254981007.4817</v>
      </c>
      <c r="BA3" s="1" t="n">
        <v>1308996189.4308</v>
      </c>
      <c r="BB3" s="1" t="n">
        <v>1674425531.59</v>
      </c>
      <c r="BC3" s="1" t="n">
        <v>1746988190.09</v>
      </c>
      <c r="BD3" s="1" t="n">
        <v>1213933708.27</v>
      </c>
      <c r="BE3" s="1" t="n">
        <v>1121549382.03</v>
      </c>
      <c r="BF3" s="1" t="n">
        <v>1160499837.31</v>
      </c>
      <c r="BG3" s="1" t="n">
        <v>679414620.99</v>
      </c>
      <c r="BH3" s="1" t="n">
        <v>836045048.97</v>
      </c>
      <c r="BI3" s="1" t="n">
        <v>423864529.97</v>
      </c>
      <c r="BJ3" s="1"/>
    </row>
    <row r="4">
      <c r="A4" t="str">
        <f>M4</f>
      </c>
      <c r="B4" t="str">
        <f>N4</f>
      </c>
      <c r="M4" t="s">
        <v>52</v>
      </c>
      <c r="N4" t="s">
        <v>53</v>
      </c>
      <c r="O4" s="2" t="n">
        <v>15949044</v>
      </c>
      <c r="P4" s="2" t="n">
        <v>3578204</v>
      </c>
      <c r="Q4" s="2" t="n">
        <v>21286774.33</v>
      </c>
      <c r="R4" s="2" t="n">
        <v>27665290.5813</v>
      </c>
      <c r="S4" s="2" t="n">
        <v>388233.1308</v>
      </c>
      <c r="T4" s="2" t="n">
        <v>5356992.0713</v>
      </c>
      <c r="U4" s="2" t="n">
        <v>5328672.7029</v>
      </c>
      <c r="V4" s="2" t="n">
        <v>2422638.71</v>
      </c>
      <c r="W4" s="2" t="n">
        <v>43287639.7559</v>
      </c>
      <c r="X4" s="2" t="n">
        <v>29153564.3068</v>
      </c>
      <c r="Y4" s="2" t="n">
        <v>165479102.4641</v>
      </c>
      <c r="Z4" s="2" t="n">
        <v>1447423460.9816</v>
      </c>
      <c r="AA4" s="2" t="n">
        <v>3501329111.7152</v>
      </c>
      <c r="AB4" s="2" t="n">
        <v>4739884418.6757</v>
      </c>
      <c r="AC4" s="2" t="n">
        <v>4576105085.1177</v>
      </c>
      <c r="AD4" s="2" t="n">
        <v>5531679587.3385</v>
      </c>
      <c r="AE4" s="2" t="n">
        <v>5617277929.5183</v>
      </c>
      <c r="AF4" s="2" t="n">
        <v>7232676923.4378</v>
      </c>
      <c r="AG4" s="2" t="n">
        <v>9555499584.5343</v>
      </c>
      <c r="AH4" s="2" t="n">
        <v>8565000933.0606</v>
      </c>
      <c r="AI4" s="2" t="n">
        <v>7022961831.8218</v>
      </c>
      <c r="AJ4" s="2" t="n">
        <v>8293095980.0951</v>
      </c>
      <c r="AK4" s="2" t="n">
        <v>9228689067.6412</v>
      </c>
      <c r="AL4" s="2" t="n">
        <v>9276520909.1715</v>
      </c>
      <c r="AM4" s="2" t="n">
        <v>8912741691.18</v>
      </c>
      <c r="AN4" s="2" t="n">
        <v>3456852755.96</v>
      </c>
      <c r="AO4" s="2" t="n">
        <v>5356992.0713</v>
      </c>
      <c r="AP4" s="1" t="n">
        <v>5328672.7029</v>
      </c>
      <c r="AQ4" s="1" t="n">
        <v>2422638.71</v>
      </c>
      <c r="AR4" s="1" t="n">
        <v>43287639.7559</v>
      </c>
      <c r="AS4" s="1" t="n">
        <v>29153564.3068</v>
      </c>
      <c r="AT4" s="1" t="n">
        <v>165479102.4641</v>
      </c>
      <c r="AU4" s="1" t="n">
        <v>1447423460.9816</v>
      </c>
      <c r="AV4" s="1" t="n">
        <v>3501329111.7152</v>
      </c>
      <c r="AW4" s="1" t="n">
        <v>4739884418.6757</v>
      </c>
      <c r="AX4" s="1" t="n">
        <v>4576105085.1177</v>
      </c>
      <c r="AY4" s="1" t="n">
        <v>5531679587.3385</v>
      </c>
      <c r="AZ4" s="1" t="n">
        <v>5617277929.5183</v>
      </c>
      <c r="BA4" s="1" t="n">
        <v>7232676923.4378</v>
      </c>
      <c r="BB4" s="1" t="n">
        <v>9555499584.5343</v>
      </c>
      <c r="BC4" s="1" t="n">
        <v>8565000933.0606</v>
      </c>
      <c r="BD4" s="1" t="n">
        <v>7022961831.8218</v>
      </c>
      <c r="BE4" s="1" t="n">
        <v>8293095980.0951</v>
      </c>
      <c r="BF4" s="1" t="n">
        <v>9228689067.6412</v>
      </c>
      <c r="BG4" s="1" t="n">
        <v>9276520909.1715</v>
      </c>
      <c r="BH4" s="1" t="n">
        <v>8912741691.18</v>
      </c>
      <c r="BI4" s="1" t="n">
        <v>3456852755.96</v>
      </c>
      <c r="BJ4" s="1"/>
    </row>
    <row r="5">
      <c r="A5" t="str">
        <f>M5</f>
      </c>
      <c r="B5" t="str">
        <f>N5</f>
      </c>
      <c r="M5" t="s">
        <v>52</v>
      </c>
      <c r="N5" t="s">
        <v>54</v>
      </c>
      <c r="O5" s="2" t="n">
        <v>123574155</v>
      </c>
      <c r="P5" s="2" t="n">
        <v>77356117.09</v>
      </c>
      <c r="Q5" s="2" t="n">
        <v>143038832.75</v>
      </c>
      <c r="R5" s="2" t="n">
        <v>201534412.0035</v>
      </c>
      <c r="S5" s="2" t="n">
        <v>241215691.4556</v>
      </c>
      <c r="T5" s="2" t="n">
        <v>249473447.2923</v>
      </c>
      <c r="U5" s="2" t="n">
        <v>153778002.372</v>
      </c>
      <c r="V5" s="2" t="n">
        <v>211961668.518</v>
      </c>
      <c r="W5" s="2" t="n">
        <v>260637124.7695</v>
      </c>
      <c r="X5" s="2" t="n">
        <v>189092483.019</v>
      </c>
      <c r="Y5" s="2" t="n">
        <v>217824648.2669</v>
      </c>
      <c r="Z5" s="2" t="n">
        <v>268720229.82</v>
      </c>
      <c r="AA5" s="2" t="n">
        <v>226391384.409</v>
      </c>
      <c r="AB5" s="2" t="n">
        <v>165455433.8876</v>
      </c>
      <c r="AC5" s="2" t="n">
        <v>135288401.9449</v>
      </c>
      <c r="AD5" s="2" t="n">
        <v>116552455.5742</v>
      </c>
      <c r="AE5" s="2" t="n">
        <v>161228231.9326</v>
      </c>
      <c r="AF5" s="2" t="n">
        <v>112313980.1374</v>
      </c>
      <c r="AG5" s="2" t="n">
        <v>142102180.2154</v>
      </c>
      <c r="AH5" s="2" t="n">
        <v>205031950.6491</v>
      </c>
      <c r="AI5" s="2" t="n">
        <v>168686383.0158</v>
      </c>
      <c r="AJ5" s="2" t="n">
        <v>167267132.2923</v>
      </c>
      <c r="AK5" s="2" t="n">
        <v>123998174.2661</v>
      </c>
      <c r="AL5" s="2" t="n">
        <v>84002534.7091</v>
      </c>
      <c r="AM5" s="2" t="n">
        <v>145794997.99</v>
      </c>
      <c r="AN5" s="2" t="n">
        <v>25074693.44</v>
      </c>
      <c r="AO5" s="2" t="n">
        <v>249473447.2923</v>
      </c>
      <c r="AP5" s="1" t="n">
        <v>153778002.372</v>
      </c>
      <c r="AQ5" s="1" t="n">
        <v>211961668.518</v>
      </c>
      <c r="AR5" s="1" t="n">
        <v>260637124.7695</v>
      </c>
      <c r="AS5" s="1" t="n">
        <v>189092483.019</v>
      </c>
      <c r="AT5" s="1" t="n">
        <v>217824648.2669</v>
      </c>
      <c r="AU5" s="1" t="n">
        <v>268720229.82</v>
      </c>
      <c r="AV5" s="1" t="n">
        <v>226391384.409</v>
      </c>
      <c r="AW5" s="1" t="n">
        <v>165455433.8876</v>
      </c>
      <c r="AX5" s="1" t="n">
        <v>135288401.9449</v>
      </c>
      <c r="AY5" s="1" t="n">
        <v>116552455.5742</v>
      </c>
      <c r="AZ5" s="1" t="n">
        <v>161228231.9326</v>
      </c>
      <c r="BA5" s="1" t="n">
        <v>112313980.1374</v>
      </c>
      <c r="BB5" s="1" t="n">
        <v>142102180.2154</v>
      </c>
      <c r="BC5" s="1" t="n">
        <v>205031950.6491</v>
      </c>
      <c r="BD5" s="1" t="n">
        <v>168686383.0158</v>
      </c>
      <c r="BE5" s="1" t="n">
        <v>167267132.2923</v>
      </c>
      <c r="BF5" s="1" t="n">
        <v>123998174.2661</v>
      </c>
      <c r="BG5" s="1" t="n">
        <v>84002534.7091</v>
      </c>
      <c r="BH5" s="1" t="n">
        <v>145794997.99</v>
      </c>
      <c r="BI5" s="1" t="n">
        <v>25074693.44</v>
      </c>
      <c r="BJ5" s="1"/>
    </row>
    <row r="6">
      <c r="A6" t="str">
        <f>M6</f>
      </c>
      <c r="B6" t="str">
        <f>N6</f>
      </c>
      <c r="M6" t="s">
        <v>52</v>
      </c>
      <c r="N6" t="s">
        <v>55</v>
      </c>
      <c r="O6" s="2" t="n">
        <v>1086185382</v>
      </c>
      <c r="P6" s="2" t="n">
        <v>899695329.2</v>
      </c>
      <c r="Q6" s="2" t="n">
        <v>959393300.4375</v>
      </c>
      <c r="R6" s="2" t="n">
        <v>1638044203.8125</v>
      </c>
      <c r="S6" s="2" t="n">
        <v>1677848702.1094</v>
      </c>
      <c r="T6" s="2" t="n">
        <v>1842600462.594</v>
      </c>
      <c r="U6" s="2" t="n">
        <v>2536046234.8964</v>
      </c>
      <c r="V6" s="2" t="n">
        <v>2578596351.6838</v>
      </c>
      <c r="W6" s="2" t="n">
        <v>2374962197.9287</v>
      </c>
      <c r="X6" s="2" t="n">
        <v>2811345525.9451</v>
      </c>
      <c r="Y6" s="2" t="n">
        <v>2775748753.4298</v>
      </c>
      <c r="Z6" s="2" t="n">
        <v>2450371961.4397</v>
      </c>
      <c r="AA6" s="2" t="n">
        <v>1984346615.3058</v>
      </c>
      <c r="AB6" s="2" t="n">
        <v>1641988449.7969</v>
      </c>
      <c r="AC6" s="2" t="n">
        <v>1629413060.6036</v>
      </c>
      <c r="AD6" s="2" t="n">
        <v>1674497008.3088</v>
      </c>
      <c r="AE6" s="2" t="n">
        <v>2049671519.3857</v>
      </c>
      <c r="AF6" s="2" t="n">
        <v>2022386524.3925</v>
      </c>
      <c r="AG6" s="2" t="n">
        <v>1879168550.9256</v>
      </c>
      <c r="AH6" s="2" t="n">
        <v>2237301676.2203</v>
      </c>
      <c r="AI6" s="2" t="n">
        <v>2488259003.2948</v>
      </c>
      <c r="AJ6" s="2" t="n">
        <v>2372847066.4693</v>
      </c>
      <c r="AK6" s="2" t="n">
        <v>2543763097.8861</v>
      </c>
      <c r="AL6" s="2" t="n">
        <v>2900505982.4097</v>
      </c>
      <c r="AM6" s="2" t="n">
        <v>3229627715.17</v>
      </c>
      <c r="AN6" s="2" t="n">
        <v>1426643359.75</v>
      </c>
      <c r="AO6" s="2" t="n">
        <v>1842600462.594</v>
      </c>
      <c r="AP6" s="1" t="n">
        <v>2536046234.8964</v>
      </c>
      <c r="AQ6" s="1" t="n">
        <v>2578596351.6838</v>
      </c>
      <c r="AR6" s="1" t="n">
        <v>2374962197.9287</v>
      </c>
      <c r="AS6" s="1" t="n">
        <v>2811345525.9451</v>
      </c>
      <c r="AT6" s="1" t="n">
        <v>2775748753.4298</v>
      </c>
      <c r="AU6" s="1" t="n">
        <v>2450371961.4397</v>
      </c>
      <c r="AV6" s="1" t="n">
        <v>1984346615.3058</v>
      </c>
      <c r="AW6" s="1" t="n">
        <v>1641988449.7969</v>
      </c>
      <c r="AX6" s="1" t="n">
        <v>1629413060.6036</v>
      </c>
      <c r="AY6" s="1" t="n">
        <v>1674497008.3088</v>
      </c>
      <c r="AZ6" s="1" t="n">
        <v>2049671519.3857</v>
      </c>
      <c r="BA6" s="1" t="n">
        <v>2022386524.3925</v>
      </c>
      <c r="BB6" s="1" t="n">
        <v>1879168550.9256</v>
      </c>
      <c r="BC6" s="1" t="n">
        <v>2237301676.2203</v>
      </c>
      <c r="BD6" s="1" t="n">
        <v>2488259003.2948</v>
      </c>
      <c r="BE6" s="1" t="n">
        <v>2372847066.4693</v>
      </c>
      <c r="BF6" s="1" t="n">
        <v>2543763097.8861</v>
      </c>
      <c r="BG6" s="1" t="n">
        <v>2900505982.4097</v>
      </c>
      <c r="BH6" s="1" t="n">
        <v>3229627715.17</v>
      </c>
      <c r="BI6" s="1" t="n">
        <v>1426643359.75</v>
      </c>
      <c r="BJ6" s="1"/>
    </row>
    <row r="7">
      <c r="A7" t="str">
        <f>M7</f>
      </c>
      <c r="B7" t="str">
        <f>N7</f>
      </c>
      <c r="M7" t="s">
        <v>52</v>
      </c>
      <c r="N7" t="s">
        <v>56</v>
      </c>
      <c r="O7" s="2" t="n">
        <v>9329208039.4441</v>
      </c>
      <c r="P7" s="2" t="n">
        <v>10756381455.0968</v>
      </c>
      <c r="Q7" s="2" t="n">
        <v>11435695602.1251</v>
      </c>
      <c r="R7" s="2" t="n">
        <v>14112674498.8887</v>
      </c>
      <c r="S7" s="2" t="n">
        <v>14505525993.2919</v>
      </c>
      <c r="T7" s="2" t="n">
        <v>15396716990.9833</v>
      </c>
      <c r="U7" s="2" t="n">
        <v>16638673681.4488</v>
      </c>
      <c r="V7" s="2" t="n">
        <v>18878064792.8399</v>
      </c>
      <c r="W7" s="2" t="n">
        <v>20734378726.0514</v>
      </c>
      <c r="X7" s="2" t="n">
        <v>22540311719.5269</v>
      </c>
      <c r="Y7" s="2" t="n">
        <v>24388475720.6835</v>
      </c>
      <c r="Z7" s="2" t="n">
        <v>22133770192.2392</v>
      </c>
      <c r="AA7" s="2" t="n">
        <v>23669157334.0961</v>
      </c>
      <c r="AB7" s="2" t="n">
        <v>17129152511.447</v>
      </c>
      <c r="AC7" s="2" t="n">
        <v>15558290008.6225</v>
      </c>
      <c r="AD7" s="2" t="n">
        <v>14931030707.3871</v>
      </c>
      <c r="AE7" s="2" t="n">
        <v>16019493639.0837</v>
      </c>
      <c r="AF7" s="2" t="n">
        <v>19085554036.8664</v>
      </c>
      <c r="AG7" s="2" t="n">
        <v>23384478547.1892</v>
      </c>
      <c r="AH7" s="2" t="n">
        <v>25873883211.0788</v>
      </c>
      <c r="AI7" s="2" t="n">
        <v>33201587488.55</v>
      </c>
      <c r="AJ7" s="2" t="n">
        <v>27032069210.2557</v>
      </c>
      <c r="AK7" s="2" t="n">
        <v>26151121890.1863</v>
      </c>
      <c r="AL7" s="2" t="n">
        <v>30777027189.8927</v>
      </c>
      <c r="AM7" s="2" t="n">
        <v>28462941725.96</v>
      </c>
      <c r="AN7" s="2" t="n">
        <v>12888747423.91</v>
      </c>
      <c r="AO7" s="2" t="n">
        <v>15396716990.9833</v>
      </c>
      <c r="AP7" s="1" t="n">
        <v>16638673681.4488</v>
      </c>
      <c r="AQ7" s="1" t="n">
        <v>18878064792.8399</v>
      </c>
      <c r="AR7" s="1" t="n">
        <v>20734378726.0514</v>
      </c>
      <c r="AS7" s="1" t="n">
        <v>22540311719.5269</v>
      </c>
      <c r="AT7" s="1" t="n">
        <v>24388475720.6835</v>
      </c>
      <c r="AU7" s="1" t="n">
        <v>22133770192.2392</v>
      </c>
      <c r="AV7" s="1" t="n">
        <v>23669157334.0961</v>
      </c>
      <c r="AW7" s="1" t="n">
        <v>17129152511.447</v>
      </c>
      <c r="AX7" s="1" t="n">
        <v>15558290008.6225</v>
      </c>
      <c r="AY7" s="1" t="n">
        <v>14931030707.3871</v>
      </c>
      <c r="AZ7" s="1" t="n">
        <v>16019493639.0837</v>
      </c>
      <c r="BA7" s="1" t="n">
        <v>19085554036.8664</v>
      </c>
      <c r="BB7" s="1" t="n">
        <v>23384478547.1892</v>
      </c>
      <c r="BC7" s="1" t="n">
        <v>25873883211.0788</v>
      </c>
      <c r="BD7" s="1" t="n">
        <v>33201587488.55</v>
      </c>
      <c r="BE7" s="1" t="n">
        <v>27032069210.2557</v>
      </c>
      <c r="BF7" s="1" t="n">
        <v>26151121890.1863</v>
      </c>
      <c r="BG7" s="1" t="n">
        <v>30777027189.8927</v>
      </c>
      <c r="BH7" s="1" t="n">
        <v>28462941725.96</v>
      </c>
      <c r="BI7" s="1" t="n">
        <v>12888747423.91</v>
      </c>
      <c r="BJ7" s="1"/>
    </row>
    <row r="8">
      <c r="A8" t="str">
        <f>M8</f>
      </c>
      <c r="B8" t="str">
        <f>N8</f>
      </c>
      <c r="M8" t="s">
        <v>52</v>
      </c>
      <c r="N8" t="s">
        <v>57</v>
      </c>
      <c r="O8" s="2" t="n">
        <v>102867217.9786</v>
      </c>
      <c r="P8" s="2" t="n">
        <v>143679931.0937</v>
      </c>
      <c r="Q8" s="2" t="n">
        <v>85519444.22</v>
      </c>
      <c r="R8" s="2" t="n">
        <v>16797444</v>
      </c>
      <c r="S8" s="2" t="n">
        <v>54540079.0787</v>
      </c>
      <c r="T8" s="2" t="n">
        <v>5541556.6483</v>
      </c>
      <c r="U8" s="2" t="n">
        <v>1754920.6797</v>
      </c>
      <c r="V8" s="2" t="n">
        <v>2179498.8436</v>
      </c>
      <c r="W8" s="2" t="n">
        <v>-12287.3602</v>
      </c>
      <c r="X8" s="2" t="n">
        <v>-1643.61</v>
      </c>
      <c r="Y8" s="2" t="n">
        <v>25506.8008</v>
      </c>
      <c r="Z8" s="2"/>
      <c r="AA8" s="2"/>
      <c r="AB8" s="2" t="n">
        <v>23174.96</v>
      </c>
      <c r="AC8" s="2" t="n">
        <v>46522.8</v>
      </c>
      <c r="AD8" s="2"/>
      <c r="AE8" s="2"/>
      <c r="AF8" s="2" t="n">
        <v>8223.7002</v>
      </c>
      <c r="AG8" s="2" t="n">
        <v>0</v>
      </c>
      <c r="AH8" s="2"/>
      <c r="AI8" s="2" t="n">
        <v>1986.54</v>
      </c>
      <c r="AJ8" s="2"/>
      <c r="AK8" s="2" t="n">
        <v>850</v>
      </c>
      <c r="AL8" s="2"/>
      <c r="AM8" s="2"/>
      <c r="AN8" s="2"/>
      <c r="AO8" s="2" t="n">
        <v>5541556.6483</v>
      </c>
      <c r="AP8" s="1" t="n">
        <v>1754920.6797</v>
      </c>
      <c r="AQ8" s="1" t="n">
        <v>2179498.8436</v>
      </c>
      <c r="AR8" s="1" t="n">
        <v>-12287.3602</v>
      </c>
      <c r="AS8" s="1" t="n">
        <v>-1643.61</v>
      </c>
      <c r="AT8" s="1" t="n">
        <v>25506.8008</v>
      </c>
      <c r="AU8" s="1"/>
      <c r="AV8" s="1"/>
      <c r="AW8" s="1" t="n">
        <v>23174.96</v>
      </c>
      <c r="AX8" s="1" t="n">
        <v>46522.8</v>
      </c>
      <c r="AY8" s="1"/>
      <c r="AZ8" s="1"/>
      <c r="BA8" s="1" t="n">
        <v>8223.7002</v>
      </c>
      <c r="BB8" s="1" t="n">
        <v>0</v>
      </c>
      <c r="BC8" s="1"/>
      <c r="BD8" s="1" t="n">
        <v>1986.54</v>
      </c>
      <c r="BE8" s="1"/>
      <c r="BF8" s="1" t="n">
        <v>850</v>
      </c>
      <c r="BG8" s="1"/>
      <c r="BH8" s="1"/>
      <c r="BI8" s="1"/>
      <c r="BJ8" s="1"/>
    </row>
    <row r="9">
      <c r="A9" t="str">
        <f>M9</f>
      </c>
      <c r="B9" t="str">
        <f>N9</f>
      </c>
      <c r="M9"/>
      <c r="N9"/>
      <c r="O9" s="2"/>
      <c r="P9" s="2" t="n">
        <v>0</v>
      </c>
      <c r="Q9" s="2" t="n">
        <v>0</v>
      </c>
      <c r="R9" s="2" t="n">
        <v>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 t="n">
        <v>0</v>
      </c>
      <c r="AF9" s="2"/>
      <c r="AG9" s="2"/>
      <c r="AH9" s="2"/>
      <c r="AI9" s="2"/>
      <c r="AJ9" s="2" t="n">
        <v>0</v>
      </c>
      <c r="AK9" s="2" t="n">
        <v>0</v>
      </c>
      <c r="AL9" s="2" t="n">
        <v>0</v>
      </c>
      <c r="AM9" s="2" t="n">
        <v>0</v>
      </c>
      <c r="AN9" s="2" t="n">
        <v>-8156.26</v>
      </c>
      <c r="AO9" s="2"/>
      <c r="AP9" s="1"/>
      <c r="AQ9" s="1"/>
      <c r="AR9" s="1"/>
      <c r="AS9" s="1"/>
      <c r="AT9" s="1"/>
      <c r="AU9" s="1"/>
      <c r="AV9" s="1"/>
      <c r="AW9" s="1"/>
      <c r="AX9" s="1"/>
      <c r="AY9" s="1"/>
      <c r="AZ9" s="1" t="n">
        <v>0</v>
      </c>
      <c r="BA9" s="1"/>
      <c r="BB9" s="1"/>
      <c r="BC9" s="1"/>
      <c r="BD9" s="1"/>
      <c r="BE9" s="1" t="n">
        <v>0</v>
      </c>
      <c r="BF9" s="1" t="n">
        <v>0</v>
      </c>
      <c r="BG9" s="1" t="n">
        <v>0</v>
      </c>
      <c r="BH9" s="1" t="n">
        <v>0</v>
      </c>
      <c r="BI9" s="1" t="n">
        <v>-8156.26</v>
      </c>
      <c r="BJ9" s="1"/>
    </row>
    <row r="10">
      <c r="A10" t="str">
        <f>M10</f>
      </c>
      <c r="B10" t="str">
        <f>N10</f>
      </c>
      <c r="M10" t="s">
        <v>58</v>
      </c>
      <c r="N10" t="s">
        <v>59</v>
      </c>
      <c r="O10" s="2" t="str">
        <f>Sum(O2:O9)</f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23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  <c r="BI13" t="s">
        <v>48</v>
      </c>
    </row>
    <row r="14">
      <c r="A14" t="str">
        <f>M14</f>
      </c>
      <c r="B14" t="str">
        <f>N14</f>
      </c>
      <c r="M14" t="s">
        <v>49</v>
      </c>
      <c r="N14" t="s">
        <v>50</v>
      </c>
      <c r="O14" s="2" t="n">
        <v>41323973651.4872</v>
      </c>
      <c r="P14" s="2" t="n">
        <v>39567787485.6994</v>
      </c>
      <c r="Q14" s="2" t="n">
        <v>42187925739.664</v>
      </c>
      <c r="R14" s="2" t="n">
        <v>52200288454.4857</v>
      </c>
      <c r="S14" s="2" t="n">
        <v>48428768347.4716</v>
      </c>
      <c r="T14" s="2" t="n">
        <v>44454230994.1471</v>
      </c>
      <c r="U14" s="2" t="n">
        <v>50498507385.1404</v>
      </c>
      <c r="V14" s="2" t="n">
        <v>54992999384.2077</v>
      </c>
      <c r="W14" s="2" t="n">
        <v>60307389102.2068</v>
      </c>
      <c r="X14" s="2" t="n">
        <v>55904898059.2689</v>
      </c>
      <c r="Y14" s="2" t="n">
        <v>50463393959.7935</v>
      </c>
      <c r="Z14" s="2" t="n">
        <v>59861318272.0798</v>
      </c>
      <c r="AA14" s="2" t="n">
        <v>64766859473.5786</v>
      </c>
      <c r="AB14" s="2" t="n">
        <v>64369137504.9676</v>
      </c>
      <c r="AC14" s="2" t="n">
        <v>45573955454.0491</v>
      </c>
      <c r="AD14" s="2" t="n">
        <v>49475316778.0572</v>
      </c>
      <c r="AE14" s="2" t="n">
        <v>63950695212.071</v>
      </c>
      <c r="AF14" s="2" t="n">
        <v>70618796065.6052</v>
      </c>
      <c r="AG14" s="2" t="n">
        <v>58533053362.5243</v>
      </c>
      <c r="AH14" s="2" t="n">
        <v>62147279910.4369</v>
      </c>
      <c r="AI14" s="2" t="n">
        <v>72950837282.9099</v>
      </c>
      <c r="AJ14" s="2" t="n">
        <v>40019039088.3782</v>
      </c>
      <c r="AK14" s="2" t="n">
        <v>39878667245.9308</v>
      </c>
      <c r="AL14" s="2" t="n">
        <v>55594750528.27</v>
      </c>
      <c r="AM14" s="2" t="n">
        <v>31430745444.391</v>
      </c>
      <c r="AN14" s="2" t="n">
        <v>22944113201.5268</v>
      </c>
      <c r="AO14" s="2" t="n">
        <v>44454230994.1471</v>
      </c>
      <c r="AP14" s="1" t="n">
        <v>50498507385.1404</v>
      </c>
      <c r="AQ14" s="1" t="n">
        <v>54992999384.2077</v>
      </c>
      <c r="AR14" s="1" t="n">
        <v>60307389102.2068</v>
      </c>
      <c r="AS14" s="1" t="n">
        <v>55904898059.2689</v>
      </c>
      <c r="AT14" s="1" t="n">
        <v>50463393959.7935</v>
      </c>
      <c r="AU14" s="1" t="n">
        <v>59861318272.0798</v>
      </c>
      <c r="AV14" s="1" t="n">
        <v>64766859473.5786</v>
      </c>
      <c r="AW14" s="1" t="n">
        <v>64369137504.9676</v>
      </c>
      <c r="AX14" s="1" t="n">
        <v>45573955454.0491</v>
      </c>
      <c r="AY14" s="1" t="n">
        <v>49475316778.0572</v>
      </c>
      <c r="AZ14" s="1" t="n">
        <v>63950695212.071</v>
      </c>
      <c r="BA14" s="1" t="n">
        <v>70618796065.6052</v>
      </c>
      <c r="BB14" s="1" t="n">
        <v>58533053362.5243</v>
      </c>
      <c r="BC14" s="1" t="n">
        <v>62147279910.4369</v>
      </c>
      <c r="BD14" s="1" t="n">
        <v>72950837282.9099</v>
      </c>
      <c r="BE14" s="1" t="n">
        <v>40019039088.3782</v>
      </c>
      <c r="BF14" s="1" t="n">
        <v>39878667245.9308</v>
      </c>
      <c r="BG14" s="1" t="n">
        <v>55594750528.27</v>
      </c>
      <c r="BH14" s="1" t="n">
        <v>31430745444.391</v>
      </c>
      <c r="BI14" s="1" t="n">
        <v>22944113201.5268</v>
      </c>
      <c r="BJ14" s="1"/>
    </row>
    <row r="15">
      <c r="A15" t="str">
        <f>M15</f>
      </c>
      <c r="B15" t="str">
        <f>N15</f>
      </c>
      <c r="M15" t="s">
        <v>49</v>
      </c>
      <c r="N15" t="s">
        <v>51</v>
      </c>
      <c r="O15" s="2" t="n">
        <v>967068175.311544</v>
      </c>
      <c r="P15" s="2" t="n">
        <v>1098202532.69398</v>
      </c>
      <c r="Q15" s="2" t="n">
        <v>1109974745.10026</v>
      </c>
      <c r="R15" s="2" t="n">
        <v>1325340662.84486</v>
      </c>
      <c r="S15" s="2" t="n">
        <v>929709084.856146</v>
      </c>
      <c r="T15" s="2" t="n">
        <v>1201644234.98612</v>
      </c>
      <c r="U15" s="2" t="n">
        <v>1292895138.14582</v>
      </c>
      <c r="V15" s="2" t="n">
        <v>1373921411.24054</v>
      </c>
      <c r="W15" s="2" t="n">
        <v>1641818143.09058</v>
      </c>
      <c r="X15" s="2" t="n">
        <v>1350120560.37393</v>
      </c>
      <c r="Y15" s="2" t="n">
        <v>1396481831.4792</v>
      </c>
      <c r="Z15" s="2" t="n">
        <v>1466778800.2895</v>
      </c>
      <c r="AA15" s="2" t="n">
        <v>1293098645.83112</v>
      </c>
      <c r="AB15" s="2" t="n">
        <v>1546888031.87515</v>
      </c>
      <c r="AC15" s="2" t="n">
        <v>1495181279.00056</v>
      </c>
      <c r="AD15" s="2" t="n">
        <v>1503359792.78335</v>
      </c>
      <c r="AE15" s="2" t="n">
        <v>1557815046.25598</v>
      </c>
      <c r="AF15" s="2" t="n">
        <v>1597891648.74513</v>
      </c>
      <c r="AG15" s="2" t="n">
        <v>1999580557.34148</v>
      </c>
      <c r="AH15" s="2" t="n">
        <v>2048360853.44286</v>
      </c>
      <c r="AI15" s="2" t="n">
        <v>1404995617.20437</v>
      </c>
      <c r="AJ15" s="2" t="n">
        <v>1254881146.32632</v>
      </c>
      <c r="AK15" s="2" t="n">
        <v>1213588753.03846</v>
      </c>
      <c r="AL15" s="2" t="n">
        <v>679414620.99</v>
      </c>
      <c r="AM15" s="2" t="n">
        <v>814298405.523666</v>
      </c>
      <c r="AN15" s="2" t="n">
        <v>403975196.55972</v>
      </c>
      <c r="AO15" s="2" t="n">
        <v>1201644234.98612</v>
      </c>
      <c r="AP15" s="1" t="n">
        <v>1292895138.14582</v>
      </c>
      <c r="AQ15" s="1" t="n">
        <v>1373921411.24054</v>
      </c>
      <c r="AR15" s="1" t="n">
        <v>1641818143.09058</v>
      </c>
      <c r="AS15" s="1" t="n">
        <v>1350120560.37393</v>
      </c>
      <c r="AT15" s="1" t="n">
        <v>1396481831.4792</v>
      </c>
      <c r="AU15" s="1" t="n">
        <v>1466778800.2895</v>
      </c>
      <c r="AV15" s="1" t="n">
        <v>1293098645.83112</v>
      </c>
      <c r="AW15" s="1" t="n">
        <v>1546888031.87515</v>
      </c>
      <c r="AX15" s="1" t="n">
        <v>1495181279.00056</v>
      </c>
      <c r="AY15" s="1" t="n">
        <v>1503359792.78335</v>
      </c>
      <c r="AZ15" s="1" t="n">
        <v>1557815046.25598</v>
      </c>
      <c r="BA15" s="1" t="n">
        <v>1597891648.74513</v>
      </c>
      <c r="BB15" s="1" t="n">
        <v>1999580557.34148</v>
      </c>
      <c r="BC15" s="1" t="n">
        <v>2048360853.44286</v>
      </c>
      <c r="BD15" s="1" t="n">
        <v>1404995617.20437</v>
      </c>
      <c r="BE15" s="1" t="n">
        <v>1254881146.32632</v>
      </c>
      <c r="BF15" s="1" t="n">
        <v>1213588753.03846</v>
      </c>
      <c r="BG15" s="1" t="n">
        <v>679414620.99</v>
      </c>
      <c r="BH15" s="1" t="n">
        <v>814298405.523666</v>
      </c>
      <c r="BI15" s="1" t="n">
        <v>403975196.55972</v>
      </c>
      <c r="BJ15" s="1"/>
    </row>
    <row r="16">
      <c r="A16" t="str">
        <f>M16</f>
      </c>
      <c r="B16" t="str">
        <f>N16</f>
      </c>
      <c r="M16" t="s">
        <v>52</v>
      </c>
      <c r="N16" t="s">
        <v>53</v>
      </c>
      <c r="O16" s="2" t="n">
        <v>26813108.3906972</v>
      </c>
      <c r="P16" s="2" t="n">
        <v>5873219.87405304</v>
      </c>
      <c r="Q16" s="2" t="n">
        <v>34398683.3898882</v>
      </c>
      <c r="R16" s="2" t="n">
        <v>43864164.4255786</v>
      </c>
      <c r="S16" s="2" t="n">
        <v>600882.696574249</v>
      </c>
      <c r="T16" s="2" t="n">
        <v>8046364.24876323</v>
      </c>
      <c r="U16" s="2" t="n">
        <v>7752009.01659559</v>
      </c>
      <c r="V16" s="2" t="n">
        <v>3429964.13129778</v>
      </c>
      <c r="W16" s="2" t="n">
        <v>60040020.2575172</v>
      </c>
      <c r="X16" s="2" t="n">
        <v>40026719.0742517</v>
      </c>
      <c r="Y16" s="2" t="n">
        <v>225245696.146174</v>
      </c>
      <c r="Z16" s="2" t="n">
        <v>1931427437.63762</v>
      </c>
      <c r="AA16" s="2" t="n">
        <v>4588868851.52299</v>
      </c>
      <c r="AB16" s="2" t="n">
        <v>6101420339.44821</v>
      </c>
      <c r="AC16" s="2" t="n">
        <v>5785057453.92523</v>
      </c>
      <c r="AD16" s="2" t="n">
        <v>6921403517.99096</v>
      </c>
      <c r="AE16" s="2" t="n">
        <v>6972758970.40445</v>
      </c>
      <c r="AF16" s="2" t="n">
        <v>8828928722.13656</v>
      </c>
      <c r="AG16" s="2" t="n">
        <v>11411072528.7232</v>
      </c>
      <c r="AH16" s="2" t="n">
        <v>10042547923.6234</v>
      </c>
      <c r="AI16" s="2" t="n">
        <v>8128310900.5723</v>
      </c>
      <c r="AJ16" s="2" t="n">
        <v>9278993824.8279</v>
      </c>
      <c r="AK16" s="2" t="n">
        <v>9650870166.20285</v>
      </c>
      <c r="AL16" s="2" t="n">
        <v>9276520909.1715</v>
      </c>
      <c r="AM16" s="2" t="n">
        <v>8680909428.16241</v>
      </c>
      <c r="AN16" s="2" t="n">
        <v>3294644096.93774</v>
      </c>
      <c r="AO16" s="2" t="n">
        <v>8046364.24876323</v>
      </c>
      <c r="AP16" s="1" t="n">
        <v>7752009.01659559</v>
      </c>
      <c r="AQ16" s="1" t="n">
        <v>3429964.13129778</v>
      </c>
      <c r="AR16" s="1" t="n">
        <v>60040020.2575172</v>
      </c>
      <c r="AS16" s="1" t="n">
        <v>40026719.0742517</v>
      </c>
      <c r="AT16" s="1" t="n">
        <v>225245696.146174</v>
      </c>
      <c r="AU16" s="1" t="n">
        <v>1931427437.63762</v>
      </c>
      <c r="AV16" s="1" t="n">
        <v>4588868851.52299</v>
      </c>
      <c r="AW16" s="1" t="n">
        <v>6101420339.44821</v>
      </c>
      <c r="AX16" s="1" t="n">
        <v>5785057453.92523</v>
      </c>
      <c r="AY16" s="1" t="n">
        <v>6921403517.99096</v>
      </c>
      <c r="AZ16" s="1" t="n">
        <v>6972758970.40445</v>
      </c>
      <c r="BA16" s="1" t="n">
        <v>8828928722.13656</v>
      </c>
      <c r="BB16" s="1" t="n">
        <v>11411072528.7232</v>
      </c>
      <c r="BC16" s="1" t="n">
        <v>10042547923.6234</v>
      </c>
      <c r="BD16" s="1" t="n">
        <v>8128310900.5723</v>
      </c>
      <c r="BE16" s="1" t="n">
        <v>9278993824.8279</v>
      </c>
      <c r="BF16" s="1" t="n">
        <v>9650870166.20285</v>
      </c>
      <c r="BG16" s="1" t="n">
        <v>9276520909.1715</v>
      </c>
      <c r="BH16" s="1" t="n">
        <v>8680909428.16241</v>
      </c>
      <c r="BI16" s="1" t="n">
        <v>3294644096.93774</v>
      </c>
      <c r="BJ16" s="1"/>
    </row>
    <row r="17">
      <c r="A17" t="str">
        <f>M17</f>
      </c>
      <c r="B17" t="str">
        <f>N17</f>
      </c>
      <c r="M17" t="s">
        <v>52</v>
      </c>
      <c r="N17" t="s">
        <v>54</v>
      </c>
      <c r="O17" s="2" t="n">
        <v>207749581.247868</v>
      </c>
      <c r="P17" s="2" t="n">
        <v>126971375.660125</v>
      </c>
      <c r="Q17" s="2" t="n">
        <v>231145754.821671</v>
      </c>
      <c r="R17" s="2" t="n">
        <v>319538974.642443</v>
      </c>
      <c r="S17" s="2" t="n">
        <v>373338398.088778</v>
      </c>
      <c r="T17" s="2" t="n">
        <v>374716669.465099</v>
      </c>
      <c r="U17" s="2" t="n">
        <v>223712081.301791</v>
      </c>
      <c r="V17" s="2" t="n">
        <v>300094651.846279</v>
      </c>
      <c r="W17" s="2" t="n">
        <v>361504076.897354</v>
      </c>
      <c r="X17" s="2" t="n">
        <v>259616684.162657</v>
      </c>
      <c r="Y17" s="2" t="n">
        <v>296497042.865685</v>
      </c>
      <c r="Z17" s="2" t="n">
        <v>358577595.923902</v>
      </c>
      <c r="AA17" s="2" t="n">
        <v>296710288.870477</v>
      </c>
      <c r="AB17" s="2" t="n">
        <v>212982651.141541</v>
      </c>
      <c r="AC17" s="2" t="n">
        <v>171029983.696462</v>
      </c>
      <c r="AD17" s="2" t="n">
        <v>145833930.419294</v>
      </c>
      <c r="AE17" s="2" t="n">
        <v>200133519.22341</v>
      </c>
      <c r="AF17" s="2" t="n">
        <v>137101675.580061</v>
      </c>
      <c r="AG17" s="2" t="n">
        <v>169696861.015211</v>
      </c>
      <c r="AH17" s="2" t="n">
        <v>240401980.847396</v>
      </c>
      <c r="AI17" s="2" t="n">
        <v>195236055.481987</v>
      </c>
      <c r="AJ17" s="2" t="n">
        <v>187152143.344557</v>
      </c>
      <c r="AK17" s="2" t="n">
        <v>129670668.490102</v>
      </c>
      <c r="AL17" s="2" t="n">
        <v>84002534.7091</v>
      </c>
      <c r="AM17" s="2" t="n">
        <v>142002676.222825</v>
      </c>
      <c r="AN17" s="2" t="n">
        <v>23898093.6003672</v>
      </c>
      <c r="AO17" s="2" t="n">
        <v>374716669.465099</v>
      </c>
      <c r="AP17" s="1" t="n">
        <v>223712081.301791</v>
      </c>
      <c r="AQ17" s="1" t="n">
        <v>300094651.846279</v>
      </c>
      <c r="AR17" s="1" t="n">
        <v>361504076.897354</v>
      </c>
      <c r="AS17" s="1" t="n">
        <v>259616684.162657</v>
      </c>
      <c r="AT17" s="1" t="n">
        <v>296497042.865685</v>
      </c>
      <c r="AU17" s="1" t="n">
        <v>358577595.923902</v>
      </c>
      <c r="AV17" s="1" t="n">
        <v>296710288.870477</v>
      </c>
      <c r="AW17" s="1" t="n">
        <v>212982651.141541</v>
      </c>
      <c r="AX17" s="1" t="n">
        <v>171029983.696462</v>
      </c>
      <c r="AY17" s="1" t="n">
        <v>145833930.419294</v>
      </c>
      <c r="AZ17" s="1" t="n">
        <v>200133519.22341</v>
      </c>
      <c r="BA17" s="1" t="n">
        <v>137101675.580061</v>
      </c>
      <c r="BB17" s="1" t="n">
        <v>169696861.015211</v>
      </c>
      <c r="BC17" s="1" t="n">
        <v>240401980.847396</v>
      </c>
      <c r="BD17" s="1" t="n">
        <v>195236055.481987</v>
      </c>
      <c r="BE17" s="1" t="n">
        <v>187152143.344557</v>
      </c>
      <c r="BF17" s="1" t="n">
        <v>129670668.490102</v>
      </c>
      <c r="BG17" s="1" t="n">
        <v>84002534.7091</v>
      </c>
      <c r="BH17" s="1" t="n">
        <v>142002676.222825</v>
      </c>
      <c r="BI17" s="1" t="n">
        <v>23898093.6003672</v>
      </c>
      <c r="BJ17" s="1"/>
    </row>
    <row r="18">
      <c r="A18" t="str">
        <f>M18</f>
      </c>
      <c r="B18" t="str">
        <f>N18</f>
      </c>
      <c r="M18" t="s">
        <v>52</v>
      </c>
      <c r="N18" t="s">
        <v>55</v>
      </c>
      <c r="O18" s="2" t="n">
        <v>1826065962.32081</v>
      </c>
      <c r="P18" s="2" t="n">
        <v>1476748806.95738</v>
      </c>
      <c r="Q18" s="2" t="n">
        <v>1550346044.75602</v>
      </c>
      <c r="R18" s="2" t="n">
        <v>2597169188.6354</v>
      </c>
      <c r="S18" s="2" t="n">
        <v>2596868151.07615</v>
      </c>
      <c r="T18" s="2" t="n">
        <v>2767641670.85523</v>
      </c>
      <c r="U18" s="2" t="n">
        <v>3689371514.35873</v>
      </c>
      <c r="V18" s="2" t="n">
        <v>3650768461.20846</v>
      </c>
      <c r="W18" s="2" t="n">
        <v>3294076075.26215</v>
      </c>
      <c r="X18" s="2" t="n">
        <v>3859868947.87378</v>
      </c>
      <c r="Y18" s="2" t="n">
        <v>3778274422.4686</v>
      </c>
      <c r="Z18" s="2" t="n">
        <v>3269751918.71836</v>
      </c>
      <c r="AA18" s="2" t="n">
        <v>2600699929.388</v>
      </c>
      <c r="AB18" s="2" t="n">
        <v>2113651059.77182</v>
      </c>
      <c r="AC18" s="2" t="n">
        <v>2059884551.69524</v>
      </c>
      <c r="AD18" s="2" t="n">
        <v>2095180912.26795</v>
      </c>
      <c r="AE18" s="2" t="n">
        <v>2544268888.33053</v>
      </c>
      <c r="AF18" s="2" t="n">
        <v>2468727230.80017</v>
      </c>
      <c r="AG18" s="2" t="n">
        <v>2244082419.61665</v>
      </c>
      <c r="AH18" s="2" t="n">
        <v>2623258243.47768</v>
      </c>
      <c r="AI18" s="2" t="n">
        <v>2879887896.91054</v>
      </c>
      <c r="AJ18" s="2" t="n">
        <v>2654935301.59013</v>
      </c>
      <c r="AK18" s="2" t="n">
        <v>2660131597.38531</v>
      </c>
      <c r="AL18" s="2" t="n">
        <v>2900505982.4097</v>
      </c>
      <c r="AM18" s="2" t="n">
        <v>3145620803.73296</v>
      </c>
      <c r="AN18" s="2" t="n">
        <v>1359699835.50267</v>
      </c>
      <c r="AO18" s="2" t="n">
        <v>2767641670.85523</v>
      </c>
      <c r="AP18" s="1" t="n">
        <v>3689371514.35873</v>
      </c>
      <c r="AQ18" s="1" t="n">
        <v>3650768461.20846</v>
      </c>
      <c r="AR18" s="1" t="n">
        <v>3294076075.26215</v>
      </c>
      <c r="AS18" s="1" t="n">
        <v>3859868947.87378</v>
      </c>
      <c r="AT18" s="1" t="n">
        <v>3778274422.4686</v>
      </c>
      <c r="AU18" s="1" t="n">
        <v>3269751918.71836</v>
      </c>
      <c r="AV18" s="1" t="n">
        <v>2600699929.388</v>
      </c>
      <c r="AW18" s="1" t="n">
        <v>2113651059.77182</v>
      </c>
      <c r="AX18" s="1" t="n">
        <v>2059884551.69524</v>
      </c>
      <c r="AY18" s="1" t="n">
        <v>2095180912.26795</v>
      </c>
      <c r="AZ18" s="1" t="n">
        <v>2544268888.33053</v>
      </c>
      <c r="BA18" s="1" t="n">
        <v>2468727230.80017</v>
      </c>
      <c r="BB18" s="1" t="n">
        <v>2244082419.61665</v>
      </c>
      <c r="BC18" s="1" t="n">
        <v>2623258243.47768</v>
      </c>
      <c r="BD18" s="1" t="n">
        <v>2879887896.91054</v>
      </c>
      <c r="BE18" s="1" t="n">
        <v>2654935301.59013</v>
      </c>
      <c r="BF18" s="1" t="n">
        <v>2660131597.38531</v>
      </c>
      <c r="BG18" s="1" t="n">
        <v>2900505982.4097</v>
      </c>
      <c r="BH18" s="1" t="n">
        <v>3145620803.73296</v>
      </c>
      <c r="BI18" s="1" t="n">
        <v>1359699835.50267</v>
      </c>
      <c r="BJ18" s="1"/>
    </row>
    <row r="19">
      <c r="A19" t="str">
        <f>M19</f>
      </c>
      <c r="B19" t="str">
        <f>N19</f>
      </c>
      <c r="M19" t="s">
        <v>52</v>
      </c>
      <c r="N19" t="s">
        <v>56</v>
      </c>
      <c r="O19" s="2" t="n">
        <v>15684016318.5316</v>
      </c>
      <c r="P19" s="2" t="n">
        <v>17655391737.0195</v>
      </c>
      <c r="Q19" s="2" t="n">
        <v>18479684439.8471</v>
      </c>
      <c r="R19" s="2" t="n">
        <v>22376077087.8133</v>
      </c>
      <c r="S19" s="2" t="n">
        <v>22450736123.7216</v>
      </c>
      <c r="T19" s="2" t="n">
        <v>23126334983.4507</v>
      </c>
      <c r="U19" s="2" t="n">
        <v>24205492736.0404</v>
      </c>
      <c r="V19" s="2" t="n">
        <v>26727503709.2742</v>
      </c>
      <c r="W19" s="2" t="n">
        <v>28758613908.2458</v>
      </c>
      <c r="X19" s="2" t="n">
        <v>30946978405.4201</v>
      </c>
      <c r="Y19" s="2" t="n">
        <v>33196936107.6344</v>
      </c>
      <c r="Z19" s="2" t="n">
        <v>29535082303.1878</v>
      </c>
      <c r="AA19" s="2" t="n">
        <v>31020979567.106</v>
      </c>
      <c r="AB19" s="2" t="n">
        <v>22049516464.803</v>
      </c>
      <c r="AC19" s="2" t="n">
        <v>19668604612.5615</v>
      </c>
      <c r="AD19" s="2" t="n">
        <v>18682153735.3473</v>
      </c>
      <c r="AE19" s="2" t="n">
        <v>19885088360.3754</v>
      </c>
      <c r="AF19" s="2" t="n">
        <v>23297735817.2783</v>
      </c>
      <c r="AG19" s="2" t="n">
        <v>27925487138.3422</v>
      </c>
      <c r="AH19" s="2" t="n">
        <v>30337382815.0468</v>
      </c>
      <c r="AI19" s="2" t="n">
        <v>38427209482.5666</v>
      </c>
      <c r="AJ19" s="2" t="n">
        <v>30245689170.404</v>
      </c>
      <c r="AK19" s="2" t="n">
        <v>27347446664.7342</v>
      </c>
      <c r="AL19" s="2" t="n">
        <v>30777027189.8927</v>
      </c>
      <c r="AM19" s="2" t="n">
        <v>27722582763.3529</v>
      </c>
      <c r="AN19" s="2" t="n">
        <v>12283958448.59</v>
      </c>
      <c r="AO19" s="2" t="n">
        <v>23126334983.4507</v>
      </c>
      <c r="AP19" s="1" t="n">
        <v>24205492736.0404</v>
      </c>
      <c r="AQ19" s="1" t="n">
        <v>26727503709.2742</v>
      </c>
      <c r="AR19" s="1" t="n">
        <v>28758613908.2458</v>
      </c>
      <c r="AS19" s="1" t="n">
        <v>30946978405.4201</v>
      </c>
      <c r="AT19" s="1" t="n">
        <v>33196936107.6344</v>
      </c>
      <c r="AU19" s="1" t="n">
        <v>29535082303.1878</v>
      </c>
      <c r="AV19" s="1" t="n">
        <v>31020979567.106</v>
      </c>
      <c r="AW19" s="1" t="n">
        <v>22049516464.803</v>
      </c>
      <c r="AX19" s="1" t="n">
        <v>19668604612.5615</v>
      </c>
      <c r="AY19" s="1" t="n">
        <v>18682153735.3473</v>
      </c>
      <c r="AZ19" s="1" t="n">
        <v>19885088360.3754</v>
      </c>
      <c r="BA19" s="1" t="n">
        <v>23297735817.2783</v>
      </c>
      <c r="BB19" s="1" t="n">
        <v>27925487138.3422</v>
      </c>
      <c r="BC19" s="1" t="n">
        <v>30337382815.0468</v>
      </c>
      <c r="BD19" s="1" t="n">
        <v>38427209482.5666</v>
      </c>
      <c r="BE19" s="1" t="n">
        <v>30245689170.404</v>
      </c>
      <c r="BF19" s="1" t="n">
        <v>27347446664.7342</v>
      </c>
      <c r="BG19" s="1" t="n">
        <v>30777027189.8927</v>
      </c>
      <c r="BH19" s="1" t="n">
        <v>27722582763.3529</v>
      </c>
      <c r="BI19" s="1" t="n">
        <v>12283958448.59</v>
      </c>
      <c r="BJ19" s="1"/>
    </row>
    <row r="20">
      <c r="A20" t="str">
        <f>M20</f>
      </c>
      <c r="B20" t="str">
        <f>N20</f>
      </c>
      <c r="M20" t="s">
        <v>52</v>
      </c>
      <c r="N20" t="s">
        <v>57</v>
      </c>
      <c r="O20" s="2" t="n">
        <v>172937629.710576</v>
      </c>
      <c r="P20" s="2" t="n">
        <v>235834465.22392</v>
      </c>
      <c r="Q20" s="2" t="n">
        <v>138196433.137222</v>
      </c>
      <c r="R20" s="2" t="n">
        <v>26632861.2519069</v>
      </c>
      <c r="S20" s="2" t="n">
        <v>84413686.489484</v>
      </c>
      <c r="T20" s="2" t="n">
        <v>8323585.83023936</v>
      </c>
      <c r="U20" s="2" t="n">
        <v>2553011.17012511</v>
      </c>
      <c r="V20" s="2" t="n">
        <v>3085727.48668454</v>
      </c>
      <c r="W20" s="2" t="n">
        <v>-17042.5867402221</v>
      </c>
      <c r="X20" s="2" t="n">
        <v>-2256.61312096531</v>
      </c>
      <c r="Y20" s="2" t="n">
        <v>34719.170077105</v>
      </c>
      <c r="Z20" s="2"/>
      <c r="AA20" s="2"/>
      <c r="AB20" s="2" t="n">
        <v>29831.9874115</v>
      </c>
      <c r="AC20" s="2" t="n">
        <v>58813.5687252362</v>
      </c>
      <c r="AD20" s="2"/>
      <c r="AE20" s="2"/>
      <c r="AF20" s="2" t="n">
        <v>10038.6708360684</v>
      </c>
      <c r="AG20" s="2" t="n">
        <v>0</v>
      </c>
      <c r="AH20" s="2"/>
      <c r="AI20" s="2" t="n">
        <v>2299.20297491268</v>
      </c>
      <c r="AJ20" s="2"/>
      <c r="AK20" s="2" t="n">
        <v>888.884605510837</v>
      </c>
      <c r="AL20" s="2"/>
      <c r="AM20" s="2"/>
      <c r="AN20" s="2"/>
      <c r="AO20" s="2" t="n">
        <v>8323585.83023936</v>
      </c>
      <c r="AP20" s="1" t="n">
        <v>2553011.17012511</v>
      </c>
      <c r="AQ20" s="1" t="n">
        <v>3085727.48668454</v>
      </c>
      <c r="AR20" s="1" t="n">
        <v>-17042.5867402221</v>
      </c>
      <c r="AS20" s="1" t="n">
        <v>-2256.61312096531</v>
      </c>
      <c r="AT20" s="1" t="n">
        <v>34719.170077105</v>
      </c>
      <c r="AU20" s="1"/>
      <c r="AV20" s="1"/>
      <c r="AW20" s="1" t="n">
        <v>29831.9874115</v>
      </c>
      <c r="AX20" s="1" t="n">
        <v>58813.5687252362</v>
      </c>
      <c r="AY20" s="1"/>
      <c r="AZ20" s="1"/>
      <c r="BA20" s="1" t="n">
        <v>10038.6708360684</v>
      </c>
      <c r="BB20" s="1" t="n">
        <v>0</v>
      </c>
      <c r="BC20" s="1"/>
      <c r="BD20" s="1" t="n">
        <v>2299.20297491268</v>
      </c>
      <c r="BE20" s="1"/>
      <c r="BF20" s="1" t="n">
        <v>888.884605510837</v>
      </c>
      <c r="BG20" s="1"/>
      <c r="BH20" s="1"/>
      <c r="BI20" s="1"/>
      <c r="BJ20" s="1"/>
    </row>
    <row r="21">
      <c r="A21" t="str">
        <f>M21</f>
      </c>
      <c r="B21" t="str">
        <f>N21</f>
      </c>
      <c r="M21"/>
      <c r="N21"/>
      <c r="O21" s="2"/>
      <c r="P21" s="2" t="n">
        <v>0</v>
      </c>
      <c r="Q21" s="2" t="n">
        <v>0</v>
      </c>
      <c r="R21" s="2" t="n">
        <v>0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 t="n">
        <v>0</v>
      </c>
      <c r="AF21" s="2"/>
      <c r="AG21" s="2"/>
      <c r="AH21" s="2"/>
      <c r="AI21" s="2"/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-7773.53730666113</v>
      </c>
      <c r="AO21" s="2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n">
        <v>0</v>
      </c>
      <c r="BA21" s="1"/>
      <c r="BB21" s="1"/>
      <c r="BC21" s="1"/>
      <c r="BD21" s="1"/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-7773.53730666113</v>
      </c>
      <c r="BJ21" s="1"/>
    </row>
    <row r="22">
      <c r="A22" t="str">
        <f>M22</f>
      </c>
      <c r="B22" t="str">
        <f>N22</f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>
      <c r="A2" t="str">
        <f>N2</f>
      </c>
      <c r="B2" t="str">
        <f>O2</f>
      </c>
      <c r="N2" t="s">
        <v>49</v>
      </c>
      <c r="O2" t="s">
        <v>50</v>
      </c>
      <c r="P2" s="3" t="n">
        <v>24580435226.64</v>
      </c>
      <c r="Q2" s="3" t="n">
        <v>24106302588.46</v>
      </c>
      <c r="R2" s="3" t="n">
        <v>26106954283.46</v>
      </c>
      <c r="S2" s="3" t="n">
        <v>32922914808.31</v>
      </c>
      <c r="T2" s="3" t="n">
        <v>31290054553.94</v>
      </c>
      <c r="U2" s="3" t="n">
        <v>29596095280.92</v>
      </c>
      <c r="V2" s="3" t="n">
        <v>34712294227.77</v>
      </c>
      <c r="W2" s="3" t="n">
        <v>38842437992.72</v>
      </c>
      <c r="X2" s="3" t="n">
        <v>43480407282.98</v>
      </c>
      <c r="Y2" s="3" t="n">
        <v>40718477015.63</v>
      </c>
      <c r="Z2" s="3" t="n">
        <v>37073459260.8586</v>
      </c>
      <c r="AA2" s="3" t="n">
        <v>44860435750.1891</v>
      </c>
      <c r="AB2" s="3" t="n">
        <v>49417426796.5723</v>
      </c>
      <c r="AC2" s="3" t="n">
        <v>50005122566.4256</v>
      </c>
      <c r="AD2" s="3" t="n">
        <v>36049980655.0231</v>
      </c>
      <c r="AE2" s="3" t="n">
        <v>39541344351.1707</v>
      </c>
      <c r="AF2" s="3" t="n">
        <v>51518893786.0678</v>
      </c>
      <c r="AG2" s="3" t="n">
        <v>57851065824.5591</v>
      </c>
      <c r="AH2" s="3" t="n">
        <v>49014898965.83</v>
      </c>
      <c r="AI2" s="3" t="n">
        <v>53003631595.12</v>
      </c>
      <c r="AJ2" s="3" t="n">
        <v>63030431796.26</v>
      </c>
      <c r="AK2" s="3" t="n">
        <v>35766995695.49</v>
      </c>
      <c r="AL2" s="3" t="n">
        <v>38134159314.82</v>
      </c>
      <c r="AM2" s="3" t="n">
        <v>55594750528.27</v>
      </c>
      <c r="AN2" s="3" t="n">
        <v>32270134555.06</v>
      </c>
      <c r="AO2" s="3" t="n">
        <v>24073744726.32</v>
      </c>
      <c r="AP2" s="3"/>
    </row>
    <row r="3">
      <c r="A3" t="str">
        <f>N3</f>
      </c>
      <c r="B3" t="str">
        <f>O3</f>
      </c>
      <c r="N3" t="s">
        <v>49</v>
      </c>
      <c r="O3" t="s">
        <v>51</v>
      </c>
      <c r="P3" s="3" t="n">
        <v>575234048</v>
      </c>
      <c r="Q3" s="3" t="n">
        <v>669069569.94</v>
      </c>
      <c r="R3" s="3" t="n">
        <v>686880414.67</v>
      </c>
      <c r="S3" s="3" t="n">
        <v>835897253.19</v>
      </c>
      <c r="T3" s="3" t="n">
        <v>600689403.78</v>
      </c>
      <c r="U3" s="3" t="n">
        <v>800013327.8</v>
      </c>
      <c r="V3" s="3" t="n">
        <v>888726395.39</v>
      </c>
      <c r="W3" s="3" t="n">
        <v>970422741.45</v>
      </c>
      <c r="X3" s="3" t="n">
        <v>1183717660.62</v>
      </c>
      <c r="Y3" s="3" t="n">
        <v>983363800.21</v>
      </c>
      <c r="Z3" s="3" t="n">
        <v>1025939958.163</v>
      </c>
      <c r="AA3" s="3" t="n">
        <v>1099212948.0185</v>
      </c>
      <c r="AB3" s="3" t="n">
        <v>986640516.3149</v>
      </c>
      <c r="AC3" s="3" t="n">
        <v>1201698960.5381</v>
      </c>
      <c r="AD3" s="3" t="n">
        <v>1182720605.3701</v>
      </c>
      <c r="AE3" s="3" t="n">
        <v>1201505540.9714</v>
      </c>
      <c r="AF3" s="3" t="n">
        <v>1254981007.4817</v>
      </c>
      <c r="AG3" s="3" t="n">
        <v>1308996189.4308</v>
      </c>
      <c r="AH3" s="3" t="n">
        <v>1674425531.59</v>
      </c>
      <c r="AI3" s="3" t="n">
        <v>1746988190.09</v>
      </c>
      <c r="AJ3" s="3" t="n">
        <v>1213933708.27</v>
      </c>
      <c r="AK3" s="3" t="n">
        <v>1121549382.03</v>
      </c>
      <c r="AL3" s="3" t="n">
        <v>1160499837.31</v>
      </c>
      <c r="AM3" s="3" t="n">
        <v>679414620.99</v>
      </c>
      <c r="AN3" s="3" t="n">
        <v>836045048.97</v>
      </c>
      <c r="AO3" s="3" t="n">
        <v>423864529.97</v>
      </c>
      <c r="AP3" s="3"/>
    </row>
    <row r="4">
      <c r="A4" t="str">
        <f>N4</f>
      </c>
      <c r="B4" t="str">
        <f>O4</f>
      </c>
      <c r="N4" t="s">
        <v>52</v>
      </c>
      <c r="O4" t="s">
        <v>53</v>
      </c>
      <c r="P4" s="3" t="n">
        <v>15949044</v>
      </c>
      <c r="Q4" s="3" t="n">
        <v>3578204</v>
      </c>
      <c r="R4" s="3" t="n">
        <v>21286774.33</v>
      </c>
      <c r="S4" s="3" t="n">
        <v>27665290.5813</v>
      </c>
      <c r="T4" s="3" t="n">
        <v>388233.1308</v>
      </c>
      <c r="U4" s="3" t="n">
        <v>5356992.0713</v>
      </c>
      <c r="V4" s="3" t="n">
        <v>5328672.7029</v>
      </c>
      <c r="W4" s="3" t="n">
        <v>2422638.71</v>
      </c>
      <c r="X4" s="3" t="n">
        <v>43287639.7559</v>
      </c>
      <c r="Y4" s="3" t="n">
        <v>29153564.3068</v>
      </c>
      <c r="Z4" s="3" t="n">
        <v>165479102.4641</v>
      </c>
      <c r="AA4" s="3" t="n">
        <v>1447423460.9816</v>
      </c>
      <c r="AB4" s="3" t="n">
        <v>3501329111.7152</v>
      </c>
      <c r="AC4" s="3" t="n">
        <v>4739884418.6757</v>
      </c>
      <c r="AD4" s="3" t="n">
        <v>4576105085.1177</v>
      </c>
      <c r="AE4" s="3" t="n">
        <v>5531679587.3385</v>
      </c>
      <c r="AF4" s="3" t="n">
        <v>5617277929.5183</v>
      </c>
      <c r="AG4" s="3" t="n">
        <v>7232676923.4378</v>
      </c>
      <c r="AH4" s="3" t="n">
        <v>9555499584.5343</v>
      </c>
      <c r="AI4" s="3" t="n">
        <v>8565000933.0606</v>
      </c>
      <c r="AJ4" s="3" t="n">
        <v>7022961831.8218</v>
      </c>
      <c r="AK4" s="3" t="n">
        <v>8293095980.0951</v>
      </c>
      <c r="AL4" s="3" t="n">
        <v>9228689067.6412</v>
      </c>
      <c r="AM4" s="3" t="n">
        <v>9276520909.1715</v>
      </c>
      <c r="AN4" s="3" t="n">
        <v>8912741691.18</v>
      </c>
      <c r="AO4" s="3" t="n">
        <v>3456852755.96</v>
      </c>
      <c r="AP4" s="3"/>
    </row>
    <row r="5">
      <c r="A5" t="str">
        <f>N5</f>
      </c>
      <c r="B5" t="str">
        <f>O5</f>
      </c>
      <c r="N5" t="s">
        <v>52</v>
      </c>
      <c r="O5" t="s">
        <v>54</v>
      </c>
      <c r="P5" s="3" t="n">
        <v>123574155</v>
      </c>
      <c r="Q5" s="3" t="n">
        <v>77356117.09</v>
      </c>
      <c r="R5" s="3" t="n">
        <v>143038832.75</v>
      </c>
      <c r="S5" s="3" t="n">
        <v>201534412.0035</v>
      </c>
      <c r="T5" s="3" t="n">
        <v>241215691.4556</v>
      </c>
      <c r="U5" s="3" t="n">
        <v>249473447.2923</v>
      </c>
      <c r="V5" s="3" t="n">
        <v>153778002.372</v>
      </c>
      <c r="W5" s="3" t="n">
        <v>211961668.518</v>
      </c>
      <c r="X5" s="3" t="n">
        <v>260637124.7695</v>
      </c>
      <c r="Y5" s="3" t="n">
        <v>189092483.019</v>
      </c>
      <c r="Z5" s="3" t="n">
        <v>217824648.2669</v>
      </c>
      <c r="AA5" s="3" t="n">
        <v>268720229.82</v>
      </c>
      <c r="AB5" s="3" t="n">
        <v>226391384.409</v>
      </c>
      <c r="AC5" s="3" t="n">
        <v>165455433.8876</v>
      </c>
      <c r="AD5" s="3" t="n">
        <v>135288401.9449</v>
      </c>
      <c r="AE5" s="3" t="n">
        <v>116552455.5742</v>
      </c>
      <c r="AF5" s="3" t="n">
        <v>161228231.9326</v>
      </c>
      <c r="AG5" s="3" t="n">
        <v>112313980.1374</v>
      </c>
      <c r="AH5" s="3" t="n">
        <v>142102180.2154</v>
      </c>
      <c r="AI5" s="3" t="n">
        <v>205031950.6491</v>
      </c>
      <c r="AJ5" s="3" t="n">
        <v>168686383.0158</v>
      </c>
      <c r="AK5" s="3" t="n">
        <v>167267132.2923</v>
      </c>
      <c r="AL5" s="3" t="n">
        <v>123998174.2661</v>
      </c>
      <c r="AM5" s="3" t="n">
        <v>84002534.7091</v>
      </c>
      <c r="AN5" s="3" t="n">
        <v>145794997.99</v>
      </c>
      <c r="AO5" s="3" t="n">
        <v>25074693.44</v>
      </c>
      <c r="AP5" s="3"/>
    </row>
    <row r="6">
      <c r="A6" t="str">
        <f>N6</f>
      </c>
      <c r="B6" t="str">
        <f>O6</f>
      </c>
      <c r="N6" t="s">
        <v>52</v>
      </c>
      <c r="O6" t="s">
        <v>55</v>
      </c>
      <c r="P6" s="3" t="n">
        <v>1086185382</v>
      </c>
      <c r="Q6" s="3" t="n">
        <v>899695329.2</v>
      </c>
      <c r="R6" s="3" t="n">
        <v>959393300.4375</v>
      </c>
      <c r="S6" s="3" t="n">
        <v>1638044203.8125</v>
      </c>
      <c r="T6" s="3" t="n">
        <v>1677848702.1094</v>
      </c>
      <c r="U6" s="3" t="n">
        <v>1842600462.594</v>
      </c>
      <c r="V6" s="3" t="n">
        <v>2536046234.8964</v>
      </c>
      <c r="W6" s="3" t="n">
        <v>2578596351.6838</v>
      </c>
      <c r="X6" s="3" t="n">
        <v>2374962197.9287</v>
      </c>
      <c r="Y6" s="3" t="n">
        <v>2811345525.9451</v>
      </c>
      <c r="Z6" s="3" t="n">
        <v>2775748753.4298</v>
      </c>
      <c r="AA6" s="3" t="n">
        <v>2450371961.4397</v>
      </c>
      <c r="AB6" s="3" t="n">
        <v>1984346615.3058</v>
      </c>
      <c r="AC6" s="3" t="n">
        <v>1641988449.7969</v>
      </c>
      <c r="AD6" s="3" t="n">
        <v>1629413060.6036</v>
      </c>
      <c r="AE6" s="3" t="n">
        <v>1674497008.3088</v>
      </c>
      <c r="AF6" s="3" t="n">
        <v>2049671519.3857</v>
      </c>
      <c r="AG6" s="3" t="n">
        <v>2022386524.3925</v>
      </c>
      <c r="AH6" s="3" t="n">
        <v>1879168550.9256</v>
      </c>
      <c r="AI6" s="3" t="n">
        <v>2237301676.2203</v>
      </c>
      <c r="AJ6" s="3" t="n">
        <v>2488259003.2948</v>
      </c>
      <c r="AK6" s="3" t="n">
        <v>2372847066.4693</v>
      </c>
      <c r="AL6" s="3" t="n">
        <v>2543763097.8861</v>
      </c>
      <c r="AM6" s="3" t="n">
        <v>2900505982.4097</v>
      </c>
      <c r="AN6" s="3" t="n">
        <v>3229627715.17</v>
      </c>
      <c r="AO6" s="3" t="n">
        <v>1426643359.75</v>
      </c>
      <c r="AP6" s="3"/>
    </row>
    <row r="7">
      <c r="A7" t="str">
        <f>N7</f>
      </c>
      <c r="B7" t="str">
        <f>O7</f>
      </c>
      <c r="N7" t="s">
        <v>52</v>
      </c>
      <c r="O7" t="s">
        <v>56</v>
      </c>
      <c r="P7" s="3" t="n">
        <v>9329208039.4441</v>
      </c>
      <c r="Q7" s="3" t="n">
        <v>10756381455.0968</v>
      </c>
      <c r="R7" s="3" t="n">
        <v>11435695602.1251</v>
      </c>
      <c r="S7" s="3" t="n">
        <v>14112674498.8887</v>
      </c>
      <c r="T7" s="3" t="n">
        <v>14505525993.2919</v>
      </c>
      <c r="U7" s="3" t="n">
        <v>15396716990.9833</v>
      </c>
      <c r="V7" s="3" t="n">
        <v>16638673681.4488</v>
      </c>
      <c r="W7" s="3" t="n">
        <v>18878064792.8399</v>
      </c>
      <c r="X7" s="3" t="n">
        <v>20734378726.0514</v>
      </c>
      <c r="Y7" s="3" t="n">
        <v>22540311719.5269</v>
      </c>
      <c r="Z7" s="3" t="n">
        <v>24388475720.6835</v>
      </c>
      <c r="AA7" s="3" t="n">
        <v>22133770192.2392</v>
      </c>
      <c r="AB7" s="3" t="n">
        <v>23669157334.0961</v>
      </c>
      <c r="AC7" s="3" t="n">
        <v>17129152511.447</v>
      </c>
      <c r="AD7" s="3" t="n">
        <v>15558290008.6225</v>
      </c>
      <c r="AE7" s="3" t="n">
        <v>14931030707.3871</v>
      </c>
      <c r="AF7" s="3" t="n">
        <v>16019493639.0837</v>
      </c>
      <c r="AG7" s="3" t="n">
        <v>19085554036.8664</v>
      </c>
      <c r="AH7" s="3" t="n">
        <v>23384478547.1892</v>
      </c>
      <c r="AI7" s="3" t="n">
        <v>25873883211.0788</v>
      </c>
      <c r="AJ7" s="3" t="n">
        <v>33201587488.55</v>
      </c>
      <c r="AK7" s="3" t="n">
        <v>27032069210.2557</v>
      </c>
      <c r="AL7" s="3" t="n">
        <v>26151121890.1863</v>
      </c>
      <c r="AM7" s="3" t="n">
        <v>30777027189.8927</v>
      </c>
      <c r="AN7" s="3" t="n">
        <v>28462941725.96</v>
      </c>
      <c r="AO7" s="3" t="n">
        <v>12888747423.91</v>
      </c>
      <c r="AP7" s="3"/>
    </row>
    <row r="8">
      <c r="A8" t="str">
        <f>N8</f>
      </c>
      <c r="B8" t="str">
        <f>O8</f>
      </c>
      <c r="N8" t="s">
        <v>52</v>
      </c>
      <c r="O8" t="s">
        <v>57</v>
      </c>
      <c r="P8" s="3" t="n">
        <v>102867217.9786</v>
      </c>
      <c r="Q8" s="3" t="n">
        <v>143679931.0937</v>
      </c>
      <c r="R8" s="3" t="n">
        <v>85519444.22</v>
      </c>
      <c r="S8" s="3" t="n">
        <v>16797444</v>
      </c>
      <c r="T8" s="3" t="n">
        <v>54540079.0787</v>
      </c>
      <c r="U8" s="3" t="n">
        <v>5541556.6483</v>
      </c>
      <c r="V8" s="3" t="n">
        <v>1754920.6797</v>
      </c>
      <c r="W8" s="3" t="n">
        <v>2179498.8436</v>
      </c>
      <c r="X8" s="3" t="n">
        <v>-12287.3602</v>
      </c>
      <c r="Y8" s="3" t="n">
        <v>-1643.61</v>
      </c>
      <c r="Z8" s="3" t="n">
        <v>25506.8008</v>
      </c>
      <c r="AA8" s="3"/>
      <c r="AB8" s="3"/>
      <c r="AC8" s="3" t="n">
        <v>23174.96</v>
      </c>
      <c r="AD8" s="3" t="n">
        <v>46522.8</v>
      </c>
      <c r="AE8" s="3"/>
      <c r="AF8" s="3"/>
      <c r="AG8" s="3" t="n">
        <v>8223.7002</v>
      </c>
      <c r="AH8" s="3" t="n">
        <v>0</v>
      </c>
      <c r="AI8" s="3"/>
      <c r="AJ8" s="3" t="n">
        <v>1986.54</v>
      </c>
      <c r="AK8" s="3"/>
      <c r="AL8" s="3" t="n">
        <v>850</v>
      </c>
      <c r="AM8" s="3"/>
      <c r="AN8" s="3"/>
      <c r="AO8" s="3"/>
      <c r="AP8" s="3"/>
    </row>
    <row r="9">
      <c r="A9" t="str">
        <f>N9</f>
      </c>
      <c r="B9" t="str">
        <f>O9</f>
      </c>
      <c r="N9"/>
      <c r="O9"/>
      <c r="P9" s="3"/>
      <c r="Q9" s="3" t="n">
        <v>0</v>
      </c>
      <c r="R9" s="3" t="n">
        <v>0</v>
      </c>
      <c r="S9" s="3" t="n">
        <v>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 t="n">
        <v>0</v>
      </c>
      <c r="AG9" s="3"/>
      <c r="AH9" s="3"/>
      <c r="AI9" s="3"/>
      <c r="AJ9" s="3"/>
      <c r="AK9" s="3" t="n">
        <v>0</v>
      </c>
      <c r="AL9" s="3" t="n">
        <v>0</v>
      </c>
      <c r="AM9" s="3" t="n">
        <v>0</v>
      </c>
      <c r="AN9" s="3" t="n">
        <v>0</v>
      </c>
      <c r="AO9" s="3" t="n">
        <v>-8156.26</v>
      </c>
      <c r="AP9" s="3"/>
    </row>
    <row r="10">
      <c r="A10" t="str">
        <f>N10</f>
      </c>
      <c r="B10" t="str">
        <f>O10</f>
      </c>
      <c r="N10" t="s">
        <v>58</v>
      </c>
      <c r="O10" t="s">
        <v>59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48</v>
      </c>
    </row>
    <row r="14">
      <c r="A14" t="str">
        <f>N14</f>
      </c>
      <c r="B14" t="str">
        <f>O14</f>
      </c>
      <c r="N14" t="s">
        <v>49</v>
      </c>
      <c r="O14" t="s">
        <v>50</v>
      </c>
      <c r="P14" s="3" t="n">
        <v>41323973651.4872</v>
      </c>
      <c r="Q14" s="3" t="n">
        <v>39567787485.6994</v>
      </c>
      <c r="R14" s="3" t="n">
        <v>42187925739.664</v>
      </c>
      <c r="S14" s="3" t="n">
        <v>52200288454.4857</v>
      </c>
      <c r="T14" s="3" t="n">
        <v>48428768347.4716</v>
      </c>
      <c r="U14" s="3" t="n">
        <v>44454230994.1471</v>
      </c>
      <c r="V14" s="3" t="n">
        <v>50498507385.1404</v>
      </c>
      <c r="W14" s="3" t="n">
        <v>54992999384.2077</v>
      </c>
      <c r="X14" s="3" t="n">
        <v>60307389102.2068</v>
      </c>
      <c r="Y14" s="3" t="n">
        <v>55904898059.2689</v>
      </c>
      <c r="Z14" s="3" t="n">
        <v>50463393959.7935</v>
      </c>
      <c r="AA14" s="3" t="n">
        <v>59861318272.0798</v>
      </c>
      <c r="AB14" s="3" t="n">
        <v>64766859473.5786</v>
      </c>
      <c r="AC14" s="3" t="n">
        <v>64369137504.9676</v>
      </c>
      <c r="AD14" s="3" t="n">
        <v>45573955454.0491</v>
      </c>
      <c r="AE14" s="3" t="n">
        <v>49475316778.0572</v>
      </c>
      <c r="AF14" s="3" t="n">
        <v>63950695212.071</v>
      </c>
      <c r="AG14" s="3" t="n">
        <v>70618796065.6052</v>
      </c>
      <c r="AH14" s="3" t="n">
        <v>58533053362.5243</v>
      </c>
      <c r="AI14" s="3" t="n">
        <v>62147279910.4369</v>
      </c>
      <c r="AJ14" s="3" t="n">
        <v>72950837282.9099</v>
      </c>
      <c r="AK14" s="3" t="n">
        <v>40019039088.3782</v>
      </c>
      <c r="AL14" s="3" t="n">
        <v>39878667245.9308</v>
      </c>
      <c r="AM14" s="3" t="n">
        <v>55594750528.27</v>
      </c>
      <c r="AN14" s="3" t="n">
        <v>31430745444.391</v>
      </c>
      <c r="AO14" s="3" t="n">
        <v>22944113201.5268</v>
      </c>
      <c r="AP14" s="3"/>
    </row>
    <row r="15">
      <c r="A15" t="str">
        <f>N15</f>
      </c>
      <c r="B15" t="str">
        <f>O15</f>
      </c>
      <c r="N15" t="s">
        <v>49</v>
      </c>
      <c r="O15" t="s">
        <v>51</v>
      </c>
      <c r="P15" s="3" t="n">
        <v>967068175.311544</v>
      </c>
      <c r="Q15" s="3" t="n">
        <v>1098202532.69398</v>
      </c>
      <c r="R15" s="3" t="n">
        <v>1109974745.10026</v>
      </c>
      <c r="S15" s="3" t="n">
        <v>1325340662.84486</v>
      </c>
      <c r="T15" s="3" t="n">
        <v>929709084.856146</v>
      </c>
      <c r="U15" s="3" t="n">
        <v>1201644234.98612</v>
      </c>
      <c r="V15" s="3" t="n">
        <v>1292895138.14582</v>
      </c>
      <c r="W15" s="3" t="n">
        <v>1373921411.24054</v>
      </c>
      <c r="X15" s="3" t="n">
        <v>1641818143.09058</v>
      </c>
      <c r="Y15" s="3" t="n">
        <v>1350120560.37393</v>
      </c>
      <c r="Z15" s="3" t="n">
        <v>1396481831.4792</v>
      </c>
      <c r="AA15" s="3" t="n">
        <v>1466778800.2895</v>
      </c>
      <c r="AB15" s="3" t="n">
        <v>1293098645.83112</v>
      </c>
      <c r="AC15" s="3" t="n">
        <v>1546888031.87515</v>
      </c>
      <c r="AD15" s="3" t="n">
        <v>1495181279.00056</v>
      </c>
      <c r="AE15" s="3" t="n">
        <v>1503359792.78335</v>
      </c>
      <c r="AF15" s="3" t="n">
        <v>1557815046.25598</v>
      </c>
      <c r="AG15" s="3" t="n">
        <v>1597891648.74513</v>
      </c>
      <c r="AH15" s="3" t="n">
        <v>1999580557.34148</v>
      </c>
      <c r="AI15" s="3" t="n">
        <v>2048360853.44286</v>
      </c>
      <c r="AJ15" s="3" t="n">
        <v>1404995617.20437</v>
      </c>
      <c r="AK15" s="3" t="n">
        <v>1254881146.32632</v>
      </c>
      <c r="AL15" s="3" t="n">
        <v>1213588753.03846</v>
      </c>
      <c r="AM15" s="3" t="n">
        <v>679414620.99</v>
      </c>
      <c r="AN15" s="3" t="n">
        <v>814298405.523666</v>
      </c>
      <c r="AO15" s="3" t="n">
        <v>403975196.55972</v>
      </c>
      <c r="AP15" s="3"/>
    </row>
    <row r="16">
      <c r="A16" t="str">
        <f>N16</f>
      </c>
      <c r="B16" t="str">
        <f>O16</f>
      </c>
      <c r="N16" t="s">
        <v>52</v>
      </c>
      <c r="O16" t="s">
        <v>53</v>
      </c>
      <c r="P16" s="3" t="n">
        <v>26813108.3906972</v>
      </c>
      <c r="Q16" s="3" t="n">
        <v>5873219.87405304</v>
      </c>
      <c r="R16" s="3" t="n">
        <v>34398683.3898882</v>
      </c>
      <c r="S16" s="3" t="n">
        <v>43864164.4255786</v>
      </c>
      <c r="T16" s="3" t="n">
        <v>600882.696574249</v>
      </c>
      <c r="U16" s="3" t="n">
        <v>8046364.24876323</v>
      </c>
      <c r="V16" s="3" t="n">
        <v>7752009.01659559</v>
      </c>
      <c r="W16" s="3" t="n">
        <v>3429964.13129778</v>
      </c>
      <c r="X16" s="3" t="n">
        <v>60040020.2575172</v>
      </c>
      <c r="Y16" s="3" t="n">
        <v>40026719.0742517</v>
      </c>
      <c r="Z16" s="3" t="n">
        <v>225245696.146174</v>
      </c>
      <c r="AA16" s="3" t="n">
        <v>1931427437.63762</v>
      </c>
      <c r="AB16" s="3" t="n">
        <v>4588868851.52299</v>
      </c>
      <c r="AC16" s="3" t="n">
        <v>6101420339.44821</v>
      </c>
      <c r="AD16" s="3" t="n">
        <v>5785057453.92523</v>
      </c>
      <c r="AE16" s="3" t="n">
        <v>6921403517.99096</v>
      </c>
      <c r="AF16" s="3" t="n">
        <v>6972758970.40445</v>
      </c>
      <c r="AG16" s="3" t="n">
        <v>8828928722.13656</v>
      </c>
      <c r="AH16" s="3" t="n">
        <v>11411072528.7232</v>
      </c>
      <c r="AI16" s="3" t="n">
        <v>10042547923.6234</v>
      </c>
      <c r="AJ16" s="3" t="n">
        <v>8128310900.5723</v>
      </c>
      <c r="AK16" s="3" t="n">
        <v>9278993824.8279</v>
      </c>
      <c r="AL16" s="3" t="n">
        <v>9650870166.20285</v>
      </c>
      <c r="AM16" s="3" t="n">
        <v>9276520909.1715</v>
      </c>
      <c r="AN16" s="3" t="n">
        <v>8680909428.16241</v>
      </c>
      <c r="AO16" s="3" t="n">
        <v>3294644096.93774</v>
      </c>
      <c r="AP16" s="3"/>
    </row>
    <row r="17">
      <c r="A17" t="str">
        <f>N17</f>
      </c>
      <c r="B17" t="str">
        <f>O17</f>
      </c>
      <c r="N17" t="s">
        <v>52</v>
      </c>
      <c r="O17" t="s">
        <v>54</v>
      </c>
      <c r="P17" s="3" t="n">
        <v>207749581.247868</v>
      </c>
      <c r="Q17" s="3" t="n">
        <v>126971375.660125</v>
      </c>
      <c r="R17" s="3" t="n">
        <v>231145754.821671</v>
      </c>
      <c r="S17" s="3" t="n">
        <v>319538974.642443</v>
      </c>
      <c r="T17" s="3" t="n">
        <v>373338398.088778</v>
      </c>
      <c r="U17" s="3" t="n">
        <v>374716669.465099</v>
      </c>
      <c r="V17" s="3" t="n">
        <v>223712081.301791</v>
      </c>
      <c r="W17" s="3" t="n">
        <v>300094651.846279</v>
      </c>
      <c r="X17" s="3" t="n">
        <v>361504076.897354</v>
      </c>
      <c r="Y17" s="3" t="n">
        <v>259616684.162657</v>
      </c>
      <c r="Z17" s="3" t="n">
        <v>296497042.865685</v>
      </c>
      <c r="AA17" s="3" t="n">
        <v>358577595.923902</v>
      </c>
      <c r="AB17" s="3" t="n">
        <v>296710288.870477</v>
      </c>
      <c r="AC17" s="3" t="n">
        <v>212982651.141541</v>
      </c>
      <c r="AD17" s="3" t="n">
        <v>171029983.696462</v>
      </c>
      <c r="AE17" s="3" t="n">
        <v>145833930.419294</v>
      </c>
      <c r="AF17" s="3" t="n">
        <v>200133519.22341</v>
      </c>
      <c r="AG17" s="3" t="n">
        <v>137101675.580061</v>
      </c>
      <c r="AH17" s="3" t="n">
        <v>169696861.015211</v>
      </c>
      <c r="AI17" s="3" t="n">
        <v>240401980.847396</v>
      </c>
      <c r="AJ17" s="3" t="n">
        <v>195236055.481987</v>
      </c>
      <c r="AK17" s="3" t="n">
        <v>187152143.344557</v>
      </c>
      <c r="AL17" s="3" t="n">
        <v>129670668.490102</v>
      </c>
      <c r="AM17" s="3" t="n">
        <v>84002534.7091</v>
      </c>
      <c r="AN17" s="3" t="n">
        <v>142002676.222825</v>
      </c>
      <c r="AO17" s="3" t="n">
        <v>23898093.6003672</v>
      </c>
      <c r="AP17" s="3"/>
    </row>
    <row r="18">
      <c r="A18" t="str">
        <f>N18</f>
      </c>
      <c r="B18" t="str">
        <f>O18</f>
      </c>
      <c r="N18" t="s">
        <v>52</v>
      </c>
      <c r="O18" t="s">
        <v>55</v>
      </c>
      <c r="P18" s="3" t="n">
        <v>1826065962.32081</v>
      </c>
      <c r="Q18" s="3" t="n">
        <v>1476748806.95738</v>
      </c>
      <c r="R18" s="3" t="n">
        <v>1550346044.75602</v>
      </c>
      <c r="S18" s="3" t="n">
        <v>2597169188.6354</v>
      </c>
      <c r="T18" s="3" t="n">
        <v>2596868151.07615</v>
      </c>
      <c r="U18" s="3" t="n">
        <v>2767641670.85523</v>
      </c>
      <c r="V18" s="3" t="n">
        <v>3689371514.35873</v>
      </c>
      <c r="W18" s="3" t="n">
        <v>3650768461.20846</v>
      </c>
      <c r="X18" s="3" t="n">
        <v>3294076075.26215</v>
      </c>
      <c r="Y18" s="3" t="n">
        <v>3859868947.87378</v>
      </c>
      <c r="Z18" s="3" t="n">
        <v>3778274422.4686</v>
      </c>
      <c r="AA18" s="3" t="n">
        <v>3269751918.71836</v>
      </c>
      <c r="AB18" s="3" t="n">
        <v>2600699929.388</v>
      </c>
      <c r="AC18" s="3" t="n">
        <v>2113651059.77182</v>
      </c>
      <c r="AD18" s="3" t="n">
        <v>2059884551.69524</v>
      </c>
      <c r="AE18" s="3" t="n">
        <v>2095180912.26795</v>
      </c>
      <c r="AF18" s="3" t="n">
        <v>2544268888.33053</v>
      </c>
      <c r="AG18" s="3" t="n">
        <v>2468727230.80017</v>
      </c>
      <c r="AH18" s="3" t="n">
        <v>2244082419.61665</v>
      </c>
      <c r="AI18" s="3" t="n">
        <v>2623258243.47768</v>
      </c>
      <c r="AJ18" s="3" t="n">
        <v>2879887896.91054</v>
      </c>
      <c r="AK18" s="3" t="n">
        <v>2654935301.59013</v>
      </c>
      <c r="AL18" s="3" t="n">
        <v>2660131597.38531</v>
      </c>
      <c r="AM18" s="3" t="n">
        <v>2900505982.4097</v>
      </c>
      <c r="AN18" s="3" t="n">
        <v>3145620803.73296</v>
      </c>
      <c r="AO18" s="3" t="n">
        <v>1359699835.50267</v>
      </c>
      <c r="AP18" s="3"/>
    </row>
    <row r="19">
      <c r="A19" t="str">
        <f>N19</f>
      </c>
      <c r="B19" t="str">
        <f>O19</f>
      </c>
      <c r="N19" t="s">
        <v>52</v>
      </c>
      <c r="O19" t="s">
        <v>56</v>
      </c>
      <c r="P19" s="3" t="n">
        <v>15684016318.5316</v>
      </c>
      <c r="Q19" s="3" t="n">
        <v>17655391737.0195</v>
      </c>
      <c r="R19" s="3" t="n">
        <v>18479684439.8471</v>
      </c>
      <c r="S19" s="3" t="n">
        <v>22376077087.8133</v>
      </c>
      <c r="T19" s="3" t="n">
        <v>22450736123.7216</v>
      </c>
      <c r="U19" s="3" t="n">
        <v>23126334983.4507</v>
      </c>
      <c r="V19" s="3" t="n">
        <v>24205492736.0404</v>
      </c>
      <c r="W19" s="3" t="n">
        <v>26727503709.2742</v>
      </c>
      <c r="X19" s="3" t="n">
        <v>28758613908.2458</v>
      </c>
      <c r="Y19" s="3" t="n">
        <v>30946978405.4201</v>
      </c>
      <c r="Z19" s="3" t="n">
        <v>33196936107.6344</v>
      </c>
      <c r="AA19" s="3" t="n">
        <v>29535082303.1878</v>
      </c>
      <c r="AB19" s="3" t="n">
        <v>31020979567.106</v>
      </c>
      <c r="AC19" s="3" t="n">
        <v>22049516464.803</v>
      </c>
      <c r="AD19" s="3" t="n">
        <v>19668604612.5615</v>
      </c>
      <c r="AE19" s="3" t="n">
        <v>18682153735.3473</v>
      </c>
      <c r="AF19" s="3" t="n">
        <v>19885088360.3754</v>
      </c>
      <c r="AG19" s="3" t="n">
        <v>23297735817.2783</v>
      </c>
      <c r="AH19" s="3" t="n">
        <v>27925487138.3422</v>
      </c>
      <c r="AI19" s="3" t="n">
        <v>30337382815.0468</v>
      </c>
      <c r="AJ19" s="3" t="n">
        <v>38427209482.5666</v>
      </c>
      <c r="AK19" s="3" t="n">
        <v>30245689170.404</v>
      </c>
      <c r="AL19" s="3" t="n">
        <v>27347446664.7342</v>
      </c>
      <c r="AM19" s="3" t="n">
        <v>30777027189.8927</v>
      </c>
      <c r="AN19" s="3" t="n">
        <v>27722582763.3529</v>
      </c>
      <c r="AO19" s="3" t="n">
        <v>12283958448.59</v>
      </c>
      <c r="AP19" s="3"/>
    </row>
    <row r="20">
      <c r="A20" t="str">
        <f>N20</f>
      </c>
      <c r="B20" t="str">
        <f>O20</f>
      </c>
      <c r="N20" t="s">
        <v>52</v>
      </c>
      <c r="O20" t="s">
        <v>57</v>
      </c>
      <c r="P20" s="3" t="n">
        <v>172937629.710576</v>
      </c>
      <c r="Q20" s="3" t="n">
        <v>235834465.22392</v>
      </c>
      <c r="R20" s="3" t="n">
        <v>138196433.137222</v>
      </c>
      <c r="S20" s="3" t="n">
        <v>26632861.2519069</v>
      </c>
      <c r="T20" s="3" t="n">
        <v>84413686.489484</v>
      </c>
      <c r="U20" s="3" t="n">
        <v>8323585.83023936</v>
      </c>
      <c r="V20" s="3" t="n">
        <v>2553011.17012511</v>
      </c>
      <c r="W20" s="3" t="n">
        <v>3085727.48668454</v>
      </c>
      <c r="X20" s="3" t="n">
        <v>-17042.5867402221</v>
      </c>
      <c r="Y20" s="3" t="n">
        <v>-2256.61312096531</v>
      </c>
      <c r="Z20" s="3" t="n">
        <v>34719.170077105</v>
      </c>
      <c r="AA20" s="3"/>
      <c r="AB20" s="3"/>
      <c r="AC20" s="3" t="n">
        <v>29831.9874115</v>
      </c>
      <c r="AD20" s="3" t="n">
        <v>58813.5687252362</v>
      </c>
      <c r="AE20" s="3"/>
      <c r="AF20" s="3"/>
      <c r="AG20" s="3" t="n">
        <v>10038.6708360684</v>
      </c>
      <c r="AH20" s="3" t="n">
        <v>0</v>
      </c>
      <c r="AI20" s="3"/>
      <c r="AJ20" s="3" t="n">
        <v>2299.20297491268</v>
      </c>
      <c r="AK20" s="3"/>
      <c r="AL20" s="3" t="n">
        <v>888.884605510837</v>
      </c>
      <c r="AM20" s="3"/>
      <c r="AN20" s="3"/>
      <c r="AO20" s="3"/>
      <c r="AP20" s="3"/>
    </row>
    <row r="21">
      <c r="A21" t="str">
        <f>N21</f>
      </c>
      <c r="B21" t="str">
        <f>O21</f>
      </c>
      <c r="N21"/>
      <c r="O21"/>
      <c r="P21" s="3"/>
      <c r="Q21" s="3" t="n">
        <v>0</v>
      </c>
      <c r="R21" s="3" t="n">
        <v>0</v>
      </c>
      <c r="S21" s="3" t="n">
        <v>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 t="n">
        <v>0</v>
      </c>
      <c r="AG21" s="3"/>
      <c r="AH21" s="3"/>
      <c r="AI21" s="3"/>
      <c r="AJ21" s="3"/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-7773.53730666113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60</v>
      </c>
      <c r="O1" t="s">
        <v>61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</row>
    <row r="2">
      <c r="A2" t="str">
        <f>N2</f>
      </c>
      <c r="B2" t="str">
        <f>O2</f>
      </c>
      <c r="N2" t="s">
        <v>62</v>
      </c>
      <c r="O2" t="s">
        <v>63</v>
      </c>
      <c r="P2" s="4" t="n">
        <v>4893879577</v>
      </c>
      <c r="Q2" s="4" t="n">
        <v>5247642300</v>
      </c>
      <c r="R2" s="4" t="n">
        <v>6034529157.5</v>
      </c>
      <c r="S2" s="4" t="n">
        <v>11036590394.19</v>
      </c>
      <c r="T2" s="4" t="n">
        <v>11814229205.265</v>
      </c>
      <c r="U2" s="4" t="n">
        <v>12012830425.11</v>
      </c>
      <c r="V2" s="4" t="n">
        <v>14160856969.0703</v>
      </c>
      <c r="W2" s="4" t="n">
        <v>13522026849.1259</v>
      </c>
      <c r="X2" s="4" t="n">
        <v>13076178556.5312</v>
      </c>
      <c r="Y2" s="4" t="n">
        <v>12166737110.5226</v>
      </c>
      <c r="Z2" s="4" t="n">
        <v>12719116876.0065</v>
      </c>
      <c r="AA2" s="4" t="n">
        <v>11731028731.6661</v>
      </c>
      <c r="AB2" s="4" t="n">
        <v>12386982695.817</v>
      </c>
      <c r="AC2" s="4" t="n">
        <v>11654929430.9434</v>
      </c>
      <c r="AD2" s="4" t="n">
        <v>11609096598.1114</v>
      </c>
      <c r="AE2" s="4" t="n">
        <v>11356943354.2953</v>
      </c>
      <c r="AF2" s="4" t="n">
        <v>11552405193.8073</v>
      </c>
      <c r="AG2" s="4" t="n">
        <v>12704173142.4661</v>
      </c>
      <c r="AH2" s="4" t="n">
        <v>11438769325.7464</v>
      </c>
      <c r="AI2" s="4" t="n">
        <v>13191192427.3741</v>
      </c>
      <c r="AJ2" s="4" t="n">
        <v>9281246848.5405</v>
      </c>
      <c r="AK2" s="4" t="n">
        <v>10168413662.15</v>
      </c>
      <c r="AL2" s="4" t="n">
        <v>10609983284.8786</v>
      </c>
      <c r="AM2" s="4" t="n">
        <v>9689399758.3349</v>
      </c>
      <c r="AN2" s="4" t="n">
        <v>9830946550.71</v>
      </c>
      <c r="AO2" s="4" t="n">
        <v>4624596000.9</v>
      </c>
      <c r="AP2" s="4"/>
    </row>
    <row r="3">
      <c r="A3" t="str">
        <f>N3</f>
      </c>
      <c r="B3" t="str">
        <f>O3</f>
      </c>
      <c r="N3" t="s">
        <v>62</v>
      </c>
      <c r="O3" t="s">
        <v>64</v>
      </c>
      <c r="P3" s="4" t="n">
        <v>1388311540</v>
      </c>
      <c r="Q3" s="4" t="n">
        <v>1205653273</v>
      </c>
      <c r="R3" s="4" t="n">
        <v>1350891201.4375</v>
      </c>
      <c r="S3" s="4" t="n">
        <v>1612933493.7125</v>
      </c>
      <c r="T3" s="4" t="n">
        <v>1869714402.0256</v>
      </c>
      <c r="U3" s="4" t="n">
        <v>1586758494.9955</v>
      </c>
      <c r="V3" s="4" t="n">
        <v>2372763287.3138</v>
      </c>
      <c r="W3" s="4" t="n">
        <v>2295098778.7194</v>
      </c>
      <c r="X3" s="4" t="n">
        <v>2450489993.0999</v>
      </c>
      <c r="Y3" s="4" t="n">
        <v>2248641294.0162</v>
      </c>
      <c r="Z3" s="4" t="n">
        <v>1761819950.7535</v>
      </c>
      <c r="AA3" s="4" t="n">
        <v>1365370308.5064</v>
      </c>
      <c r="AB3" s="4" t="n">
        <v>1044249468.4721</v>
      </c>
      <c r="AC3" s="4" t="n">
        <v>394945305.2471</v>
      </c>
      <c r="AD3" s="4" t="n">
        <v>223820255.7404</v>
      </c>
      <c r="AE3" s="4" t="n">
        <v>155682635.782</v>
      </c>
      <c r="AF3" s="4" t="n">
        <v>208251535.0898</v>
      </c>
      <c r="AG3" s="4" t="n">
        <v>332243570.0744</v>
      </c>
      <c r="AH3" s="4" t="n">
        <v>302079907.6173</v>
      </c>
      <c r="AI3" s="4" t="n">
        <v>377222399.9235</v>
      </c>
      <c r="AJ3" s="4" t="n">
        <v>482118186.7506</v>
      </c>
      <c r="AK3" s="4" t="n">
        <v>410120154.3307</v>
      </c>
      <c r="AL3" s="4" t="n">
        <v>583232431.521</v>
      </c>
      <c r="AM3" s="4" t="n">
        <v>752940203.2038</v>
      </c>
      <c r="AN3" s="4" t="n">
        <v>729134236.39</v>
      </c>
      <c r="AO3" s="4" t="n">
        <v>339969970.51</v>
      </c>
      <c r="AP3" s="4"/>
    </row>
    <row r="4">
      <c r="A4" t="str">
        <f>N4</f>
      </c>
      <c r="B4" t="str">
        <f>O4</f>
      </c>
      <c r="N4" t="s">
        <v>65</v>
      </c>
      <c r="O4" t="s">
        <v>66</v>
      </c>
      <c r="P4" s="4" t="n">
        <v>0</v>
      </c>
      <c r="Q4" s="4"/>
      <c r="R4" s="4" t="n">
        <v>4989000</v>
      </c>
      <c r="S4" s="4" t="n">
        <v>649938</v>
      </c>
      <c r="T4" s="4" t="n">
        <v>155560282.3673</v>
      </c>
      <c r="U4" s="4" t="n">
        <v>66768688.5799</v>
      </c>
      <c r="V4" s="4" t="n">
        <v>100529984.7893</v>
      </c>
      <c r="W4" s="4" t="n">
        <v>950838435.3205</v>
      </c>
      <c r="X4" s="4" t="n">
        <v>1790896688.364</v>
      </c>
      <c r="Y4" s="4" t="n">
        <v>2593915809.1372</v>
      </c>
      <c r="Z4" s="4" t="n">
        <v>13629608.6499</v>
      </c>
      <c r="AA4" s="4" t="n">
        <v>3821405.853</v>
      </c>
      <c r="AB4" s="4" t="n">
        <v>-6897029.2366</v>
      </c>
      <c r="AC4" s="4" t="n">
        <v>-4840438.2398</v>
      </c>
      <c r="AD4" s="4" t="n">
        <v>-2090443.11</v>
      </c>
      <c r="AE4" s="4" t="n">
        <v>-107030.09</v>
      </c>
      <c r="AF4" s="4" t="n">
        <v>0</v>
      </c>
      <c r="AG4" s="4" t="n">
        <v>-227589.6944</v>
      </c>
      <c r="AH4" s="4" t="n">
        <v>-117075.1219</v>
      </c>
      <c r="AI4" s="4" t="n">
        <v>0</v>
      </c>
      <c r="AJ4" s="4" t="n">
        <v>0</v>
      </c>
      <c r="AK4" s="4" t="n">
        <v>0</v>
      </c>
      <c r="AL4" s="4"/>
      <c r="AM4" s="4" t="n">
        <v>-30000</v>
      </c>
      <c r="AN4" s="4" t="n">
        <v>0</v>
      </c>
      <c r="AO4" s="4" t="n">
        <v>0</v>
      </c>
      <c r="AP4" s="4"/>
    </row>
    <row r="5">
      <c r="A5" t="str">
        <f>N5</f>
      </c>
      <c r="B5" t="str">
        <f>O5</f>
      </c>
      <c r="N5" t="s">
        <v>65</v>
      </c>
      <c r="O5" t="s">
        <v>67</v>
      </c>
      <c r="P5" s="4" t="n">
        <v>7415445757</v>
      </c>
      <c r="Q5" s="4" t="n">
        <v>6360434328</v>
      </c>
      <c r="R5" s="4" t="n">
        <v>5098764976</v>
      </c>
      <c r="S5" s="4" t="n">
        <v>6062514763.81</v>
      </c>
      <c r="T5" s="4" t="n">
        <v>5127190796.77</v>
      </c>
      <c r="U5" s="4" t="n">
        <v>3875435763.34</v>
      </c>
      <c r="V5" s="4" t="n">
        <v>4544704772.0945</v>
      </c>
      <c r="W5" s="4" t="n">
        <v>7491149115.4028</v>
      </c>
      <c r="X5" s="4" t="n">
        <v>4553835487.5655</v>
      </c>
      <c r="Y5" s="4" t="n">
        <v>5902120247.4876</v>
      </c>
      <c r="Z5" s="4" t="n">
        <v>6861419393.825</v>
      </c>
      <c r="AA5" s="4" t="n">
        <v>3763626969.1864</v>
      </c>
      <c r="AB5" s="4" t="n">
        <v>11901099270.9079</v>
      </c>
      <c r="AC5" s="4" t="n">
        <v>10161871589.0597</v>
      </c>
      <c r="AD5" s="4" t="n">
        <v>3311400101.702</v>
      </c>
      <c r="AE5" s="4" t="n">
        <v>5506187410.58</v>
      </c>
      <c r="AF5" s="4" t="n">
        <v>14992948300.979</v>
      </c>
      <c r="AG5" s="4" t="n">
        <v>26690546655.8367</v>
      </c>
      <c r="AH5" s="4" t="n">
        <v>20845685290.5957</v>
      </c>
      <c r="AI5" s="4" t="n">
        <v>15286428014.6681</v>
      </c>
      <c r="AJ5" s="4" t="n">
        <v>37039127510.9809</v>
      </c>
      <c r="AK5" s="4" t="n">
        <v>11113141473.5537</v>
      </c>
      <c r="AL5" s="4" t="n">
        <v>18908765461.4543</v>
      </c>
      <c r="AM5" s="4" t="n">
        <v>15383277994.4694</v>
      </c>
      <c r="AN5" s="4" t="n">
        <v>14153231885.21</v>
      </c>
      <c r="AO5" s="4" t="n">
        <v>15090975580.94</v>
      </c>
      <c r="AP5" s="4"/>
    </row>
    <row r="6">
      <c r="A6" t="str">
        <f>N6</f>
      </c>
      <c r="B6" t="str">
        <f>O6</f>
      </c>
      <c r="N6" t="s">
        <v>65</v>
      </c>
      <c r="O6"/>
      <c r="P6" s="4" t="n">
        <v>1166850638</v>
      </c>
      <c r="Q6" s="4" t="n">
        <v>82835621</v>
      </c>
      <c r="R6" s="4" t="n">
        <v>132505141.12</v>
      </c>
      <c r="S6" s="4" t="n">
        <v>173364211.5813</v>
      </c>
      <c r="T6" s="4" t="n">
        <v>192512682.8208</v>
      </c>
      <c r="U6" s="4" t="n">
        <v>192731041.0513</v>
      </c>
      <c r="V6" s="4" t="n">
        <v>322708897.3631</v>
      </c>
      <c r="W6" s="4" t="n">
        <v>254884023.327</v>
      </c>
      <c r="X6" s="4" t="n">
        <v>1482632191.2263</v>
      </c>
      <c r="Y6" s="4" t="n">
        <v>1944978233.5977</v>
      </c>
      <c r="Z6" s="4" t="n">
        <v>1022023152.1466</v>
      </c>
      <c r="AA6" s="4" t="n">
        <v>1532275962.4939</v>
      </c>
      <c r="AB6" s="4" t="n">
        <v>3135580971.5504</v>
      </c>
      <c r="AC6" s="4" t="n">
        <v>-9424980.1096</v>
      </c>
      <c r="AD6" s="4" t="n">
        <v>24035.2091</v>
      </c>
      <c r="AE6" s="4" t="n">
        <v>61834948.1198</v>
      </c>
      <c r="AF6" s="4" t="n">
        <v>300391759.63</v>
      </c>
      <c r="AG6" s="4" t="n">
        <v>13684301.8917</v>
      </c>
      <c r="AH6" s="4" t="n">
        <v>185924.54</v>
      </c>
      <c r="AI6" s="4" t="n">
        <v>-5514.26</v>
      </c>
      <c r="AJ6" s="4" t="n">
        <v>0</v>
      </c>
      <c r="AK6" s="4" t="n">
        <v>0</v>
      </c>
      <c r="AL6" s="4" t="n">
        <v>0</v>
      </c>
      <c r="AM6" s="4" t="n">
        <v>-39324.9492</v>
      </c>
      <c r="AN6" s="4" t="n">
        <v>0</v>
      </c>
      <c r="AO6" s="4" t="n">
        <v>0</v>
      </c>
      <c r="AP6" s="4"/>
    </row>
    <row r="7">
      <c r="A7" t="str">
        <f>N7</f>
      </c>
      <c r="B7" t="str">
        <f>O7</f>
      </c>
      <c r="N7" t="s">
        <v>68</v>
      </c>
      <c r="O7" t="s">
        <v>69</v>
      </c>
      <c r="P7" s="4" t="n">
        <v>18666033632.0627</v>
      </c>
      <c r="Q7" s="4" t="n">
        <v>20482891006.7905</v>
      </c>
      <c r="R7" s="4" t="n">
        <v>23701901826.9351</v>
      </c>
      <c r="S7" s="4" t="n">
        <v>26869733763.3325</v>
      </c>
      <c r="T7" s="4" t="n">
        <v>24689684566.3315</v>
      </c>
      <c r="U7" s="4" t="n">
        <v>20358507087.5821</v>
      </c>
      <c r="V7" s="4" t="n">
        <v>27153691810.5655</v>
      </c>
      <c r="W7" s="4" t="n">
        <v>29506357559.7263</v>
      </c>
      <c r="X7" s="4" t="n">
        <v>29800810167.1054</v>
      </c>
      <c r="Y7" s="4" t="n">
        <v>31014219924.1275</v>
      </c>
      <c r="Z7" s="4" t="n">
        <v>32325515851.7221</v>
      </c>
      <c r="AA7" s="4" t="n">
        <v>35318890879.1547</v>
      </c>
      <c r="AB7" s="4" t="n">
        <v>35037696437.0789</v>
      </c>
      <c r="AC7" s="4" t="n">
        <v>33183789950.2639</v>
      </c>
      <c r="AD7" s="4" t="n">
        <v>27544697154.2406</v>
      </c>
      <c r="AE7" s="4" t="n">
        <v>27343613367.2082</v>
      </c>
      <c r="AF7" s="4" t="n">
        <v>32631054887.7718</v>
      </c>
      <c r="AG7" s="4" t="n">
        <v>33577834902.895</v>
      </c>
      <c r="AH7" s="4" t="n">
        <v>35776875600.6171</v>
      </c>
      <c r="AI7" s="4" t="n">
        <v>42895768605.1795</v>
      </c>
      <c r="AJ7" s="4" t="n">
        <v>43207276579.2153</v>
      </c>
      <c r="AK7" s="4" t="n">
        <v>34986654895.3672</v>
      </c>
      <c r="AL7" s="4" t="n">
        <v>32325606569.3088</v>
      </c>
      <c r="AM7" s="4" t="n">
        <v>39681121088.8237</v>
      </c>
      <c r="AN7" s="4" t="n">
        <v>31672719721.4</v>
      </c>
      <c r="AO7" s="4" t="n">
        <v>13693734699.4</v>
      </c>
      <c r="AP7" s="4"/>
    </row>
    <row r="8">
      <c r="A8" t="str">
        <f>N8</f>
      </c>
      <c r="B8" t="str">
        <f>O8</f>
      </c>
      <c r="N8" t="s">
        <v>68</v>
      </c>
      <c r="O8" t="s">
        <v>70</v>
      </c>
      <c r="P8" s="4" t="n">
        <v>817726948</v>
      </c>
      <c r="Q8" s="4" t="n">
        <v>1697895863</v>
      </c>
      <c r="R8" s="4" t="n">
        <v>1870002345</v>
      </c>
      <c r="S8" s="4" t="n">
        <v>1773360648.5</v>
      </c>
      <c r="T8" s="4" t="n">
        <v>2472216171.7062</v>
      </c>
      <c r="U8" s="4" t="n">
        <v>7652695830.9109</v>
      </c>
      <c r="V8" s="4" t="n">
        <v>3809886486.05</v>
      </c>
      <c r="W8" s="4" t="n">
        <v>3745671095.792</v>
      </c>
      <c r="X8" s="4" t="n">
        <v>7648648004.814</v>
      </c>
      <c r="Y8" s="4" t="n">
        <v>4045040905.5168</v>
      </c>
      <c r="Z8" s="4" t="n">
        <v>2178843488.4214</v>
      </c>
      <c r="AA8" s="4" t="n">
        <v>1218120036.4253</v>
      </c>
      <c r="AB8" s="4" t="n">
        <v>555827993.1959</v>
      </c>
      <c r="AC8" s="4" t="n">
        <v>502947661.5251</v>
      </c>
      <c r="AD8" s="4" t="n">
        <v>373379642.5277</v>
      </c>
      <c r="AE8" s="4" t="n">
        <v>178419368.6129</v>
      </c>
      <c r="AF8" s="4" t="n">
        <v>181927169.9613</v>
      </c>
      <c r="AG8" s="4" t="n">
        <v>227614171.4943</v>
      </c>
      <c r="AH8" s="4" t="n">
        <v>166826577.0677</v>
      </c>
      <c r="AI8" s="4" t="n">
        <v>231971459.5879</v>
      </c>
      <c r="AJ8" s="4" t="n">
        <v>447463677.0415</v>
      </c>
      <c r="AK8" s="4" t="n">
        <v>449760198.3042</v>
      </c>
      <c r="AL8" s="4" t="n">
        <v>346912601.361</v>
      </c>
      <c r="AM8" s="4" t="n">
        <v>445506149.2168</v>
      </c>
      <c r="AN8" s="4" t="n">
        <v>358271614.06</v>
      </c>
      <c r="AO8" s="4" t="n">
        <v>248285621.4</v>
      </c>
      <c r="AP8" s="4"/>
    </row>
    <row r="9">
      <c r="A9" t="str">
        <f>N9</f>
      </c>
      <c r="B9" t="str">
        <f>O9</f>
      </c>
      <c r="N9" t="s">
        <v>71</v>
      </c>
      <c r="O9" t="s">
        <v>71</v>
      </c>
      <c r="P9" s="4" t="n">
        <v>1465205021</v>
      </c>
      <c r="Q9" s="4" t="n">
        <v>1578710803.09</v>
      </c>
      <c r="R9" s="4" t="n">
        <v>1245185004</v>
      </c>
      <c r="S9" s="4" t="n">
        <v>2226380697.6597</v>
      </c>
      <c r="T9" s="4" t="n">
        <v>2049154549.5</v>
      </c>
      <c r="U9" s="4" t="n">
        <v>2150070726.7395</v>
      </c>
      <c r="V9" s="4" t="n">
        <v>2471459928.0133</v>
      </c>
      <c r="W9" s="4" t="n">
        <v>3720059827.3514</v>
      </c>
      <c r="X9" s="4" t="n">
        <v>7273887256.039</v>
      </c>
      <c r="Y9" s="4" t="n">
        <v>7356088940.6222</v>
      </c>
      <c r="Z9" s="4" t="n">
        <v>8764584629.1417</v>
      </c>
      <c r="AA9" s="4" t="n">
        <v>17326800249.4023</v>
      </c>
      <c r="AB9" s="4" t="n">
        <v>15730751950.6277</v>
      </c>
      <c r="AC9" s="4" t="n">
        <v>18999106997.0411</v>
      </c>
      <c r="AD9" s="4" t="n">
        <v>16071516995.0607</v>
      </c>
      <c r="AE9" s="4" t="n">
        <v>18394035596.2425</v>
      </c>
      <c r="AF9" s="4" t="n">
        <v>16754567266.2306</v>
      </c>
      <c r="AG9" s="4" t="n">
        <v>14067132547.5604</v>
      </c>
      <c r="AH9" s="4" t="n">
        <v>17120267809.2222</v>
      </c>
      <c r="AI9" s="4" t="n">
        <v>19649260163.7457</v>
      </c>
      <c r="AJ9" s="4" t="n">
        <v>16668629395.2236</v>
      </c>
      <c r="AK9" s="4" t="n">
        <v>17625734082.9266</v>
      </c>
      <c r="AL9" s="4" t="n">
        <v>14567731883.586</v>
      </c>
      <c r="AM9" s="4" t="n">
        <v>33360045896.3436</v>
      </c>
      <c r="AN9" s="4" t="n">
        <v>17112981726.56</v>
      </c>
      <c r="AO9" s="4" t="n">
        <v>8297357459.94</v>
      </c>
      <c r="AP9" s="4"/>
    </row>
    <row r="10">
      <c r="A10" t="str">
        <f>N10</f>
      </c>
      <c r="B10" t="str">
        <f>O10</f>
      </c>
      <c r="N10" t="s">
        <v>58</v>
      </c>
      <c r="O10" t="s">
        <v>59</v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/>
    </row>
    <row r="13">
      <c r="A13" t="str">
        <f>N13</f>
      </c>
      <c r="B13" t="str">
        <f>O13</f>
      </c>
      <c r="N13" t="s">
        <v>60</v>
      </c>
      <c r="O13" t="s">
        <v>61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48</v>
      </c>
    </row>
    <row r="14">
      <c r="A14" t="str">
        <f>N14</f>
      </c>
      <c r="B14" t="str">
        <f>O14</f>
      </c>
      <c r="N14" t="s">
        <v>62</v>
      </c>
      <c r="O14" t="s">
        <v>63</v>
      </c>
      <c r="P14" s="4" t="n">
        <v>8227460125.45457</v>
      </c>
      <c r="Q14" s="4" t="n">
        <v>8613415291.10174</v>
      </c>
      <c r="R14" s="4" t="n">
        <v>9751588224.58806</v>
      </c>
      <c r="S14" s="4" t="n">
        <v>17498851650.441</v>
      </c>
      <c r="T14" s="4" t="n">
        <v>18285317093.3084</v>
      </c>
      <c r="U14" s="4" t="n">
        <v>18043634930.3021</v>
      </c>
      <c r="V14" s="4" t="n">
        <v>20600831957.1234</v>
      </c>
      <c r="W14" s="4" t="n">
        <v>19144442332.0336</v>
      </c>
      <c r="X14" s="4" t="n">
        <v>18136678965.4555</v>
      </c>
      <c r="Y14" s="4" t="n">
        <v>16704460670.6827</v>
      </c>
      <c r="Z14" s="4" t="n">
        <v>17312919229.3158</v>
      </c>
      <c r="AA14" s="4" t="n">
        <v>15653767798.3259</v>
      </c>
      <c r="AB14" s="4" t="n">
        <v>16234474750.4594</v>
      </c>
      <c r="AC14" s="4" t="n">
        <v>15002818044.3817</v>
      </c>
      <c r="AD14" s="4" t="n">
        <v>14676081418.3783</v>
      </c>
      <c r="AE14" s="4" t="n">
        <v>14210148372.6507</v>
      </c>
      <c r="AF14" s="4" t="n">
        <v>14340066123.7665</v>
      </c>
      <c r="AG14" s="4" t="n">
        <v>15507984157.9875</v>
      </c>
      <c r="AH14" s="4" t="n">
        <v>13660052544.6821</v>
      </c>
      <c r="AI14" s="4" t="n">
        <v>15466802999.4369</v>
      </c>
      <c r="AJ14" s="4" t="n">
        <v>10742029037.9571</v>
      </c>
      <c r="AK14" s="4" t="n">
        <v>11377252573.2065</v>
      </c>
      <c r="AL14" s="4" t="n">
        <v>11095353890.1834</v>
      </c>
      <c r="AM14" s="4" t="n">
        <v>9689399758.3349</v>
      </c>
      <c r="AN14" s="4" t="n">
        <v>9575230558.32221</v>
      </c>
      <c r="AO14" s="4" t="n">
        <v>4407592394.21402</v>
      </c>
      <c r="AP14" s="4"/>
    </row>
    <row r="15">
      <c r="A15" t="str">
        <f>N15</f>
      </c>
      <c r="B15" t="str">
        <f>O15</f>
      </c>
      <c r="N15" t="s">
        <v>62</v>
      </c>
      <c r="O15" t="s">
        <v>64</v>
      </c>
      <c r="P15" s="4" t="n">
        <v>2333992419.9893</v>
      </c>
      <c r="Q15" s="4" t="n">
        <v>1978944398.97801</v>
      </c>
      <c r="R15" s="4" t="n">
        <v>2182992970.75483</v>
      </c>
      <c r="S15" s="4" t="n">
        <v>2557355389.70086</v>
      </c>
      <c r="T15" s="4" t="n">
        <v>2893825752.0624</v>
      </c>
      <c r="U15" s="4" t="n">
        <v>2383359291.1133</v>
      </c>
      <c r="V15" s="4" t="n">
        <v>3451831895.67887</v>
      </c>
      <c r="W15" s="4" t="n">
        <v>3249393504.81727</v>
      </c>
      <c r="X15" s="4" t="n">
        <v>3398833238.68468</v>
      </c>
      <c r="Y15" s="4" t="n">
        <v>3087297746.07198</v>
      </c>
      <c r="Z15" s="4" t="n">
        <v>2398141852.24858</v>
      </c>
      <c r="AA15" s="4" t="n">
        <v>1821936528.92471</v>
      </c>
      <c r="AB15" s="4" t="n">
        <v>1368601381.41759</v>
      </c>
      <c r="AC15" s="4" t="n">
        <v>508393687.599138</v>
      </c>
      <c r="AD15" s="4" t="n">
        <v>282950897.045921</v>
      </c>
      <c r="AE15" s="4" t="n">
        <v>194794786.281193</v>
      </c>
      <c r="AF15" s="4" t="n">
        <v>258503812.276638</v>
      </c>
      <c r="AG15" s="4" t="n">
        <v>405569726.06773</v>
      </c>
      <c r="AH15" s="4" t="n">
        <v>360740503.915684</v>
      </c>
      <c r="AI15" s="4" t="n">
        <v>442296977.980862</v>
      </c>
      <c r="AJ15" s="4" t="n">
        <v>557999118.687007</v>
      </c>
      <c r="AK15" s="4" t="n">
        <v>458875960.028186</v>
      </c>
      <c r="AL15" s="4" t="n">
        <v>609913329.192553</v>
      </c>
      <c r="AM15" s="4" t="n">
        <v>752940203.2038</v>
      </c>
      <c r="AN15" s="4" t="n">
        <v>710168485.342466</v>
      </c>
      <c r="AO15" s="4" t="n">
        <v>324017288.4268</v>
      </c>
      <c r="AP15" s="4"/>
    </row>
    <row r="16">
      <c r="A16" t="str">
        <f>N16</f>
      </c>
      <c r="B16" t="str">
        <f>O16</f>
      </c>
      <c r="N16" t="s">
        <v>65</v>
      </c>
      <c r="O16" t="s">
        <v>66</v>
      </c>
      <c r="P16" s="4" t="n">
        <v>0</v>
      </c>
      <c r="Q16" s="4"/>
      <c r="R16" s="4" t="n">
        <v>8062049.64508366</v>
      </c>
      <c r="S16" s="4" t="n">
        <v>1030496.57890462</v>
      </c>
      <c r="T16" s="4" t="n">
        <v>240766370.855835</v>
      </c>
      <c r="U16" s="4" t="n">
        <v>100288591.354166</v>
      </c>
      <c r="V16" s="4" t="n">
        <v>146248304.592014</v>
      </c>
      <c r="W16" s="4" t="n">
        <v>1346194013.30734</v>
      </c>
      <c r="X16" s="4" t="n">
        <v>2483976351.09776</v>
      </c>
      <c r="Y16" s="4" t="n">
        <v>3561346334.94463</v>
      </c>
      <c r="Z16" s="4" t="n">
        <v>18552256.1026258</v>
      </c>
      <c r="AA16" s="4" t="n">
        <v>5099245.87641255</v>
      </c>
      <c r="AB16" s="4" t="n">
        <v>-9039299.54084576</v>
      </c>
      <c r="AC16" s="4" t="n">
        <v>-6230858.3331258</v>
      </c>
      <c r="AD16" s="4" t="n">
        <v>-2642713.23987768</v>
      </c>
      <c r="AE16" s="4" t="n">
        <v>-133919.260824959</v>
      </c>
      <c r="AF16" s="4" t="n">
        <v>0</v>
      </c>
      <c r="AG16" s="4" t="n">
        <v>-277818.740007449</v>
      </c>
      <c r="AH16" s="4" t="n">
        <v>-139809.823179969</v>
      </c>
      <c r="AI16" s="4" t="n">
        <v>0</v>
      </c>
      <c r="AJ16" s="4" t="n">
        <v>0</v>
      </c>
      <c r="AK16" s="4" t="n">
        <v>0</v>
      </c>
      <c r="AL16" s="4"/>
      <c r="AM16" s="4" t="n">
        <v>-30000</v>
      </c>
      <c r="AN16" s="4" t="n">
        <v>0</v>
      </c>
      <c r="AO16" s="4" t="n">
        <v>0</v>
      </c>
      <c r="AP16" s="4"/>
    </row>
    <row r="17">
      <c r="A17" t="str">
        <f>N17</f>
      </c>
      <c r="B17" t="str">
        <f>O17</f>
      </c>
      <c r="N17" t="s">
        <v>65</v>
      </c>
      <c r="O17" t="s">
        <v>67</v>
      </c>
      <c r="P17" s="4" t="n">
        <v>12466650091.8661</v>
      </c>
      <c r="Q17" s="4" t="n">
        <v>10439938388.873</v>
      </c>
      <c r="R17" s="4" t="n">
        <v>8239426010.2477</v>
      </c>
      <c r="S17" s="4" t="n">
        <v>9612302594.50121</v>
      </c>
      <c r="T17" s="4" t="n">
        <v>7935541785.07485</v>
      </c>
      <c r="U17" s="4" t="n">
        <v>5821021827.07731</v>
      </c>
      <c r="V17" s="4" t="n">
        <v>6611513661.15396</v>
      </c>
      <c r="W17" s="4" t="n">
        <v>10605944940.1082</v>
      </c>
      <c r="X17" s="4" t="n">
        <v>6316176545.18962</v>
      </c>
      <c r="Y17" s="4" t="n">
        <v>8103383401.16909</v>
      </c>
      <c r="Z17" s="4" t="n">
        <v>9339579227.22152</v>
      </c>
      <c r="AA17" s="4" t="n">
        <v>5022146309.8227</v>
      </c>
      <c r="AB17" s="4" t="n">
        <v>15597672198.3724</v>
      </c>
      <c r="AC17" s="4" t="n">
        <v>13080878039.1469</v>
      </c>
      <c r="AD17" s="4" t="n">
        <v>4186232502.30435</v>
      </c>
      <c r="AE17" s="4" t="n">
        <v>6889506941.35239</v>
      </c>
      <c r="AF17" s="4" t="n">
        <v>18610831806.8261</v>
      </c>
      <c r="AG17" s="4" t="n">
        <v>32581150309.0387</v>
      </c>
      <c r="AH17" s="4" t="n">
        <v>24893688148.6473</v>
      </c>
      <c r="AI17" s="4" t="n">
        <v>17923487354.8889</v>
      </c>
      <c r="AJ17" s="4" t="n">
        <v>42868742719.209</v>
      </c>
      <c r="AK17" s="4" t="n">
        <v>12434291289.4107</v>
      </c>
      <c r="AL17" s="4" t="n">
        <v>19773777091.6491</v>
      </c>
      <c r="AM17" s="4" t="n">
        <v>15383277994.4694</v>
      </c>
      <c r="AN17" s="4" t="n">
        <v>13785087503.7557</v>
      </c>
      <c r="AO17" s="4" t="n">
        <v>14382849697.3305</v>
      </c>
      <c r="AP17" s="4"/>
    </row>
    <row r="18">
      <c r="A18" t="str">
        <f>N18</f>
      </c>
      <c r="B18" t="str">
        <f>O18</f>
      </c>
      <c r="N18" t="s">
        <v>65</v>
      </c>
      <c r="O18"/>
      <c r="P18" s="4" t="n">
        <v>1961678244.3166</v>
      </c>
      <c r="Q18" s="4" t="n">
        <v>135965365.735639</v>
      </c>
      <c r="R18" s="4" t="n">
        <v>214123677.277662</v>
      </c>
      <c r="S18" s="4" t="n">
        <v>274874260.220245</v>
      </c>
      <c r="T18" s="4" t="n">
        <v>297958960.225106</v>
      </c>
      <c r="U18" s="4" t="n">
        <v>289487857.682374</v>
      </c>
      <c r="V18" s="4" t="n">
        <v>469468181.2101</v>
      </c>
      <c r="W18" s="4" t="n">
        <v>360863984.400083</v>
      </c>
      <c r="X18" s="4" t="n">
        <v>2056413038.40183</v>
      </c>
      <c r="Y18" s="4" t="n">
        <v>2670380079.17237</v>
      </c>
      <c r="Z18" s="4" t="n">
        <v>1391150380.6513</v>
      </c>
      <c r="AA18" s="4" t="n">
        <v>2044653769.80022</v>
      </c>
      <c r="AB18" s="4" t="n">
        <v>4109516527.20449</v>
      </c>
      <c r="AC18" s="4" t="n">
        <v>-12132313.8414576</v>
      </c>
      <c r="AD18" s="4" t="n">
        <v>30385.0245950002</v>
      </c>
      <c r="AE18" s="4" t="n">
        <v>77369742.8952301</v>
      </c>
      <c r="AF18" s="4" t="n">
        <v>372877995.868592</v>
      </c>
      <c r="AG18" s="4" t="n">
        <v>16704427.3224071</v>
      </c>
      <c r="AH18" s="4" t="n">
        <v>222029.041186222</v>
      </c>
      <c r="AI18" s="4" t="n">
        <v>-6465.52414250946</v>
      </c>
      <c r="AJ18" s="4" t="n">
        <v>0</v>
      </c>
      <c r="AK18" s="4" t="n">
        <v>0</v>
      </c>
      <c r="AL18" s="4" t="n">
        <v>0</v>
      </c>
      <c r="AM18" s="4" t="n">
        <v>-39324.9492</v>
      </c>
      <c r="AN18" s="4" t="n">
        <v>0</v>
      </c>
      <c r="AO18" s="4" t="n">
        <v>0</v>
      </c>
      <c r="AP18" s="4"/>
    </row>
    <row r="19">
      <c r="A19" t="str">
        <f>N19</f>
      </c>
      <c r="B19" t="str">
        <f>O19</f>
      </c>
      <c r="N19" t="s">
        <v>68</v>
      </c>
      <c r="O19" t="s">
        <v>69</v>
      </c>
      <c r="P19" s="4" t="n">
        <v>31380839064.7676</v>
      </c>
      <c r="Q19" s="4" t="n">
        <v>33620364445.1642</v>
      </c>
      <c r="R19" s="4" t="n">
        <v>38301445021.377</v>
      </c>
      <c r="S19" s="4" t="n">
        <v>42602784756.6875</v>
      </c>
      <c r="T19" s="4" t="n">
        <v>38213132942.0917</v>
      </c>
      <c r="U19" s="4" t="n">
        <v>30579093903.3368</v>
      </c>
      <c r="V19" s="4" t="n">
        <v>39502456894.1538</v>
      </c>
      <c r="W19" s="4" t="n">
        <v>41775006589.8634</v>
      </c>
      <c r="X19" s="4" t="n">
        <v>41333767703.9683</v>
      </c>
      <c r="Y19" s="4" t="n">
        <v>42581327454.3777</v>
      </c>
      <c r="Z19" s="4" t="n">
        <v>44000621304.3423</v>
      </c>
      <c r="AA19" s="4" t="n">
        <v>47129175911.4272</v>
      </c>
      <c r="AB19" s="4" t="n">
        <v>45920674315.1506</v>
      </c>
      <c r="AC19" s="4" t="n">
        <v>42715862468.0316</v>
      </c>
      <c r="AD19" s="4" t="n">
        <v>34821677523.6389</v>
      </c>
      <c r="AE19" s="4" t="n">
        <v>34213149689.2136</v>
      </c>
      <c r="AF19" s="4" t="n">
        <v>40505113604.3721</v>
      </c>
      <c r="AG19" s="4" t="n">
        <v>40988463073.8378</v>
      </c>
      <c r="AH19" s="4" t="n">
        <v>42724351429.0462</v>
      </c>
      <c r="AI19" s="4" t="n">
        <v>50295711034.3523</v>
      </c>
      <c r="AJ19" s="4" t="n">
        <v>50007701253.8418</v>
      </c>
      <c r="AK19" s="4" t="n">
        <v>39145930000.6527</v>
      </c>
      <c r="AL19" s="4" t="n">
        <v>33804392992.0689</v>
      </c>
      <c r="AM19" s="4" t="n">
        <v>39681121088.8237</v>
      </c>
      <c r="AN19" s="4" t="n">
        <v>30848870164.961</v>
      </c>
      <c r="AO19" s="4" t="n">
        <v>13051172664.1017</v>
      </c>
      <c r="AP19" s="4"/>
    </row>
    <row r="20">
      <c r="A20" t="str">
        <f>N20</f>
      </c>
      <c r="B20" t="str">
        <f>O20</f>
      </c>
      <c r="N20" t="s">
        <v>68</v>
      </c>
      <c r="O20" t="s">
        <v>70</v>
      </c>
      <c r="P20" s="4" t="n">
        <v>1374740786.38933</v>
      </c>
      <c r="Q20" s="4" t="n">
        <v>2786905309.65927</v>
      </c>
      <c r="R20" s="4" t="n">
        <v>3021858436.9238</v>
      </c>
      <c r="S20" s="4" t="n">
        <v>2811717550.66379</v>
      </c>
      <c r="T20" s="4" t="n">
        <v>3826339902.28556</v>
      </c>
      <c r="U20" s="4" t="n">
        <v>11494580787.3033</v>
      </c>
      <c r="V20" s="4" t="n">
        <v>5542519880.41824</v>
      </c>
      <c r="W20" s="4" t="n">
        <v>5303109148.37376</v>
      </c>
      <c r="X20" s="4" t="n">
        <v>10608686076.2386</v>
      </c>
      <c r="Y20" s="4" t="n">
        <v>5553685109.13818</v>
      </c>
      <c r="Z20" s="4" t="n">
        <v>2965783056.80324</v>
      </c>
      <c r="AA20" s="4" t="n">
        <v>1625447233.72967</v>
      </c>
      <c r="AB20" s="4" t="n">
        <v>728472441.00733</v>
      </c>
      <c r="AC20" s="4" t="n">
        <v>647419814.630108</v>
      </c>
      <c r="AD20" s="4" t="n">
        <v>472022089.521847</v>
      </c>
      <c r="AE20" s="4" t="n">
        <v>223243668.780392</v>
      </c>
      <c r="AF20" s="4" t="n">
        <v>225827228.459164</v>
      </c>
      <c r="AG20" s="4" t="n">
        <v>277848619.196467</v>
      </c>
      <c r="AH20" s="4" t="n">
        <v>199222463.859374</v>
      </c>
      <c r="AI20" s="4" t="n">
        <v>271988820.320174</v>
      </c>
      <c r="AJ20" s="4" t="n">
        <v>517890310.499252</v>
      </c>
      <c r="AK20" s="4" t="n">
        <v>503228482.189855</v>
      </c>
      <c r="AL20" s="4" t="n">
        <v>362782671.538248</v>
      </c>
      <c r="AM20" s="4" t="n">
        <v>445506149.2168</v>
      </c>
      <c r="AN20" s="4" t="n">
        <v>348952492.970169</v>
      </c>
      <c r="AO20" s="4" t="n">
        <v>236635117.156692</v>
      </c>
      <c r="AP20" s="4"/>
    </row>
    <row r="21">
      <c r="A21" t="str">
        <f>N21</f>
      </c>
      <c r="B21" t="str">
        <f>O21</f>
      </c>
      <c r="N21" t="s">
        <v>71</v>
      </c>
      <c r="O21" t="s">
        <v>71</v>
      </c>
      <c r="P21" s="4" t="n">
        <v>2463263694.21683</v>
      </c>
      <c r="Q21" s="4" t="n">
        <v>2591276423.61655</v>
      </c>
      <c r="R21" s="4" t="n">
        <v>2012175449.90212</v>
      </c>
      <c r="S21" s="4" t="n">
        <v>3529994695.30569</v>
      </c>
      <c r="T21" s="4" t="n">
        <v>3171551868.49641</v>
      </c>
      <c r="U21" s="4" t="n">
        <v>3229471314.81394</v>
      </c>
      <c r="V21" s="4" t="n">
        <v>3595413100.84349</v>
      </c>
      <c r="W21" s="4" t="n">
        <v>5266848796.49145</v>
      </c>
      <c r="X21" s="4" t="n">
        <v>10088892364.3372</v>
      </c>
      <c r="Y21" s="4" t="n">
        <v>10099626324.0038</v>
      </c>
      <c r="Z21" s="4" t="n">
        <v>11930116472.8723</v>
      </c>
      <c r="AA21" s="4" t="n">
        <v>23120709529.9303</v>
      </c>
      <c r="AB21" s="4" t="n">
        <v>20616844442.2261</v>
      </c>
      <c r="AC21" s="4" t="n">
        <v>24456617002.3798</v>
      </c>
      <c r="AD21" s="4" t="n">
        <v>20317420045.8228</v>
      </c>
      <c r="AE21" s="4" t="n">
        <v>23015169384.9532</v>
      </c>
      <c r="AF21" s="4" t="n">
        <v>20797539425.0917</v>
      </c>
      <c r="AG21" s="4" t="n">
        <v>17171748704.1057</v>
      </c>
      <c r="AH21" s="4" t="n">
        <v>20444835558.1945</v>
      </c>
      <c r="AI21" s="4" t="n">
        <v>23038951005.42</v>
      </c>
      <c r="AJ21" s="4" t="n">
        <v>19292117094.6546</v>
      </c>
      <c r="AK21" s="4" t="n">
        <v>19721112369.3831</v>
      </c>
      <c r="AL21" s="4" t="n">
        <v>15234156010.0341</v>
      </c>
      <c r="AM21" s="4" t="n">
        <v>33360045896.3436</v>
      </c>
      <c r="AN21" s="4" t="n">
        <v>16667850316.0342</v>
      </c>
      <c r="AO21" s="4" t="n">
        <v>7908013937.95031</v>
      </c>
      <c r="AP21" s="4"/>
    </row>
    <row r="22">
      <c r="A22" t="str">
        <f>N22</f>
      </c>
      <c r="B22" t="str">
        <f>O22</f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M1</f>
      </c>
      <c r="M1" t="s">
        <v>72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</row>
    <row r="2">
      <c r="A2" t="str">
        <f>M2</f>
      </c>
      <c r="M2" t="s">
        <v>73</v>
      </c>
      <c r="N2" s="5" t="n">
        <v>26269738253.9141</v>
      </c>
      <c r="O2" s="5" t="n">
        <v>27402512070.5877</v>
      </c>
      <c r="P2" s="5" t="n">
        <v>28465084332.5</v>
      </c>
      <c r="Q2" s="5" t="n">
        <v>33417000338.223</v>
      </c>
      <c r="R2" s="5" t="n">
        <v>33013087242.078</v>
      </c>
      <c r="S2" s="5" t="n">
        <v>31666541505.7127</v>
      </c>
      <c r="T2" s="5" t="n">
        <v>36405009977.4251</v>
      </c>
      <c r="U2" s="5" t="n">
        <v>42140803437.352</v>
      </c>
      <c r="V2" s="5" t="n">
        <v>47477014347.6124</v>
      </c>
      <c r="W2" s="5" t="n">
        <v>45170806060.2098</v>
      </c>
      <c r="X2" s="5" t="n">
        <v>44140395976.4189</v>
      </c>
      <c r="Y2" s="5" t="n">
        <v>51325134471.5834</v>
      </c>
      <c r="Z2" s="5" t="n">
        <v>56280406365.9665</v>
      </c>
      <c r="AA2" s="5" t="n">
        <v>55261432598.7871</v>
      </c>
      <c r="AB2" s="5" t="n">
        <v>41172839212.3735</v>
      </c>
      <c r="AC2" s="5" t="n">
        <v>44356897586.2231</v>
      </c>
      <c r="AD2" s="5" t="n">
        <v>57349351521.4415</v>
      </c>
      <c r="AE2" s="5" t="n">
        <v>66383177980.2887</v>
      </c>
      <c r="AF2" s="5" t="n">
        <v>66145123111.0381</v>
      </c>
      <c r="AG2" s="5" t="n">
        <v>70004648651.7854</v>
      </c>
      <c r="AH2" s="5" t="n">
        <v>84539626916.5969</v>
      </c>
      <c r="AI2" s="5" t="n">
        <v>53245222489.6788</v>
      </c>
      <c r="AJ2" s="5" t="n">
        <v>55400754783.5541</v>
      </c>
      <c r="AK2" s="5" t="n">
        <v>77710527619.9733</v>
      </c>
      <c r="AL2" s="5" t="n">
        <v>54728429449.43</v>
      </c>
      <c r="AM2" s="5" t="n">
        <v>33266993861.6</v>
      </c>
      <c r="AN2" s="5"/>
      <c r="AO2" s="5"/>
    </row>
    <row r="3">
      <c r="A3" t="str">
        <f>M3</f>
      </c>
      <c r="M3" t="s">
        <v>74</v>
      </c>
      <c r="N3" s="5" t="n">
        <v>3957545494.9786</v>
      </c>
      <c r="O3" s="5" t="n">
        <v>4098732038.0937</v>
      </c>
      <c r="P3" s="5" t="n">
        <v>5586956527.47</v>
      </c>
      <c r="Q3" s="5" t="n">
        <v>8337866003.25</v>
      </c>
      <c r="R3" s="5" t="n">
        <v>8953119109.8294</v>
      </c>
      <c r="S3" s="5" t="n">
        <v>9347924288.35</v>
      </c>
      <c r="T3" s="5" t="n">
        <v>9898784067.5338</v>
      </c>
      <c r="U3" s="5" t="n">
        <v>9640680938.7039</v>
      </c>
      <c r="V3" s="5" t="n">
        <v>8778529970.7126</v>
      </c>
      <c r="W3" s="5" t="n">
        <v>9039273626.3181</v>
      </c>
      <c r="X3" s="5" t="n">
        <v>8644663478.7857</v>
      </c>
      <c r="Y3" s="5" t="n">
        <v>7327443051.1357</v>
      </c>
      <c r="Z3" s="5" t="n">
        <v>6531938560.4489</v>
      </c>
      <c r="AA3" s="5" t="n">
        <v>5699021247.0394</v>
      </c>
      <c r="AB3" s="5" t="n">
        <v>3596392184.0802</v>
      </c>
      <c r="AC3" s="5" t="n">
        <v>3988063219.5232</v>
      </c>
      <c r="AD3" s="5" t="n">
        <v>4051684775.2015</v>
      </c>
      <c r="AE3" s="5" t="n">
        <v>4133457181.4572</v>
      </c>
      <c r="AF3" s="5" t="n">
        <v>3219094640.3845</v>
      </c>
      <c r="AG3" s="5" t="n">
        <v>4462032553.6038</v>
      </c>
      <c r="AH3" s="5" t="n">
        <v>4551162663.9099</v>
      </c>
      <c r="AI3" s="5" t="n">
        <v>3824027399.8036</v>
      </c>
      <c r="AJ3" s="5" t="n">
        <v>3685780372.7377</v>
      </c>
      <c r="AK3" s="5" t="n">
        <v>4757967940.3977</v>
      </c>
      <c r="AL3" s="5" t="n">
        <v>4035963931.83</v>
      </c>
      <c r="AM3" s="5" t="n">
        <v>1162384612.62</v>
      </c>
      <c r="AN3" s="5"/>
      <c r="AO3" s="5"/>
    </row>
    <row r="4">
      <c r="A4" t="str">
        <f>M4</f>
      </c>
      <c r="M4" t="s">
        <v>75</v>
      </c>
      <c r="N4" s="5" t="n">
        <v>5586165557.64</v>
      </c>
      <c r="O4" s="5" t="n">
        <v>5154819086.1991</v>
      </c>
      <c r="P4" s="5" t="n">
        <v>5386718280.9026</v>
      </c>
      <c r="Q4" s="5" t="n">
        <v>8000661569.313</v>
      </c>
      <c r="R4" s="5" t="n">
        <v>6404056304.879</v>
      </c>
      <c r="S4" s="5" t="n">
        <v>6881332264.2465</v>
      </c>
      <c r="T4" s="5" t="n">
        <v>8632808090.3009</v>
      </c>
      <c r="U4" s="5" t="n">
        <v>9704601308.7094</v>
      </c>
      <c r="V4" s="5" t="n">
        <v>11821834026.4203</v>
      </c>
      <c r="W4" s="5" t="n">
        <v>13061662778.4999</v>
      </c>
      <c r="X4" s="5" t="n">
        <v>12861893495.4621</v>
      </c>
      <c r="Y4" s="5" t="n">
        <v>13607357019.969</v>
      </c>
      <c r="Z4" s="5" t="n">
        <v>16972946831.9979</v>
      </c>
      <c r="AA4" s="5" t="n">
        <v>13922871669.9044</v>
      </c>
      <c r="AB4" s="5" t="n">
        <v>14362612943.0282</v>
      </c>
      <c r="AC4" s="5" t="n">
        <v>14651648845.0044</v>
      </c>
      <c r="AD4" s="5" t="n">
        <v>15220509816.8268</v>
      </c>
      <c r="AE4" s="5" t="n">
        <v>17096366540.7783</v>
      </c>
      <c r="AF4" s="5" t="n">
        <v>16286355608.8619</v>
      </c>
      <c r="AG4" s="5" t="n">
        <v>17165156350.8296</v>
      </c>
      <c r="AH4" s="5" t="n">
        <v>18035072617.2456</v>
      </c>
      <c r="AI4" s="5" t="n">
        <v>17684574577.15</v>
      </c>
      <c r="AJ4" s="5" t="n">
        <v>18255697075.8179</v>
      </c>
      <c r="AK4" s="5" t="n">
        <v>16843726205.072</v>
      </c>
      <c r="AL4" s="5" t="n">
        <v>15092892353.07</v>
      </c>
      <c r="AM4" s="5" t="n">
        <v>7865540858.87</v>
      </c>
      <c r="AN4" s="5"/>
      <c r="AO4" s="5"/>
    </row>
    <row r="5">
      <c r="A5" t="str">
        <f>M5</f>
      </c>
      <c r="M5" t="s">
        <v>76</v>
      </c>
      <c r="N5" s="5" t="n">
        <v>3806.53</v>
      </c>
      <c r="O5" s="5" t="n">
        <v>0</v>
      </c>
      <c r="P5" s="5" t="n">
        <v>9511.12</v>
      </c>
      <c r="Q5" s="5" t="n">
        <v>0</v>
      </c>
      <c r="R5" s="5"/>
      <c r="S5" s="5"/>
      <c r="T5" s="5"/>
      <c r="U5" s="5" t="n">
        <v>0</v>
      </c>
      <c r="V5" s="5" t="n">
        <v>0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>
      <c r="A6" t="str">
        <f>M6</f>
      </c>
      <c r="M6" t="s">
        <v>58</v>
      </c>
      <c r="N6" s="5" t="str">
        <f>Sum(N2:N5)</f>
      </c>
      <c r="O6" s="5" t="str">
        <f>Sum(O2:O5)</f>
      </c>
      <c r="P6" s="5" t="str">
        <f>Sum(P2:P5)</f>
      </c>
      <c r="Q6" s="5" t="str">
        <f>Sum(Q2:Q5)</f>
      </c>
      <c r="R6" s="5" t="str">
        <f>Sum(R2:R5)</f>
      </c>
      <c r="S6" s="5" t="str">
        <f>Sum(S2:S5)</f>
      </c>
      <c r="T6" s="5" t="str">
        <f>Sum(T2:T5)</f>
      </c>
      <c r="U6" s="5" t="str">
        <f>Sum(U2:U5)</f>
      </c>
      <c r="V6" s="5" t="str">
        <f>Sum(V2:V5)</f>
      </c>
      <c r="W6" s="5" t="str">
        <f>Sum(W2:W5)</f>
      </c>
      <c r="X6" s="5" t="str">
        <f>Sum(X2:X5)</f>
      </c>
      <c r="Y6" s="5" t="str">
        <f>Sum(Y2:Y5)</f>
      </c>
      <c r="Z6" s="5" t="str">
        <f>Sum(Z2:Z5)</f>
      </c>
      <c r="AA6" s="5" t="str">
        <f>Sum(AA2:AA5)</f>
      </c>
      <c r="AB6" s="5" t="str">
        <f>Sum(AB2:AB5)</f>
      </c>
      <c r="AC6" s="5" t="str">
        <f>Sum(AC2:AC5)</f>
      </c>
      <c r="AD6" s="5" t="str">
        <f>Sum(AD2:AD5)</f>
      </c>
      <c r="AE6" s="5" t="str">
        <f>Sum(AE2:AE5)</f>
      </c>
      <c r="AF6" s="5" t="str">
        <f>Sum(AF2:AF5)</f>
      </c>
      <c r="AG6" s="5" t="str">
        <f>Sum(AG2:AG5)</f>
      </c>
      <c r="AH6" s="5" t="str">
        <f>Sum(AH2:AH5)</f>
      </c>
      <c r="AI6" s="5" t="str">
        <f>Sum(AI2:AI5)</f>
      </c>
      <c r="AJ6" s="5" t="str">
        <f>Sum(AJ2:AJ5)</f>
      </c>
      <c r="AK6" s="5" t="str">
        <f>Sum(AK2:AK5)</f>
      </c>
      <c r="AL6" s="5" t="str">
        <f>Sum(AL2:AL5)</f>
      </c>
      <c r="AM6" s="5" t="str">
        <f>Sum(AM2:AM5)</f>
      </c>
      <c r="AN6" s="5" t="str">
        <f>Sum(AN2:AN5)</f>
      </c>
      <c r="AO6" s="5"/>
    </row>
    <row r="9">
      <c r="A9" t="str">
        <f>M9</f>
      </c>
      <c r="M9" t="s">
        <v>72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</row>
    <row r="10">
      <c r="A10" t="str">
        <f>M10</f>
      </c>
      <c r="M10" t="s">
        <v>73</v>
      </c>
      <c r="N10" s="5" t="n">
        <v>44163984950.9127</v>
      </c>
      <c r="O10" s="5" t="n">
        <v>44978145039.2303</v>
      </c>
      <c r="P10" s="5" t="n">
        <v>45998581487.2936</v>
      </c>
      <c r="Q10" s="5" t="n">
        <v>52983676174.9477</v>
      </c>
      <c r="R10" s="5" t="n">
        <v>51095569415.6867</v>
      </c>
      <c r="S10" s="5" t="n">
        <v>47564103896.7807</v>
      </c>
      <c r="T10" s="5" t="n">
        <v>52961024504.407</v>
      </c>
      <c r="U10" s="5" t="n">
        <v>59662814623.3936</v>
      </c>
      <c r="V10" s="5" t="n">
        <v>65850689002.0162</v>
      </c>
      <c r="W10" s="5" t="n">
        <v>62017774070.5208</v>
      </c>
      <c r="X10" s="5" t="n">
        <v>60082717828.5742</v>
      </c>
      <c r="Y10" s="5" t="n">
        <v>68487747802.3115</v>
      </c>
      <c r="Z10" s="5" t="n">
        <v>73761533258.8156</v>
      </c>
      <c r="AA10" s="5" t="n">
        <v>71135327164.6844</v>
      </c>
      <c r="AB10" s="5" t="n">
        <v>52050212124.5933</v>
      </c>
      <c r="AC10" s="5" t="n">
        <v>55500681511.4836</v>
      </c>
      <c r="AD10" s="5" t="n">
        <v>71188075485.22</v>
      </c>
      <c r="AE10" s="5" t="n">
        <v>81033945376.105</v>
      </c>
      <c r="AF10" s="5" t="n">
        <v>78989778667.6703</v>
      </c>
      <c r="AG10" s="5" t="n">
        <v>82081139798.6331</v>
      </c>
      <c r="AH10" s="5" t="n">
        <v>97845380261.4837</v>
      </c>
      <c r="AI10" s="5" t="n">
        <v>59575108242.9474</v>
      </c>
      <c r="AJ10" s="5" t="n">
        <v>57935150659.7436</v>
      </c>
      <c r="AK10" s="5" t="n">
        <v>77710527619.9733</v>
      </c>
      <c r="AL10" s="5" t="n">
        <v>53304870224.8632</v>
      </c>
      <c r="AM10" s="5" t="n">
        <v>31705980175.1801</v>
      </c>
      <c r="AN10" s="5"/>
      <c r="AO10" s="5"/>
    </row>
    <row r="11">
      <c r="A11" t="str">
        <f>M11</f>
      </c>
      <c r="M11" t="s">
        <v>74</v>
      </c>
      <c r="N11" s="5" t="n">
        <v>6653320181.32101</v>
      </c>
      <c r="O11" s="5" t="n">
        <v>6727608170.06237</v>
      </c>
      <c r="P11" s="5" t="n">
        <v>9028326496.16904</v>
      </c>
      <c r="Q11" s="5" t="n">
        <v>13219941581.6804</v>
      </c>
      <c r="R11" s="5" t="n">
        <v>13857071760.9264</v>
      </c>
      <c r="S11" s="5" t="n">
        <v>14040865245.4234</v>
      </c>
      <c r="T11" s="5" t="n">
        <v>14400483501.8472</v>
      </c>
      <c r="U11" s="5" t="n">
        <v>13649245215.3712</v>
      </c>
      <c r="V11" s="5" t="n">
        <v>12175834031.2599</v>
      </c>
      <c r="W11" s="5" t="n">
        <v>12410573961.6728</v>
      </c>
      <c r="X11" s="5" t="n">
        <v>11766883033.7711</v>
      </c>
      <c r="Y11" s="5" t="n">
        <v>9777666963.53869</v>
      </c>
      <c r="Z11" s="5" t="n">
        <v>8560808893.91811</v>
      </c>
      <c r="AA11" s="5" t="n">
        <v>7336070055.76496</v>
      </c>
      <c r="AB11" s="5" t="n">
        <v>4546516092.78253</v>
      </c>
      <c r="AC11" s="5" t="n">
        <v>4989984391.13482</v>
      </c>
      <c r="AD11" s="5" t="n">
        <v>5029379303.64432</v>
      </c>
      <c r="AE11" s="5" t="n">
        <v>5045711182.37409</v>
      </c>
      <c r="AF11" s="5" t="n">
        <v>3844207421.42095</v>
      </c>
      <c r="AG11" s="5" t="n">
        <v>5231777101.54916</v>
      </c>
      <c r="AH11" s="5" t="n">
        <v>5267473464.50268</v>
      </c>
      <c r="AI11" s="5" t="n">
        <v>4278634506.81339</v>
      </c>
      <c r="AJ11" s="5" t="n">
        <v>3854392273.67122</v>
      </c>
      <c r="AK11" s="5" t="n">
        <v>4757967940.3977</v>
      </c>
      <c r="AL11" s="5" t="n">
        <v>3930983143.18003</v>
      </c>
      <c r="AM11" s="5" t="n">
        <v>1107841112.33463</v>
      </c>
      <c r="AN11" s="5"/>
      <c r="AO11" s="5"/>
    </row>
    <row r="12">
      <c r="A12" t="str">
        <f>M12</f>
      </c>
      <c r="M12" t="s">
        <v>75</v>
      </c>
      <c r="N12" s="5" t="n">
        <v>9391312895.32971</v>
      </c>
      <c r="O12" s="5" t="n">
        <v>8461056413.83568</v>
      </c>
      <c r="P12" s="5" t="n">
        <v>8704748487.61604</v>
      </c>
      <c r="Q12" s="5" t="n">
        <v>12685293637.4711</v>
      </c>
      <c r="R12" s="5" t="n">
        <v>9911793497.78722</v>
      </c>
      <c r="S12" s="5" t="n">
        <v>10335969360.7792</v>
      </c>
      <c r="T12" s="5" t="n">
        <v>12558775868.9197</v>
      </c>
      <c r="U12" s="5" t="n">
        <v>13739743470.6303</v>
      </c>
      <c r="V12" s="5" t="n">
        <v>16396901250.0974</v>
      </c>
      <c r="W12" s="5" t="n">
        <v>17933159087.3669</v>
      </c>
      <c r="X12" s="5" t="n">
        <v>17507262917.2122</v>
      </c>
      <c r="Y12" s="5" t="n">
        <v>18157521561.9869</v>
      </c>
      <c r="Z12" s="5" t="n">
        <v>22244874603.5635</v>
      </c>
      <c r="AA12" s="5" t="n">
        <v>17922228663.5454</v>
      </c>
      <c r="AB12" s="5" t="n">
        <v>18157043931.121</v>
      </c>
      <c r="AC12" s="5" t="n">
        <v>18332582764.2475</v>
      </c>
      <c r="AD12" s="5" t="n">
        <v>18893305207.7964</v>
      </c>
      <c r="AE12" s="5" t="n">
        <v>20869534640.3371</v>
      </c>
      <c r="AF12" s="5" t="n">
        <v>19448986778.4718</v>
      </c>
      <c r="AG12" s="5" t="n">
        <v>20126314826.6927</v>
      </c>
      <c r="AH12" s="5" t="n">
        <v>20873625808.8623</v>
      </c>
      <c r="AI12" s="5" t="n">
        <v>19786947925.1103</v>
      </c>
      <c r="AJ12" s="5" t="n">
        <v>19090833051.2515</v>
      </c>
      <c r="AK12" s="5" t="n">
        <v>16843726205.072</v>
      </c>
      <c r="AL12" s="5" t="n">
        <v>14700306153.3425</v>
      </c>
      <c r="AM12" s="5" t="n">
        <v>7496459811.66532</v>
      </c>
      <c r="AN12" s="5"/>
      <c r="AO12" s="5"/>
    </row>
    <row r="13">
      <c r="A13" t="str">
        <f>M13</f>
      </c>
      <c r="M13" t="s">
        <v>76</v>
      </c>
      <c r="N13" s="5" t="n">
        <v>6399.43694947739</v>
      </c>
      <c r="O13" s="5" t="n">
        <v>0</v>
      </c>
      <c r="P13" s="5" t="n">
        <v>15369.6375266282</v>
      </c>
      <c r="Q13" s="5" t="n">
        <v>0</v>
      </c>
      <c r="R13" s="5"/>
      <c r="S13" s="5"/>
      <c r="T13" s="5"/>
      <c r="U13" s="5" t="n">
        <v>0</v>
      </c>
      <c r="V13" s="5" t="n">
        <v>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t="str">
        <f>M14</f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../output/FedAcqTrends/Platform//Aircraft/Fed_Aircraft_Contracts.xlsx</dc:creator>
  <cp:lastModifiedBy>../output/FedAcqTrends/Platform//Aircraft/Fed_Aircraft_Contracts.xlsx</cp:lastModifiedBy>
  <dcterms:created xsi:type="dcterms:W3CDTF">2025-11-13T21:12:15Z</dcterms:created>
</coreProperties>
</file>