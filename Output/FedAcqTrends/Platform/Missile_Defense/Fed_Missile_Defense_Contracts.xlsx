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  <sheet name="Veh" sheetId="2" state="visible" r:id="rId2"/>
    <sheet name="Price" sheetId="3" state="visible" r:id="rId3"/>
  </sheets>
</workbook>
</file>

<file path=xl/sharedStrings.xml><?xml version="1.0" encoding="utf-8"?>
<sst xmlns="http://schemas.openxmlformats.org/spreadsheetml/2006/main" count="63" uniqueCount="63">
  <si>
    <t xml:space="preserve">Vehicle.AwardTask</t>
  </si>
  <si>
    <t xml:space="preserve">Vehicle.sum7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</si>
  <si>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</si>
  <si>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</si>
  <si>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</si>
  <si>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</si>
  <si>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</si>
  <si>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</si>
  <si>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</si>
  <si>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</si>
  <si>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</si>
  <si>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</si>
  <si>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</si>
  <si>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</si>
  <si>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</si>
  <si>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</si>
  <si>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</si>
  <si>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</si>
  <si>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</si>
  <si>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</si>
  <si>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</si>
  <si>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</si>
  <si>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</si>
  <si>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</si>
  <si>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</si>
  <si>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</si>
  <si>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</si>
  <si>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</si>
  <si>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</si>
  <si>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</si>
  <si>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</si>
  <si>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</si>
  <si>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</si>
  <si>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</si>
  <si>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</si>
  <si>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</si>
  <si>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</si>
  <si>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</si>
  <si>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</si>
  <si>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</si>
  <si>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</si>
  <si>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</si>
  <si>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</si>
  <si>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</si>
  <si>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</si>
  <si>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</si>
  <si>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</si>
  <si>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</si>
  <si>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</si>
  <si>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</si>
  <si>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</si>
  <si>
    <t xml:space="preserve">PricingUCA.sum</t>
  </si>
  <si>
    <t xml:space="preserve">PricingUCA</t>
  </si>
  <si>
    <t xml:space="preserve">Cost or Effort-Based</t>
  </si>
  <si>
    <t xml:space="preserve">Other CB</t>
  </si>
  <si>
    <t xml:space="preserve">T&amp;M/LH/FPLOE</t>
  </si>
  <si>
    <t xml:space="preserve">Crosscutting</t>
  </si>
  <si>
    <t xml:space="preserve">Combination/Other</t>
  </si>
  <si>
    <t xml:space="preserve">UCA</t>
  </si>
  <si>
    <t xml:space="preserve">Fixed-Price</t>
  </si>
  <si>
    <t xml:space="preserve">FFP</t>
  </si>
  <si>
    <t xml:space="preserve">Other FP</t>
  </si>
  <si>
    <t xml:space="preserve">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</si>
</sst>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,,,&quot;B&quot;"/>
    <numFmt numFmtId="168" formatCode="0.00,,,&quot;B&quot;"/>
    <numFmt numFmtId="169" formatCode="0.00,,,&quot;B&quot;"/>
    <numFmt numFmtId="170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</row>
    <row r="2">
      <c r="A2" t="str">
        <f>M2</f>
      </c>
      <c r="B2" t="str">
        <f>N2</f>
      </c>
      <c r="M2" t="s">
        <v>40</v>
      </c>
      <c r="N2" t="s">
        <v>41</v>
      </c>
      <c r="O2" s="4" t="n">
        <v>3251862381</v>
      </c>
      <c r="P2" s="4" t="n">
        <v>3518855223</v>
      </c>
      <c r="Q2" s="4" t="n">
        <v>4915249579.2</v>
      </c>
      <c r="R2" s="4" t="n">
        <v>4849479384</v>
      </c>
      <c r="S2" s="4" t="n">
        <v>5437731135.15</v>
      </c>
      <c r="T2" s="4" t="n">
        <v>5984444761.58</v>
      </c>
      <c r="U2" s="4" t="n">
        <v>6593434751.27</v>
      </c>
      <c r="V2" s="4" t="n">
        <v>7455784926.57</v>
      </c>
      <c r="W2" s="4" t="n">
        <v>7800476864.15</v>
      </c>
      <c r="X2" s="4" t="n">
        <v>8798191743.89</v>
      </c>
      <c r="Y2" s="4" t="n">
        <v>8447253075.4352</v>
      </c>
      <c r="Z2" s="4" t="n">
        <v>7735536187.7055</v>
      </c>
      <c r="AA2" s="4" t="n">
        <v>8966336789.0336</v>
      </c>
      <c r="AB2" s="4" t="n">
        <v>9101073453.0635</v>
      </c>
      <c r="AC2" s="4" t="n">
        <v>6091575018.4066</v>
      </c>
      <c r="AD2" s="4" t="n">
        <v>7787957864.286</v>
      </c>
      <c r="AE2" s="4" t="n">
        <v>8199776709.5911</v>
      </c>
      <c r="AF2" s="4" t="n">
        <v>6475900735.2383</v>
      </c>
      <c r="AG2" s="4" t="n">
        <v>12094357103.19</v>
      </c>
      <c r="AH2" s="4" t="n">
        <v>12217420629.34</v>
      </c>
      <c r="AI2" s="4" t="n">
        <v>17599995429.09</v>
      </c>
      <c r="AJ2" s="4" t="n">
        <v>10407363452.7</v>
      </c>
      <c r="AK2" s="4" t="n">
        <v>11582883734.54</v>
      </c>
      <c r="AL2" s="4" t="n">
        <v>10420097930.52</v>
      </c>
      <c r="AM2" s="4" t="n">
        <v>10644505986.18</v>
      </c>
      <c r="AN2" s="4" t="n">
        <v>4138381324.25</v>
      </c>
      <c r="AO2" s="4" t="n">
        <v>6091575018.4066</v>
      </c>
      <c r="AP2" s="1" t="n">
        <v>7787957864.286</v>
      </c>
      <c r="AQ2" s="1" t="n">
        <v>8199776709.5911</v>
      </c>
      <c r="AR2" s="1" t="n">
        <v>6475900735.2383</v>
      </c>
      <c r="AS2" s="1" t="n">
        <v>12094357103.19</v>
      </c>
      <c r="AT2" s="1" t="n">
        <v>12217420629.34</v>
      </c>
      <c r="AU2" s="1" t="n">
        <v>17599995429.09</v>
      </c>
      <c r="AV2" s="1" t="n">
        <v>10407363452.7</v>
      </c>
      <c r="AW2" s="1" t="n">
        <v>11582883734.54</v>
      </c>
      <c r="AX2" s="1" t="n">
        <v>10420097930.52</v>
      </c>
      <c r="AY2" s="1" t="n">
        <v>10644505986.18</v>
      </c>
      <c r="AZ2" s="1" t="n">
        <v>4138381324.25</v>
      </c>
      <c r="BA2" s="1"/>
    </row>
    <row r="3">
      <c r="A3" t="str">
        <f>M3</f>
      </c>
      <c r="B3" t="str">
        <f>N3</f>
      </c>
      <c r="M3" t="s">
        <v>40</v>
      </c>
      <c r="N3" t="s">
        <v>42</v>
      </c>
      <c r="O3" s="4" t="n">
        <v>10227484</v>
      </c>
      <c r="P3" s="4" t="n">
        <v>12558571.4</v>
      </c>
      <c r="Q3" s="4" t="n">
        <v>24807377</v>
      </c>
      <c r="R3" s="4" t="n">
        <v>31575619</v>
      </c>
      <c r="S3" s="4" t="n">
        <v>23444564</v>
      </c>
      <c r="T3" s="4" t="n">
        <v>12465506</v>
      </c>
      <c r="U3" s="4" t="n">
        <v>8009184.79</v>
      </c>
      <c r="V3" s="4" t="n">
        <v>7762929.62</v>
      </c>
      <c r="W3" s="4" t="n">
        <v>48101078</v>
      </c>
      <c r="X3" s="4" t="n">
        <v>41447953.43</v>
      </c>
      <c r="Y3" s="4" t="n">
        <v>3573906.3118</v>
      </c>
      <c r="Z3" s="4" t="n">
        <v>6539820.1623</v>
      </c>
      <c r="AA3" s="4" t="n">
        <v>4092593.4833</v>
      </c>
      <c r="AB3" s="4" t="n">
        <v>4394042.64</v>
      </c>
      <c r="AC3" s="4" t="n">
        <v>4258293.18</v>
      </c>
      <c r="AD3" s="4" t="n">
        <v>3721235.09</v>
      </c>
      <c r="AE3" s="4" t="n">
        <v>2391109.8413</v>
      </c>
      <c r="AF3" s="4" t="n">
        <v>2492327.6012</v>
      </c>
      <c r="AG3" s="4" t="n">
        <v>4107554.95</v>
      </c>
      <c r="AH3" s="4" t="n">
        <v>2097509.38</v>
      </c>
      <c r="AI3" s="4" t="n">
        <v>1387512.11</v>
      </c>
      <c r="AJ3" s="4" t="n">
        <v>1516959.9</v>
      </c>
      <c r="AK3" s="4" t="n">
        <v>305776.96</v>
      </c>
      <c r="AL3" s="4" t="n">
        <v>383503.34</v>
      </c>
      <c r="AM3" s="4" t="n">
        <v>175876.92</v>
      </c>
      <c r="AN3" s="4" t="n">
        <v>3030948.5</v>
      </c>
      <c r="AO3" s="4" t="n">
        <v>4258293.18</v>
      </c>
      <c r="AP3" s="1" t="n">
        <v>3721235.09</v>
      </c>
      <c r="AQ3" s="1" t="n">
        <v>2391109.8413</v>
      </c>
      <c r="AR3" s="1" t="n">
        <v>2492327.6012</v>
      </c>
      <c r="AS3" s="1" t="n">
        <v>4107554.95</v>
      </c>
      <c r="AT3" s="1" t="n">
        <v>2097509.38</v>
      </c>
      <c r="AU3" s="1" t="n">
        <v>1387512.11</v>
      </c>
      <c r="AV3" s="1" t="n">
        <v>1516959.9</v>
      </c>
      <c r="AW3" s="1" t="n">
        <v>305776.96</v>
      </c>
      <c r="AX3" s="1" t="n">
        <v>383503.34</v>
      </c>
      <c r="AY3" s="1" t="n">
        <v>175876.92</v>
      </c>
      <c r="AZ3" s="1" t="n">
        <v>3030948.5</v>
      </c>
      <c r="BA3" s="1"/>
    </row>
    <row r="4">
      <c r="A4" t="str">
        <f>M4</f>
      </c>
      <c r="B4" t="str">
        <f>N4</f>
      </c>
      <c r="M4" t="s">
        <v>43</v>
      </c>
      <c r="N4" t="s">
        <v>44</v>
      </c>
      <c r="O4" s="4"/>
      <c r="P4" s="4" t="n">
        <v>1324375</v>
      </c>
      <c r="Q4" s="4" t="n">
        <v>-295030</v>
      </c>
      <c r="R4" s="4"/>
      <c r="S4" s="4"/>
      <c r="T4" s="4" t="n">
        <v>499872</v>
      </c>
      <c r="U4" s="4"/>
      <c r="V4" s="4"/>
      <c r="W4" s="4"/>
      <c r="X4" s="4"/>
      <c r="Y4" s="4" t="n">
        <v>344518.3672</v>
      </c>
      <c r="Z4" s="4" t="n">
        <v>24925685.8837</v>
      </c>
      <c r="AA4" s="4" t="n">
        <v>119119932.0552</v>
      </c>
      <c r="AB4" s="4" t="n">
        <v>145346464.62</v>
      </c>
      <c r="AC4" s="4" t="n">
        <v>218094210.68</v>
      </c>
      <c r="AD4" s="4" t="n">
        <v>220320527.27</v>
      </c>
      <c r="AE4" s="4" t="n">
        <v>323336362.3058</v>
      </c>
      <c r="AF4" s="4" t="n">
        <v>252881989.1743</v>
      </c>
      <c r="AG4" s="4" t="n">
        <v>244734668.0218</v>
      </c>
      <c r="AH4" s="4" t="n">
        <v>244615992.7717</v>
      </c>
      <c r="AI4" s="4" t="n">
        <v>211126715.6115</v>
      </c>
      <c r="AJ4" s="4" t="n">
        <v>190252183.5236</v>
      </c>
      <c r="AK4" s="4" t="n">
        <v>159594051.9031</v>
      </c>
      <c r="AL4" s="4" t="n">
        <v>150181620.8418</v>
      </c>
      <c r="AM4" s="4" t="n">
        <v>137350660.34</v>
      </c>
      <c r="AN4" s="4" t="n">
        <v>51948287.3</v>
      </c>
      <c r="AO4" s="4" t="n">
        <v>218094210.68</v>
      </c>
      <c r="AP4" s="1" t="n">
        <v>220320527.27</v>
      </c>
      <c r="AQ4" s="1" t="n">
        <v>323336362.3058</v>
      </c>
      <c r="AR4" s="1" t="n">
        <v>252881989.1743</v>
      </c>
      <c r="AS4" s="1" t="n">
        <v>244734668.0218</v>
      </c>
      <c r="AT4" s="1" t="n">
        <v>244615992.7717</v>
      </c>
      <c r="AU4" s="1" t="n">
        <v>211126715.6115</v>
      </c>
      <c r="AV4" s="1" t="n">
        <v>190252183.5236</v>
      </c>
      <c r="AW4" s="1" t="n">
        <v>159594051.9031</v>
      </c>
      <c r="AX4" s="1" t="n">
        <v>150181620.8418</v>
      </c>
      <c r="AY4" s="1" t="n">
        <v>137350660.34</v>
      </c>
      <c r="AZ4" s="1" t="n">
        <v>51948287.3</v>
      </c>
      <c r="BA4" s="1"/>
    </row>
    <row r="5">
      <c r="A5" t="str">
        <f>M5</f>
      </c>
      <c r="B5" t="str">
        <f>N5</f>
      </c>
      <c r="M5" t="s">
        <v>43</v>
      </c>
      <c r="N5" t="s">
        <v>45</v>
      </c>
      <c r="O5" s="4" t="n">
        <v>8082321</v>
      </c>
      <c r="P5" s="4" t="n">
        <v>11000448</v>
      </c>
      <c r="Q5" s="4" t="n">
        <v>34382284.625</v>
      </c>
      <c r="R5" s="4" t="n">
        <v>62848381.0938</v>
      </c>
      <c r="S5" s="4" t="n">
        <v>126092472.4297</v>
      </c>
      <c r="T5" s="4" t="n">
        <v>161058983</v>
      </c>
      <c r="U5" s="4" t="n">
        <v>218467563.8945</v>
      </c>
      <c r="V5" s="4" t="n">
        <v>321159938.8342</v>
      </c>
      <c r="W5" s="4" t="n">
        <v>321805322.4098</v>
      </c>
      <c r="X5" s="4" t="n">
        <v>328023043.1692</v>
      </c>
      <c r="Y5" s="4" t="n">
        <v>281055826.7547</v>
      </c>
      <c r="Z5" s="4" t="n">
        <v>168244624.2278</v>
      </c>
      <c r="AA5" s="4" t="n">
        <v>51159615.3689</v>
      </c>
      <c r="AB5" s="4" t="n">
        <v>39641094.2833</v>
      </c>
      <c r="AC5" s="4" t="n">
        <v>32844398.56</v>
      </c>
      <c r="AD5" s="4" t="n">
        <v>35188143.7203</v>
      </c>
      <c r="AE5" s="4" t="n">
        <v>36671326.29</v>
      </c>
      <c r="AF5" s="4" t="n">
        <v>38227400.2299</v>
      </c>
      <c r="AG5" s="4" t="n">
        <v>27378532.7213</v>
      </c>
      <c r="AH5" s="4" t="n">
        <v>54108455.9005</v>
      </c>
      <c r="AI5" s="4" t="n">
        <v>58038277.8552</v>
      </c>
      <c r="AJ5" s="4" t="n">
        <v>39544685.2267</v>
      </c>
      <c r="AK5" s="4" t="n">
        <v>43483546.092</v>
      </c>
      <c r="AL5" s="4" t="n">
        <v>38842949.5142</v>
      </c>
      <c r="AM5" s="4" t="n">
        <v>32581315.03</v>
      </c>
      <c r="AN5" s="4" t="n">
        <v>11308062.76</v>
      </c>
      <c r="AO5" s="4" t="n">
        <v>32844398.56</v>
      </c>
      <c r="AP5" s="1" t="n">
        <v>35188143.7203</v>
      </c>
      <c r="AQ5" s="1" t="n">
        <v>36671326.29</v>
      </c>
      <c r="AR5" s="1" t="n">
        <v>38227400.2299</v>
      </c>
      <c r="AS5" s="1" t="n">
        <v>27378532.7213</v>
      </c>
      <c r="AT5" s="1" t="n">
        <v>54108455.9005</v>
      </c>
      <c r="AU5" s="1" t="n">
        <v>58038277.8552</v>
      </c>
      <c r="AV5" s="1" t="n">
        <v>39544685.2267</v>
      </c>
      <c r="AW5" s="1" t="n">
        <v>43483546.092</v>
      </c>
      <c r="AX5" s="1" t="n">
        <v>38842949.5142</v>
      </c>
      <c r="AY5" s="1" t="n">
        <v>32581315.03</v>
      </c>
      <c r="AZ5" s="1" t="n">
        <v>11308062.76</v>
      </c>
      <c r="BA5" s="1"/>
    </row>
    <row r="6">
      <c r="A6" t="str">
        <f>M6</f>
      </c>
      <c r="B6" t="str">
        <f>N6</f>
      </c>
      <c r="M6" t="s">
        <v>43</v>
      </c>
      <c r="N6" t="s">
        <v>46</v>
      </c>
      <c r="O6" s="4" t="n">
        <v>183633039</v>
      </c>
      <c r="P6" s="4" t="n">
        <v>209298561</v>
      </c>
      <c r="Q6" s="4" t="n">
        <v>257477721</v>
      </c>
      <c r="R6" s="4" t="n">
        <v>297359151</v>
      </c>
      <c r="S6" s="4" t="n">
        <v>280933913</v>
      </c>
      <c r="T6" s="4" t="n">
        <v>300881701</v>
      </c>
      <c r="U6" s="4" t="n">
        <v>325176941</v>
      </c>
      <c r="V6" s="4" t="n">
        <v>343494797.9365</v>
      </c>
      <c r="W6" s="4" t="n">
        <v>629066579.9296</v>
      </c>
      <c r="X6" s="4" t="n">
        <v>671607300.5139</v>
      </c>
      <c r="Y6" s="4" t="n">
        <v>851461493.5618</v>
      </c>
      <c r="Z6" s="4" t="n">
        <v>967125552.2835</v>
      </c>
      <c r="AA6" s="4" t="n">
        <v>1433294384.6745</v>
      </c>
      <c r="AB6" s="4" t="n">
        <v>896504788.6801</v>
      </c>
      <c r="AC6" s="4" t="n">
        <v>865899581.4527</v>
      </c>
      <c r="AD6" s="4" t="n">
        <v>736626702.7297</v>
      </c>
      <c r="AE6" s="4" t="n">
        <v>486922573.6899</v>
      </c>
      <c r="AF6" s="4" t="n">
        <v>148397949.2024</v>
      </c>
      <c r="AG6" s="4" t="n">
        <v>132960670.6306</v>
      </c>
      <c r="AH6" s="4" t="n">
        <v>286887458.5015</v>
      </c>
      <c r="AI6" s="4" t="n">
        <v>306678039.3747</v>
      </c>
      <c r="AJ6" s="4" t="n">
        <v>329505480.5458</v>
      </c>
      <c r="AK6" s="4" t="n">
        <v>341831736.0086</v>
      </c>
      <c r="AL6" s="4" t="n">
        <v>447545003.1791</v>
      </c>
      <c r="AM6" s="4" t="n">
        <v>292963223.63</v>
      </c>
      <c r="AN6" s="4" t="n">
        <v>19149634.86</v>
      </c>
      <c r="AO6" s="4" t="n">
        <v>865899581.4527</v>
      </c>
      <c r="AP6" s="1" t="n">
        <v>736626702.7297</v>
      </c>
      <c r="AQ6" s="1" t="n">
        <v>486922573.6899</v>
      </c>
      <c r="AR6" s="1" t="n">
        <v>148397949.2024</v>
      </c>
      <c r="AS6" s="1" t="n">
        <v>132960670.6306</v>
      </c>
      <c r="AT6" s="1" t="n">
        <v>286887458.5015</v>
      </c>
      <c r="AU6" s="1" t="n">
        <v>306678039.3747</v>
      </c>
      <c r="AV6" s="1" t="n">
        <v>329505480.5458</v>
      </c>
      <c r="AW6" s="1" t="n">
        <v>341831736.0086</v>
      </c>
      <c r="AX6" s="1" t="n">
        <v>447545003.1791</v>
      </c>
      <c r="AY6" s="1" t="n">
        <v>292963223.63</v>
      </c>
      <c r="AZ6" s="1" t="n">
        <v>19149634.86</v>
      </c>
      <c r="BA6" s="1"/>
    </row>
    <row r="7">
      <c r="A7" t="str">
        <f>M7</f>
      </c>
      <c r="B7" t="str">
        <f>N7</f>
      </c>
      <c r="M7" t="s">
        <v>43</v>
      </c>
      <c r="N7" t="s">
        <v>47</v>
      </c>
      <c r="O7" s="4" t="n">
        <v>259096373</v>
      </c>
      <c r="P7" s="4" t="n">
        <v>251929788</v>
      </c>
      <c r="Q7" s="4" t="n">
        <v>405270111</v>
      </c>
      <c r="R7" s="4" t="n">
        <v>584678521</v>
      </c>
      <c r="S7" s="4" t="n">
        <v>982872215</v>
      </c>
      <c r="T7" s="4" t="n">
        <v>782622286.4375</v>
      </c>
      <c r="U7" s="4" t="n">
        <v>992844509.6259</v>
      </c>
      <c r="V7" s="4" t="n">
        <v>1470512876.6352</v>
      </c>
      <c r="W7" s="4" t="n">
        <v>1557994479.598</v>
      </c>
      <c r="X7" s="4" t="n">
        <v>2408749664.5514</v>
      </c>
      <c r="Y7" s="4" t="n">
        <v>2827189526.1604</v>
      </c>
      <c r="Z7" s="4" t="n">
        <v>3180411274.7275</v>
      </c>
      <c r="AA7" s="4" t="n">
        <v>2102563333.0627</v>
      </c>
      <c r="AB7" s="4" t="n">
        <v>1912781894.8718</v>
      </c>
      <c r="AC7" s="4" t="n">
        <v>2080822631.2285</v>
      </c>
      <c r="AD7" s="4" t="n">
        <v>1892063555.2083</v>
      </c>
      <c r="AE7" s="4" t="n">
        <v>1926336241.4566</v>
      </c>
      <c r="AF7" s="4" t="n">
        <v>1915348836.1225</v>
      </c>
      <c r="AG7" s="4" t="n">
        <v>2252199714.6027</v>
      </c>
      <c r="AH7" s="4" t="n">
        <v>2276775762.2453</v>
      </c>
      <c r="AI7" s="4" t="n">
        <v>2200886943.824</v>
      </c>
      <c r="AJ7" s="4" t="n">
        <v>2508102828.1379</v>
      </c>
      <c r="AK7" s="4" t="n">
        <v>2907790782.0564</v>
      </c>
      <c r="AL7" s="4" t="n">
        <v>2831710791.6156</v>
      </c>
      <c r="AM7" s="4" t="n">
        <v>2919402311.93</v>
      </c>
      <c r="AN7" s="4" t="n">
        <v>1764300310.28</v>
      </c>
      <c r="AO7" s="4" t="n">
        <v>2080822631.2285</v>
      </c>
      <c r="AP7" s="1" t="n">
        <v>1892063555.2083</v>
      </c>
      <c r="AQ7" s="1" t="n">
        <v>1926336241.4566</v>
      </c>
      <c r="AR7" s="1" t="n">
        <v>1915348836.1225</v>
      </c>
      <c r="AS7" s="1" t="n">
        <v>2252199714.6027</v>
      </c>
      <c r="AT7" s="1" t="n">
        <v>2276775762.2453</v>
      </c>
      <c r="AU7" s="1" t="n">
        <v>2200886943.824</v>
      </c>
      <c r="AV7" s="1" t="n">
        <v>2508102828.1379</v>
      </c>
      <c r="AW7" s="1" t="n">
        <v>2907790782.0564</v>
      </c>
      <c r="AX7" s="1" t="n">
        <v>2831710791.6156</v>
      </c>
      <c r="AY7" s="1" t="n">
        <v>2919402311.93</v>
      </c>
      <c r="AZ7" s="1" t="n">
        <v>1764300310.28</v>
      </c>
      <c r="BA7" s="1"/>
    </row>
    <row r="8">
      <c r="A8" t="str">
        <f>M8</f>
      </c>
      <c r="B8" t="str">
        <f>N8</f>
      </c>
      <c r="M8" t="s">
        <v>43</v>
      </c>
      <c r="N8" t="s">
        <v>48</v>
      </c>
      <c r="O8" s="4" t="n">
        <v>91551</v>
      </c>
      <c r="P8" s="4" t="n">
        <v>4968922</v>
      </c>
      <c r="Q8" s="4" t="n">
        <v>5982298</v>
      </c>
      <c r="R8" s="4" t="n">
        <v>-190078</v>
      </c>
      <c r="S8" s="4" t="n">
        <v>-191046</v>
      </c>
      <c r="T8" s="4" t="n">
        <v>13569</v>
      </c>
      <c r="U8" s="4"/>
      <c r="V8" s="4"/>
      <c r="W8" s="4"/>
      <c r="X8" s="4" t="n">
        <v>0</v>
      </c>
      <c r="Y8" s="4"/>
      <c r="Z8" s="4" t="n">
        <v>-90028.05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>
      <c r="A9" t="str">
        <f>M9</f>
      </c>
      <c r="B9" t="str">
        <f>N9</f>
      </c>
      <c r="M9"/>
      <c r="N9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 t="n">
        <v>0</v>
      </c>
      <c r="AO9" s="4"/>
      <c r="AP9" s="1"/>
      <c r="AQ9" s="1"/>
      <c r="AR9" s="1"/>
      <c r="AS9" s="1"/>
      <c r="AT9" s="1"/>
      <c r="AU9" s="1"/>
      <c r="AV9" s="1"/>
      <c r="AW9" s="1"/>
      <c r="AX9" s="1"/>
      <c r="AY9" s="1"/>
      <c r="AZ9" s="1" t="n">
        <v>0</v>
      </c>
      <c r="BA9" s="1"/>
    </row>
    <row r="10">
      <c r="A10" t="str">
        <f>M10</f>
      </c>
      <c r="B10" t="str">
        <f>N10</f>
      </c>
      <c r="M10" t="s">
        <v>49</v>
      </c>
      <c r="N10" t="s">
        <v>50</v>
      </c>
      <c r="O10" s="4" t="str">
        <f>Sum(O2:O9)</f>
      </c>
      <c r="P10" s="4" t="str">
        <f>Sum(P2:P9)</f>
      </c>
      <c r="Q10" s="4" t="str">
        <f>Sum(Q2:Q9)</f>
      </c>
      <c r="R10" s="4" t="str">
        <f>Sum(R2:R9)</f>
      </c>
      <c r="S10" s="4" t="str">
        <f>Sum(S2:S9)</f>
      </c>
      <c r="T10" s="4" t="str">
        <f>Sum(T2:T9)</f>
      </c>
      <c r="U10" s="4" t="str">
        <f>Sum(U2:U9)</f>
      </c>
      <c r="V10" s="4" t="str">
        <f>Sum(V2:V9)</f>
      </c>
      <c r="W10" s="4" t="str">
        <f>Sum(W2:W9)</f>
      </c>
      <c r="X10" s="4" t="str">
        <f>Sum(X2:X9)</f>
      </c>
      <c r="Y10" s="4" t="str">
        <f>Sum(Y2:Y9)</f>
      </c>
      <c r="Z10" s="4" t="str">
        <f>Sum(Z2:Z9)</f>
      </c>
      <c r="AA10" s="4" t="str">
        <f>Sum(AA2:AA9)</f>
      </c>
      <c r="AB10" s="4" t="str">
        <f>Sum(AB2:AB9)</f>
      </c>
      <c r="AC10" s="4" t="str">
        <f>Sum(AC2:AC9)</f>
      </c>
      <c r="AD10" s="4" t="str">
        <f>Sum(AD2:AD9)</f>
      </c>
      <c r="AE10" s="4" t="str">
        <f>Sum(AE2:AE9)</f>
      </c>
      <c r="AF10" s="4" t="str">
        <f>Sum(AF2:AF9)</f>
      </c>
      <c r="AG10" s="4" t="str">
        <f>Sum(AG2:AG9)</f>
      </c>
      <c r="AH10" s="4" t="str">
        <f>Sum(AH2:AH9)</f>
      </c>
      <c r="AI10" s="4" t="str">
        <f>Sum(AI2:AI9)</f>
      </c>
      <c r="AJ10" s="4" t="str">
        <f>Sum(AJ2:AJ9)</f>
      </c>
      <c r="AK10" s="4" t="str">
        <f>Sum(AK2:AK9)</f>
      </c>
      <c r="AL10" s="4" t="str">
        <f>Sum(AL2:AL9)</f>
      </c>
      <c r="AM10" s="4" t="str">
        <f>Sum(AM2:AM9)</f>
      </c>
      <c r="AN10" s="4" t="str">
        <f>Sum(AN2:AN9)</f>
      </c>
      <c r="AO10" s="4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14</v>
      </c>
      <c r="P13" t="s">
        <v>15</v>
      </c>
      <c r="Q13" t="s">
        <v>16</v>
      </c>
      <c r="R13" t="s">
        <v>17</v>
      </c>
      <c r="S13" t="s">
        <v>18</v>
      </c>
      <c r="T13" t="s">
        <v>19</v>
      </c>
      <c r="U13" t="s">
        <v>20</v>
      </c>
      <c r="V13" t="s">
        <v>21</v>
      </c>
      <c r="W13" t="s">
        <v>22</v>
      </c>
      <c r="X13" t="s">
        <v>23</v>
      </c>
      <c r="Y13" t="s">
        <v>24</v>
      </c>
      <c r="Z13" t="s">
        <v>25</v>
      </c>
      <c r="AA13" t="s">
        <v>26</v>
      </c>
      <c r="AB13" t="s">
        <v>27</v>
      </c>
      <c r="AC13" t="s">
        <v>28</v>
      </c>
      <c r="AD13" t="s">
        <v>29</v>
      </c>
      <c r="AE13" t="s">
        <v>30</v>
      </c>
      <c r="AF13" t="s">
        <v>31</v>
      </c>
      <c r="AG13" t="s">
        <v>32</v>
      </c>
      <c r="AH13" t="s">
        <v>33</v>
      </c>
      <c r="AI13" t="s">
        <v>34</v>
      </c>
      <c r="AJ13" t="s">
        <v>35</v>
      </c>
      <c r="AK13" t="s">
        <v>36</v>
      </c>
      <c r="AL13" t="s">
        <v>37</v>
      </c>
      <c r="AM13" t="s">
        <v>38</v>
      </c>
      <c r="AN13" t="s">
        <v>39</v>
      </c>
      <c r="AO13" t="s">
        <v>28</v>
      </c>
      <c r="AP13" t="s">
        <v>29</v>
      </c>
      <c r="AQ13" t="s">
        <v>30</v>
      </c>
      <c r="AR13" t="s">
        <v>31</v>
      </c>
      <c r="AS13" t="s">
        <v>32</v>
      </c>
      <c r="AT13" t="s">
        <v>33</v>
      </c>
      <c r="AU13" t="s">
        <v>34</v>
      </c>
      <c r="AV13" t="s">
        <v>35</v>
      </c>
      <c r="AW13" t="s">
        <v>36</v>
      </c>
      <c r="AX13" t="s">
        <v>37</v>
      </c>
      <c r="AY13" t="s">
        <v>38</v>
      </c>
      <c r="AZ13" t="s">
        <v>39</v>
      </c>
    </row>
    <row r="14">
      <c r="A14" t="str">
        <f>M14</f>
      </c>
      <c r="B14" t="str">
        <f>N14</f>
      </c>
      <c r="M14" t="s">
        <v>40</v>
      </c>
      <c r="N14" t="s">
        <v>41</v>
      </c>
      <c r="O14" s="4" t="n">
        <v>5466944507.35629</v>
      </c>
      <c r="P14" s="4" t="n">
        <v>5775805524.12298</v>
      </c>
      <c r="Q14" s="4" t="n">
        <v>7942871542.49087</v>
      </c>
      <c r="R14" s="4" t="n">
        <v>7688997896.23081</v>
      </c>
      <c r="S14" s="4" t="n">
        <v>8416176489.11555</v>
      </c>
      <c r="T14" s="4" t="n">
        <v>8988817182.73483</v>
      </c>
      <c r="U14" s="4" t="n">
        <v>9591950658.62519</v>
      </c>
      <c r="V14" s="4" t="n">
        <v>10555876434.7515</v>
      </c>
      <c r="W14" s="4" t="n">
        <v>10819272928.3196</v>
      </c>
      <c r="X14" s="4" t="n">
        <v>12079577837.827</v>
      </c>
      <c r="Y14" s="4" t="n">
        <v>11498173311.1109</v>
      </c>
      <c r="Z14" s="4" t="n">
        <v>10322222376.8854</v>
      </c>
      <c r="AA14" s="4" t="n">
        <v>11751349927.6008</v>
      </c>
      <c r="AB14" s="4" t="n">
        <v>11715364716.1819</v>
      </c>
      <c r="AC14" s="4" t="n">
        <v>7700896463.45423</v>
      </c>
      <c r="AD14" s="4" t="n">
        <v>9744526614.1616</v>
      </c>
      <c r="AE14" s="4" t="n">
        <v>10178429361.0727</v>
      </c>
      <c r="AF14" s="4" t="n">
        <v>7905132029.02397</v>
      </c>
      <c r="AG14" s="4" t="n">
        <v>14442948259.4662</v>
      </c>
      <c r="AH14" s="4" t="n">
        <v>14325045978.6428</v>
      </c>
      <c r="AI14" s="4" t="n">
        <v>20370071505.7403</v>
      </c>
      <c r="AJ14" s="4" t="n">
        <v>11644609135.3733</v>
      </c>
      <c r="AK14" s="4" t="n">
        <v>12112761222.417</v>
      </c>
      <c r="AL14" s="4" t="n">
        <v>10420097930.52</v>
      </c>
      <c r="AM14" s="4" t="n">
        <v>10367628231.053</v>
      </c>
      <c r="AN14" s="4" t="n">
        <v>3944192756.63687</v>
      </c>
      <c r="AO14" s="4" t="n">
        <v>7700896463.45423</v>
      </c>
      <c r="AP14" s="1" t="n">
        <v>9744526614.1616</v>
      </c>
      <c r="AQ14" s="1" t="n">
        <v>10178429361.0727</v>
      </c>
      <c r="AR14" s="1" t="n">
        <v>7905132029.02397</v>
      </c>
      <c r="AS14" s="1" t="n">
        <v>14442948259.4662</v>
      </c>
      <c r="AT14" s="1" t="n">
        <v>14325045978.6428</v>
      </c>
      <c r="AU14" s="1" t="n">
        <v>20370071505.7403</v>
      </c>
      <c r="AV14" s="1" t="n">
        <v>11644609135.3733</v>
      </c>
      <c r="AW14" s="1" t="n">
        <v>12112761222.417</v>
      </c>
      <c r="AX14" s="1" t="n">
        <v>10420097930.52</v>
      </c>
      <c r="AY14" s="1" t="n">
        <v>10367628231.053</v>
      </c>
      <c r="AZ14" s="1" t="n">
        <v>3944192756.63687</v>
      </c>
      <c r="BA14" s="1"/>
    </row>
    <row r="15">
      <c r="A15" t="str">
        <f>M15</f>
      </c>
      <c r="B15" t="str">
        <f>N15</f>
      </c>
      <c r="M15" t="s">
        <v>40</v>
      </c>
      <c r="N15" t="s">
        <v>42</v>
      </c>
      <c r="O15" s="4" t="n">
        <v>17194173.9615316</v>
      </c>
      <c r="P15" s="4" t="n">
        <v>20613484.0652445</v>
      </c>
      <c r="Q15" s="4" t="n">
        <v>40087854.2670488</v>
      </c>
      <c r="R15" s="4" t="n">
        <v>50064109.740153</v>
      </c>
      <c r="S15" s="4" t="n">
        <v>36286014.0434145</v>
      </c>
      <c r="T15" s="4" t="n">
        <v>18723567.3464051</v>
      </c>
      <c r="U15" s="4" t="n">
        <v>11651545.5478943</v>
      </c>
      <c r="V15" s="4" t="n">
        <v>10990730.9086088</v>
      </c>
      <c r="W15" s="4" t="n">
        <v>66716266.2093349</v>
      </c>
      <c r="X15" s="4" t="n">
        <v>56906441.0336376</v>
      </c>
      <c r="Y15" s="4" t="n">
        <v>4864704.98797417</v>
      </c>
      <c r="Z15" s="4" t="n">
        <v>8726670.83212528</v>
      </c>
      <c r="AA15" s="4" t="n">
        <v>5363784.48247654</v>
      </c>
      <c r="AB15" s="4" t="n">
        <v>5656235.20912547</v>
      </c>
      <c r="AC15" s="4" t="n">
        <v>5383283.43509278</v>
      </c>
      <c r="AD15" s="4" t="n">
        <v>4656121.02735503</v>
      </c>
      <c r="AE15" s="4" t="n">
        <v>2968098.21489047</v>
      </c>
      <c r="AF15" s="4" t="n">
        <v>3042384.30336928</v>
      </c>
      <c r="AG15" s="4" t="n">
        <v>4905196.95338884</v>
      </c>
      <c r="AH15" s="4" t="n">
        <v>2459350.39978711</v>
      </c>
      <c r="AI15" s="4" t="n">
        <v>1605893.64978272</v>
      </c>
      <c r="AJ15" s="4" t="n">
        <v>1697298.76253647</v>
      </c>
      <c r="AK15" s="4" t="n">
        <v>319765.214663415</v>
      </c>
      <c r="AL15" s="4" t="n">
        <v>383503.34</v>
      </c>
      <c r="AM15" s="4" t="n">
        <v>171302.127440207</v>
      </c>
      <c r="AN15" s="4" t="n">
        <v>2888724.88607751</v>
      </c>
      <c r="AO15" s="4" t="n">
        <v>5383283.43509278</v>
      </c>
      <c r="AP15" s="1" t="n">
        <v>4656121.02735503</v>
      </c>
      <c r="AQ15" s="1" t="n">
        <v>2968098.21489047</v>
      </c>
      <c r="AR15" s="1" t="n">
        <v>3042384.30336928</v>
      </c>
      <c r="AS15" s="1" t="n">
        <v>4905196.95338884</v>
      </c>
      <c r="AT15" s="1" t="n">
        <v>2459350.39978711</v>
      </c>
      <c r="AU15" s="1" t="n">
        <v>1605893.64978272</v>
      </c>
      <c r="AV15" s="1" t="n">
        <v>1697298.76253647</v>
      </c>
      <c r="AW15" s="1" t="n">
        <v>319765.214663415</v>
      </c>
      <c r="AX15" s="1" t="n">
        <v>383503.34</v>
      </c>
      <c r="AY15" s="1" t="n">
        <v>171302.127440207</v>
      </c>
      <c r="AZ15" s="1" t="n">
        <v>2888724.88607751</v>
      </c>
      <c r="BA15" s="1"/>
    </row>
    <row r="16">
      <c r="A16" t="str">
        <f>M16</f>
      </c>
      <c r="B16" t="str">
        <f>N16</f>
      </c>
      <c r="M16" t="s">
        <v>43</v>
      </c>
      <c r="N16" t="s">
        <v>44</v>
      </c>
      <c r="O16" s="4"/>
      <c r="P16" s="4" t="n">
        <v>2173812.77610192</v>
      </c>
      <c r="Q16" s="4" t="n">
        <v>-476758.169330333</v>
      </c>
      <c r="R16" s="4"/>
      <c r="S16" s="4"/>
      <c r="T16" s="4" t="n">
        <v>750822.875267333</v>
      </c>
      <c r="U16" s="4"/>
      <c r="V16" s="4"/>
      <c r="W16" s="4"/>
      <c r="X16" s="4"/>
      <c r="Y16" s="4" t="n">
        <v>468949.11985604</v>
      </c>
      <c r="Z16" s="4" t="n">
        <v>33260586.7705546</v>
      </c>
      <c r="AA16" s="4" t="n">
        <v>156119498.72826</v>
      </c>
      <c r="AB16" s="4" t="n">
        <v>187097362.966317</v>
      </c>
      <c r="AC16" s="4" t="n">
        <v>275712099.194466</v>
      </c>
      <c r="AD16" s="4" t="n">
        <v>275671656.041434</v>
      </c>
      <c r="AE16" s="4" t="n">
        <v>401359261.374315</v>
      </c>
      <c r="AF16" s="4" t="n">
        <v>308693044.244368</v>
      </c>
      <c r="AG16" s="4" t="n">
        <v>292259449.376121</v>
      </c>
      <c r="AH16" s="4" t="n">
        <v>286814659.974202</v>
      </c>
      <c r="AI16" s="4" t="n">
        <v>244356102.881142</v>
      </c>
      <c r="AJ16" s="4" t="n">
        <v>212869697.916515</v>
      </c>
      <c r="AK16" s="4" t="n">
        <v>166894936.315015</v>
      </c>
      <c r="AL16" s="4" t="n">
        <v>150181620.8418</v>
      </c>
      <c r="AM16" s="4" t="n">
        <v>133777987.023876</v>
      </c>
      <c r="AN16" s="4" t="n">
        <v>49510676.3815401</v>
      </c>
      <c r="AO16" s="4" t="n">
        <v>275712099.194466</v>
      </c>
      <c r="AP16" s="1" t="n">
        <v>275671656.041434</v>
      </c>
      <c r="AQ16" s="1" t="n">
        <v>401359261.374315</v>
      </c>
      <c r="AR16" s="1" t="n">
        <v>308693044.244368</v>
      </c>
      <c r="AS16" s="1" t="n">
        <v>292259449.376121</v>
      </c>
      <c r="AT16" s="1" t="n">
        <v>286814659.974202</v>
      </c>
      <c r="AU16" s="1" t="n">
        <v>244356102.881142</v>
      </c>
      <c r="AV16" s="1" t="n">
        <v>212869697.916515</v>
      </c>
      <c r="AW16" s="1" t="n">
        <v>166894936.315015</v>
      </c>
      <c r="AX16" s="1" t="n">
        <v>150181620.8418</v>
      </c>
      <c r="AY16" s="1" t="n">
        <v>133777987.023876</v>
      </c>
      <c r="AZ16" s="1" t="n">
        <v>49510676.3815401</v>
      </c>
      <c r="BA16" s="1"/>
    </row>
    <row r="17">
      <c r="A17" t="str">
        <f>M17</f>
      </c>
      <c r="B17" t="str">
        <f>N17</f>
      </c>
      <c r="M17" t="s">
        <v>43</v>
      </c>
      <c r="N17" t="s">
        <v>45</v>
      </c>
      <c r="O17" s="4" t="n">
        <v>13587783.0057656</v>
      </c>
      <c r="P17" s="4" t="n">
        <v>18055999.5509163</v>
      </c>
      <c r="Q17" s="4" t="n">
        <v>55560570.3664355</v>
      </c>
      <c r="R17" s="4" t="n">
        <v>99648030.5919248</v>
      </c>
      <c r="S17" s="4" t="n">
        <v>195157957.527082</v>
      </c>
      <c r="T17" s="4" t="n">
        <v>241915467.767133</v>
      </c>
      <c r="U17" s="4" t="n">
        <v>317820706.875496</v>
      </c>
      <c r="V17" s="4" t="n">
        <v>454697213.440916</v>
      </c>
      <c r="W17" s="4" t="n">
        <v>446344457.341955</v>
      </c>
      <c r="X17" s="4" t="n">
        <v>450362983.429516</v>
      </c>
      <c r="Y17" s="4" t="n">
        <v>382565619.529118</v>
      </c>
      <c r="Z17" s="4" t="n">
        <v>224503949.416594</v>
      </c>
      <c r="AA17" s="4" t="n">
        <v>67050185.2101637</v>
      </c>
      <c r="AB17" s="4" t="n">
        <v>51028033.0856015</v>
      </c>
      <c r="AC17" s="4" t="n">
        <v>41521496.813339</v>
      </c>
      <c r="AD17" s="4" t="n">
        <v>44028461.4992384</v>
      </c>
      <c r="AE17" s="4" t="n">
        <v>45520325.4233769</v>
      </c>
      <c r="AF17" s="4" t="n">
        <v>46664187.4696031</v>
      </c>
      <c r="AG17" s="4" t="n">
        <v>32695142.7132526</v>
      </c>
      <c r="AH17" s="4" t="n">
        <v>63442697.2864158</v>
      </c>
      <c r="AI17" s="4" t="n">
        <v>67172964.603524</v>
      </c>
      <c r="AJ17" s="4" t="n">
        <v>44245826.9992318</v>
      </c>
      <c r="AK17" s="4" t="n">
        <v>45472770.2519997</v>
      </c>
      <c r="AL17" s="4" t="n">
        <v>38842949.5142</v>
      </c>
      <c r="AM17" s="4" t="n">
        <v>31733831.7013887</v>
      </c>
      <c r="AN17" s="4" t="n">
        <v>10777445.5119044</v>
      </c>
      <c r="AO17" s="4" t="n">
        <v>41521496.813339</v>
      </c>
      <c r="AP17" s="1" t="n">
        <v>44028461.4992384</v>
      </c>
      <c r="AQ17" s="1" t="n">
        <v>45520325.4233769</v>
      </c>
      <c r="AR17" s="1" t="n">
        <v>46664187.4696031</v>
      </c>
      <c r="AS17" s="1" t="n">
        <v>32695142.7132526</v>
      </c>
      <c r="AT17" s="1" t="n">
        <v>63442697.2864158</v>
      </c>
      <c r="AU17" s="1" t="n">
        <v>67172964.603524</v>
      </c>
      <c r="AV17" s="1" t="n">
        <v>44245826.9992318</v>
      </c>
      <c r="AW17" s="1" t="n">
        <v>45472770.2519997</v>
      </c>
      <c r="AX17" s="1" t="n">
        <v>38842949.5142</v>
      </c>
      <c r="AY17" s="1" t="n">
        <v>31733831.7013887</v>
      </c>
      <c r="AZ17" s="1" t="n">
        <v>10777445.5119044</v>
      </c>
      <c r="BA17" s="1"/>
    </row>
    <row r="18">
      <c r="A18" t="str">
        <f>M18</f>
      </c>
      <c r="B18" t="str">
        <f>N18</f>
      </c>
      <c r="M18" t="s">
        <v>43</v>
      </c>
      <c r="N18" t="s">
        <v>46</v>
      </c>
      <c r="O18" s="4" t="n">
        <v>308718978.944452</v>
      </c>
      <c r="P18" s="4" t="n">
        <v>343540074.315467</v>
      </c>
      <c r="Q18" s="4" t="n">
        <v>416074998.838444</v>
      </c>
      <c r="R18" s="4" t="n">
        <v>471472029.349693</v>
      </c>
      <c r="S18" s="4" t="n">
        <v>434811750.493179</v>
      </c>
      <c r="T18" s="4" t="n">
        <v>451933422.676497</v>
      </c>
      <c r="U18" s="4" t="n">
        <v>473058624.382973</v>
      </c>
      <c r="V18" s="4" t="n">
        <v>486318835.469104</v>
      </c>
      <c r="W18" s="4" t="n">
        <v>872516275.206536</v>
      </c>
      <c r="X18" s="4" t="n">
        <v>922090913.583975</v>
      </c>
      <c r="Y18" s="4" t="n">
        <v>1158986446.0414</v>
      </c>
      <c r="Z18" s="4" t="n">
        <v>1290522696.13898</v>
      </c>
      <c r="AA18" s="4" t="n">
        <v>1878486639.5132</v>
      </c>
      <c r="AB18" s="4" t="n">
        <v>1154026568.77312</v>
      </c>
      <c r="AC18" s="4" t="n">
        <v>1094659920.35994</v>
      </c>
      <c r="AD18" s="4" t="n">
        <v>921689438.301777</v>
      </c>
      <c r="AE18" s="4" t="n">
        <v>604419753.871751</v>
      </c>
      <c r="AF18" s="4" t="n">
        <v>181149376.626168</v>
      </c>
      <c r="AG18" s="4" t="n">
        <v>158780170.791813</v>
      </c>
      <c r="AH18" s="4" t="n">
        <v>336378369.740387</v>
      </c>
      <c r="AI18" s="4" t="n">
        <v>354946318.961963</v>
      </c>
      <c r="AJ18" s="4" t="n">
        <v>368677671.953866</v>
      </c>
      <c r="AK18" s="4" t="n">
        <v>357469373.897752</v>
      </c>
      <c r="AL18" s="4" t="n">
        <v>447545003.1791</v>
      </c>
      <c r="AM18" s="4" t="n">
        <v>285342860.618438</v>
      </c>
      <c r="AN18" s="4" t="n">
        <v>18251061.2698894</v>
      </c>
      <c r="AO18" s="4" t="n">
        <v>1094659920.35994</v>
      </c>
      <c r="AP18" s="1" t="n">
        <v>921689438.301777</v>
      </c>
      <c r="AQ18" s="1" t="n">
        <v>604419753.871751</v>
      </c>
      <c r="AR18" s="1" t="n">
        <v>181149376.626168</v>
      </c>
      <c r="AS18" s="1" t="n">
        <v>158780170.791813</v>
      </c>
      <c r="AT18" s="1" t="n">
        <v>336378369.740387</v>
      </c>
      <c r="AU18" s="1" t="n">
        <v>354946318.961963</v>
      </c>
      <c r="AV18" s="1" t="n">
        <v>368677671.953866</v>
      </c>
      <c r="AW18" s="1" t="n">
        <v>357469373.897752</v>
      </c>
      <c r="AX18" s="1" t="n">
        <v>447545003.1791</v>
      </c>
      <c r="AY18" s="1" t="n">
        <v>285342860.618438</v>
      </c>
      <c r="AZ18" s="1" t="n">
        <v>18251061.2698894</v>
      </c>
      <c r="BA18" s="1"/>
    </row>
    <row r="19">
      <c r="A19" t="str">
        <f>M19</f>
      </c>
      <c r="B19" t="str">
        <f>N19</f>
      </c>
      <c r="M19" t="s">
        <v>43</v>
      </c>
      <c r="N19" t="s">
        <v>47</v>
      </c>
      <c r="O19" s="4" t="n">
        <v>435585928.089829</v>
      </c>
      <c r="P19" s="4" t="n">
        <v>413514444.047229</v>
      </c>
      <c r="Q19" s="4" t="n">
        <v>654902336.049422</v>
      </c>
      <c r="R19" s="4" t="n">
        <v>927025678.833228</v>
      </c>
      <c r="S19" s="4" t="n">
        <v>1521227479.27289</v>
      </c>
      <c r="T19" s="4" t="n">
        <v>1175522364.42789</v>
      </c>
      <c r="U19" s="4" t="n">
        <v>1444363356.47126</v>
      </c>
      <c r="V19" s="4" t="n">
        <v>2081947423.95999</v>
      </c>
      <c r="W19" s="4" t="n">
        <v>2160940643.64908</v>
      </c>
      <c r="X19" s="4" t="n">
        <v>3307120361.97606</v>
      </c>
      <c r="Y19" s="4" t="n">
        <v>3848294216.45748</v>
      </c>
      <c r="Z19" s="4" t="n">
        <v>4243909100.94474</v>
      </c>
      <c r="AA19" s="4" t="n">
        <v>2755635668.51312</v>
      </c>
      <c r="AB19" s="4" t="n">
        <v>2462230157.40958</v>
      </c>
      <c r="AC19" s="4" t="n">
        <v>2630551145.39074</v>
      </c>
      <c r="AD19" s="4" t="n">
        <v>2367406705.41658</v>
      </c>
      <c r="AE19" s="4" t="n">
        <v>2391172107.94366</v>
      </c>
      <c r="AF19" s="4" t="n">
        <v>2338066324.70388</v>
      </c>
      <c r="AG19" s="4" t="n">
        <v>2689552133.31775</v>
      </c>
      <c r="AH19" s="4" t="n">
        <v>2669541997.99744</v>
      </c>
      <c r="AI19" s="4" t="n">
        <v>2547286140.06595</v>
      </c>
      <c r="AJ19" s="4" t="n">
        <v>2806270506.23597</v>
      </c>
      <c r="AK19" s="4" t="n">
        <v>3040812308.48971</v>
      </c>
      <c r="AL19" s="4" t="n">
        <v>2831710791.6156</v>
      </c>
      <c r="AM19" s="4" t="n">
        <v>2843464775.75039</v>
      </c>
      <c r="AN19" s="4" t="n">
        <v>1681512639.63083</v>
      </c>
      <c r="AO19" s="4" t="n">
        <v>2630551145.39074</v>
      </c>
      <c r="AP19" s="1" t="n">
        <v>2367406705.41658</v>
      </c>
      <c r="AQ19" s="1" t="n">
        <v>2391172107.94366</v>
      </c>
      <c r="AR19" s="1" t="n">
        <v>2338066324.70388</v>
      </c>
      <c r="AS19" s="1" t="n">
        <v>2689552133.31775</v>
      </c>
      <c r="AT19" s="1" t="n">
        <v>2669541997.99744</v>
      </c>
      <c r="AU19" s="1" t="n">
        <v>2547286140.06595</v>
      </c>
      <c r="AV19" s="1" t="n">
        <v>2806270506.23597</v>
      </c>
      <c r="AW19" s="1" t="n">
        <v>3040812308.48971</v>
      </c>
      <c r="AX19" s="1" t="n">
        <v>2831710791.6156</v>
      </c>
      <c r="AY19" s="1" t="n">
        <v>2843464775.75039</v>
      </c>
      <c r="AZ19" s="1" t="n">
        <v>1681512639.63083</v>
      </c>
      <c r="BA19" s="1"/>
    </row>
    <row r="20">
      <c r="A20" t="str">
        <f>M20</f>
      </c>
      <c r="B20" t="str">
        <f>N20</f>
      </c>
      <c r="M20" t="s">
        <v>43</v>
      </c>
      <c r="N20" t="s">
        <v>48</v>
      </c>
      <c r="O20" s="4" t="n">
        <v>153913.105153934</v>
      </c>
      <c r="P20" s="4" t="n">
        <v>8155927.23137624</v>
      </c>
      <c r="Q20" s="4" t="n">
        <v>9667184.49943569</v>
      </c>
      <c r="R20" s="4" t="n">
        <v>-301374.482989195</v>
      </c>
      <c r="S20" s="4" t="n">
        <v>-295688.921275659</v>
      </c>
      <c r="T20" s="4" t="n">
        <v>20381.0487374817</v>
      </c>
      <c r="U20" s="4"/>
      <c r="V20" s="4"/>
      <c r="W20" s="4"/>
      <c r="X20" s="4" t="n">
        <v>0</v>
      </c>
      <c r="Y20" s="4"/>
      <c r="Z20" s="4" t="n">
        <v>-120132.532471934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>
      <c r="A21" t="str">
        <f>M21</f>
      </c>
      <c r="B21" t="str">
        <f>N21</f>
      </c>
      <c r="M21"/>
      <c r="N21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 t="n">
        <v>0</v>
      </c>
      <c r="AO21" s="4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 t="n">
        <v>0</v>
      </c>
      <c r="BA21" s="1"/>
    </row>
    <row r="22">
      <c r="A22" t="str">
        <f>M22</f>
      </c>
      <c r="B22" t="str">
        <f>N22</f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0</v>
      </c>
      <c r="O1" t="s">
        <v>1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>
      <c r="A2" t="str">
        <f>N2</f>
      </c>
      <c r="B2" t="str">
        <f>O2</f>
      </c>
      <c r="N2" t="s">
        <v>40</v>
      </c>
      <c r="O2" t="s">
        <v>41</v>
      </c>
      <c r="P2" s="2" t="n">
        <v>3251862381</v>
      </c>
      <c r="Q2" s="2" t="n">
        <v>3518855223</v>
      </c>
      <c r="R2" s="2" t="n">
        <v>4915249579.2</v>
      </c>
      <c r="S2" s="2" t="n">
        <v>4849479384</v>
      </c>
      <c r="T2" s="2" t="n">
        <v>5437731135.15</v>
      </c>
      <c r="U2" s="2" t="n">
        <v>5984444761.58</v>
      </c>
      <c r="V2" s="2" t="n">
        <v>6593434751.27</v>
      </c>
      <c r="W2" s="2" t="n">
        <v>7455784926.57</v>
      </c>
      <c r="X2" s="2" t="n">
        <v>7800476864.15</v>
      </c>
      <c r="Y2" s="2" t="n">
        <v>8798191743.89</v>
      </c>
      <c r="Z2" s="2" t="n">
        <v>8447253075.4352</v>
      </c>
      <c r="AA2" s="2" t="n">
        <v>7735536187.7055</v>
      </c>
      <c r="AB2" s="2" t="n">
        <v>8966336789.0336</v>
      </c>
      <c r="AC2" s="2" t="n">
        <v>9101073453.0635</v>
      </c>
      <c r="AD2" s="2" t="n">
        <v>6091575018.4066</v>
      </c>
      <c r="AE2" s="2" t="n">
        <v>7787957864.286</v>
      </c>
      <c r="AF2" s="2" t="n">
        <v>8199776709.5911</v>
      </c>
      <c r="AG2" s="2" t="n">
        <v>6475900735.2383</v>
      </c>
      <c r="AH2" s="2" t="n">
        <v>12094357103.19</v>
      </c>
      <c r="AI2" s="2" t="n">
        <v>12217420629.34</v>
      </c>
      <c r="AJ2" s="2" t="n">
        <v>17599995429.09</v>
      </c>
      <c r="AK2" s="2" t="n">
        <v>10407363452.7</v>
      </c>
      <c r="AL2" s="2" t="n">
        <v>11582883734.54</v>
      </c>
      <c r="AM2" s="2" t="n">
        <v>10420097930.52</v>
      </c>
      <c r="AN2" s="2" t="n">
        <v>10644505986.18</v>
      </c>
      <c r="AO2" s="2" t="n">
        <v>4138381324.25</v>
      </c>
      <c r="AP2" s="2"/>
    </row>
    <row r="3">
      <c r="A3" t="str">
        <f>N3</f>
      </c>
      <c r="B3" t="str">
        <f>O3</f>
      </c>
      <c r="N3" t="s">
        <v>40</v>
      </c>
      <c r="O3" t="s">
        <v>42</v>
      </c>
      <c r="P3" s="2" t="n">
        <v>10227484</v>
      </c>
      <c r="Q3" s="2" t="n">
        <v>12558571.4</v>
      </c>
      <c r="R3" s="2" t="n">
        <v>24807377</v>
      </c>
      <c r="S3" s="2" t="n">
        <v>31575619</v>
      </c>
      <c r="T3" s="2" t="n">
        <v>23444564</v>
      </c>
      <c r="U3" s="2" t="n">
        <v>12465506</v>
      </c>
      <c r="V3" s="2" t="n">
        <v>8009184.79</v>
      </c>
      <c r="W3" s="2" t="n">
        <v>7762929.62</v>
      </c>
      <c r="X3" s="2" t="n">
        <v>48101078</v>
      </c>
      <c r="Y3" s="2" t="n">
        <v>41447953.43</v>
      </c>
      <c r="Z3" s="2" t="n">
        <v>3573906.3118</v>
      </c>
      <c r="AA3" s="2" t="n">
        <v>6539820.1623</v>
      </c>
      <c r="AB3" s="2" t="n">
        <v>4092593.4833</v>
      </c>
      <c r="AC3" s="2" t="n">
        <v>4394042.64</v>
      </c>
      <c r="AD3" s="2" t="n">
        <v>4258293.18</v>
      </c>
      <c r="AE3" s="2" t="n">
        <v>3721235.09</v>
      </c>
      <c r="AF3" s="2" t="n">
        <v>2391109.8413</v>
      </c>
      <c r="AG3" s="2" t="n">
        <v>2492327.6012</v>
      </c>
      <c r="AH3" s="2" t="n">
        <v>4107554.95</v>
      </c>
      <c r="AI3" s="2" t="n">
        <v>2097509.38</v>
      </c>
      <c r="AJ3" s="2" t="n">
        <v>1387512.11</v>
      </c>
      <c r="AK3" s="2" t="n">
        <v>1516959.9</v>
      </c>
      <c r="AL3" s="2" t="n">
        <v>305776.96</v>
      </c>
      <c r="AM3" s="2" t="n">
        <v>383503.34</v>
      </c>
      <c r="AN3" s="2" t="n">
        <v>175876.92</v>
      </c>
      <c r="AO3" s="2" t="n">
        <v>3030948.5</v>
      </c>
      <c r="AP3" s="2"/>
    </row>
    <row r="4">
      <c r="A4" t="str">
        <f>N4</f>
      </c>
      <c r="B4" t="str">
        <f>O4</f>
      </c>
      <c r="N4" t="s">
        <v>43</v>
      </c>
      <c r="O4" t="s">
        <v>44</v>
      </c>
      <c r="P4" s="2"/>
      <c r="Q4" s="2" t="n">
        <v>1324375</v>
      </c>
      <c r="R4" s="2" t="n">
        <v>-295030</v>
      </c>
      <c r="S4" s="2"/>
      <c r="T4" s="2"/>
      <c r="U4" s="2" t="n">
        <v>499872</v>
      </c>
      <c r="V4" s="2"/>
      <c r="W4" s="2"/>
      <c r="X4" s="2"/>
      <c r="Y4" s="2"/>
      <c r="Z4" s="2" t="n">
        <v>344518.3672</v>
      </c>
      <c r="AA4" s="2" t="n">
        <v>24925685.8837</v>
      </c>
      <c r="AB4" s="2" t="n">
        <v>119119932.0552</v>
      </c>
      <c r="AC4" s="2" t="n">
        <v>145346464.62</v>
      </c>
      <c r="AD4" s="2" t="n">
        <v>218094210.68</v>
      </c>
      <c r="AE4" s="2" t="n">
        <v>220320527.27</v>
      </c>
      <c r="AF4" s="2" t="n">
        <v>323336362.3058</v>
      </c>
      <c r="AG4" s="2" t="n">
        <v>252881989.1743</v>
      </c>
      <c r="AH4" s="2" t="n">
        <v>244734668.0218</v>
      </c>
      <c r="AI4" s="2" t="n">
        <v>244615992.7717</v>
      </c>
      <c r="AJ4" s="2" t="n">
        <v>211126715.6115</v>
      </c>
      <c r="AK4" s="2" t="n">
        <v>190252183.5236</v>
      </c>
      <c r="AL4" s="2" t="n">
        <v>159594051.9031</v>
      </c>
      <c r="AM4" s="2" t="n">
        <v>150181620.8418</v>
      </c>
      <c r="AN4" s="2" t="n">
        <v>137350660.34</v>
      </c>
      <c r="AO4" s="2" t="n">
        <v>51948287.3</v>
      </c>
      <c r="AP4" s="2"/>
    </row>
    <row r="5">
      <c r="A5" t="str">
        <f>N5</f>
      </c>
      <c r="B5" t="str">
        <f>O5</f>
      </c>
      <c r="N5" t="s">
        <v>43</v>
      </c>
      <c r="O5" t="s">
        <v>45</v>
      </c>
      <c r="P5" s="2" t="n">
        <v>8082321</v>
      </c>
      <c r="Q5" s="2" t="n">
        <v>11000448</v>
      </c>
      <c r="R5" s="2" t="n">
        <v>34382284.625</v>
      </c>
      <c r="S5" s="2" t="n">
        <v>62848381.0938</v>
      </c>
      <c r="T5" s="2" t="n">
        <v>126092472.4297</v>
      </c>
      <c r="U5" s="2" t="n">
        <v>161058983</v>
      </c>
      <c r="V5" s="2" t="n">
        <v>218467563.8945</v>
      </c>
      <c r="W5" s="2" t="n">
        <v>321159938.8342</v>
      </c>
      <c r="X5" s="2" t="n">
        <v>321805322.4098</v>
      </c>
      <c r="Y5" s="2" t="n">
        <v>328023043.1692</v>
      </c>
      <c r="Z5" s="2" t="n">
        <v>281055826.7547</v>
      </c>
      <c r="AA5" s="2" t="n">
        <v>168244624.2278</v>
      </c>
      <c r="AB5" s="2" t="n">
        <v>51159615.3689</v>
      </c>
      <c r="AC5" s="2" t="n">
        <v>39641094.2833</v>
      </c>
      <c r="AD5" s="2" t="n">
        <v>32844398.56</v>
      </c>
      <c r="AE5" s="2" t="n">
        <v>35188143.7203</v>
      </c>
      <c r="AF5" s="2" t="n">
        <v>36671326.29</v>
      </c>
      <c r="AG5" s="2" t="n">
        <v>38227400.2299</v>
      </c>
      <c r="AH5" s="2" t="n">
        <v>27378532.7213</v>
      </c>
      <c r="AI5" s="2" t="n">
        <v>54108455.9005</v>
      </c>
      <c r="AJ5" s="2" t="n">
        <v>58038277.8552</v>
      </c>
      <c r="AK5" s="2" t="n">
        <v>39544685.2267</v>
      </c>
      <c r="AL5" s="2" t="n">
        <v>43483546.092</v>
      </c>
      <c r="AM5" s="2" t="n">
        <v>38842949.5142</v>
      </c>
      <c r="AN5" s="2" t="n">
        <v>32581315.03</v>
      </c>
      <c r="AO5" s="2" t="n">
        <v>11308062.76</v>
      </c>
      <c r="AP5" s="2"/>
    </row>
    <row r="6">
      <c r="A6" t="str">
        <f>N6</f>
      </c>
      <c r="B6" t="str">
        <f>O6</f>
      </c>
      <c r="N6" t="s">
        <v>43</v>
      </c>
      <c r="O6" t="s">
        <v>46</v>
      </c>
      <c r="P6" s="2" t="n">
        <v>183633039</v>
      </c>
      <c r="Q6" s="2" t="n">
        <v>209298561</v>
      </c>
      <c r="R6" s="2" t="n">
        <v>257477721</v>
      </c>
      <c r="S6" s="2" t="n">
        <v>297359151</v>
      </c>
      <c r="T6" s="2" t="n">
        <v>280933913</v>
      </c>
      <c r="U6" s="2" t="n">
        <v>300881701</v>
      </c>
      <c r="V6" s="2" t="n">
        <v>325176941</v>
      </c>
      <c r="W6" s="2" t="n">
        <v>343494797.9365</v>
      </c>
      <c r="X6" s="2" t="n">
        <v>629066579.9296</v>
      </c>
      <c r="Y6" s="2" t="n">
        <v>671607300.5139</v>
      </c>
      <c r="Z6" s="2" t="n">
        <v>851461493.5618</v>
      </c>
      <c r="AA6" s="2" t="n">
        <v>967125552.2835</v>
      </c>
      <c r="AB6" s="2" t="n">
        <v>1433294384.6745</v>
      </c>
      <c r="AC6" s="2" t="n">
        <v>896504788.6801</v>
      </c>
      <c r="AD6" s="2" t="n">
        <v>865899581.4527</v>
      </c>
      <c r="AE6" s="2" t="n">
        <v>736626702.7297</v>
      </c>
      <c r="AF6" s="2" t="n">
        <v>486922573.6899</v>
      </c>
      <c r="AG6" s="2" t="n">
        <v>148397949.2024</v>
      </c>
      <c r="AH6" s="2" t="n">
        <v>132960670.6306</v>
      </c>
      <c r="AI6" s="2" t="n">
        <v>286887458.5015</v>
      </c>
      <c r="AJ6" s="2" t="n">
        <v>306678039.3747</v>
      </c>
      <c r="AK6" s="2" t="n">
        <v>329505480.5458</v>
      </c>
      <c r="AL6" s="2" t="n">
        <v>341831736.0086</v>
      </c>
      <c r="AM6" s="2" t="n">
        <v>447545003.1791</v>
      </c>
      <c r="AN6" s="2" t="n">
        <v>292963223.63</v>
      </c>
      <c r="AO6" s="2" t="n">
        <v>19149634.86</v>
      </c>
      <c r="AP6" s="2"/>
    </row>
    <row r="7">
      <c r="A7" t="str">
        <f>N7</f>
      </c>
      <c r="B7" t="str">
        <f>O7</f>
      </c>
      <c r="N7" t="s">
        <v>43</v>
      </c>
      <c r="O7" t="s">
        <v>47</v>
      </c>
      <c r="P7" s="2" t="n">
        <v>259096373</v>
      </c>
      <c r="Q7" s="2" t="n">
        <v>251929788</v>
      </c>
      <c r="R7" s="2" t="n">
        <v>405270111</v>
      </c>
      <c r="S7" s="2" t="n">
        <v>584678521</v>
      </c>
      <c r="T7" s="2" t="n">
        <v>982872215</v>
      </c>
      <c r="U7" s="2" t="n">
        <v>782622286.4375</v>
      </c>
      <c r="V7" s="2" t="n">
        <v>992844509.6259</v>
      </c>
      <c r="W7" s="2" t="n">
        <v>1470512876.6352</v>
      </c>
      <c r="X7" s="2" t="n">
        <v>1557994479.598</v>
      </c>
      <c r="Y7" s="2" t="n">
        <v>2408749664.5514</v>
      </c>
      <c r="Z7" s="2" t="n">
        <v>2827189526.1604</v>
      </c>
      <c r="AA7" s="2" t="n">
        <v>3180411274.7275</v>
      </c>
      <c r="AB7" s="2" t="n">
        <v>2102563333.0627</v>
      </c>
      <c r="AC7" s="2" t="n">
        <v>1912781894.8718</v>
      </c>
      <c r="AD7" s="2" t="n">
        <v>2080822631.2285</v>
      </c>
      <c r="AE7" s="2" t="n">
        <v>1892063555.2083</v>
      </c>
      <c r="AF7" s="2" t="n">
        <v>1926336241.4566</v>
      </c>
      <c r="AG7" s="2" t="n">
        <v>1915348836.1225</v>
      </c>
      <c r="AH7" s="2" t="n">
        <v>2252199714.6027</v>
      </c>
      <c r="AI7" s="2" t="n">
        <v>2276775762.2453</v>
      </c>
      <c r="AJ7" s="2" t="n">
        <v>2200886943.824</v>
      </c>
      <c r="AK7" s="2" t="n">
        <v>2508102828.1379</v>
      </c>
      <c r="AL7" s="2" t="n">
        <v>2907790782.0564</v>
      </c>
      <c r="AM7" s="2" t="n">
        <v>2831710791.6156</v>
      </c>
      <c r="AN7" s="2" t="n">
        <v>2919402311.93</v>
      </c>
      <c r="AO7" s="2" t="n">
        <v>1764300310.28</v>
      </c>
      <c r="AP7" s="2"/>
    </row>
    <row r="8">
      <c r="A8" t="str">
        <f>N8</f>
      </c>
      <c r="B8" t="str">
        <f>O8</f>
      </c>
      <c r="N8" t="s">
        <v>43</v>
      </c>
      <c r="O8" t="s">
        <v>48</v>
      </c>
      <c r="P8" s="2" t="n">
        <v>91551</v>
      </c>
      <c r="Q8" s="2" t="n">
        <v>4968922</v>
      </c>
      <c r="R8" s="2" t="n">
        <v>5982298</v>
      </c>
      <c r="S8" s="2" t="n">
        <v>-190078</v>
      </c>
      <c r="T8" s="2" t="n">
        <v>-191046</v>
      </c>
      <c r="U8" s="2" t="n">
        <v>13569</v>
      </c>
      <c r="V8" s="2"/>
      <c r="W8" s="2"/>
      <c r="X8" s="2"/>
      <c r="Y8" s="2" t="n">
        <v>0</v>
      </c>
      <c r="Z8" s="2"/>
      <c r="AA8" s="2" t="n">
        <v>-90028.05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>
      <c r="A9" t="str">
        <f>N9</f>
      </c>
      <c r="B9" t="str">
        <f>O9</f>
      </c>
      <c r="N9"/>
      <c r="O9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 t="n">
        <v>0</v>
      </c>
      <c r="AP9" s="2"/>
    </row>
    <row r="10">
      <c r="A10" t="str">
        <f>N10</f>
      </c>
      <c r="B10" t="str">
        <f>O10</f>
      </c>
      <c r="N10" t="s">
        <v>49</v>
      </c>
      <c r="O10" t="s">
        <v>50</v>
      </c>
      <c r="P10" s="2" t="str">
        <f>Sum(P2:P9)</f>
      </c>
      <c r="Q10" s="2" t="str">
        <f>Sum(Q2:Q9)</f>
      </c>
      <c r="R10" s="2" t="str">
        <f>Sum(R2:R9)</f>
      </c>
      <c r="S10" s="2" t="str">
        <f>Sum(S2:S9)</f>
      </c>
      <c r="T10" s="2" t="str">
        <f>Sum(T2:T9)</f>
      </c>
      <c r="U10" s="2" t="str">
        <f>Sum(U2:U9)</f>
      </c>
      <c r="V10" s="2" t="str">
        <f>Sum(V2:V9)</f>
      </c>
      <c r="W10" s="2" t="str">
        <f>Sum(W2:W9)</f>
      </c>
      <c r="X10" s="2" t="str">
        <f>Sum(X2:X9)</f>
      </c>
      <c r="Y10" s="2" t="str">
        <f>Sum(Y2:Y9)</f>
      </c>
      <c r="Z10" s="2" t="str">
        <f>Sum(Z2:Z9)</f>
      </c>
      <c r="AA10" s="2" t="str">
        <f>Sum(AA2:AA9)</f>
      </c>
      <c r="AB10" s="2" t="str">
        <f>Sum(AB2:AB9)</f>
      </c>
      <c r="AC10" s="2" t="str">
        <f>Sum(AC2:AC9)</f>
      </c>
      <c r="AD10" s="2" t="str">
        <f>Sum(AD2:AD9)</f>
      </c>
      <c r="AE10" s="2" t="str">
        <f>Sum(AE2:AE9)</f>
      </c>
      <c r="AF10" s="2" t="str">
        <f>Sum(AF2:AF9)</f>
      </c>
      <c r="AG10" s="2" t="str">
        <f>Sum(AG2:AG9)</f>
      </c>
      <c r="AH10" s="2" t="str">
        <f>Sum(AH2:AH9)</f>
      </c>
      <c r="AI10" s="2" t="str">
        <f>Sum(AI2:AI9)</f>
      </c>
      <c r="AJ10" s="2" t="str">
        <f>Sum(AJ2:AJ9)</f>
      </c>
      <c r="AK10" s="2" t="str">
        <f>Sum(AK2:AK9)</f>
      </c>
      <c r="AL10" s="2" t="str">
        <f>Sum(AL2:AL9)</f>
      </c>
      <c r="AM10" s="2" t="str">
        <f>Sum(AM2:AM9)</f>
      </c>
      <c r="AN10" s="2" t="str">
        <f>Sum(AN2:AN9)</f>
      </c>
      <c r="AO10" s="2" t="str">
        <f>Sum(AO2:AO9)</f>
      </c>
      <c r="AP10" s="2"/>
    </row>
    <row r="13">
      <c r="A13" t="str">
        <f>N13</f>
      </c>
      <c r="B13" t="str">
        <f>O13</f>
      </c>
      <c r="N13" t="s">
        <v>0</v>
      </c>
      <c r="O13" t="s">
        <v>1</v>
      </c>
      <c r="P13" t="s">
        <v>14</v>
      </c>
      <c r="Q13" t="s">
        <v>15</v>
      </c>
      <c r="R13" t="s">
        <v>16</v>
      </c>
      <c r="S13" t="s">
        <v>17</v>
      </c>
      <c r="T13" t="s">
        <v>18</v>
      </c>
      <c r="U13" t="s">
        <v>19</v>
      </c>
      <c r="V13" t="s">
        <v>20</v>
      </c>
      <c r="W13" t="s">
        <v>21</v>
      </c>
      <c r="X13" t="s">
        <v>22</v>
      </c>
      <c r="Y13" t="s">
        <v>23</v>
      </c>
      <c r="Z13" t="s">
        <v>24</v>
      </c>
      <c r="AA13" t="s">
        <v>25</v>
      </c>
      <c r="AB13" t="s">
        <v>26</v>
      </c>
      <c r="AC13" t="s">
        <v>27</v>
      </c>
      <c r="AD13" t="s">
        <v>28</v>
      </c>
      <c r="AE13" t="s">
        <v>29</v>
      </c>
      <c r="AF13" t="s">
        <v>30</v>
      </c>
      <c r="AG13" t="s">
        <v>31</v>
      </c>
      <c r="AH13" t="s">
        <v>32</v>
      </c>
      <c r="AI13" t="s">
        <v>33</v>
      </c>
      <c r="AJ13" t="s">
        <v>34</v>
      </c>
      <c r="AK13" t="s">
        <v>35</v>
      </c>
      <c r="AL13" t="s">
        <v>36</v>
      </c>
      <c r="AM13" t="s">
        <v>37</v>
      </c>
      <c r="AN13" t="s">
        <v>38</v>
      </c>
      <c r="AO13" t="s">
        <v>39</v>
      </c>
    </row>
    <row r="14">
      <c r="A14" t="str">
        <f>N14</f>
      </c>
      <c r="B14" t="str">
        <f>O14</f>
      </c>
      <c r="N14" t="s">
        <v>40</v>
      </c>
      <c r="O14" t="s">
        <v>41</v>
      </c>
      <c r="P14" s="2" t="n">
        <v>5466944507.35629</v>
      </c>
      <c r="Q14" s="2" t="n">
        <v>5775805524.12298</v>
      </c>
      <c r="R14" s="2" t="n">
        <v>7942871542.49087</v>
      </c>
      <c r="S14" s="2" t="n">
        <v>7688997896.23081</v>
      </c>
      <c r="T14" s="2" t="n">
        <v>8416176489.11555</v>
      </c>
      <c r="U14" s="2" t="n">
        <v>8988817182.73483</v>
      </c>
      <c r="V14" s="2" t="n">
        <v>9591950658.62519</v>
      </c>
      <c r="W14" s="2" t="n">
        <v>10555876434.7515</v>
      </c>
      <c r="X14" s="2" t="n">
        <v>10819272928.3196</v>
      </c>
      <c r="Y14" s="2" t="n">
        <v>12079577837.827</v>
      </c>
      <c r="Z14" s="2" t="n">
        <v>11498173311.1109</v>
      </c>
      <c r="AA14" s="2" t="n">
        <v>10322222376.8854</v>
      </c>
      <c r="AB14" s="2" t="n">
        <v>11751349927.6008</v>
      </c>
      <c r="AC14" s="2" t="n">
        <v>11715364716.1819</v>
      </c>
      <c r="AD14" s="2" t="n">
        <v>7700896463.45423</v>
      </c>
      <c r="AE14" s="2" t="n">
        <v>9744526614.1616</v>
      </c>
      <c r="AF14" s="2" t="n">
        <v>10178429361.0727</v>
      </c>
      <c r="AG14" s="2" t="n">
        <v>7905132029.02397</v>
      </c>
      <c r="AH14" s="2" t="n">
        <v>14442948259.4662</v>
      </c>
      <c r="AI14" s="2" t="n">
        <v>14325045978.6428</v>
      </c>
      <c r="AJ14" s="2" t="n">
        <v>20370071505.7403</v>
      </c>
      <c r="AK14" s="2" t="n">
        <v>11644609135.3733</v>
      </c>
      <c r="AL14" s="2" t="n">
        <v>12112761222.417</v>
      </c>
      <c r="AM14" s="2" t="n">
        <v>10420097930.52</v>
      </c>
      <c r="AN14" s="2" t="n">
        <v>10367628231.053</v>
      </c>
      <c r="AO14" s="2" t="n">
        <v>3944192756.63687</v>
      </c>
      <c r="AP14" s="2"/>
    </row>
    <row r="15">
      <c r="A15" t="str">
        <f>N15</f>
      </c>
      <c r="B15" t="str">
        <f>O15</f>
      </c>
      <c r="N15" t="s">
        <v>40</v>
      </c>
      <c r="O15" t="s">
        <v>42</v>
      </c>
      <c r="P15" s="2" t="n">
        <v>17194173.9615316</v>
      </c>
      <c r="Q15" s="2" t="n">
        <v>20613484.0652445</v>
      </c>
      <c r="R15" s="2" t="n">
        <v>40087854.2670488</v>
      </c>
      <c r="S15" s="2" t="n">
        <v>50064109.740153</v>
      </c>
      <c r="T15" s="2" t="n">
        <v>36286014.0434145</v>
      </c>
      <c r="U15" s="2" t="n">
        <v>18723567.3464051</v>
      </c>
      <c r="V15" s="2" t="n">
        <v>11651545.5478943</v>
      </c>
      <c r="W15" s="2" t="n">
        <v>10990730.9086088</v>
      </c>
      <c r="X15" s="2" t="n">
        <v>66716266.2093349</v>
      </c>
      <c r="Y15" s="2" t="n">
        <v>56906441.0336376</v>
      </c>
      <c r="Z15" s="2" t="n">
        <v>4864704.98797417</v>
      </c>
      <c r="AA15" s="2" t="n">
        <v>8726670.83212528</v>
      </c>
      <c r="AB15" s="2" t="n">
        <v>5363784.48247654</v>
      </c>
      <c r="AC15" s="2" t="n">
        <v>5656235.20912547</v>
      </c>
      <c r="AD15" s="2" t="n">
        <v>5383283.43509278</v>
      </c>
      <c r="AE15" s="2" t="n">
        <v>4656121.02735503</v>
      </c>
      <c r="AF15" s="2" t="n">
        <v>2968098.21489047</v>
      </c>
      <c r="AG15" s="2" t="n">
        <v>3042384.30336928</v>
      </c>
      <c r="AH15" s="2" t="n">
        <v>4905196.95338884</v>
      </c>
      <c r="AI15" s="2" t="n">
        <v>2459350.39978711</v>
      </c>
      <c r="AJ15" s="2" t="n">
        <v>1605893.64978272</v>
      </c>
      <c r="AK15" s="2" t="n">
        <v>1697298.76253647</v>
      </c>
      <c r="AL15" s="2" t="n">
        <v>319765.214663415</v>
      </c>
      <c r="AM15" s="2" t="n">
        <v>383503.34</v>
      </c>
      <c r="AN15" s="2" t="n">
        <v>171302.127440207</v>
      </c>
      <c r="AO15" s="2" t="n">
        <v>2888724.88607751</v>
      </c>
      <c r="AP15" s="2"/>
    </row>
    <row r="16">
      <c r="A16" t="str">
        <f>N16</f>
      </c>
      <c r="B16" t="str">
        <f>O16</f>
      </c>
      <c r="N16" t="s">
        <v>43</v>
      </c>
      <c r="O16" t="s">
        <v>44</v>
      </c>
      <c r="P16" s="2"/>
      <c r="Q16" s="2" t="n">
        <v>2173812.77610192</v>
      </c>
      <c r="R16" s="2" t="n">
        <v>-476758.169330333</v>
      </c>
      <c r="S16" s="2"/>
      <c r="T16" s="2"/>
      <c r="U16" s="2" t="n">
        <v>750822.875267333</v>
      </c>
      <c r="V16" s="2"/>
      <c r="W16" s="2"/>
      <c r="X16" s="2"/>
      <c r="Y16" s="2"/>
      <c r="Z16" s="2" t="n">
        <v>468949.11985604</v>
      </c>
      <c r="AA16" s="2" t="n">
        <v>33260586.7705546</v>
      </c>
      <c r="AB16" s="2" t="n">
        <v>156119498.72826</v>
      </c>
      <c r="AC16" s="2" t="n">
        <v>187097362.966317</v>
      </c>
      <c r="AD16" s="2" t="n">
        <v>275712099.194466</v>
      </c>
      <c r="AE16" s="2" t="n">
        <v>275671656.041434</v>
      </c>
      <c r="AF16" s="2" t="n">
        <v>401359261.374315</v>
      </c>
      <c r="AG16" s="2" t="n">
        <v>308693044.244368</v>
      </c>
      <c r="AH16" s="2" t="n">
        <v>292259449.376121</v>
      </c>
      <c r="AI16" s="2" t="n">
        <v>286814659.974202</v>
      </c>
      <c r="AJ16" s="2" t="n">
        <v>244356102.881142</v>
      </c>
      <c r="AK16" s="2" t="n">
        <v>212869697.916515</v>
      </c>
      <c r="AL16" s="2" t="n">
        <v>166894936.315015</v>
      </c>
      <c r="AM16" s="2" t="n">
        <v>150181620.8418</v>
      </c>
      <c r="AN16" s="2" t="n">
        <v>133777987.023876</v>
      </c>
      <c r="AO16" s="2" t="n">
        <v>49510676.3815401</v>
      </c>
      <c r="AP16" s="2"/>
    </row>
    <row r="17">
      <c r="A17" t="str">
        <f>N17</f>
      </c>
      <c r="B17" t="str">
        <f>O17</f>
      </c>
      <c r="N17" t="s">
        <v>43</v>
      </c>
      <c r="O17" t="s">
        <v>45</v>
      </c>
      <c r="P17" s="2" t="n">
        <v>13587783.0057656</v>
      </c>
      <c r="Q17" s="2" t="n">
        <v>18055999.5509163</v>
      </c>
      <c r="R17" s="2" t="n">
        <v>55560570.3664355</v>
      </c>
      <c r="S17" s="2" t="n">
        <v>99648030.5919248</v>
      </c>
      <c r="T17" s="2" t="n">
        <v>195157957.527082</v>
      </c>
      <c r="U17" s="2" t="n">
        <v>241915467.767133</v>
      </c>
      <c r="V17" s="2" t="n">
        <v>317820706.875496</v>
      </c>
      <c r="W17" s="2" t="n">
        <v>454697213.440916</v>
      </c>
      <c r="X17" s="2" t="n">
        <v>446344457.341955</v>
      </c>
      <c r="Y17" s="2" t="n">
        <v>450362983.429516</v>
      </c>
      <c r="Z17" s="2" t="n">
        <v>382565619.529118</v>
      </c>
      <c r="AA17" s="2" t="n">
        <v>224503949.416594</v>
      </c>
      <c r="AB17" s="2" t="n">
        <v>67050185.2101637</v>
      </c>
      <c r="AC17" s="2" t="n">
        <v>51028033.0856015</v>
      </c>
      <c r="AD17" s="2" t="n">
        <v>41521496.813339</v>
      </c>
      <c r="AE17" s="2" t="n">
        <v>44028461.4992384</v>
      </c>
      <c r="AF17" s="2" t="n">
        <v>45520325.4233769</v>
      </c>
      <c r="AG17" s="2" t="n">
        <v>46664187.4696031</v>
      </c>
      <c r="AH17" s="2" t="n">
        <v>32695142.7132526</v>
      </c>
      <c r="AI17" s="2" t="n">
        <v>63442697.2864158</v>
      </c>
      <c r="AJ17" s="2" t="n">
        <v>67172964.603524</v>
      </c>
      <c r="AK17" s="2" t="n">
        <v>44245826.9992318</v>
      </c>
      <c r="AL17" s="2" t="n">
        <v>45472770.2519997</v>
      </c>
      <c r="AM17" s="2" t="n">
        <v>38842949.5142</v>
      </c>
      <c r="AN17" s="2" t="n">
        <v>31733831.7013887</v>
      </c>
      <c r="AO17" s="2" t="n">
        <v>10777445.5119044</v>
      </c>
      <c r="AP17" s="2"/>
    </row>
    <row r="18">
      <c r="A18" t="str">
        <f>N18</f>
      </c>
      <c r="B18" t="str">
        <f>O18</f>
      </c>
      <c r="N18" t="s">
        <v>43</v>
      </c>
      <c r="O18" t="s">
        <v>46</v>
      </c>
      <c r="P18" s="2" t="n">
        <v>308718978.944452</v>
      </c>
      <c r="Q18" s="2" t="n">
        <v>343540074.315467</v>
      </c>
      <c r="R18" s="2" t="n">
        <v>416074998.838444</v>
      </c>
      <c r="S18" s="2" t="n">
        <v>471472029.349693</v>
      </c>
      <c r="T18" s="2" t="n">
        <v>434811750.493179</v>
      </c>
      <c r="U18" s="2" t="n">
        <v>451933422.676497</v>
      </c>
      <c r="V18" s="2" t="n">
        <v>473058624.382973</v>
      </c>
      <c r="W18" s="2" t="n">
        <v>486318835.469104</v>
      </c>
      <c r="X18" s="2" t="n">
        <v>872516275.206536</v>
      </c>
      <c r="Y18" s="2" t="n">
        <v>922090913.583975</v>
      </c>
      <c r="Z18" s="2" t="n">
        <v>1158986446.0414</v>
      </c>
      <c r="AA18" s="2" t="n">
        <v>1290522696.13898</v>
      </c>
      <c r="AB18" s="2" t="n">
        <v>1878486639.5132</v>
      </c>
      <c r="AC18" s="2" t="n">
        <v>1154026568.77312</v>
      </c>
      <c r="AD18" s="2" t="n">
        <v>1094659920.35994</v>
      </c>
      <c r="AE18" s="2" t="n">
        <v>921689438.301777</v>
      </c>
      <c r="AF18" s="2" t="n">
        <v>604419753.871751</v>
      </c>
      <c r="AG18" s="2" t="n">
        <v>181149376.626168</v>
      </c>
      <c r="AH18" s="2" t="n">
        <v>158780170.791813</v>
      </c>
      <c r="AI18" s="2" t="n">
        <v>336378369.740387</v>
      </c>
      <c r="AJ18" s="2" t="n">
        <v>354946318.961963</v>
      </c>
      <c r="AK18" s="2" t="n">
        <v>368677671.953866</v>
      </c>
      <c r="AL18" s="2" t="n">
        <v>357469373.897752</v>
      </c>
      <c r="AM18" s="2" t="n">
        <v>447545003.1791</v>
      </c>
      <c r="AN18" s="2" t="n">
        <v>285342860.618438</v>
      </c>
      <c r="AO18" s="2" t="n">
        <v>18251061.2698894</v>
      </c>
      <c r="AP18" s="2"/>
    </row>
    <row r="19">
      <c r="A19" t="str">
        <f>N19</f>
      </c>
      <c r="B19" t="str">
        <f>O19</f>
      </c>
      <c r="N19" t="s">
        <v>43</v>
      </c>
      <c r="O19" t="s">
        <v>47</v>
      </c>
      <c r="P19" s="2" t="n">
        <v>435585928.089829</v>
      </c>
      <c r="Q19" s="2" t="n">
        <v>413514444.047229</v>
      </c>
      <c r="R19" s="2" t="n">
        <v>654902336.049422</v>
      </c>
      <c r="S19" s="2" t="n">
        <v>927025678.833228</v>
      </c>
      <c r="T19" s="2" t="n">
        <v>1521227479.27289</v>
      </c>
      <c r="U19" s="2" t="n">
        <v>1175522364.42789</v>
      </c>
      <c r="V19" s="2" t="n">
        <v>1444363356.47126</v>
      </c>
      <c r="W19" s="2" t="n">
        <v>2081947423.95999</v>
      </c>
      <c r="X19" s="2" t="n">
        <v>2160940643.64908</v>
      </c>
      <c r="Y19" s="2" t="n">
        <v>3307120361.97606</v>
      </c>
      <c r="Z19" s="2" t="n">
        <v>3848294216.45748</v>
      </c>
      <c r="AA19" s="2" t="n">
        <v>4243909100.94474</v>
      </c>
      <c r="AB19" s="2" t="n">
        <v>2755635668.51312</v>
      </c>
      <c r="AC19" s="2" t="n">
        <v>2462230157.40958</v>
      </c>
      <c r="AD19" s="2" t="n">
        <v>2630551145.39074</v>
      </c>
      <c r="AE19" s="2" t="n">
        <v>2367406705.41658</v>
      </c>
      <c r="AF19" s="2" t="n">
        <v>2391172107.94366</v>
      </c>
      <c r="AG19" s="2" t="n">
        <v>2338066324.70388</v>
      </c>
      <c r="AH19" s="2" t="n">
        <v>2689552133.31775</v>
      </c>
      <c r="AI19" s="2" t="n">
        <v>2669541997.99744</v>
      </c>
      <c r="AJ19" s="2" t="n">
        <v>2547286140.06595</v>
      </c>
      <c r="AK19" s="2" t="n">
        <v>2806270506.23597</v>
      </c>
      <c r="AL19" s="2" t="n">
        <v>3040812308.48971</v>
      </c>
      <c r="AM19" s="2" t="n">
        <v>2831710791.6156</v>
      </c>
      <c r="AN19" s="2" t="n">
        <v>2843464775.75039</v>
      </c>
      <c r="AO19" s="2" t="n">
        <v>1681512639.63083</v>
      </c>
      <c r="AP19" s="2"/>
    </row>
    <row r="20">
      <c r="A20" t="str">
        <f>N20</f>
      </c>
      <c r="B20" t="str">
        <f>O20</f>
      </c>
      <c r="N20" t="s">
        <v>43</v>
      </c>
      <c r="O20" t="s">
        <v>48</v>
      </c>
      <c r="P20" s="2" t="n">
        <v>153913.105153934</v>
      </c>
      <c r="Q20" s="2" t="n">
        <v>8155927.23137624</v>
      </c>
      <c r="R20" s="2" t="n">
        <v>9667184.49943569</v>
      </c>
      <c r="S20" s="2" t="n">
        <v>-301374.482989195</v>
      </c>
      <c r="T20" s="2" t="n">
        <v>-295688.921275659</v>
      </c>
      <c r="U20" s="2" t="n">
        <v>20381.0487374817</v>
      </c>
      <c r="V20" s="2"/>
      <c r="W20" s="2"/>
      <c r="X20" s="2"/>
      <c r="Y20" s="2" t="n">
        <v>0</v>
      </c>
      <c r="Z20" s="2"/>
      <c r="AA20" s="2" t="n">
        <v>-120132.532471934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>
      <c r="A21" t="str">
        <f>N21</f>
      </c>
      <c r="B21" t="str">
        <f>O21</f>
      </c>
      <c r="N21"/>
      <c r="O21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 t="n">
        <v>0</v>
      </c>
      <c r="AP21" s="2"/>
    </row>
    <row r="22">
      <c r="A22" t="str">
        <f>N22</f>
      </c>
      <c r="B22" t="str">
        <f>O22</f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51</v>
      </c>
      <c r="O1" t="s">
        <v>52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>
      <c r="A2" t="str">
        <f>N2</f>
      </c>
      <c r="B2" t="str">
        <f>O2</f>
      </c>
      <c r="N2" t="s">
        <v>53</v>
      </c>
      <c r="O2" t="s">
        <v>54</v>
      </c>
      <c r="P2" s="3" t="n">
        <v>2258472035</v>
      </c>
      <c r="Q2" s="3" t="n">
        <v>2227778718</v>
      </c>
      <c r="R2" s="3" t="n">
        <v>3165389940</v>
      </c>
      <c r="S2" s="3" t="n">
        <v>3318772311</v>
      </c>
      <c r="T2" s="3" t="n">
        <v>3958902160.15</v>
      </c>
      <c r="U2" s="3" t="n">
        <v>4589192937.7</v>
      </c>
      <c r="V2" s="3" t="n">
        <v>4197609391.74</v>
      </c>
      <c r="W2" s="3" t="n">
        <v>4571770918.1769</v>
      </c>
      <c r="X2" s="3" t="n">
        <v>2616277782.6635</v>
      </c>
      <c r="Y2" s="3" t="n">
        <v>3521011420.5948</v>
      </c>
      <c r="Z2" s="3" t="n">
        <v>4357976569.7752</v>
      </c>
      <c r="AA2" s="3" t="n">
        <v>3950897292.2757</v>
      </c>
      <c r="AB2" s="3" t="n">
        <v>4343319145.542</v>
      </c>
      <c r="AC2" s="3" t="n">
        <v>3668028035.3616</v>
      </c>
      <c r="AD2" s="3" t="n">
        <v>3971843078.6123</v>
      </c>
      <c r="AE2" s="3" t="n">
        <v>3469738024.3226</v>
      </c>
      <c r="AF2" s="3" t="n">
        <v>2613901831.1015</v>
      </c>
      <c r="AG2" s="3" t="n">
        <v>3242781255.3691</v>
      </c>
      <c r="AH2" s="3" t="n">
        <v>3033285326.638</v>
      </c>
      <c r="AI2" s="3" t="n">
        <v>3551508970.8017</v>
      </c>
      <c r="AJ2" s="3" t="n">
        <v>4703697747.6719</v>
      </c>
      <c r="AK2" s="3" t="n">
        <v>3396055436.7862</v>
      </c>
      <c r="AL2" s="3" t="n">
        <v>3171290139.9578</v>
      </c>
      <c r="AM2" s="3" t="n">
        <v>3418279083.8942</v>
      </c>
      <c r="AN2" s="3" t="n">
        <v>3577737112.74</v>
      </c>
      <c r="AO2" s="3" t="n">
        <v>1644369125.82</v>
      </c>
      <c r="AP2" s="3"/>
    </row>
    <row r="3">
      <c r="A3" t="str">
        <f>N3</f>
      </c>
      <c r="B3" t="str">
        <f>O3</f>
      </c>
      <c r="N3" t="s">
        <v>53</v>
      </c>
      <c r="O3" t="s">
        <v>55</v>
      </c>
      <c r="P3" s="3" t="n">
        <v>155472987</v>
      </c>
      <c r="Q3" s="3" t="n">
        <v>178015501</v>
      </c>
      <c r="R3" s="3" t="n">
        <v>208249651.825</v>
      </c>
      <c r="S3" s="3" t="n">
        <v>251466396</v>
      </c>
      <c r="T3" s="3" t="n">
        <v>261601277.5938</v>
      </c>
      <c r="U3" s="3" t="n">
        <v>303921923</v>
      </c>
      <c r="V3" s="3" t="n">
        <v>363259346.7657</v>
      </c>
      <c r="W3" s="3" t="n">
        <v>258448775.8967</v>
      </c>
      <c r="X3" s="3" t="n">
        <v>249640954.3308</v>
      </c>
      <c r="Y3" s="3" t="n">
        <v>400302275.1096</v>
      </c>
      <c r="Z3" s="3" t="n">
        <v>592848483.5892</v>
      </c>
      <c r="AA3" s="3" t="n">
        <v>503940646.1008</v>
      </c>
      <c r="AB3" s="3" t="n">
        <v>484366937.5465</v>
      </c>
      <c r="AC3" s="3" t="n">
        <v>398255647.0139</v>
      </c>
      <c r="AD3" s="3" t="n">
        <v>189869901.1531</v>
      </c>
      <c r="AE3" s="3" t="n">
        <v>313780988.2443</v>
      </c>
      <c r="AF3" s="3" t="n">
        <v>207913063.4683</v>
      </c>
      <c r="AG3" s="3" t="n">
        <v>285904919.2223</v>
      </c>
      <c r="AH3" s="3" t="n">
        <v>8390149.2976</v>
      </c>
      <c r="AI3" s="3" t="n">
        <v>2014404.0289</v>
      </c>
      <c r="AJ3" s="3" t="n">
        <v>-78349.072</v>
      </c>
      <c r="AK3" s="3" t="n">
        <v>-412285.4933</v>
      </c>
      <c r="AL3" s="3" t="n">
        <v>-10049869.9713</v>
      </c>
      <c r="AM3" s="3" t="n">
        <v>-5192591.6596</v>
      </c>
      <c r="AN3" s="3" t="n">
        <v>-7258383.52</v>
      </c>
      <c r="AO3" s="3" t="n">
        <v>0</v>
      </c>
      <c r="AP3" s="3"/>
    </row>
    <row r="4">
      <c r="A4" t="str">
        <f>N4</f>
      </c>
      <c r="B4" t="str">
        <f>O4</f>
      </c>
      <c r="N4" t="s">
        <v>56</v>
      </c>
      <c r="O4" t="s">
        <v>57</v>
      </c>
      <c r="P4" s="3"/>
      <c r="Q4" s="3"/>
      <c r="R4" s="3"/>
      <c r="S4" s="3" t="n">
        <v>8050613</v>
      </c>
      <c r="T4" s="3" t="n">
        <v>69113097</v>
      </c>
      <c r="U4" s="3" t="n">
        <v>117706104</v>
      </c>
      <c r="V4" s="3" t="n">
        <v>236927162.5508</v>
      </c>
      <c r="W4" s="3" t="n">
        <v>1673143153.6878</v>
      </c>
      <c r="X4" s="3" t="n">
        <v>3355844226.8011</v>
      </c>
      <c r="Y4" s="3" t="n">
        <v>2309458964.6827</v>
      </c>
      <c r="Z4" s="3" t="n">
        <v>6685018.014</v>
      </c>
      <c r="AA4" s="3" t="n">
        <v>2689783.0686</v>
      </c>
      <c r="AB4" s="3" t="n">
        <v>-730085.4561</v>
      </c>
      <c r="AC4" s="3" t="n">
        <v>-1703738.82</v>
      </c>
      <c r="AD4" s="3" t="n">
        <v>-1213561.52</v>
      </c>
      <c r="AE4" s="3" t="n">
        <v>188650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t="str">
        <f>N5</f>
      </c>
      <c r="B5" t="str">
        <f>O5</f>
      </c>
      <c r="N5" t="s">
        <v>56</v>
      </c>
      <c r="O5" t="s">
        <v>58</v>
      </c>
      <c r="P5" s="3" t="n">
        <v>174918331</v>
      </c>
      <c r="Q5" s="3" t="n">
        <v>718812210</v>
      </c>
      <c r="R5" s="3" t="n">
        <v>1017511382</v>
      </c>
      <c r="S5" s="3" t="n">
        <v>1050564122</v>
      </c>
      <c r="T5" s="3" t="n">
        <v>1243708582</v>
      </c>
      <c r="U5" s="3" t="n">
        <v>1071078896</v>
      </c>
      <c r="V5" s="3" t="n">
        <v>1366468336</v>
      </c>
      <c r="W5" s="3" t="n">
        <v>1070271076.93</v>
      </c>
      <c r="X5" s="3" t="n">
        <v>1140354853.96</v>
      </c>
      <c r="Y5" s="3" t="n">
        <v>1623627975.3848</v>
      </c>
      <c r="Z5" s="3" t="n">
        <v>1584843134.1315</v>
      </c>
      <c r="AA5" s="3" t="n">
        <v>1737118731.3511</v>
      </c>
      <c r="AB5" s="3" t="n">
        <v>3103147699.3477</v>
      </c>
      <c r="AC5" s="3" t="n">
        <v>2066267022.6603</v>
      </c>
      <c r="AD5" s="3" t="n">
        <v>1052899407.1702</v>
      </c>
      <c r="AE5" s="3" t="n">
        <v>739784322.85</v>
      </c>
      <c r="AF5" s="3" t="n">
        <v>1579544248.0312</v>
      </c>
      <c r="AG5" s="3" t="n">
        <v>3188050840.7263</v>
      </c>
      <c r="AH5" s="3" t="n">
        <v>1891091592.2449</v>
      </c>
      <c r="AI5" s="3" t="n">
        <v>1394209716.9894</v>
      </c>
      <c r="AJ5" s="3" t="n">
        <v>1790084817.1447</v>
      </c>
      <c r="AK5" s="3" t="n">
        <v>1425416911.5714</v>
      </c>
      <c r="AL5" s="3" t="n">
        <v>1291234231.9193</v>
      </c>
      <c r="AM5" s="3" t="n">
        <v>634523347.8842</v>
      </c>
      <c r="AN5" s="3" t="n">
        <v>3358329920.29</v>
      </c>
      <c r="AO5" s="3" t="n">
        <v>1579025447.39</v>
      </c>
      <c r="AP5" s="3"/>
    </row>
    <row r="6">
      <c r="A6" t="str">
        <f>N6</f>
      </c>
      <c r="B6" t="str">
        <f>O6</f>
      </c>
      <c r="N6" t="s">
        <v>56</v>
      </c>
      <c r="O6"/>
      <c r="P6" s="3" t="n">
        <v>468772733</v>
      </c>
      <c r="Q6" s="3" t="n">
        <v>13227622.4</v>
      </c>
      <c r="R6" s="3" t="n">
        <v>33745366</v>
      </c>
      <c r="S6" s="3" t="n">
        <v>44846027</v>
      </c>
      <c r="T6" s="3" t="n">
        <v>44920591.1875</v>
      </c>
      <c r="U6" s="3" t="n">
        <v>20064220</v>
      </c>
      <c r="V6" s="3" t="n">
        <v>6023112.3487</v>
      </c>
      <c r="W6" s="3" t="n">
        <v>3367986.4114</v>
      </c>
      <c r="X6" s="3" t="n">
        <v>143384196.9518</v>
      </c>
      <c r="Y6" s="3" t="n">
        <v>63319665.0751</v>
      </c>
      <c r="Z6" s="3" t="n">
        <v>0</v>
      </c>
      <c r="AA6" s="3" t="n">
        <v>-55989.7188</v>
      </c>
      <c r="AB6" s="3" t="n">
        <v>-61893.9883</v>
      </c>
      <c r="AC6" s="3" t="n">
        <v>1510164.9334</v>
      </c>
      <c r="AD6" s="3" t="n">
        <v>-710165.5508</v>
      </c>
      <c r="AE6" s="3" t="n">
        <v>-1869898.475</v>
      </c>
      <c r="AF6" s="3" t="n">
        <v>313029.3438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/>
    </row>
    <row r="7">
      <c r="A7" t="str">
        <f>N7</f>
      </c>
      <c r="B7" t="str">
        <f>O7</f>
      </c>
      <c r="N7" t="s">
        <v>59</v>
      </c>
      <c r="O7" t="s">
        <v>60</v>
      </c>
      <c r="P7" s="3" t="n">
        <v>489411716</v>
      </c>
      <c r="Q7" s="3" t="n">
        <v>544755059</v>
      </c>
      <c r="R7" s="3" t="n">
        <v>914653190</v>
      </c>
      <c r="S7" s="3" t="n">
        <v>993197453.0938</v>
      </c>
      <c r="T7" s="3" t="n">
        <v>1217795713.6484</v>
      </c>
      <c r="U7" s="3" t="n">
        <v>965092742.3175</v>
      </c>
      <c r="V7" s="3" t="n">
        <v>1847671415.1752</v>
      </c>
      <c r="W7" s="3" t="n">
        <v>1883282707.3331</v>
      </c>
      <c r="X7" s="3" t="n">
        <v>2567024362.8427</v>
      </c>
      <c r="Y7" s="3" t="n">
        <v>3912078615.1837</v>
      </c>
      <c r="Z7" s="3" t="n">
        <v>4696653359.7695</v>
      </c>
      <c r="AA7" s="3" t="n">
        <v>4440174910.3155</v>
      </c>
      <c r="AB7" s="3" t="n">
        <v>3266410245.1392</v>
      </c>
      <c r="AC7" s="3" t="n">
        <v>2018835499.4895</v>
      </c>
      <c r="AD7" s="3" t="n">
        <v>1494690109.303</v>
      </c>
      <c r="AE7" s="3" t="n">
        <v>2062034025.6424</v>
      </c>
      <c r="AF7" s="3" t="n">
        <v>3161644042.4993</v>
      </c>
      <c r="AG7" s="3" t="n">
        <v>759575891.5113</v>
      </c>
      <c r="AH7" s="3" t="n">
        <v>628231451.1567</v>
      </c>
      <c r="AI7" s="3" t="n">
        <v>380755558.6035</v>
      </c>
      <c r="AJ7" s="3" t="n">
        <v>6545797994.3935</v>
      </c>
      <c r="AK7" s="3" t="n">
        <v>1395269922.3552</v>
      </c>
      <c r="AL7" s="3" t="n">
        <v>2264448067.3559</v>
      </c>
      <c r="AM7" s="3" t="n">
        <v>4264576361.2496</v>
      </c>
      <c r="AN7" s="3" t="n">
        <v>766317305.72</v>
      </c>
      <c r="AO7" s="3" t="n">
        <v>979784591.01</v>
      </c>
      <c r="AP7" s="3"/>
    </row>
    <row r="8">
      <c r="A8" t="str">
        <f>N8</f>
      </c>
      <c r="B8" t="str">
        <f>O8</f>
      </c>
      <c r="N8" t="s">
        <v>59</v>
      </c>
      <c r="O8" t="s">
        <v>61</v>
      </c>
      <c r="P8" s="3" t="n">
        <v>131404608</v>
      </c>
      <c r="Q8" s="3" t="n">
        <v>151596110</v>
      </c>
      <c r="R8" s="3" t="n">
        <v>37819385</v>
      </c>
      <c r="S8" s="3" t="n">
        <v>21860548</v>
      </c>
      <c r="T8" s="3" t="n">
        <v>5204924</v>
      </c>
      <c r="U8" s="3" t="n">
        <v>2071089</v>
      </c>
      <c r="V8" s="3" t="n">
        <v>3858379</v>
      </c>
      <c r="W8" s="3" t="n">
        <v>99989</v>
      </c>
      <c r="X8" s="3" t="n">
        <v>21977975.17</v>
      </c>
      <c r="Y8" s="3" t="n">
        <v>384624.5938</v>
      </c>
      <c r="Z8" s="3" t="n">
        <v>10385411.1602</v>
      </c>
      <c r="AA8" s="3" t="n">
        <v>9849413.3302</v>
      </c>
      <c r="AB8" s="3" t="n">
        <v>2192612</v>
      </c>
      <c r="AC8" s="3" t="n">
        <v>3724361</v>
      </c>
      <c r="AD8" s="3" t="n">
        <v>-20.89</v>
      </c>
      <c r="AE8" s="3" t="n">
        <v>-22.54</v>
      </c>
      <c r="AF8" s="3"/>
      <c r="AG8" s="3"/>
      <c r="AH8" s="3" t="n">
        <v>0</v>
      </c>
      <c r="AI8" s="3"/>
      <c r="AJ8" s="3"/>
      <c r="AK8" s="3"/>
      <c r="AL8" s="3"/>
      <c r="AM8" s="3"/>
      <c r="AN8" s="3"/>
      <c r="AO8" s="3"/>
      <c r="AP8" s="3"/>
    </row>
    <row r="9">
      <c r="A9" t="str">
        <f>N9</f>
      </c>
      <c r="B9" t="str">
        <f>O9</f>
      </c>
      <c r="N9" t="s">
        <v>62</v>
      </c>
      <c r="O9" t="s">
        <v>62</v>
      </c>
      <c r="P9" s="3" t="n">
        <v>34540739</v>
      </c>
      <c r="Q9" s="3" t="n">
        <v>175750668</v>
      </c>
      <c r="R9" s="3" t="n">
        <v>265505426</v>
      </c>
      <c r="S9" s="3" t="n">
        <v>136993508</v>
      </c>
      <c r="T9" s="3" t="n">
        <v>49636908</v>
      </c>
      <c r="U9" s="3" t="n">
        <v>172858767</v>
      </c>
      <c r="V9" s="3" t="n">
        <v>116115807</v>
      </c>
      <c r="W9" s="3" t="n">
        <v>138330862.16</v>
      </c>
      <c r="X9" s="3" t="n">
        <v>262939971.3675</v>
      </c>
      <c r="Y9" s="3" t="n">
        <v>417836164.93</v>
      </c>
      <c r="Z9" s="3" t="n">
        <v>1161486370.1515</v>
      </c>
      <c r="AA9" s="3" t="n">
        <v>1438078330.2172</v>
      </c>
      <c r="AB9" s="3" t="n">
        <v>1477921987.5472</v>
      </c>
      <c r="AC9" s="3" t="n">
        <v>3944824746.52</v>
      </c>
      <c r="AD9" s="3" t="n">
        <v>2586115385.23</v>
      </c>
      <c r="AE9" s="3" t="n">
        <v>4092221938.26</v>
      </c>
      <c r="AF9" s="3" t="n">
        <v>3412118108.7306</v>
      </c>
      <c r="AG9" s="3" t="n">
        <v>1356936330.7396</v>
      </c>
      <c r="AH9" s="3" t="n">
        <v>9194739724.7792</v>
      </c>
      <c r="AI9" s="3" t="n">
        <v>9753417157.7155</v>
      </c>
      <c r="AJ9" s="3" t="n">
        <v>7338610707.7273</v>
      </c>
      <c r="AK9" s="3" t="n">
        <v>7259955604.8145</v>
      </c>
      <c r="AL9" s="3" t="n">
        <v>8318967058.2984</v>
      </c>
      <c r="AM9" s="3" t="n">
        <v>5576575597.6423</v>
      </c>
      <c r="AN9" s="3" t="n">
        <v>6331853418.8</v>
      </c>
      <c r="AO9" s="3" t="n">
        <v>1784939403.73</v>
      </c>
      <c r="AP9" s="3"/>
    </row>
    <row r="10">
      <c r="A10" t="str">
        <f>N10</f>
      </c>
      <c r="B10" t="str">
        <f>O10</f>
      </c>
      <c r="N10" t="s">
        <v>49</v>
      </c>
      <c r="O10" t="s">
        <v>50</v>
      </c>
      <c r="P10" s="3" t="str">
        <f>Sum(P2:P9)</f>
      </c>
      <c r="Q10" s="3" t="str">
        <f>Sum(Q2:Q9)</f>
      </c>
      <c r="R10" s="3" t="str">
        <f>Sum(R2:R9)</f>
      </c>
      <c r="S10" s="3" t="str">
        <f>Sum(S2:S9)</f>
      </c>
      <c r="T10" s="3" t="str">
        <f>Sum(T2:T9)</f>
      </c>
      <c r="U10" s="3" t="str">
        <f>Sum(U2:U9)</f>
      </c>
      <c r="V10" s="3" t="str">
        <f>Sum(V2:V9)</f>
      </c>
      <c r="W10" s="3" t="str">
        <f>Sum(W2:W9)</f>
      </c>
      <c r="X10" s="3" t="str">
        <f>Sum(X2:X9)</f>
      </c>
      <c r="Y10" s="3" t="str">
        <f>Sum(Y2:Y9)</f>
      </c>
      <c r="Z10" s="3" t="str">
        <f>Sum(Z2:Z9)</f>
      </c>
      <c r="AA10" s="3" t="str">
        <f>Sum(AA2:AA9)</f>
      </c>
      <c r="AB10" s="3" t="str">
        <f>Sum(AB2:AB9)</f>
      </c>
      <c r="AC10" s="3" t="str">
        <f>Sum(AC2:AC9)</f>
      </c>
      <c r="AD10" s="3" t="str">
        <f>Sum(AD2:AD9)</f>
      </c>
      <c r="AE10" s="3" t="str">
        <f>Sum(AE2:AE9)</f>
      </c>
      <c r="AF10" s="3" t="str">
        <f>Sum(AF2:AF9)</f>
      </c>
      <c r="AG10" s="3" t="str">
        <f>Sum(AG2:AG9)</f>
      </c>
      <c r="AH10" s="3" t="str">
        <f>Sum(AH2:AH9)</f>
      </c>
      <c r="AI10" s="3" t="str">
        <f>Sum(AI2:AI9)</f>
      </c>
      <c r="AJ10" s="3" t="str">
        <f>Sum(AJ2:AJ9)</f>
      </c>
      <c r="AK10" s="3" t="str">
        <f>Sum(AK2:AK9)</f>
      </c>
      <c r="AL10" s="3" t="str">
        <f>Sum(AL2:AL9)</f>
      </c>
      <c r="AM10" s="3" t="str">
        <f>Sum(AM2:AM9)</f>
      </c>
      <c r="AN10" s="3" t="str">
        <f>Sum(AN2:AN9)</f>
      </c>
      <c r="AO10" s="3" t="str">
        <f>Sum(AO2:AO9)</f>
      </c>
      <c r="AP10" s="3"/>
    </row>
    <row r="13">
      <c r="A13" t="str">
        <f>N13</f>
      </c>
      <c r="B13" t="str">
        <f>O13</f>
      </c>
      <c r="N13" t="s">
        <v>51</v>
      </c>
      <c r="O13" t="s">
        <v>52</v>
      </c>
      <c r="P13" t="s">
        <v>14</v>
      </c>
      <c r="Q13" t="s">
        <v>15</v>
      </c>
      <c r="R13" t="s">
        <v>16</v>
      </c>
      <c r="S13" t="s">
        <v>17</v>
      </c>
      <c r="T13" t="s">
        <v>18</v>
      </c>
      <c r="U13" t="s">
        <v>19</v>
      </c>
      <c r="V13" t="s">
        <v>20</v>
      </c>
      <c r="W13" t="s">
        <v>21</v>
      </c>
      <c r="X13" t="s">
        <v>22</v>
      </c>
      <c r="Y13" t="s">
        <v>23</v>
      </c>
      <c r="Z13" t="s">
        <v>24</v>
      </c>
      <c r="AA13" t="s">
        <v>25</v>
      </c>
      <c r="AB13" t="s">
        <v>26</v>
      </c>
      <c r="AC13" t="s">
        <v>27</v>
      </c>
      <c r="AD13" t="s">
        <v>28</v>
      </c>
      <c r="AE13" t="s">
        <v>29</v>
      </c>
      <c r="AF13" t="s">
        <v>30</v>
      </c>
      <c r="AG13" t="s">
        <v>31</v>
      </c>
      <c r="AH13" t="s">
        <v>32</v>
      </c>
      <c r="AI13" t="s">
        <v>33</v>
      </c>
      <c r="AJ13" t="s">
        <v>34</v>
      </c>
      <c r="AK13" t="s">
        <v>35</v>
      </c>
      <c r="AL13" t="s">
        <v>36</v>
      </c>
      <c r="AM13" t="s">
        <v>37</v>
      </c>
      <c r="AN13" t="s">
        <v>38</v>
      </c>
      <c r="AO13" t="s">
        <v>39</v>
      </c>
    </row>
    <row r="14">
      <c r="A14" t="str">
        <f>N14</f>
      </c>
      <c r="B14" t="str">
        <f>O14</f>
      </c>
      <c r="N14" t="s">
        <v>53</v>
      </c>
      <c r="O14" t="s">
        <v>54</v>
      </c>
      <c r="P14" s="3" t="n">
        <v>3796883090.41053</v>
      </c>
      <c r="Q14" s="3" t="n">
        <v>3656648486.657</v>
      </c>
      <c r="R14" s="3" t="n">
        <v>5115159519.40837</v>
      </c>
      <c r="S14" s="3" t="n">
        <v>5262015011.6609</v>
      </c>
      <c r="T14" s="3" t="n">
        <v>6127338490.05282</v>
      </c>
      <c r="U14" s="3" t="n">
        <v>6893106708.5983</v>
      </c>
      <c r="V14" s="3" t="n">
        <v>6106568683.64344</v>
      </c>
      <c r="W14" s="3" t="n">
        <v>6472698632.74705</v>
      </c>
      <c r="X14" s="3" t="n">
        <v>3628781147.60228</v>
      </c>
      <c r="Y14" s="3" t="n">
        <v>4834212842.93897</v>
      </c>
      <c r="Z14" s="3" t="n">
        <v>5931960299.70423</v>
      </c>
      <c r="AA14" s="3" t="n">
        <v>5272037962.14167</v>
      </c>
      <c r="AB14" s="3" t="n">
        <v>5692387462.95333</v>
      </c>
      <c r="AC14" s="3" t="n">
        <v>4721672278.00766</v>
      </c>
      <c r="AD14" s="3" t="n">
        <v>5021156634.37751</v>
      </c>
      <c r="AE14" s="3" t="n">
        <v>4341440350.77928</v>
      </c>
      <c r="AF14" s="3" t="n">
        <v>3244651176.11379</v>
      </c>
      <c r="AG14" s="3" t="n">
        <v>3958463079.18948</v>
      </c>
      <c r="AH14" s="3" t="n">
        <v>3622315982.1596</v>
      </c>
      <c r="AI14" s="3" t="n">
        <v>4164179235.84621</v>
      </c>
      <c r="AJ14" s="3" t="n">
        <v>5444016155.99852</v>
      </c>
      <c r="AK14" s="3" t="n">
        <v>3799784483.66529</v>
      </c>
      <c r="AL14" s="3" t="n">
        <v>3316365864.72564</v>
      </c>
      <c r="AM14" s="3" t="n">
        <v>3418279083.8942</v>
      </c>
      <c r="AN14" s="3" t="n">
        <v>3484675412.97714</v>
      </c>
      <c r="AO14" s="3" t="n">
        <v>1567209081.79527</v>
      </c>
      <c r="AP14" s="3"/>
    </row>
    <row r="15">
      <c r="A15" t="str">
        <f>N15</f>
      </c>
      <c r="B15" t="str">
        <f>O15</f>
      </c>
      <c r="N15" t="s">
        <v>53</v>
      </c>
      <c r="O15" t="s">
        <v>55</v>
      </c>
      <c r="P15" s="3" t="n">
        <v>261377048.822266</v>
      </c>
      <c r="Q15" s="3" t="n">
        <v>292192445.808766</v>
      </c>
      <c r="R15" s="3" t="n">
        <v>336524159.467736</v>
      </c>
      <c r="S15" s="3" t="n">
        <v>398707662.557772</v>
      </c>
      <c r="T15" s="3" t="n">
        <v>404889919.579813</v>
      </c>
      <c r="U15" s="3" t="n">
        <v>456499928.14888</v>
      </c>
      <c r="V15" s="3" t="n">
        <v>528459878.940922</v>
      </c>
      <c r="W15" s="3" t="n">
        <v>365910949.678295</v>
      </c>
      <c r="X15" s="3" t="n">
        <v>346252372.262552</v>
      </c>
      <c r="Y15" s="3" t="n">
        <v>549599580.414203</v>
      </c>
      <c r="Z15" s="3" t="n">
        <v>806969384.090194</v>
      </c>
      <c r="AA15" s="3" t="n">
        <v>672453374.60527</v>
      </c>
      <c r="AB15" s="3" t="n">
        <v>634815032.091022</v>
      </c>
      <c r="AC15" s="3" t="n">
        <v>512654927.916918</v>
      </c>
      <c r="AD15" s="3" t="n">
        <v>240031263.817346</v>
      </c>
      <c r="AE15" s="3" t="n">
        <v>392612189.773941</v>
      </c>
      <c r="AF15" s="3" t="n">
        <v>258083665.532137</v>
      </c>
      <c r="AG15" s="3" t="n">
        <v>349004134.961705</v>
      </c>
      <c r="AH15" s="3" t="n">
        <v>10019424.0306061</v>
      </c>
      <c r="AI15" s="3" t="n">
        <v>2361908.55738055</v>
      </c>
      <c r="AJ15" s="3" t="n">
        <v>-90680.4894057245</v>
      </c>
      <c r="AK15" s="3" t="n">
        <v>-461298.718304832</v>
      </c>
      <c r="AL15" s="3" t="n">
        <v>-10509617.299852</v>
      </c>
      <c r="AM15" s="3" t="n">
        <v>-5192591.6596</v>
      </c>
      <c r="AN15" s="3" t="n">
        <v>-7069583.31288119</v>
      </c>
      <c r="AO15" s="3" t="n">
        <v>0</v>
      </c>
      <c r="AP15" s="3"/>
    </row>
    <row r="16">
      <c r="A16" t="str">
        <f>N16</f>
      </c>
      <c r="B16" t="str">
        <f>O16</f>
      </c>
      <c r="N16" t="s">
        <v>56</v>
      </c>
      <c r="O16" t="s">
        <v>57</v>
      </c>
      <c r="P16" s="3"/>
      <c r="Q16" s="3"/>
      <c r="R16" s="3"/>
      <c r="S16" s="3" t="n">
        <v>12764493.158709</v>
      </c>
      <c r="T16" s="3" t="n">
        <v>106968882.35268</v>
      </c>
      <c r="U16" s="3" t="n">
        <v>176798131.20518</v>
      </c>
      <c r="V16" s="3" t="n">
        <v>344675232.046181</v>
      </c>
      <c r="W16" s="3" t="n">
        <v>2368830721.63724</v>
      </c>
      <c r="X16" s="3" t="n">
        <v>4654560897.62317</v>
      </c>
      <c r="Y16" s="3" t="n">
        <v>3170798061.6046</v>
      </c>
      <c r="Z16" s="3" t="n">
        <v>9099466.42138582</v>
      </c>
      <c r="AA16" s="3" t="n">
        <v>3589219.71353427</v>
      </c>
      <c r="AB16" s="3" t="n">
        <v>-956855.611555477</v>
      </c>
      <c r="AC16" s="3" t="n">
        <v>-2193139.27751003</v>
      </c>
      <c r="AD16" s="3" t="n">
        <v>-1534169.9953318</v>
      </c>
      <c r="AE16" s="3" t="n">
        <v>236044.541816499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>
      <c r="A17" t="str">
        <f>N17</f>
      </c>
      <c r="B17" t="str">
        <f>O17</f>
      </c>
      <c r="N17" t="s">
        <v>56</v>
      </c>
      <c r="O17" t="s">
        <v>58</v>
      </c>
      <c r="P17" s="3" t="n">
        <v>294068043.741233</v>
      </c>
      <c r="Q17" s="3" t="n">
        <v>1179849488.03478</v>
      </c>
      <c r="R17" s="3" t="n">
        <v>1644262833.45794</v>
      </c>
      <c r="S17" s="3" t="n">
        <v>1665701549.44153</v>
      </c>
      <c r="T17" s="3" t="n">
        <v>1924933518.59165</v>
      </c>
      <c r="U17" s="3" t="n">
        <v>1608792923.65422</v>
      </c>
      <c r="V17" s="3" t="n">
        <v>1987901200.19934</v>
      </c>
      <c r="W17" s="3" t="n">
        <v>1515286365.02112</v>
      </c>
      <c r="X17" s="3" t="n">
        <v>1581673866.22609</v>
      </c>
      <c r="Y17" s="3" t="n">
        <v>2229178572.05765</v>
      </c>
      <c r="Z17" s="3" t="n">
        <v>2157245777.3475</v>
      </c>
      <c r="AA17" s="3" t="n">
        <v>2317993918.58028</v>
      </c>
      <c r="AB17" s="3" t="n">
        <v>4067009231.31335</v>
      </c>
      <c r="AC17" s="3" t="n">
        <v>2659804021.61642</v>
      </c>
      <c r="AD17" s="3" t="n">
        <v>1331062869.0527</v>
      </c>
      <c r="AE17" s="3" t="n">
        <v>925640347.363673</v>
      </c>
      <c r="AF17" s="3" t="n">
        <v>1960697238.55639</v>
      </c>
      <c r="AG17" s="3" t="n">
        <v>3891653662.02218</v>
      </c>
      <c r="AH17" s="3" t="n">
        <v>2258320784.45084</v>
      </c>
      <c r="AI17" s="3" t="n">
        <v>1634724620.33278</v>
      </c>
      <c r="AJ17" s="3" t="n">
        <v>2071827567.99517</v>
      </c>
      <c r="AK17" s="3" t="n">
        <v>1594872982.54139</v>
      </c>
      <c r="AL17" s="3" t="n">
        <v>1350303801.01374</v>
      </c>
      <c r="AM17" s="3" t="n">
        <v>634523347.8842</v>
      </c>
      <c r="AN17" s="3" t="n">
        <v>3270975293.3573</v>
      </c>
      <c r="AO17" s="3" t="n">
        <v>1504931576.90577</v>
      </c>
      <c r="AP17" s="3"/>
    </row>
    <row r="18">
      <c r="A18" t="str">
        <f>N18</f>
      </c>
      <c r="B18" t="str">
        <f>O18</f>
      </c>
      <c r="N18" t="s">
        <v>56</v>
      </c>
      <c r="O18"/>
      <c r="P18" s="3" t="n">
        <v>788088245.322564</v>
      </c>
      <c r="Q18" s="3" t="n">
        <v>21711656.1174682</v>
      </c>
      <c r="R18" s="3" t="n">
        <v>54531332.1273839</v>
      </c>
      <c r="S18" s="3" t="n">
        <v>71104747.5312476</v>
      </c>
      <c r="T18" s="3" t="n">
        <v>69525251.2551782</v>
      </c>
      <c r="U18" s="3" t="n">
        <v>30137065.7896348</v>
      </c>
      <c r="V18" s="3" t="n">
        <v>8762261.04291976</v>
      </c>
      <c r="W18" s="3" t="n">
        <v>4768384.38109508</v>
      </c>
      <c r="X18" s="3" t="n">
        <v>198874092.885153</v>
      </c>
      <c r="Y18" s="3" t="n">
        <v>86935457.330875</v>
      </c>
      <c r="Z18" s="3" t="n">
        <v>0</v>
      </c>
      <c r="AA18" s="3" t="n">
        <v>-74712.122631063</v>
      </c>
      <c r="AB18" s="3" t="n">
        <v>-81118.7368979614</v>
      </c>
      <c r="AC18" s="3" t="n">
        <v>1943961.1236644</v>
      </c>
      <c r="AD18" s="3" t="n">
        <v>-897782.816775237</v>
      </c>
      <c r="AE18" s="3" t="n">
        <v>-2339673.09183538</v>
      </c>
      <c r="AF18" s="3" t="n">
        <v>388565.100813596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/>
    </row>
    <row r="19">
      <c r="A19" t="str">
        <f>N19</f>
      </c>
      <c r="B19" t="str">
        <f>O19</f>
      </c>
      <c r="N19" t="s">
        <v>59</v>
      </c>
      <c r="O19" t="s">
        <v>60</v>
      </c>
      <c r="P19" s="3" t="n">
        <v>822785954.367242</v>
      </c>
      <c r="Q19" s="3" t="n">
        <v>894154229.051708</v>
      </c>
      <c r="R19" s="3" t="n">
        <v>1478047589.86052</v>
      </c>
      <c r="S19" s="3" t="n">
        <v>1574744941.1943</v>
      </c>
      <c r="T19" s="3" t="n">
        <v>1884827219.11381</v>
      </c>
      <c r="U19" s="3" t="n">
        <v>1449598512.59214</v>
      </c>
      <c r="V19" s="3" t="n">
        <v>2687942433.08452</v>
      </c>
      <c r="W19" s="3" t="n">
        <v>2666345629.07892</v>
      </c>
      <c r="X19" s="3" t="n">
        <v>3560466581.58601</v>
      </c>
      <c r="Y19" s="3" t="n">
        <v>5371133014.07958</v>
      </c>
      <c r="Z19" s="3" t="n">
        <v>6392958022.04423</v>
      </c>
      <c r="AA19" s="3" t="n">
        <v>5924925138.2713</v>
      </c>
      <c r="AB19" s="3" t="n">
        <v>4280982378.9664</v>
      </c>
      <c r="AC19" s="3" t="n">
        <v>2598747752.17132</v>
      </c>
      <c r="AD19" s="3" t="n">
        <v>1889569403.95726</v>
      </c>
      <c r="AE19" s="3" t="n">
        <v>2580078859.22497</v>
      </c>
      <c r="AF19" s="3" t="n">
        <v>3924566691.40692</v>
      </c>
      <c r="AG19" s="3" t="n">
        <v>927214290.945962</v>
      </c>
      <c r="AH19" s="3" t="n">
        <v>750227090.75064</v>
      </c>
      <c r="AI19" s="3" t="n">
        <v>446439641.320069</v>
      </c>
      <c r="AJ19" s="3" t="n">
        <v>7576045899.84949</v>
      </c>
      <c r="AK19" s="3" t="n">
        <v>1561142066.19294</v>
      </c>
      <c r="AL19" s="3" t="n">
        <v>2368038855.35462</v>
      </c>
      <c r="AM19" s="3" t="n">
        <v>4264576361.2496</v>
      </c>
      <c r="AN19" s="3" t="n">
        <v>746384373.595374</v>
      </c>
      <c r="AO19" s="3" t="n">
        <v>933809377.17875</v>
      </c>
      <c r="AP19" s="3"/>
    </row>
    <row r="20">
      <c r="A20" t="str">
        <f>N20</f>
      </c>
      <c r="B20" t="str">
        <f>O20</f>
      </c>
      <c r="N20" t="s">
        <v>59</v>
      </c>
      <c r="O20" t="s">
        <v>61</v>
      </c>
      <c r="P20" s="3" t="n">
        <v>220913930.473894</v>
      </c>
      <c r="Q20" s="3" t="n">
        <v>248827983.558548</v>
      </c>
      <c r="R20" s="3" t="n">
        <v>61114804.4531033</v>
      </c>
      <c r="S20" s="3" t="n">
        <v>34660567.5110243</v>
      </c>
      <c r="T20" s="3" t="n">
        <v>8055852.32290543</v>
      </c>
      <c r="U20" s="3" t="n">
        <v>3110838.37045193</v>
      </c>
      <c r="V20" s="3" t="n">
        <v>5613065.47898225</v>
      </c>
      <c r="W20" s="3" t="n">
        <v>141564.106157758</v>
      </c>
      <c r="X20" s="3" t="n">
        <v>30483484.0122268</v>
      </c>
      <c r="Y20" s="3" t="n">
        <v>528074.72880734</v>
      </c>
      <c r="Z20" s="3" t="n">
        <v>14136341.8806975</v>
      </c>
      <c r="AA20" s="3" t="n">
        <v>13142958.9635647</v>
      </c>
      <c r="AB20" s="3" t="n">
        <v>2873654.14368221</v>
      </c>
      <c r="AC20" s="3" t="n">
        <v>4794186.93572208</v>
      </c>
      <c r="AD20" s="3" t="n">
        <v>-26.4088887743254</v>
      </c>
      <c r="AE20" s="3" t="n">
        <v>-28.2027244767765</v>
      </c>
      <c r="AF20" s="3"/>
      <c r="AG20" s="3"/>
      <c r="AH20" s="3" t="n">
        <v>0</v>
      </c>
      <c r="AI20" s="3"/>
      <c r="AJ20" s="3"/>
      <c r="AK20" s="3"/>
      <c r="AL20" s="3"/>
      <c r="AM20" s="3"/>
      <c r="AN20" s="3"/>
      <c r="AO20" s="3"/>
      <c r="AP20" s="3"/>
    </row>
    <row r="21">
      <c r="A21" t="str">
        <f>N21</f>
      </c>
      <c r="B21" t="str">
        <f>O21</f>
      </c>
      <c r="N21" t="s">
        <v>62</v>
      </c>
      <c r="O21" t="s">
        <v>62</v>
      </c>
      <c r="P21" s="3" t="n">
        <v>58068971.3252896</v>
      </c>
      <c r="Q21" s="3" t="n">
        <v>288474976.881055</v>
      </c>
      <c r="R21" s="3" t="n">
        <v>429047489.567265</v>
      </c>
      <c r="S21" s="3" t="n">
        <v>217207397.207337</v>
      </c>
      <c r="T21" s="3" t="n">
        <v>76824868.2619848</v>
      </c>
      <c r="U21" s="3" t="n">
        <v>259639100.517945</v>
      </c>
      <c r="V21" s="3" t="n">
        <v>168922137.466502</v>
      </c>
      <c r="W21" s="3" t="n">
        <v>195848391.880231</v>
      </c>
      <c r="X21" s="3" t="n">
        <v>364698128.529033</v>
      </c>
      <c r="Y21" s="3" t="n">
        <v>573672934.695495</v>
      </c>
      <c r="Z21" s="3" t="n">
        <v>1580983955.75855</v>
      </c>
      <c r="AA21" s="3" t="n">
        <v>1918957388.3029</v>
      </c>
      <c r="AB21" s="3" t="n">
        <v>1936975918.92868</v>
      </c>
      <c r="AC21" s="3" t="n">
        <v>5077979085.13147</v>
      </c>
      <c r="AD21" s="3" t="n">
        <v>3269336216.66398</v>
      </c>
      <c r="AE21" s="3" t="n">
        <v>5120310906.05887</v>
      </c>
      <c r="AF21" s="3" t="n">
        <v>4235481571.19065</v>
      </c>
      <c r="AG21" s="3" t="n">
        <v>1656412179.25203</v>
      </c>
      <c r="AH21" s="3" t="n">
        <v>10980257071.2268</v>
      </c>
      <c r="AI21" s="3" t="n">
        <v>11435977647.9846</v>
      </c>
      <c r="AJ21" s="3" t="n">
        <v>8493639982.54889</v>
      </c>
      <c r="AK21" s="3" t="n">
        <v>8123031903.56009</v>
      </c>
      <c r="AL21" s="3" t="n">
        <v>8699531472.79202</v>
      </c>
      <c r="AM21" s="3" t="n">
        <v>5576575597.6423</v>
      </c>
      <c r="AN21" s="3" t="n">
        <v>6167153491.65763</v>
      </c>
      <c r="AO21" s="3" t="n">
        <v>1701183268.43733</v>
      </c>
      <c r="AP21" s="3"/>
    </row>
    <row r="22">
      <c r="A22" t="str">
        <f>N22</f>
      </c>
      <c r="B22" t="str">
        <f>O22</f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../output/FedAcqTrends/Platform//Missile_Defense/Fed_Missile_Defense_Contracts.xlsx</dc:creator>
  <cp:lastModifiedBy>../output/FedAcqTrends/Platform//Missile_Defense/Fed_Missile_Defense_Contracts.xlsx</cp:lastModifiedBy>
  <dcterms:created xsi:type="dcterms:W3CDTF">2025-11-13T21:12:33Z</dcterms:created>
</coreProperties>
</file>