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<sst xmlns="http://schemas.openxmlformats.org/spreadsheetml/2006/main" count="51" uniqueCount="51">
  <si>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Vehicle.AwardTask</t>
  </si>
  <si>
    <t xml:space="preserve">Vehicle.sum7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</si>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</sst>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</row>
    <row r="2">
      <c r="A2" t="str">
        <f>M2</f>
      </c>
      <c r="B2" t="str">
        <f>N2</f>
      </c>
      <c r="M2" t="s">
        <v>40</v>
      </c>
      <c r="N2" t="s">
        <v>41</v>
      </c>
      <c r="O2" s="1"/>
      <c r="P2" s="1" t="n">
        <v>300000</v>
      </c>
      <c r="Q2" s="1"/>
      <c r="R2" s="1"/>
      <c r="S2" s="1"/>
      <c r="T2" s="1"/>
      <c r="U2" s="1"/>
      <c r="V2" s="1"/>
      <c r="W2" s="1" t="n">
        <v>224000</v>
      </c>
      <c r="X2" s="1" t="n">
        <v>1109687442</v>
      </c>
      <c r="Y2" s="1" t="n">
        <v>1210702556</v>
      </c>
      <c r="Z2" s="1" t="n">
        <v>704851883.63</v>
      </c>
      <c r="AA2" s="1" t="n">
        <v>3251862381</v>
      </c>
      <c r="AB2" s="1" t="n">
        <v>3518855223</v>
      </c>
      <c r="AC2" s="1" t="n">
        <v>4915249579.2</v>
      </c>
      <c r="AD2" s="1" t="n">
        <v>4849479384</v>
      </c>
      <c r="AE2" s="1" t="n">
        <v>5437731135.15</v>
      </c>
      <c r="AF2" s="1" t="n">
        <v>5984444761.58</v>
      </c>
      <c r="AG2" s="1" t="n">
        <v>6593434751.27</v>
      </c>
      <c r="AH2" s="1" t="n">
        <v>7455784926.57</v>
      </c>
      <c r="AI2" s="1" t="n">
        <v>7800476864.15</v>
      </c>
      <c r="AJ2" s="1" t="n">
        <v>8798191743.89</v>
      </c>
      <c r="AK2" s="1" t="n">
        <v>8447253075.4352</v>
      </c>
      <c r="AL2" s="1" t="n">
        <v>7735536187.7055</v>
      </c>
      <c r="AM2" s="1" t="n">
        <v>8966336789.0336</v>
      </c>
      <c r="AN2" s="1" t="n">
        <v>9101073453.0635</v>
      </c>
      <c r="AO2" s="1" t="n">
        <v>6091575018.4066</v>
      </c>
      <c r="AP2" s="1" t="n">
        <v>7787957864.286</v>
      </c>
      <c r="AQ2" s="1" t="n">
        <v>8199776709.5911</v>
      </c>
      <c r="AR2" s="1" t="n">
        <v>6475900735.2383</v>
      </c>
      <c r="AS2" s="1" t="n">
        <v>12094357103.19</v>
      </c>
      <c r="AT2" s="1" t="n">
        <v>12217420629.34</v>
      </c>
      <c r="AU2" s="1" t="n">
        <v>17599995429.09</v>
      </c>
      <c r="AV2" s="1" t="n">
        <v>10407363452.7</v>
      </c>
      <c r="AW2" s="1" t="n">
        <v>11582883734.54</v>
      </c>
      <c r="AX2" s="1" t="n">
        <v>10420097930.52</v>
      </c>
      <c r="AY2" s="1" t="n">
        <v>10644505986.18</v>
      </c>
      <c r="AZ2" s="1" t="n">
        <v>4138381324.25</v>
      </c>
      <c r="BA2" s="1"/>
    </row>
    <row r="3">
      <c r="A3" t="str">
        <f>M3</f>
      </c>
      <c r="B3" t="str">
        <f>N3</f>
      </c>
      <c r="M3" t="s">
        <v>40</v>
      </c>
      <c r="N3" t="s">
        <v>42</v>
      </c>
      <c r="O3" s="1"/>
      <c r="P3" s="1"/>
      <c r="Q3" s="1" t="n">
        <v>74831000</v>
      </c>
      <c r="R3" s="1" t="n">
        <v>68100000</v>
      </c>
      <c r="S3" s="1" t="n">
        <v>1661000</v>
      </c>
      <c r="T3" s="1"/>
      <c r="U3" s="1"/>
      <c r="V3" s="1"/>
      <c r="W3" s="1"/>
      <c r="X3" s="1" t="n">
        <v>774823</v>
      </c>
      <c r="Y3" s="1" t="n">
        <v>3132239</v>
      </c>
      <c r="Z3" s="1" t="n">
        <v>2601102</v>
      </c>
      <c r="AA3" s="1" t="n">
        <v>10227484</v>
      </c>
      <c r="AB3" s="1" t="n">
        <v>12558571.4</v>
      </c>
      <c r="AC3" s="1" t="n">
        <v>24807377</v>
      </c>
      <c r="AD3" s="1" t="n">
        <v>31575619</v>
      </c>
      <c r="AE3" s="1" t="n">
        <v>23444564</v>
      </c>
      <c r="AF3" s="1" t="n">
        <v>12465506</v>
      </c>
      <c r="AG3" s="1" t="n">
        <v>8009184.79</v>
      </c>
      <c r="AH3" s="1" t="n">
        <v>7762929.62</v>
      </c>
      <c r="AI3" s="1" t="n">
        <v>48101078</v>
      </c>
      <c r="AJ3" s="1" t="n">
        <v>41447953.43</v>
      </c>
      <c r="AK3" s="1" t="n">
        <v>3573906.3118</v>
      </c>
      <c r="AL3" s="1" t="n">
        <v>6539820.1623</v>
      </c>
      <c r="AM3" s="1" t="n">
        <v>4092593.4833</v>
      </c>
      <c r="AN3" s="1" t="n">
        <v>4394042.64</v>
      </c>
      <c r="AO3" s="1" t="n">
        <v>4258293.18</v>
      </c>
      <c r="AP3" s="1" t="n">
        <v>3721235.09</v>
      </c>
      <c r="AQ3" s="1" t="n">
        <v>2391109.8413</v>
      </c>
      <c r="AR3" s="1" t="n">
        <v>2492327.6012</v>
      </c>
      <c r="AS3" s="1" t="n">
        <v>4107554.95</v>
      </c>
      <c r="AT3" s="1" t="n">
        <v>2097509.38</v>
      </c>
      <c r="AU3" s="1" t="n">
        <v>1387512.11</v>
      </c>
      <c r="AV3" s="1" t="n">
        <v>1516959.9</v>
      </c>
      <c r="AW3" s="1" t="n">
        <v>305776.96</v>
      </c>
      <c r="AX3" s="1" t="n">
        <v>383503.34</v>
      </c>
      <c r="AY3" s="1" t="n">
        <v>175876.92</v>
      </c>
      <c r="AZ3" s="1" t="n">
        <v>3030948.5</v>
      </c>
      <c r="BA3" s="1"/>
    </row>
    <row r="4">
      <c r="A4" t="str">
        <f>M4</f>
      </c>
      <c r="B4" t="str">
        <f>N4</f>
      </c>
      <c r="M4" t="s">
        <v>43</v>
      </c>
      <c r="N4" t="s">
        <v>44</v>
      </c>
      <c r="O4" s="1"/>
      <c r="P4" s="1"/>
      <c r="Q4" s="1"/>
      <c r="R4" s="1"/>
      <c r="S4" s="1"/>
      <c r="T4" s="1"/>
      <c r="U4" s="1"/>
      <c r="V4" s="1"/>
      <c r="W4" s="1"/>
      <c r="X4" s="1" t="n">
        <v>256990</v>
      </c>
      <c r="Y4" s="1" t="n">
        <v>-665855</v>
      </c>
      <c r="Z4" s="1" t="n">
        <v>923430</v>
      </c>
      <c r="AA4" s="1"/>
      <c r="AB4" s="1" t="n">
        <v>1324375</v>
      </c>
      <c r="AC4" s="1" t="n">
        <v>-295030</v>
      </c>
      <c r="AD4" s="1"/>
      <c r="AE4" s="1"/>
      <c r="AF4" s="1" t="n">
        <v>499872</v>
      </c>
      <c r="AG4" s="1"/>
      <c r="AH4" s="1"/>
      <c r="AI4" s="1"/>
      <c r="AJ4" s="1"/>
      <c r="AK4" s="1" t="n">
        <v>344518.3672</v>
      </c>
      <c r="AL4" s="1" t="n">
        <v>24925685.8837</v>
      </c>
      <c r="AM4" s="1" t="n">
        <v>119119932.0552</v>
      </c>
      <c r="AN4" s="1" t="n">
        <v>145346464.62</v>
      </c>
      <c r="AO4" s="1" t="n">
        <v>218094210.68</v>
      </c>
      <c r="AP4" s="1" t="n">
        <v>220320527.27</v>
      </c>
      <c r="AQ4" s="1" t="n">
        <v>323336362.3058</v>
      </c>
      <c r="AR4" s="1" t="n">
        <v>252881989.1743</v>
      </c>
      <c r="AS4" s="1" t="n">
        <v>244734668.0218</v>
      </c>
      <c r="AT4" s="1" t="n">
        <v>244615992.7717</v>
      </c>
      <c r="AU4" s="1" t="n">
        <v>211126715.6115</v>
      </c>
      <c r="AV4" s="1" t="n">
        <v>190252183.5236</v>
      </c>
      <c r="AW4" s="1" t="n">
        <v>159594051.9031</v>
      </c>
      <c r="AX4" s="1" t="n">
        <v>150181620.8418</v>
      </c>
      <c r="AY4" s="1" t="n">
        <v>137350660.34</v>
      </c>
      <c r="AZ4" s="1" t="n">
        <v>51948287.3</v>
      </c>
      <c r="BA4" s="1"/>
    </row>
    <row r="5">
      <c r="A5" t="str">
        <f>M5</f>
      </c>
      <c r="B5" t="str">
        <f>N5</f>
      </c>
      <c r="M5" t="s">
        <v>43</v>
      </c>
      <c r="N5" t="s">
        <v>45</v>
      </c>
      <c r="O5" s="1"/>
      <c r="P5" s="1"/>
      <c r="Q5" s="1"/>
      <c r="R5" s="1"/>
      <c r="S5" s="1"/>
      <c r="T5" s="1"/>
      <c r="U5" s="1"/>
      <c r="V5" s="1"/>
      <c r="W5" s="1" t="n">
        <v>304000</v>
      </c>
      <c r="X5" s="1" t="n">
        <v>731977</v>
      </c>
      <c r="Y5" s="1" t="n">
        <v>1763715</v>
      </c>
      <c r="Z5" s="1" t="n">
        <v>3424826</v>
      </c>
      <c r="AA5" s="1" t="n">
        <v>8082321</v>
      </c>
      <c r="AB5" s="1" t="n">
        <v>11000448</v>
      </c>
      <c r="AC5" s="1" t="n">
        <v>34382284.625</v>
      </c>
      <c r="AD5" s="1" t="n">
        <v>62848381.0938</v>
      </c>
      <c r="AE5" s="1" t="n">
        <v>126092472.4297</v>
      </c>
      <c r="AF5" s="1" t="n">
        <v>161058983</v>
      </c>
      <c r="AG5" s="1" t="n">
        <v>218467563.8945</v>
      </c>
      <c r="AH5" s="1" t="n">
        <v>321159938.8342</v>
      </c>
      <c r="AI5" s="1" t="n">
        <v>321805322.4098</v>
      </c>
      <c r="AJ5" s="1" t="n">
        <v>328023043.1692</v>
      </c>
      <c r="AK5" s="1" t="n">
        <v>281055826.7547</v>
      </c>
      <c r="AL5" s="1" t="n">
        <v>168244624.2278</v>
      </c>
      <c r="AM5" s="1" t="n">
        <v>51159615.3689</v>
      </c>
      <c r="AN5" s="1" t="n">
        <v>39641094.2833</v>
      </c>
      <c r="AO5" s="1" t="n">
        <v>32844398.56</v>
      </c>
      <c r="AP5" s="1" t="n">
        <v>35188143.7203</v>
      </c>
      <c r="AQ5" s="1" t="n">
        <v>36671326.29</v>
      </c>
      <c r="AR5" s="1" t="n">
        <v>38227400.2299</v>
      </c>
      <c r="AS5" s="1" t="n">
        <v>27378532.7213</v>
      </c>
      <c r="AT5" s="1" t="n">
        <v>54108455.9005</v>
      </c>
      <c r="AU5" s="1" t="n">
        <v>58038277.8552</v>
      </c>
      <c r="AV5" s="1" t="n">
        <v>39544685.2267</v>
      </c>
      <c r="AW5" s="1" t="n">
        <v>43483546.092</v>
      </c>
      <c r="AX5" s="1" t="n">
        <v>38842949.5142</v>
      </c>
      <c r="AY5" s="1" t="n">
        <v>32581315.03</v>
      </c>
      <c r="AZ5" s="1" t="n">
        <v>11308062.76</v>
      </c>
      <c r="BA5" s="1"/>
    </row>
    <row r="6">
      <c r="A6" t="str">
        <f>M6</f>
      </c>
      <c r="B6" t="str">
        <f>N6</f>
      </c>
      <c r="M6" t="s">
        <v>43</v>
      </c>
      <c r="N6" t="s">
        <v>46</v>
      </c>
      <c r="O6" s="1"/>
      <c r="P6" s="1"/>
      <c r="Q6" s="1"/>
      <c r="R6" s="1"/>
      <c r="S6" s="1"/>
      <c r="T6" s="1"/>
      <c r="U6" s="1"/>
      <c r="V6" s="1"/>
      <c r="W6" s="1"/>
      <c r="X6" s="1" t="n">
        <v>26053028</v>
      </c>
      <c r="Y6" s="1" t="n">
        <v>16875593</v>
      </c>
      <c r="Z6" s="1" t="n">
        <v>31951346</v>
      </c>
      <c r="AA6" s="1" t="n">
        <v>183633039</v>
      </c>
      <c r="AB6" s="1" t="n">
        <v>209298561</v>
      </c>
      <c r="AC6" s="1" t="n">
        <v>257477721</v>
      </c>
      <c r="AD6" s="1" t="n">
        <v>297359151</v>
      </c>
      <c r="AE6" s="1" t="n">
        <v>280933913</v>
      </c>
      <c r="AF6" s="1" t="n">
        <v>300881701</v>
      </c>
      <c r="AG6" s="1" t="n">
        <v>325176941</v>
      </c>
      <c r="AH6" s="1" t="n">
        <v>343494797.9365</v>
      </c>
      <c r="AI6" s="1" t="n">
        <v>629066579.9296</v>
      </c>
      <c r="AJ6" s="1" t="n">
        <v>671607300.5139</v>
      </c>
      <c r="AK6" s="1" t="n">
        <v>851461493.5618</v>
      </c>
      <c r="AL6" s="1" t="n">
        <v>967125552.2835</v>
      </c>
      <c r="AM6" s="1" t="n">
        <v>1433294384.6745</v>
      </c>
      <c r="AN6" s="1" t="n">
        <v>896504788.6801</v>
      </c>
      <c r="AO6" s="1" t="n">
        <v>865899581.4527</v>
      </c>
      <c r="AP6" s="1" t="n">
        <v>736626702.7297</v>
      </c>
      <c r="AQ6" s="1" t="n">
        <v>486922573.6899</v>
      </c>
      <c r="AR6" s="1" t="n">
        <v>148397949.2024</v>
      </c>
      <c r="AS6" s="1" t="n">
        <v>132960670.6306</v>
      </c>
      <c r="AT6" s="1" t="n">
        <v>286887458.5015</v>
      </c>
      <c r="AU6" s="1" t="n">
        <v>306678039.3747</v>
      </c>
      <c r="AV6" s="1" t="n">
        <v>329505480.5458</v>
      </c>
      <c r="AW6" s="1" t="n">
        <v>341831736.0086</v>
      </c>
      <c r="AX6" s="1" t="n">
        <v>447545003.1791</v>
      </c>
      <c r="AY6" s="1" t="n">
        <v>292963223.63</v>
      </c>
      <c r="AZ6" s="1" t="n">
        <v>19149634.86</v>
      </c>
      <c r="BA6" s="1"/>
    </row>
    <row r="7">
      <c r="A7" t="str">
        <f>M7</f>
      </c>
      <c r="B7" t="str">
        <f>N7</f>
      </c>
      <c r="M7" t="s">
        <v>43</v>
      </c>
      <c r="N7" t="s">
        <v>47</v>
      </c>
      <c r="O7" s="1"/>
      <c r="P7" s="1"/>
      <c r="Q7" s="1"/>
      <c r="R7" s="1"/>
      <c r="S7" s="1"/>
      <c r="T7" s="1"/>
      <c r="U7" s="1"/>
      <c r="V7" s="1"/>
      <c r="W7" s="1" t="n">
        <v>9867000</v>
      </c>
      <c r="X7" s="1" t="n">
        <v>33076541</v>
      </c>
      <c r="Y7" s="1" t="n">
        <v>43663788</v>
      </c>
      <c r="Z7" s="1" t="n">
        <v>86470328</v>
      </c>
      <c r="AA7" s="1" t="n">
        <v>259096373</v>
      </c>
      <c r="AB7" s="1" t="n">
        <v>251929788</v>
      </c>
      <c r="AC7" s="1" t="n">
        <v>405270111</v>
      </c>
      <c r="AD7" s="1" t="n">
        <v>584678521</v>
      </c>
      <c r="AE7" s="1" t="n">
        <v>982872215</v>
      </c>
      <c r="AF7" s="1" t="n">
        <v>782622286.4375</v>
      </c>
      <c r="AG7" s="1" t="n">
        <v>992844509.6259</v>
      </c>
      <c r="AH7" s="1" t="n">
        <v>1470512876.6352</v>
      </c>
      <c r="AI7" s="1" t="n">
        <v>1557994479.598</v>
      </c>
      <c r="AJ7" s="1" t="n">
        <v>2408749664.5514</v>
      </c>
      <c r="AK7" s="1" t="n">
        <v>2827189526.1604</v>
      </c>
      <c r="AL7" s="1" t="n">
        <v>3180411274.7275</v>
      </c>
      <c r="AM7" s="1" t="n">
        <v>2102563333.0627</v>
      </c>
      <c r="AN7" s="1" t="n">
        <v>1912781894.8718</v>
      </c>
      <c r="AO7" s="1" t="n">
        <v>2080822631.2285</v>
      </c>
      <c r="AP7" s="1" t="n">
        <v>1892063555.2083</v>
      </c>
      <c r="AQ7" s="1" t="n">
        <v>1926336241.4566</v>
      </c>
      <c r="AR7" s="1" t="n">
        <v>1915348836.1225</v>
      </c>
      <c r="AS7" s="1" t="n">
        <v>2252199714.6027</v>
      </c>
      <c r="AT7" s="1" t="n">
        <v>2276775762.2453</v>
      </c>
      <c r="AU7" s="1" t="n">
        <v>2200886943.824</v>
      </c>
      <c r="AV7" s="1" t="n">
        <v>2508102828.1379</v>
      </c>
      <c r="AW7" s="1" t="n">
        <v>2907790782.0564</v>
      </c>
      <c r="AX7" s="1" t="n">
        <v>2831710791.6156</v>
      </c>
      <c r="AY7" s="1" t="n">
        <v>2919402311.93</v>
      </c>
      <c r="AZ7" s="1" t="n">
        <v>1764300310.28</v>
      </c>
      <c r="BA7" s="1"/>
    </row>
    <row r="8">
      <c r="A8" t="str">
        <f>M8</f>
      </c>
      <c r="B8" t="str">
        <f>N8</f>
      </c>
      <c r="M8" t="s">
        <v>43</v>
      </c>
      <c r="N8" t="s">
        <v>48</v>
      </c>
      <c r="O8" s="1"/>
      <c r="P8" s="1"/>
      <c r="Q8" s="1"/>
      <c r="R8" s="1"/>
      <c r="S8" s="1"/>
      <c r="T8" s="1"/>
      <c r="U8" s="1"/>
      <c r="V8" s="1"/>
      <c r="W8" s="1" t="n">
        <v>0</v>
      </c>
      <c r="X8" s="1" t="n">
        <v>5521351</v>
      </c>
      <c r="Y8" s="1"/>
      <c r="Z8" s="1"/>
      <c r="AA8" s="1" t="n">
        <v>91551</v>
      </c>
      <c r="AB8" s="1" t="n">
        <v>4968922</v>
      </c>
      <c r="AC8" s="1" t="n">
        <v>5982298</v>
      </c>
      <c r="AD8" s="1" t="n">
        <v>-190078</v>
      </c>
      <c r="AE8" s="1" t="n">
        <v>-191046</v>
      </c>
      <c r="AF8" s="1" t="n">
        <v>13569</v>
      </c>
      <c r="AG8" s="1"/>
      <c r="AH8" s="1"/>
      <c r="AI8" s="1"/>
      <c r="AJ8" s="1" t="n">
        <v>0</v>
      </c>
      <c r="AK8" s="1"/>
      <c r="AL8" s="1" t="n">
        <v>-90028.05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>
      <c r="A9" t="str">
        <f>M9</f>
      </c>
      <c r="B9" t="str">
        <f>N9</f>
      </c>
      <c r="M9"/>
      <c r="N9"/>
      <c r="O9" s="1" t="n">
        <v>1744000</v>
      </c>
      <c r="P9" s="1" t="n">
        <v>20988000</v>
      </c>
      <c r="Q9" s="1" t="n">
        <v>4418278000</v>
      </c>
      <c r="R9" s="1" t="n">
        <v>6715280054</v>
      </c>
      <c r="S9" s="1" t="n">
        <v>5438989317</v>
      </c>
      <c r="T9" s="1" t="n">
        <v>6509522213</v>
      </c>
      <c r="U9" s="1" t="n">
        <v>5223252139</v>
      </c>
      <c r="V9" s="1" t="n">
        <v>4527970932</v>
      </c>
      <c r="W9" s="1" t="n">
        <v>4779883768</v>
      </c>
      <c r="X9" s="1" t="n">
        <v>5046910249</v>
      </c>
      <c r="Y9" s="1" t="n">
        <v>4789326120</v>
      </c>
      <c r="Z9" s="1" t="n">
        <v>4349473537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 t="n">
        <v>0</v>
      </c>
      <c r="BA9" s="1"/>
    </row>
    <row r="10">
      <c r="A10" t="str">
        <f>M10</f>
      </c>
      <c r="B10" t="str">
        <f>N10</f>
      </c>
      <c r="M10" t="s">
        <v>49</v>
      </c>
      <c r="N10" t="s">
        <v>50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</row>
    <row r="14">
      <c r="A14" t="str">
        <f>M14</f>
      </c>
      <c r="B14" t="str">
        <f>N14</f>
      </c>
      <c r="M14" t="s">
        <v>40</v>
      </c>
      <c r="N14" t="s">
        <v>41</v>
      </c>
      <c r="O14" s="1"/>
      <c r="P14" s="1" t="n">
        <v>643150.685098902</v>
      </c>
      <c r="Q14" s="1"/>
      <c r="R14" s="1"/>
      <c r="S14" s="1"/>
      <c r="T14" s="1"/>
      <c r="U14" s="1"/>
      <c r="V14" s="1"/>
      <c r="W14" s="1" t="n">
        <v>401051.334588731</v>
      </c>
      <c r="X14" s="1" t="n">
        <v>1952147947.78454</v>
      </c>
      <c r="Y14" s="1" t="n">
        <v>2103479378.44784</v>
      </c>
      <c r="Z14" s="1" t="n">
        <v>1209634041.77707</v>
      </c>
      <c r="AA14" s="1" t="n">
        <v>5466944507.35629</v>
      </c>
      <c r="AB14" s="1" t="n">
        <v>5775805524.12298</v>
      </c>
      <c r="AC14" s="1" t="n">
        <v>7942871542.49087</v>
      </c>
      <c r="AD14" s="1" t="n">
        <v>7688997896.23081</v>
      </c>
      <c r="AE14" s="1" t="n">
        <v>8416176489.11555</v>
      </c>
      <c r="AF14" s="1" t="n">
        <v>8988817182.73483</v>
      </c>
      <c r="AG14" s="1" t="n">
        <v>9591950658.62519</v>
      </c>
      <c r="AH14" s="1" t="n">
        <v>10555876434.7515</v>
      </c>
      <c r="AI14" s="1" t="n">
        <v>10819272928.3196</v>
      </c>
      <c r="AJ14" s="1" t="n">
        <v>12079577837.827</v>
      </c>
      <c r="AK14" s="1" t="n">
        <v>11498173311.1109</v>
      </c>
      <c r="AL14" s="1" t="n">
        <v>10322222376.8854</v>
      </c>
      <c r="AM14" s="1" t="n">
        <v>11751349927.6008</v>
      </c>
      <c r="AN14" s="1" t="n">
        <v>11715364716.1819</v>
      </c>
      <c r="AO14" s="1" t="n">
        <v>7700896463.45423</v>
      </c>
      <c r="AP14" s="1" t="n">
        <v>9744526614.1616</v>
      </c>
      <c r="AQ14" s="1" t="n">
        <v>10178429361.0727</v>
      </c>
      <c r="AR14" s="1" t="n">
        <v>7905132029.02397</v>
      </c>
      <c r="AS14" s="1" t="n">
        <v>14442948259.4662</v>
      </c>
      <c r="AT14" s="1" t="n">
        <v>14325045978.6428</v>
      </c>
      <c r="AU14" s="1" t="n">
        <v>20370071505.7403</v>
      </c>
      <c r="AV14" s="1" t="n">
        <v>11644609135.3733</v>
      </c>
      <c r="AW14" s="1" t="n">
        <v>12112761222.417</v>
      </c>
      <c r="AX14" s="1" t="n">
        <v>10420097930.52</v>
      </c>
      <c r="AY14" s="1" t="n">
        <v>10367628231.053</v>
      </c>
      <c r="AZ14" s="1" t="n">
        <v>3944192756.63687</v>
      </c>
      <c r="BA14" s="1"/>
    </row>
    <row r="15">
      <c r="A15" t="str">
        <f>M15</f>
      </c>
      <c r="B15" t="str">
        <f>N15</f>
      </c>
      <c r="M15" t="s">
        <v>40</v>
      </c>
      <c r="N15" t="s">
        <v>42</v>
      </c>
      <c r="O15" s="1"/>
      <c r="P15" s="1"/>
      <c r="Q15" s="1" t="n">
        <v>154771605.644373</v>
      </c>
      <c r="R15" s="1" t="n">
        <v>135988336.330315</v>
      </c>
      <c r="S15" s="1" t="n">
        <v>3235848.54821463</v>
      </c>
      <c r="T15" s="1"/>
      <c r="U15" s="1"/>
      <c r="V15" s="1"/>
      <c r="W15" s="1"/>
      <c r="X15" s="1" t="n">
        <v>1363058.70653104</v>
      </c>
      <c r="Y15" s="1" t="n">
        <v>5441964.34724476</v>
      </c>
      <c r="Z15" s="1" t="n">
        <v>4463890.35541835</v>
      </c>
      <c r="AA15" s="1" t="n">
        <v>17194173.9615316</v>
      </c>
      <c r="AB15" s="1" t="n">
        <v>20613484.0652445</v>
      </c>
      <c r="AC15" s="1" t="n">
        <v>40087854.2670488</v>
      </c>
      <c r="AD15" s="1" t="n">
        <v>50064109.740153</v>
      </c>
      <c r="AE15" s="1" t="n">
        <v>36286014.0434145</v>
      </c>
      <c r="AF15" s="1" t="n">
        <v>18723567.3464051</v>
      </c>
      <c r="AG15" s="1" t="n">
        <v>11651545.5478943</v>
      </c>
      <c r="AH15" s="1" t="n">
        <v>10990730.9086088</v>
      </c>
      <c r="AI15" s="1" t="n">
        <v>66716266.2093349</v>
      </c>
      <c r="AJ15" s="1" t="n">
        <v>56906441.0336376</v>
      </c>
      <c r="AK15" s="1" t="n">
        <v>4864704.98797417</v>
      </c>
      <c r="AL15" s="1" t="n">
        <v>8726670.83212528</v>
      </c>
      <c r="AM15" s="1" t="n">
        <v>5363784.48247654</v>
      </c>
      <c r="AN15" s="1" t="n">
        <v>5656235.20912547</v>
      </c>
      <c r="AO15" s="1" t="n">
        <v>5383283.43509278</v>
      </c>
      <c r="AP15" s="1" t="n">
        <v>4656121.02735503</v>
      </c>
      <c r="AQ15" s="1" t="n">
        <v>2968098.21489047</v>
      </c>
      <c r="AR15" s="1" t="n">
        <v>3042384.30336928</v>
      </c>
      <c r="AS15" s="1" t="n">
        <v>4905196.95338884</v>
      </c>
      <c r="AT15" s="1" t="n">
        <v>2459350.39978711</v>
      </c>
      <c r="AU15" s="1" t="n">
        <v>1605893.64978272</v>
      </c>
      <c r="AV15" s="1" t="n">
        <v>1697298.76253647</v>
      </c>
      <c r="AW15" s="1" t="n">
        <v>319765.214663415</v>
      </c>
      <c r="AX15" s="1" t="n">
        <v>383503.34</v>
      </c>
      <c r="AY15" s="1" t="n">
        <v>171302.127440207</v>
      </c>
      <c r="AZ15" s="1" t="n">
        <v>2888724.88607751</v>
      </c>
      <c r="BA15" s="1"/>
    </row>
    <row r="16">
      <c r="A16" t="str">
        <f>M16</f>
      </c>
      <c r="B16" t="str">
        <f>N16</f>
      </c>
      <c r="M16" t="s">
        <v>43</v>
      </c>
      <c r="N16" t="s">
        <v>44</v>
      </c>
      <c r="O16" s="1"/>
      <c r="P16" s="1"/>
      <c r="Q16" s="1"/>
      <c r="R16" s="1"/>
      <c r="S16" s="1"/>
      <c r="T16" s="1"/>
      <c r="U16" s="1"/>
      <c r="V16" s="1"/>
      <c r="W16" s="1"/>
      <c r="X16" s="1" t="n">
        <v>452093.519412063</v>
      </c>
      <c r="Y16" s="1" t="n">
        <v>-1156859.09358598</v>
      </c>
      <c r="Z16" s="1" t="n">
        <v>1584747.64576859</v>
      </c>
      <c r="AA16" s="1"/>
      <c r="AB16" s="1" t="n">
        <v>2173812.77610192</v>
      </c>
      <c r="AC16" s="1" t="n">
        <v>-476758.169330333</v>
      </c>
      <c r="AD16" s="1"/>
      <c r="AE16" s="1"/>
      <c r="AF16" s="1" t="n">
        <v>750822.875267333</v>
      </c>
      <c r="AG16" s="1"/>
      <c r="AH16" s="1"/>
      <c r="AI16" s="1"/>
      <c r="AJ16" s="1"/>
      <c r="AK16" s="1" t="n">
        <v>468949.11985604</v>
      </c>
      <c r="AL16" s="1" t="n">
        <v>33260586.7705546</v>
      </c>
      <c r="AM16" s="1" t="n">
        <v>156119498.72826</v>
      </c>
      <c r="AN16" s="1" t="n">
        <v>187097362.966317</v>
      </c>
      <c r="AO16" s="1" t="n">
        <v>275712099.194466</v>
      </c>
      <c r="AP16" s="1" t="n">
        <v>275671656.041434</v>
      </c>
      <c r="AQ16" s="1" t="n">
        <v>401359261.374315</v>
      </c>
      <c r="AR16" s="1" t="n">
        <v>308693044.244368</v>
      </c>
      <c r="AS16" s="1" t="n">
        <v>292259449.376121</v>
      </c>
      <c r="AT16" s="1" t="n">
        <v>286814659.974202</v>
      </c>
      <c r="AU16" s="1" t="n">
        <v>244356102.881142</v>
      </c>
      <c r="AV16" s="1" t="n">
        <v>212869697.916515</v>
      </c>
      <c r="AW16" s="1" t="n">
        <v>166894936.315015</v>
      </c>
      <c r="AX16" s="1" t="n">
        <v>150181620.8418</v>
      </c>
      <c r="AY16" s="1" t="n">
        <v>133777987.023876</v>
      </c>
      <c r="AZ16" s="1" t="n">
        <v>49510676.3815401</v>
      </c>
      <c r="BA16" s="1"/>
    </row>
    <row r="17">
      <c r="A17" t="str">
        <f>M17</f>
      </c>
      <c r="B17" t="str">
        <f>N17</f>
      </c>
      <c r="M17" t="s">
        <v>43</v>
      </c>
      <c r="N17" t="s">
        <v>45</v>
      </c>
      <c r="O17" s="1"/>
      <c r="P17" s="1"/>
      <c r="Q17" s="1"/>
      <c r="R17" s="1"/>
      <c r="S17" s="1"/>
      <c r="T17" s="1"/>
      <c r="U17" s="1"/>
      <c r="V17" s="1"/>
      <c r="W17" s="1" t="n">
        <v>544283.954084707</v>
      </c>
      <c r="X17" s="1" t="n">
        <v>1287684.57161245</v>
      </c>
      <c r="Y17" s="1" t="n">
        <v>3064285.37180617</v>
      </c>
      <c r="Z17" s="1" t="n">
        <v>5877527.19823598</v>
      </c>
      <c r="AA17" s="1" t="n">
        <v>13587783.0057656</v>
      </c>
      <c r="AB17" s="1" t="n">
        <v>18055999.5509163</v>
      </c>
      <c r="AC17" s="1" t="n">
        <v>55560570.3664355</v>
      </c>
      <c r="AD17" s="1" t="n">
        <v>99648030.5919248</v>
      </c>
      <c r="AE17" s="1" t="n">
        <v>195157957.527082</v>
      </c>
      <c r="AF17" s="1" t="n">
        <v>241915467.767133</v>
      </c>
      <c r="AG17" s="1" t="n">
        <v>317820706.875496</v>
      </c>
      <c r="AH17" s="1" t="n">
        <v>454697213.440916</v>
      </c>
      <c r="AI17" s="1" t="n">
        <v>446344457.341955</v>
      </c>
      <c r="AJ17" s="1" t="n">
        <v>450362983.429516</v>
      </c>
      <c r="AK17" s="1" t="n">
        <v>382565619.529118</v>
      </c>
      <c r="AL17" s="1" t="n">
        <v>224503949.416594</v>
      </c>
      <c r="AM17" s="1" t="n">
        <v>67050185.2101637</v>
      </c>
      <c r="AN17" s="1" t="n">
        <v>51028033.0856015</v>
      </c>
      <c r="AO17" s="1" t="n">
        <v>41521496.813339</v>
      </c>
      <c r="AP17" s="1" t="n">
        <v>44028461.4992384</v>
      </c>
      <c r="AQ17" s="1" t="n">
        <v>45520325.4233769</v>
      </c>
      <c r="AR17" s="1" t="n">
        <v>46664187.4696031</v>
      </c>
      <c r="AS17" s="1" t="n">
        <v>32695142.7132526</v>
      </c>
      <c r="AT17" s="1" t="n">
        <v>63442697.2864158</v>
      </c>
      <c r="AU17" s="1" t="n">
        <v>67172964.603524</v>
      </c>
      <c r="AV17" s="1" t="n">
        <v>44245826.9992318</v>
      </c>
      <c r="AW17" s="1" t="n">
        <v>45472770.2519997</v>
      </c>
      <c r="AX17" s="1" t="n">
        <v>38842949.5142</v>
      </c>
      <c r="AY17" s="1" t="n">
        <v>31733831.7013887</v>
      </c>
      <c r="AZ17" s="1" t="n">
        <v>10777445.5119044</v>
      </c>
      <c r="BA17" s="1"/>
    </row>
    <row r="18">
      <c r="A18" t="str">
        <f>M18</f>
      </c>
      <c r="B18" t="str">
        <f>N18</f>
      </c>
      <c r="M18" t="s">
        <v>43</v>
      </c>
      <c r="N18" t="s">
        <v>46</v>
      </c>
      <c r="O18" s="1"/>
      <c r="P18" s="1"/>
      <c r="Q18" s="1"/>
      <c r="R18" s="1"/>
      <c r="S18" s="1"/>
      <c r="T18" s="1"/>
      <c r="U18" s="1"/>
      <c r="V18" s="1"/>
      <c r="W18" s="1"/>
      <c r="X18" s="1" t="n">
        <v>45832153.4684658</v>
      </c>
      <c r="Y18" s="1" t="n">
        <v>29319721.5935991</v>
      </c>
      <c r="Z18" s="1" t="n">
        <v>54833414.934145</v>
      </c>
      <c r="AA18" s="1" t="n">
        <v>308718978.944452</v>
      </c>
      <c r="AB18" s="1" t="n">
        <v>343540074.315467</v>
      </c>
      <c r="AC18" s="1" t="n">
        <v>416074998.838444</v>
      </c>
      <c r="AD18" s="1" t="n">
        <v>471472029.349693</v>
      </c>
      <c r="AE18" s="1" t="n">
        <v>434811750.493179</v>
      </c>
      <c r="AF18" s="1" t="n">
        <v>451933422.676497</v>
      </c>
      <c r="AG18" s="1" t="n">
        <v>473058624.382973</v>
      </c>
      <c r="AH18" s="1" t="n">
        <v>486318835.469104</v>
      </c>
      <c r="AI18" s="1" t="n">
        <v>872516275.206536</v>
      </c>
      <c r="AJ18" s="1" t="n">
        <v>922090913.583975</v>
      </c>
      <c r="AK18" s="1" t="n">
        <v>1158986446.0414</v>
      </c>
      <c r="AL18" s="1" t="n">
        <v>1290522696.13898</v>
      </c>
      <c r="AM18" s="1" t="n">
        <v>1878486639.5132</v>
      </c>
      <c r="AN18" s="1" t="n">
        <v>1154026568.77312</v>
      </c>
      <c r="AO18" s="1" t="n">
        <v>1094659920.35994</v>
      </c>
      <c r="AP18" s="1" t="n">
        <v>921689438.301777</v>
      </c>
      <c r="AQ18" s="1" t="n">
        <v>604419753.871751</v>
      </c>
      <c r="AR18" s="1" t="n">
        <v>181149376.626168</v>
      </c>
      <c r="AS18" s="1" t="n">
        <v>158780170.791813</v>
      </c>
      <c r="AT18" s="1" t="n">
        <v>336378369.740387</v>
      </c>
      <c r="AU18" s="1" t="n">
        <v>354946318.961963</v>
      </c>
      <c r="AV18" s="1" t="n">
        <v>368677671.953866</v>
      </c>
      <c r="AW18" s="1" t="n">
        <v>357469373.897752</v>
      </c>
      <c r="AX18" s="1" t="n">
        <v>447545003.1791</v>
      </c>
      <c r="AY18" s="1" t="n">
        <v>285342860.618438</v>
      </c>
      <c r="AZ18" s="1" t="n">
        <v>18251061.2698894</v>
      </c>
      <c r="BA18" s="1"/>
    </row>
    <row r="19">
      <c r="A19" t="str">
        <f>M19</f>
      </c>
      <c r="B19" t="str">
        <f>N19</f>
      </c>
      <c r="M19" t="s">
        <v>43</v>
      </c>
      <c r="N19" t="s">
        <v>47</v>
      </c>
      <c r="O19" s="1"/>
      <c r="P19" s="1"/>
      <c r="Q19" s="1"/>
      <c r="R19" s="1"/>
      <c r="S19" s="1"/>
      <c r="T19" s="1"/>
      <c r="U19" s="1"/>
      <c r="V19" s="1"/>
      <c r="W19" s="1" t="n">
        <v>17665953.2070849</v>
      </c>
      <c r="X19" s="1" t="n">
        <v>58187827.6612608</v>
      </c>
      <c r="Y19" s="1" t="n">
        <v>75861636.8551868</v>
      </c>
      <c r="Z19" s="1" t="n">
        <v>148396357.847197</v>
      </c>
      <c r="AA19" s="1" t="n">
        <v>435585928.089829</v>
      </c>
      <c r="AB19" s="1" t="n">
        <v>413514444.047229</v>
      </c>
      <c r="AC19" s="1" t="n">
        <v>654902336.049422</v>
      </c>
      <c r="AD19" s="1" t="n">
        <v>927025678.833228</v>
      </c>
      <c r="AE19" s="1" t="n">
        <v>1521227479.27289</v>
      </c>
      <c r="AF19" s="1" t="n">
        <v>1175522364.42789</v>
      </c>
      <c r="AG19" s="1" t="n">
        <v>1444363356.47126</v>
      </c>
      <c r="AH19" s="1" t="n">
        <v>2081947423.95999</v>
      </c>
      <c r="AI19" s="1" t="n">
        <v>2160940643.64908</v>
      </c>
      <c r="AJ19" s="1" t="n">
        <v>3307120361.97606</v>
      </c>
      <c r="AK19" s="1" t="n">
        <v>3848294216.45748</v>
      </c>
      <c r="AL19" s="1" t="n">
        <v>4243909100.94474</v>
      </c>
      <c r="AM19" s="1" t="n">
        <v>2755635668.51312</v>
      </c>
      <c r="AN19" s="1" t="n">
        <v>2462230157.40958</v>
      </c>
      <c r="AO19" s="1" t="n">
        <v>2630551145.39074</v>
      </c>
      <c r="AP19" s="1" t="n">
        <v>2367406705.41658</v>
      </c>
      <c r="AQ19" s="1" t="n">
        <v>2391172107.94366</v>
      </c>
      <c r="AR19" s="1" t="n">
        <v>2338066324.70388</v>
      </c>
      <c r="AS19" s="1" t="n">
        <v>2689552133.31775</v>
      </c>
      <c r="AT19" s="1" t="n">
        <v>2669541997.99744</v>
      </c>
      <c r="AU19" s="1" t="n">
        <v>2547286140.06595</v>
      </c>
      <c r="AV19" s="1" t="n">
        <v>2806270506.23597</v>
      </c>
      <c r="AW19" s="1" t="n">
        <v>3040812308.48971</v>
      </c>
      <c r="AX19" s="1" t="n">
        <v>2831710791.6156</v>
      </c>
      <c r="AY19" s="1" t="n">
        <v>2843464775.75039</v>
      </c>
      <c r="AZ19" s="1" t="n">
        <v>1681512639.63083</v>
      </c>
      <c r="BA19" s="1"/>
    </row>
    <row r="20">
      <c r="A20" t="str">
        <f>M20</f>
      </c>
      <c r="B20" t="str">
        <f>N20</f>
      </c>
      <c r="M20" t="s">
        <v>43</v>
      </c>
      <c r="N20" t="s">
        <v>48</v>
      </c>
      <c r="O20" s="1"/>
      <c r="P20" s="1"/>
      <c r="Q20" s="1"/>
      <c r="R20" s="1"/>
      <c r="S20" s="1"/>
      <c r="T20" s="1"/>
      <c r="U20" s="1"/>
      <c r="V20" s="1"/>
      <c r="W20" s="1" t="n">
        <v>0</v>
      </c>
      <c r="X20" s="1" t="n">
        <v>9713090.02490103</v>
      </c>
      <c r="Y20" s="1"/>
      <c r="Z20" s="1"/>
      <c r="AA20" s="1" t="n">
        <v>153913.105153934</v>
      </c>
      <c r="AB20" s="1" t="n">
        <v>8155927.23137624</v>
      </c>
      <c r="AC20" s="1" t="n">
        <v>9667184.49943569</v>
      </c>
      <c r="AD20" s="1" t="n">
        <v>-301374.482989195</v>
      </c>
      <c r="AE20" s="1" t="n">
        <v>-295688.921275659</v>
      </c>
      <c r="AF20" s="1" t="n">
        <v>20381.0487374817</v>
      </c>
      <c r="AG20" s="1"/>
      <c r="AH20" s="1"/>
      <c r="AI20" s="1"/>
      <c r="AJ20" s="1" t="n">
        <v>0</v>
      </c>
      <c r="AK20" s="1"/>
      <c r="AL20" s="1" t="n">
        <v>-120132.532471934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>
      <c r="A21" t="str">
        <f>M21</f>
      </c>
      <c r="B21" t="str">
        <f>N21</f>
      </c>
      <c r="M21"/>
      <c r="N21"/>
      <c r="O21" s="1" t="n">
        <v>3889824.22606973</v>
      </c>
      <c r="P21" s="1" t="n">
        <v>44994821.9295192</v>
      </c>
      <c r="Q21" s="1" t="n">
        <v>9138244581.03204</v>
      </c>
      <c r="R21" s="1" t="n">
        <v>13409688142.9605</v>
      </c>
      <c r="S21" s="1" t="n">
        <v>10595873380.5956</v>
      </c>
      <c r="T21" s="1" t="n">
        <v>12390727840.3286</v>
      </c>
      <c r="U21" s="1" t="n">
        <v>9729931160.15749</v>
      </c>
      <c r="V21" s="1" t="n">
        <v>8259554872.83913</v>
      </c>
      <c r="W21" s="1" t="n">
        <v>8557940912.21167</v>
      </c>
      <c r="X21" s="1" t="n">
        <v>8878459926.95133</v>
      </c>
      <c r="Y21" s="1" t="n">
        <v>8320994021.32725</v>
      </c>
      <c r="Z21" s="1" t="n">
        <v>7464364324.41389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 t="n">
        <v>0</v>
      </c>
      <c r="BA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../output/FedAcqTrends/Platform//Missile_Defense/DoD_Missile_Defense_Contracts.xlsx</dc:creator>
  <cp:lastModifiedBy>../output/FedAcqTrends/Platform//Missile_Defense/DoD_Missile_Defense_Contracts.xlsx</cp:lastModifiedBy>
  <dcterms:created xsi:type="dcterms:W3CDTF">2025-11-13T21:10:32Z</dcterms:created>
</coreProperties>
</file>