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  <sheet name="Veh" sheetId="2" state="visible" r:id="rId2"/>
    <sheet name="Price" sheetId="3" state="visible" r:id="rId3"/>
  </sheets>
</workbook>
</file>

<file path=xl/sharedStrings.xml><?xml version="1.0" encoding="utf-8"?>
<sst xmlns="http://schemas.openxmlformats.org/spreadsheetml/2006/main" count="71" uniqueCount="71">
  <si>
    <t xml:space="preserve">Vehicle.AwardTask</t>
  </si>
  <si>
    <t xml:space="preserve">Vehicle.sum7</t>
  </si>
  <si>
    <t xml:space="preserve">1967</t>
  </si>
  <si>
    <t xml:space="preserve">1977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</si>
  <si>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</si>
  <si>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</si>
  <si>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</si>
  <si>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</si>
  <si>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</si>
  <si>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</si>
  <si>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</si>
  <si>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</si>
  <si>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1988</t>
  </si>
  <si>
    <t xml:space="preserve">1990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</si>
  <si>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</si>
  <si>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</si>
  <si>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</si>
  <si>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</si>
  <si>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</si>
  <si>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</si>
  <si>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</si>
  <si>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</si>
  <si>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</si>
  <si>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</si>
  <si>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</si>
  <si>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</si>
  <si>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</si>
  <si>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</si>
  <si>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</si>
  <si>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</si>
  <si>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</si>
  <si>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</si>
  <si>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</si>
  <si>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</si>
  <si>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</si>
  <si>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</si>
  <si>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</si>
  <si>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</si>
  <si>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</si>
  <si>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</si>
  <si>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</si>
  <si>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</si>
  <si>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</si>
  <si>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</si>
  <si>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</si>
  <si>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</si>
  <si>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</si>
  <si>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</si>
  <si>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</si>
  <si>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</si>
  <si>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</si>
  <si>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</si>
  <si>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</si>
  <si>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</si>
  <si>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</si>
  <si>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</si>
  <si>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</si>
  <si>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</si>
  <si>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</si>
  <si>
    <t xml:space="preserve">PricingUCA.sum</t>
  </si>
  <si>
    <t xml:space="preserve">PricingUCA</t>
  </si>
  <si>
    <t xml:space="preserve">Cost or Effort-Based</t>
  </si>
  <si>
    <t xml:space="preserve">Other CB</t>
  </si>
  <si>
    <t xml:space="preserve">T&amp;M/LH/FPLOE</t>
  </si>
  <si>
    <t xml:space="preserve">Crosscutting</t>
  </si>
  <si>
    <t xml:space="preserve">Combination/Other</t>
  </si>
  <si>
    <t xml:space="preserve">UCA</t>
  </si>
  <si>
    <t xml:space="preserve">Fixed-Price</t>
  </si>
  <si>
    <t xml:space="preserve">FFP</t>
  </si>
  <si>
    <t xml:space="preserve">Other FP</t>
  </si>
  <si>
    <t xml:space="preserve">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</si>
</sst>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,,,&quot;B&quot;"/>
    <numFmt numFmtId="168" formatCode="0.00,,,&quot;B&quot;"/>
    <numFmt numFmtId="169" formatCode="0.00,,,&quot;B&quot;"/>
    <numFmt numFmtId="170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</row>
    <row r="2">
      <c r="A2" t="str">
        <f>M2</f>
      </c>
      <c r="B2" t="str">
        <f>N2</f>
      </c>
      <c r="M2" t="s">
        <v>48</v>
      </c>
      <c r="N2" t="s">
        <v>49</v>
      </c>
      <c r="O2" s="4" t="n">
        <v>48121954.2923</v>
      </c>
      <c r="P2" s="4" t="n">
        <v>243277536.84</v>
      </c>
      <c r="Q2" s="4" t="n">
        <v>289284951.6</v>
      </c>
      <c r="R2" s="4" t="n">
        <v>371602176.69</v>
      </c>
      <c r="S2" s="4" t="n">
        <v>112263304.86</v>
      </c>
      <c r="T2" s="4" t="n">
        <v>45748811.32</v>
      </c>
      <c r="U2" s="4" t="n">
        <v>107419713.31</v>
      </c>
      <c r="V2" s="4" t="n">
        <v>38139093.37</v>
      </c>
      <c r="W2" s="4" t="n">
        <v>3380352.27</v>
      </c>
      <c r="X2" s="4" t="n">
        <v>8524377.83</v>
      </c>
      <c r="Y2" s="4" t="n">
        <v>641199.2641</v>
      </c>
      <c r="Z2" s="4" t="n">
        <v>460026.7781</v>
      </c>
      <c r="AA2" s="4" t="n">
        <v>-981573.3969</v>
      </c>
      <c r="AB2" s="4" t="n">
        <v>-6631443.21</v>
      </c>
      <c r="AC2" s="4" t="n">
        <v>-64890.89</v>
      </c>
      <c r="AD2" s="4" t="n">
        <v>839854.2644</v>
      </c>
      <c r="AE2" s="4" t="n">
        <v>215416.9825</v>
      </c>
      <c r="AF2" s="4" t="n">
        <v>575288.3359</v>
      </c>
      <c r="AG2" s="4" t="n">
        <v>-212795.37</v>
      </c>
      <c r="AH2" s="4" t="n">
        <v>-404229.84</v>
      </c>
      <c r="AI2" s="4" t="n">
        <v>10000</v>
      </c>
      <c r="AJ2" s="4" t="n">
        <v>7143.98</v>
      </c>
      <c r="AK2" s="4" t="n">
        <v>52867</v>
      </c>
      <c r="AL2" s="4" t="n">
        <v>-1117</v>
      </c>
      <c r="AM2" s="4" t="n">
        <v>-47114.85</v>
      </c>
      <c r="AN2" s="4" t="n">
        <v>2174883</v>
      </c>
      <c r="AO2" s="4" t="n">
        <v>107419713.31</v>
      </c>
      <c r="AP2" s="1" t="n">
        <v>38139093.37</v>
      </c>
      <c r="AQ2" s="1" t="n">
        <v>3380352.27</v>
      </c>
      <c r="AR2" s="1" t="n">
        <v>8524377.83</v>
      </c>
      <c r="AS2" s="1" t="n">
        <v>641199.2641</v>
      </c>
      <c r="AT2" s="1" t="n">
        <v>460026.7781</v>
      </c>
      <c r="AU2" s="1" t="n">
        <v>-981573.3969</v>
      </c>
      <c r="AV2" s="1" t="n">
        <v>-6631443.21</v>
      </c>
      <c r="AW2" s="1" t="n">
        <v>-64890.89</v>
      </c>
      <c r="AX2" s="1" t="n">
        <v>839854.2644</v>
      </c>
      <c r="AY2" s="1" t="n">
        <v>215416.9825</v>
      </c>
      <c r="AZ2" s="1" t="n">
        <v>575288.3359</v>
      </c>
      <c r="BA2" s="1" t="n">
        <v>-212795.37</v>
      </c>
      <c r="BB2" s="1" t="n">
        <v>-404229.84</v>
      </c>
      <c r="BC2" s="1" t="n">
        <v>10000</v>
      </c>
      <c r="BD2" s="1" t="n">
        <v>7143.98</v>
      </c>
      <c r="BE2" s="1" t="n">
        <v>52867</v>
      </c>
      <c r="BF2" s="1" t="n">
        <v>-1117</v>
      </c>
      <c r="BG2" s="1" t="n">
        <v>-47114.85</v>
      </c>
      <c r="BH2" s="1" t="n">
        <v>2174883</v>
      </c>
      <c r="BI2" s="1"/>
    </row>
    <row r="3">
      <c r="A3" t="str">
        <f>M3</f>
      </c>
      <c r="B3" t="str">
        <f>N3</f>
      </c>
      <c r="M3" t="s">
        <v>48</v>
      </c>
      <c r="N3" t="s">
        <v>50</v>
      </c>
      <c r="O3" s="4" t="n">
        <v>2281379.4209</v>
      </c>
      <c r="P3" s="4" t="n">
        <v>7055001.81</v>
      </c>
      <c r="Q3" s="4" t="n">
        <v>157283203.07</v>
      </c>
      <c r="R3" s="4" t="n">
        <v>69731207.68</v>
      </c>
      <c r="S3" s="4" t="n">
        <v>111979813.84</v>
      </c>
      <c r="T3" s="4" t="n">
        <v>327136238.41</v>
      </c>
      <c r="U3" s="4" t="n">
        <v>335576619.15</v>
      </c>
      <c r="V3" s="4" t="n">
        <v>263412045.08</v>
      </c>
      <c r="W3" s="4" t="n">
        <v>184867801.46</v>
      </c>
      <c r="X3" s="4" t="n">
        <v>93099304.82</v>
      </c>
      <c r="Y3" s="4" t="n">
        <v>30866090.536</v>
      </c>
      <c r="Z3" s="4" t="n">
        <v>911464.7006</v>
      </c>
      <c r="AA3" s="4" t="n">
        <v>-753343.9329</v>
      </c>
      <c r="AB3" s="4" t="n">
        <v>-798759.41</v>
      </c>
      <c r="AC3" s="4" t="n">
        <v>-282171.11</v>
      </c>
      <c r="AD3" s="4" t="n">
        <v>-92479.26</v>
      </c>
      <c r="AE3" s="4" t="n">
        <v>-240507.56</v>
      </c>
      <c r="AF3" s="4" t="n">
        <v>-342707.0276</v>
      </c>
      <c r="AG3" s="4" t="n">
        <v>-31720.15</v>
      </c>
      <c r="AH3" s="4" t="n">
        <v>-24544.07</v>
      </c>
      <c r="AI3" s="4" t="n">
        <v>3033.91</v>
      </c>
      <c r="AJ3" s="4" t="n">
        <v>-67292.43</v>
      </c>
      <c r="AK3" s="4" t="n">
        <v>3314743.12</v>
      </c>
      <c r="AL3" s="4" t="n">
        <v>6310289.29</v>
      </c>
      <c r="AM3" s="4" t="n">
        <v>8714062.95</v>
      </c>
      <c r="AN3" s="4" t="n">
        <v>2578464.14</v>
      </c>
      <c r="AO3" s="4" t="n">
        <v>335576619.15</v>
      </c>
      <c r="AP3" s="1" t="n">
        <v>263412045.08</v>
      </c>
      <c r="AQ3" s="1" t="n">
        <v>184867801.46</v>
      </c>
      <c r="AR3" s="1" t="n">
        <v>93099304.82</v>
      </c>
      <c r="AS3" s="1" t="n">
        <v>30866090.536</v>
      </c>
      <c r="AT3" s="1" t="n">
        <v>911464.7006</v>
      </c>
      <c r="AU3" s="1" t="n">
        <v>-753343.9329</v>
      </c>
      <c r="AV3" s="1" t="n">
        <v>-798759.41</v>
      </c>
      <c r="AW3" s="1" t="n">
        <v>-282171.11</v>
      </c>
      <c r="AX3" s="1" t="n">
        <v>-92479.26</v>
      </c>
      <c r="AY3" s="1" t="n">
        <v>-240507.56</v>
      </c>
      <c r="AZ3" s="1" t="n">
        <v>-342707.0276</v>
      </c>
      <c r="BA3" s="1" t="n">
        <v>-31720.15</v>
      </c>
      <c r="BB3" s="1" t="n">
        <v>-24544.07</v>
      </c>
      <c r="BC3" s="1" t="n">
        <v>3033.91</v>
      </c>
      <c r="BD3" s="1" t="n">
        <v>-67292.43</v>
      </c>
      <c r="BE3" s="1" t="n">
        <v>3314743.12</v>
      </c>
      <c r="BF3" s="1" t="n">
        <v>6310289.29</v>
      </c>
      <c r="BG3" s="1" t="n">
        <v>8714062.95</v>
      </c>
      <c r="BH3" s="1" t="n">
        <v>2578464.14</v>
      </c>
      <c r="BI3" s="1"/>
    </row>
    <row r="4">
      <c r="A4" t="str">
        <f>M4</f>
      </c>
      <c r="B4" t="str">
        <f>N4</f>
      </c>
      <c r="M4" t="s">
        <v>51</v>
      </c>
      <c r="N4" t="s">
        <v>52</v>
      </c>
      <c r="O4" s="4" t="n">
        <v>2121412.3978</v>
      </c>
      <c r="P4" s="4" t="n">
        <v>2579022.5626</v>
      </c>
      <c r="Q4" s="4" t="n">
        <v>9568162.5428</v>
      </c>
      <c r="R4" s="4" t="n">
        <v>7479563.7541</v>
      </c>
      <c r="S4" s="4" t="n">
        <v>839875.065</v>
      </c>
      <c r="T4" s="4" t="n">
        <v>942804.2498</v>
      </c>
      <c r="U4" s="4" t="n">
        <v>269999.1499</v>
      </c>
      <c r="V4" s="4" t="n">
        <v>-3635.1785</v>
      </c>
      <c r="W4" s="4" t="n">
        <v>-4111.52</v>
      </c>
      <c r="X4" s="4" t="n">
        <v>-1347.97</v>
      </c>
      <c r="Y4" s="4" t="n">
        <v>-32549.2316</v>
      </c>
      <c r="Z4" s="4" t="n">
        <v>-7025.4101</v>
      </c>
      <c r="AA4" s="4" t="n">
        <v>-4405</v>
      </c>
      <c r="AB4" s="4"/>
      <c r="AC4" s="4"/>
      <c r="AD4" s="4"/>
      <c r="AE4" s="4" t="n">
        <v>-8757.1001</v>
      </c>
      <c r="AF4" s="4" t="n">
        <v>0</v>
      </c>
      <c r="AG4" s="4"/>
      <c r="AH4" s="4"/>
      <c r="AI4" s="4"/>
      <c r="AJ4" s="4"/>
      <c r="AK4" s="4" t="n">
        <v>0</v>
      </c>
      <c r="AL4" s="4" t="n">
        <v>4606547.0625</v>
      </c>
      <c r="AM4" s="4" t="n">
        <v>-392961.44</v>
      </c>
      <c r="AN4" s="4" t="n">
        <v>1585708.22</v>
      </c>
      <c r="AO4" s="4" t="n">
        <v>269999.1499</v>
      </c>
      <c r="AP4" s="1" t="n">
        <v>-3635.1785</v>
      </c>
      <c r="AQ4" s="1" t="n">
        <v>-4111.52</v>
      </c>
      <c r="AR4" s="1" t="n">
        <v>-1347.97</v>
      </c>
      <c r="AS4" s="1" t="n">
        <v>-32549.2316</v>
      </c>
      <c r="AT4" s="1" t="n">
        <v>-7025.4101</v>
      </c>
      <c r="AU4" s="1" t="n">
        <v>-4405</v>
      </c>
      <c r="AV4" s="1"/>
      <c r="AW4" s="1"/>
      <c r="AX4" s="1"/>
      <c r="AY4" s="1" t="n">
        <v>-8757.1001</v>
      </c>
      <c r="AZ4" s="1" t="n">
        <v>0</v>
      </c>
      <c r="BA4" s="1"/>
      <c r="BB4" s="1"/>
      <c r="BC4" s="1"/>
      <c r="BD4" s="1"/>
      <c r="BE4" s="1" t="n">
        <v>0</v>
      </c>
      <c r="BF4" s="1" t="n">
        <v>4606547.0625</v>
      </c>
      <c r="BG4" s="1" t="n">
        <v>-392961.44</v>
      </c>
      <c r="BH4" s="1" t="n">
        <v>1585708.22</v>
      </c>
      <c r="BI4" s="1"/>
    </row>
    <row r="5">
      <c r="A5" t="str">
        <f>M5</f>
      </c>
      <c r="B5" t="str">
        <f>N5</f>
      </c>
      <c r="M5" t="s">
        <v>51</v>
      </c>
      <c r="N5" t="s">
        <v>53</v>
      </c>
      <c r="O5" s="4" t="n">
        <v>4050219.9143</v>
      </c>
      <c r="P5" s="4" t="n">
        <v>2518599.4869</v>
      </c>
      <c r="Q5" s="4" t="n">
        <v>16114373.7839</v>
      </c>
      <c r="R5" s="4" t="n">
        <v>99209435.1996</v>
      </c>
      <c r="S5" s="4" t="n">
        <v>64455065.3667</v>
      </c>
      <c r="T5" s="4" t="n">
        <v>45227224.9384</v>
      </c>
      <c r="U5" s="4" t="n">
        <v>39326066.3042</v>
      </c>
      <c r="V5" s="4" t="n">
        <v>3508677.9844</v>
      </c>
      <c r="W5" s="4" t="n">
        <v>4025098.1968</v>
      </c>
      <c r="X5" s="4" t="n">
        <v>2649439.2891</v>
      </c>
      <c r="Y5" s="4" t="n">
        <v>2203179.9458</v>
      </c>
      <c r="Z5" s="4" t="n">
        <v>478680.9445</v>
      </c>
      <c r="AA5" s="4" t="n">
        <v>-1547217.21</v>
      </c>
      <c r="AB5" s="4" t="n">
        <v>-91695.0311</v>
      </c>
      <c r="AC5" s="4" t="n">
        <v>-40003</v>
      </c>
      <c r="AD5" s="4" t="n">
        <v>-193653.5</v>
      </c>
      <c r="AE5" s="4" t="n">
        <v>-5902792.37</v>
      </c>
      <c r="AF5" s="4"/>
      <c r="AG5" s="4" t="n">
        <v>0</v>
      </c>
      <c r="AH5" s="4"/>
      <c r="AI5" s="4" t="n">
        <v>0</v>
      </c>
      <c r="AJ5" s="4" t="n">
        <v>0</v>
      </c>
      <c r="AK5" s="4" t="n">
        <v>2717795.3957</v>
      </c>
      <c r="AL5" s="4" t="n">
        <v>3465998.1011</v>
      </c>
      <c r="AM5" s="4" t="n">
        <v>3838971</v>
      </c>
      <c r="AN5" s="4" t="n">
        <v>1671341.88</v>
      </c>
      <c r="AO5" s="4" t="n">
        <v>39326066.3042</v>
      </c>
      <c r="AP5" s="1" t="n">
        <v>3508677.9844</v>
      </c>
      <c r="AQ5" s="1" t="n">
        <v>4025098.1968</v>
      </c>
      <c r="AR5" s="1" t="n">
        <v>2649439.2891</v>
      </c>
      <c r="AS5" s="1" t="n">
        <v>2203179.9458</v>
      </c>
      <c r="AT5" s="1" t="n">
        <v>478680.9445</v>
      </c>
      <c r="AU5" s="1" t="n">
        <v>-1547217.21</v>
      </c>
      <c r="AV5" s="1" t="n">
        <v>-91695.0311</v>
      </c>
      <c r="AW5" s="1" t="n">
        <v>-40003</v>
      </c>
      <c r="AX5" s="1" t="n">
        <v>-193653.5</v>
      </c>
      <c r="AY5" s="1" t="n">
        <v>-5902792.37</v>
      </c>
      <c r="AZ5" s="1"/>
      <c r="BA5" s="1" t="n">
        <v>0</v>
      </c>
      <c r="BB5" s="1"/>
      <c r="BC5" s="1" t="n">
        <v>0</v>
      </c>
      <c r="BD5" s="1" t="n">
        <v>0</v>
      </c>
      <c r="BE5" s="1" t="n">
        <v>2717795.3957</v>
      </c>
      <c r="BF5" s="1" t="n">
        <v>3465998.1011</v>
      </c>
      <c r="BG5" s="1" t="n">
        <v>3838971</v>
      </c>
      <c r="BH5" s="1" t="n">
        <v>1671341.88</v>
      </c>
      <c r="BI5" s="1"/>
    </row>
    <row r="6">
      <c r="A6" t="str">
        <f>M6</f>
      </c>
      <c r="B6" t="str">
        <f>N6</f>
      </c>
      <c r="M6" t="s">
        <v>51</v>
      </c>
      <c r="N6" t="s">
        <v>54</v>
      </c>
      <c r="O6" s="4" t="n">
        <v>5933386.8462</v>
      </c>
      <c r="P6" s="4" t="n">
        <v>27942419.5198</v>
      </c>
      <c r="Q6" s="4" t="n">
        <v>47834985.39</v>
      </c>
      <c r="R6" s="4" t="n">
        <v>12953622.0302</v>
      </c>
      <c r="S6" s="4" t="n">
        <v>6177495</v>
      </c>
      <c r="T6" s="4" t="n">
        <v>989805.99</v>
      </c>
      <c r="U6" s="4" t="n">
        <v>7241945.3506</v>
      </c>
      <c r="V6" s="4" t="n">
        <v>888166.0703</v>
      </c>
      <c r="W6" s="4" t="n">
        <v>118813.3594</v>
      </c>
      <c r="X6" s="4" t="n">
        <v>263786.5391</v>
      </c>
      <c r="Y6" s="4" t="n">
        <v>23822.6699</v>
      </c>
      <c r="Z6" s="4" t="n">
        <v>-81760.8409</v>
      </c>
      <c r="AA6" s="4" t="n">
        <v>-1448.6</v>
      </c>
      <c r="AB6" s="4" t="n">
        <v>-47665.85</v>
      </c>
      <c r="AC6" s="4" t="n">
        <v>211903.87</v>
      </c>
      <c r="AD6" s="4" t="n">
        <v>-578554.78</v>
      </c>
      <c r="AE6" s="4" t="n">
        <v>7126648.95</v>
      </c>
      <c r="AF6" s="4" t="n">
        <v>-245</v>
      </c>
      <c r="AG6" s="4" t="n">
        <v>0</v>
      </c>
      <c r="AH6" s="4" t="n">
        <v>465885</v>
      </c>
      <c r="AI6" s="4" t="n">
        <v>0</v>
      </c>
      <c r="AJ6" s="4" t="n">
        <v>376316</v>
      </c>
      <c r="AK6" s="4" t="n">
        <v>59840</v>
      </c>
      <c r="AL6" s="4"/>
      <c r="AM6" s="4" t="n">
        <v>-1323.75</v>
      </c>
      <c r="AN6" s="4" t="n">
        <v>2275488.23</v>
      </c>
      <c r="AO6" s="4" t="n">
        <v>7241945.3506</v>
      </c>
      <c r="AP6" s="1" t="n">
        <v>888166.0703</v>
      </c>
      <c r="AQ6" s="1" t="n">
        <v>118813.3594</v>
      </c>
      <c r="AR6" s="1" t="n">
        <v>263786.5391</v>
      </c>
      <c r="AS6" s="1" t="n">
        <v>23822.6699</v>
      </c>
      <c r="AT6" s="1" t="n">
        <v>-81760.8409</v>
      </c>
      <c r="AU6" s="1" t="n">
        <v>-1448.6</v>
      </c>
      <c r="AV6" s="1" t="n">
        <v>-47665.85</v>
      </c>
      <c r="AW6" s="1" t="n">
        <v>211903.87</v>
      </c>
      <c r="AX6" s="1" t="n">
        <v>-578554.78</v>
      </c>
      <c r="AY6" s="1" t="n">
        <v>7126648.95</v>
      </c>
      <c r="AZ6" s="1" t="n">
        <v>-245</v>
      </c>
      <c r="BA6" s="1" t="n">
        <v>0</v>
      </c>
      <c r="BB6" s="1" t="n">
        <v>465885</v>
      </c>
      <c r="BC6" s="1" t="n">
        <v>0</v>
      </c>
      <c r="BD6" s="1" t="n">
        <v>376316</v>
      </c>
      <c r="BE6" s="1" t="n">
        <v>59840</v>
      </c>
      <c r="BF6" s="1"/>
      <c r="BG6" s="1" t="n">
        <v>-1323.75</v>
      </c>
      <c r="BH6" s="1" t="n">
        <v>2275488.23</v>
      </c>
      <c r="BI6" s="1"/>
    </row>
    <row r="7">
      <c r="A7" t="str">
        <f>M7</f>
      </c>
      <c r="B7" t="str">
        <f>N7</f>
      </c>
      <c r="M7" t="s">
        <v>51</v>
      </c>
      <c r="N7" t="s">
        <v>55</v>
      </c>
      <c r="O7" s="4" t="n">
        <v>38717269.0243</v>
      </c>
      <c r="P7" s="4" t="n">
        <v>10531907.3977</v>
      </c>
      <c r="Q7" s="4" t="n">
        <v>80819379.2188</v>
      </c>
      <c r="R7" s="4" t="n">
        <v>63058543.9344</v>
      </c>
      <c r="S7" s="4" t="n">
        <v>41130867.101</v>
      </c>
      <c r="T7" s="4" t="n">
        <v>6130684.4244</v>
      </c>
      <c r="U7" s="4" t="n">
        <v>33608571.1383</v>
      </c>
      <c r="V7" s="4" t="n">
        <v>5770507.833</v>
      </c>
      <c r="W7" s="4" t="n">
        <v>15345576.6353</v>
      </c>
      <c r="X7" s="4" t="n">
        <v>2808769.1352</v>
      </c>
      <c r="Y7" s="4" t="n">
        <v>1172157.4081</v>
      </c>
      <c r="Z7" s="4" t="n">
        <v>-173629.3979</v>
      </c>
      <c r="AA7" s="4" t="n">
        <v>-283603.9433</v>
      </c>
      <c r="AB7" s="4" t="n">
        <v>-185204.2695</v>
      </c>
      <c r="AC7" s="4"/>
      <c r="AD7" s="4" t="n">
        <v>-742858.95</v>
      </c>
      <c r="AE7" s="4" t="n">
        <v>3582106.8109</v>
      </c>
      <c r="AF7" s="4" t="n">
        <v>0</v>
      </c>
      <c r="AG7" s="4"/>
      <c r="AH7" s="4"/>
      <c r="AI7" s="4"/>
      <c r="AJ7" s="4" t="n">
        <v>0</v>
      </c>
      <c r="AK7" s="4" t="n">
        <v>87136.84</v>
      </c>
      <c r="AL7" s="4" t="n">
        <v>209909.0718</v>
      </c>
      <c r="AM7" s="4" t="n">
        <v>2472049.36</v>
      </c>
      <c r="AN7" s="4" t="n">
        <v>1482726.74</v>
      </c>
      <c r="AO7" s="4" t="n">
        <v>33608571.1383</v>
      </c>
      <c r="AP7" s="1" t="n">
        <v>5770507.833</v>
      </c>
      <c r="AQ7" s="1" t="n">
        <v>15345576.6353</v>
      </c>
      <c r="AR7" s="1" t="n">
        <v>2808769.1352</v>
      </c>
      <c r="AS7" s="1" t="n">
        <v>1172157.4081</v>
      </c>
      <c r="AT7" s="1" t="n">
        <v>-173629.3979</v>
      </c>
      <c r="AU7" s="1" t="n">
        <v>-283603.9433</v>
      </c>
      <c r="AV7" s="1" t="n">
        <v>-185204.2695</v>
      </c>
      <c r="AW7" s="1"/>
      <c r="AX7" s="1" t="n">
        <v>-742858.95</v>
      </c>
      <c r="AY7" s="1" t="n">
        <v>3582106.8109</v>
      </c>
      <c r="AZ7" s="1" t="n">
        <v>0</v>
      </c>
      <c r="BA7" s="1"/>
      <c r="BB7" s="1"/>
      <c r="BC7" s="1"/>
      <c r="BD7" s="1" t="n">
        <v>0</v>
      </c>
      <c r="BE7" s="1" t="n">
        <v>87136.84</v>
      </c>
      <c r="BF7" s="1" t="n">
        <v>209909.0718</v>
      </c>
      <c r="BG7" s="1" t="n">
        <v>2472049.36</v>
      </c>
      <c r="BH7" s="1" t="n">
        <v>1482726.74</v>
      </c>
      <c r="BI7" s="1"/>
    </row>
    <row r="8">
      <c r="A8" t="str">
        <f>M8</f>
      </c>
      <c r="B8" t="str">
        <f>N8</f>
      </c>
      <c r="M8" t="s">
        <v>51</v>
      </c>
      <c r="N8" t="s">
        <v>56</v>
      </c>
      <c r="O8" s="4" t="n">
        <v>31866922.0494</v>
      </c>
      <c r="P8" s="4" t="n">
        <v>113721347.159</v>
      </c>
      <c r="Q8" s="4" t="n">
        <v>64915804.932</v>
      </c>
      <c r="R8" s="4" t="n">
        <v>50309843.8443</v>
      </c>
      <c r="S8" s="4" t="n">
        <v>9369758.8332</v>
      </c>
      <c r="T8" s="4" t="n">
        <v>10704506.9905</v>
      </c>
      <c r="U8" s="4" t="n">
        <v>3313276.4204</v>
      </c>
      <c r="V8" s="4" t="n">
        <v>204793.8799</v>
      </c>
      <c r="W8" s="4" t="n">
        <v>350481.0062</v>
      </c>
      <c r="X8" s="4" t="n">
        <v>635550.2187</v>
      </c>
      <c r="Y8" s="4" t="n">
        <v>-1361913.8701</v>
      </c>
      <c r="Z8" s="4" t="n">
        <v>797408.1718</v>
      </c>
      <c r="AA8" s="4" t="n">
        <v>0</v>
      </c>
      <c r="AB8" s="4" t="n">
        <v>415138</v>
      </c>
      <c r="AC8" s="4" t="n">
        <v>-1213.02</v>
      </c>
      <c r="AD8" s="4" t="n">
        <v>-3362.49</v>
      </c>
      <c r="AE8" s="4"/>
      <c r="AF8" s="4" t="n">
        <v>0</v>
      </c>
      <c r="AG8" s="4"/>
      <c r="AH8" s="4"/>
      <c r="AI8" s="4"/>
      <c r="AJ8" s="4"/>
      <c r="AK8" s="4" t="n">
        <v>0</v>
      </c>
      <c r="AL8" s="4"/>
      <c r="AM8" s="4"/>
      <c r="AN8" s="4"/>
      <c r="AO8" s="4" t="n">
        <v>3313276.4204</v>
      </c>
      <c r="AP8" s="1" t="n">
        <v>204793.8799</v>
      </c>
      <c r="AQ8" s="1" t="n">
        <v>350481.0062</v>
      </c>
      <c r="AR8" s="1" t="n">
        <v>635550.2187</v>
      </c>
      <c r="AS8" s="1" t="n">
        <v>-1361913.8701</v>
      </c>
      <c r="AT8" s="1" t="n">
        <v>797408.1718</v>
      </c>
      <c r="AU8" s="1" t="n">
        <v>0</v>
      </c>
      <c r="AV8" s="1" t="n">
        <v>415138</v>
      </c>
      <c r="AW8" s="1" t="n">
        <v>-1213.02</v>
      </c>
      <c r="AX8" s="1" t="n">
        <v>-3362.49</v>
      </c>
      <c r="AY8" s="1"/>
      <c r="AZ8" s="1" t="n">
        <v>0</v>
      </c>
      <c r="BA8" s="1"/>
      <c r="BB8" s="1"/>
      <c r="BC8" s="1"/>
      <c r="BD8" s="1"/>
      <c r="BE8" s="1" t="n">
        <v>0</v>
      </c>
      <c r="BF8" s="1"/>
      <c r="BG8" s="1"/>
      <c r="BH8" s="1"/>
      <c r="BI8" s="1"/>
    </row>
    <row r="9">
      <c r="A9" t="str">
        <f>M9</f>
      </c>
      <c r="B9" t="str">
        <f>N9</f>
      </c>
      <c r="M9"/>
      <c r="N9"/>
      <c r="O9" s="4" t="n">
        <v>17916862</v>
      </c>
      <c r="P9" s="4"/>
      <c r="Q9" s="4"/>
      <c r="R9" s="4"/>
      <c r="S9" s="4" t="n">
        <v>0</v>
      </c>
      <c r="T9" s="4" t="n">
        <v>0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>
      <c r="A10" t="str">
        <f>M10</f>
      </c>
      <c r="B10" t="str">
        <f>N10</f>
      </c>
      <c r="M10" t="s">
        <v>57</v>
      </c>
      <c r="N10" t="s">
        <v>58</v>
      </c>
      <c r="O10" s="4" t="str">
        <f>Sum(O2:O9)</f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22</v>
      </c>
      <c r="P13" t="s">
        <v>23</v>
      </c>
      <c r="Q13" t="s">
        <v>24</v>
      </c>
      <c r="R13" t="s">
        <v>25</v>
      </c>
      <c r="S13" t="s">
        <v>26</v>
      </c>
      <c r="T13" t="s">
        <v>27</v>
      </c>
      <c r="U13" t="s">
        <v>28</v>
      </c>
      <c r="V13" t="s">
        <v>29</v>
      </c>
      <c r="W13" t="s">
        <v>30</v>
      </c>
      <c r="X13" t="s">
        <v>31</v>
      </c>
      <c r="Y13" t="s">
        <v>32</v>
      </c>
      <c r="Z13" t="s">
        <v>33</v>
      </c>
      <c r="AA13" t="s">
        <v>34</v>
      </c>
      <c r="AB13" t="s">
        <v>35</v>
      </c>
      <c r="AC13" t="s">
        <v>36</v>
      </c>
      <c r="AD13" t="s">
        <v>37</v>
      </c>
      <c r="AE13" t="s">
        <v>38</v>
      </c>
      <c r="AF13" t="s">
        <v>39</v>
      </c>
      <c r="AG13" t="s">
        <v>40</v>
      </c>
      <c r="AH13" t="s">
        <v>41</v>
      </c>
      <c r="AI13" t="s">
        <v>42</v>
      </c>
      <c r="AJ13" t="s">
        <v>43</v>
      </c>
      <c r="AK13" t="s">
        <v>44</v>
      </c>
      <c r="AL13" t="s">
        <v>45</v>
      </c>
      <c r="AM13" t="s">
        <v>46</v>
      </c>
      <c r="AN13" t="s">
        <v>47</v>
      </c>
      <c r="AO13" t="s">
        <v>29</v>
      </c>
      <c r="AP13" t="s">
        <v>30</v>
      </c>
      <c r="AQ13" t="s">
        <v>31</v>
      </c>
      <c r="AR13" t="s">
        <v>32</v>
      </c>
      <c r="AS13" t="s">
        <v>33</v>
      </c>
      <c r="AT13" t="s">
        <v>34</v>
      </c>
      <c r="AU13" t="s">
        <v>35</v>
      </c>
      <c r="AV13" t="s">
        <v>36</v>
      </c>
      <c r="AW13" t="s">
        <v>37</v>
      </c>
      <c r="AX13" t="s">
        <v>38</v>
      </c>
      <c r="AY13" t="s">
        <v>39</v>
      </c>
      <c r="AZ13" t="s">
        <v>40</v>
      </c>
      <c r="BA13" t="s">
        <v>41</v>
      </c>
      <c r="BB13" t="s">
        <v>42</v>
      </c>
      <c r="BC13" t="s">
        <v>43</v>
      </c>
      <c r="BD13" t="s">
        <v>44</v>
      </c>
      <c r="BE13" t="s">
        <v>45</v>
      </c>
      <c r="BF13" t="s">
        <v>46</v>
      </c>
      <c r="BG13" t="s">
        <v>47</v>
      </c>
    </row>
    <row r="14">
      <c r="A14" t="str">
        <f>M14</f>
      </c>
      <c r="B14" t="str">
        <f>N14</f>
      </c>
      <c r="M14" t="s">
        <v>48</v>
      </c>
      <c r="N14" t="s">
        <v>49</v>
      </c>
      <c r="O14" s="4" t="n">
        <v>80901349.0972636</v>
      </c>
      <c r="P14" s="4" t="n">
        <v>399312745.801905</v>
      </c>
      <c r="Q14" s="4" t="n">
        <v>467474371.893129</v>
      </c>
      <c r="R14" s="4" t="n">
        <v>589186617.481288</v>
      </c>
      <c r="S14" s="4" t="n">
        <v>173754046.213445</v>
      </c>
      <c r="T14" s="4" t="n">
        <v>68716099.4321448</v>
      </c>
      <c r="U14" s="4" t="n">
        <v>156271295.417721</v>
      </c>
      <c r="V14" s="4" t="n">
        <v>53997206.3186082</v>
      </c>
      <c r="W14" s="4" t="n">
        <v>4688553.58972723</v>
      </c>
      <c r="X14" s="4" t="n">
        <v>11703641.8975571</v>
      </c>
      <c r="Y14" s="4" t="n">
        <v>872783.163916131</v>
      </c>
      <c r="Z14" s="4" t="n">
        <v>613855.146902078</v>
      </c>
      <c r="AA14" s="4" t="n">
        <v>-1286457.64017068</v>
      </c>
      <c r="AB14" s="4" t="n">
        <v>-8536331.03836198</v>
      </c>
      <c r="AC14" s="4" t="n">
        <v>-82034.2889649106</v>
      </c>
      <c r="AD14" s="4" t="n">
        <v>1050850.86155807</v>
      </c>
      <c r="AE14" s="4" t="n">
        <v>267398.322808845</v>
      </c>
      <c r="AF14" s="4" t="n">
        <v>702254.471768033</v>
      </c>
      <c r="AG14" s="4" t="n">
        <v>-254117.890892549</v>
      </c>
      <c r="AH14" s="4" t="n">
        <v>-473963.467381432</v>
      </c>
      <c r="AI14" s="4" t="n">
        <v>11573.9072704938</v>
      </c>
      <c r="AJ14" s="4" t="n">
        <v>7993.26891474538</v>
      </c>
      <c r="AK14" s="4" t="n">
        <v>55285.4852229899</v>
      </c>
      <c r="AL14" s="4" t="n">
        <v>-1117</v>
      </c>
      <c r="AM14" s="4" t="n">
        <v>-45889.3301009948</v>
      </c>
      <c r="AN14" s="4" t="n">
        <v>2072829.23032408</v>
      </c>
      <c r="AO14" s="4" t="n">
        <v>53997206.3186082</v>
      </c>
      <c r="AP14" s="1" t="n">
        <v>4688553.58972723</v>
      </c>
      <c r="AQ14" s="1" t="n">
        <v>11703641.8975571</v>
      </c>
      <c r="AR14" s="1" t="n">
        <v>872783.163916131</v>
      </c>
      <c r="AS14" s="1" t="n">
        <v>613855.146902078</v>
      </c>
      <c r="AT14" s="1" t="n">
        <v>-1286457.64017068</v>
      </c>
      <c r="AU14" s="1" t="n">
        <v>-8536331.03836198</v>
      </c>
      <c r="AV14" s="1" t="n">
        <v>-82034.2889649106</v>
      </c>
      <c r="AW14" s="1" t="n">
        <v>1050850.86155807</v>
      </c>
      <c r="AX14" s="1" t="n">
        <v>267398.322808845</v>
      </c>
      <c r="AY14" s="1" t="n">
        <v>702254.471768033</v>
      </c>
      <c r="AZ14" s="1" t="n">
        <v>-254117.890892549</v>
      </c>
      <c r="BA14" s="1" t="n">
        <v>-473963.467381432</v>
      </c>
      <c r="BB14" s="1" t="n">
        <v>11573.9072704938</v>
      </c>
      <c r="BC14" s="1" t="n">
        <v>7993.26891474538</v>
      </c>
      <c r="BD14" s="1" t="n">
        <v>55285.4852229899</v>
      </c>
      <c r="BE14" s="1" t="n">
        <v>-1117</v>
      </c>
      <c r="BF14" s="1" t="n">
        <v>-45889.3301009948</v>
      </c>
      <c r="BG14" s="1" t="n">
        <v>2072829.23032408</v>
      </c>
      <c r="BH14" s="1"/>
    </row>
    <row r="15">
      <c r="A15" t="str">
        <f>M15</f>
      </c>
      <c r="B15" t="str">
        <f>N15</f>
      </c>
      <c r="M15" t="s">
        <v>48</v>
      </c>
      <c r="N15" t="s">
        <v>50</v>
      </c>
      <c r="O15" s="4" t="n">
        <v>3835394.37805161</v>
      </c>
      <c r="P15" s="4" t="n">
        <v>11579992.8796604</v>
      </c>
      <c r="Q15" s="4" t="n">
        <v>254164159.448409</v>
      </c>
      <c r="R15" s="4" t="n">
        <v>110560962.67202</v>
      </c>
      <c r="S15" s="4" t="n">
        <v>173315276.734393</v>
      </c>
      <c r="T15" s="4" t="n">
        <v>491368532.598617</v>
      </c>
      <c r="U15" s="4" t="n">
        <v>488187795.057054</v>
      </c>
      <c r="V15" s="4" t="n">
        <v>372937930.301705</v>
      </c>
      <c r="W15" s="4" t="n">
        <v>256411913.590374</v>
      </c>
      <c r="X15" s="4" t="n">
        <v>127821753.828196</v>
      </c>
      <c r="Y15" s="4" t="n">
        <v>42014090.882566</v>
      </c>
      <c r="Z15" s="4" t="n">
        <v>1216249.41050985</v>
      </c>
      <c r="AA15" s="4" t="n">
        <v>-987338.350057345</v>
      </c>
      <c r="AB15" s="4" t="n">
        <v>-1028203.74507387</v>
      </c>
      <c r="AC15" s="4" t="n">
        <v>-356717.35085294</v>
      </c>
      <c r="AD15" s="4" t="n">
        <v>-115712.825625385</v>
      </c>
      <c r="AE15" s="4" t="n">
        <v>-298543.399041659</v>
      </c>
      <c r="AF15" s="4" t="n">
        <v>-418342.468671684</v>
      </c>
      <c r="AG15" s="4" t="n">
        <v>-37879.8543257557</v>
      </c>
      <c r="AH15" s="4" t="n">
        <v>-28778.1637319318</v>
      </c>
      <c r="AI15" s="4" t="n">
        <v>3511.41930070239</v>
      </c>
      <c r="AJ15" s="4" t="n">
        <v>-75292.2725030976</v>
      </c>
      <c r="AK15" s="4" t="n">
        <v>3466381.33010701</v>
      </c>
      <c r="AL15" s="4" t="n">
        <v>6310289.29</v>
      </c>
      <c r="AM15" s="4" t="n">
        <v>8487398.58523159</v>
      </c>
      <c r="AN15" s="4" t="n">
        <v>2457472.81059921</v>
      </c>
      <c r="AO15" s="4" t="n">
        <v>372937930.301705</v>
      </c>
      <c r="AP15" s="1" t="n">
        <v>256411913.590374</v>
      </c>
      <c r="AQ15" s="1" t="n">
        <v>127821753.828196</v>
      </c>
      <c r="AR15" s="1" t="n">
        <v>42014090.882566</v>
      </c>
      <c r="AS15" s="1" t="n">
        <v>1216249.41050985</v>
      </c>
      <c r="AT15" s="1" t="n">
        <v>-987338.350057345</v>
      </c>
      <c r="AU15" s="1" t="n">
        <v>-1028203.74507387</v>
      </c>
      <c r="AV15" s="1" t="n">
        <v>-356717.35085294</v>
      </c>
      <c r="AW15" s="1" t="n">
        <v>-115712.825625385</v>
      </c>
      <c r="AX15" s="1" t="n">
        <v>-298543.399041659</v>
      </c>
      <c r="AY15" s="1" t="n">
        <v>-418342.468671684</v>
      </c>
      <c r="AZ15" s="1" t="n">
        <v>-37879.8543257557</v>
      </c>
      <c r="BA15" s="1" t="n">
        <v>-28778.1637319318</v>
      </c>
      <c r="BB15" s="1" t="n">
        <v>3511.41930070239</v>
      </c>
      <c r="BC15" s="1" t="n">
        <v>-75292.2725030976</v>
      </c>
      <c r="BD15" s="1" t="n">
        <v>3466381.33010701</v>
      </c>
      <c r="BE15" s="1" t="n">
        <v>6310289.29</v>
      </c>
      <c r="BF15" s="1" t="n">
        <v>8487398.58523159</v>
      </c>
      <c r="BG15" s="1" t="n">
        <v>2457472.81059921</v>
      </c>
      <c r="BH15" s="1"/>
    </row>
    <row r="16">
      <c r="A16" t="str">
        <f>M16</f>
      </c>
      <c r="B16" t="str">
        <f>N16</f>
      </c>
      <c r="M16" t="s">
        <v>51</v>
      </c>
      <c r="N16" t="s">
        <v>52</v>
      </c>
      <c r="O16" s="4" t="n">
        <v>3566462.07531814</v>
      </c>
      <c r="P16" s="4" t="n">
        <v>4233175.79721378</v>
      </c>
      <c r="Q16" s="4" t="n">
        <v>15461816.2822777</v>
      </c>
      <c r="R16" s="4" t="n">
        <v>11859077.1124307</v>
      </c>
      <c r="S16" s="4" t="n">
        <v>1299905.53048048</v>
      </c>
      <c r="T16" s="4" t="n">
        <v>1416120.52215186</v>
      </c>
      <c r="U16" s="4" t="n">
        <v>392787.465321122</v>
      </c>
      <c r="V16" s="4" t="n">
        <v>-5146.67408491332</v>
      </c>
      <c r="W16" s="4" t="n">
        <v>-5702.68431083821</v>
      </c>
      <c r="X16" s="4" t="n">
        <v>-1850.71080649765</v>
      </c>
      <c r="Y16" s="4" t="n">
        <v>-44305.1371538324</v>
      </c>
      <c r="Z16" s="4" t="n">
        <v>-9374.63720437026</v>
      </c>
      <c r="AA16" s="4" t="n">
        <v>-5773.22686499943</v>
      </c>
      <c r="AB16" s="4"/>
      <c r="AC16" s="4"/>
      <c r="AD16" s="4"/>
      <c r="AE16" s="4" t="n">
        <v>-10870.2380482429</v>
      </c>
      <c r="AF16" s="4" t="n">
        <v>0</v>
      </c>
      <c r="AG16" s="4"/>
      <c r="AH16" s="4"/>
      <c r="AI16" s="4"/>
      <c r="AJ16" s="4"/>
      <c r="AK16" s="4" t="n">
        <v>0</v>
      </c>
      <c r="AL16" s="4" t="n">
        <v>4606547.0625</v>
      </c>
      <c r="AM16" s="4" t="n">
        <v>-382739.990409017</v>
      </c>
      <c r="AN16" s="4" t="n">
        <v>1511300.76844647</v>
      </c>
      <c r="AO16" s="4" t="n">
        <v>-5146.67408491332</v>
      </c>
      <c r="AP16" s="1" t="n">
        <v>-5702.68431083821</v>
      </c>
      <c r="AQ16" s="1" t="n">
        <v>-1850.71080649765</v>
      </c>
      <c r="AR16" s="1" t="n">
        <v>-44305.1371538324</v>
      </c>
      <c r="AS16" s="1" t="n">
        <v>-9374.63720437026</v>
      </c>
      <c r="AT16" s="1" t="n">
        <v>-5773.22686499943</v>
      </c>
      <c r="AU16" s="1"/>
      <c r="AV16" s="1"/>
      <c r="AW16" s="1"/>
      <c r="AX16" s="1" t="n">
        <v>-10870.2380482429</v>
      </c>
      <c r="AY16" s="1" t="n">
        <v>0</v>
      </c>
      <c r="AZ16" s="1"/>
      <c r="BA16" s="1"/>
      <c r="BB16" s="1"/>
      <c r="BC16" s="1"/>
      <c r="BD16" s="1" t="n">
        <v>0</v>
      </c>
      <c r="BE16" s="1" t="n">
        <v>4606547.0625</v>
      </c>
      <c r="BF16" s="1" t="n">
        <v>-382739.990409017</v>
      </c>
      <c r="BG16" s="1" t="n">
        <v>1511300.76844647</v>
      </c>
      <c r="BH16" s="1"/>
    </row>
    <row r="17">
      <c r="A17" t="str">
        <f>M17</f>
      </c>
      <c r="B17" t="str">
        <f>N17</f>
      </c>
      <c r="M17" t="s">
        <v>51</v>
      </c>
      <c r="N17" t="s">
        <v>53</v>
      </c>
      <c r="O17" s="4" t="n">
        <v>6809121.94914544</v>
      </c>
      <c r="P17" s="4" t="n">
        <v>4133998.10665934</v>
      </c>
      <c r="Q17" s="4" t="n">
        <v>26040264.8717652</v>
      </c>
      <c r="R17" s="4" t="n">
        <v>157299594.066275</v>
      </c>
      <c r="S17" s="4" t="n">
        <v>99759475.4615728</v>
      </c>
      <c r="T17" s="4" t="n">
        <v>67932660.8984138</v>
      </c>
      <c r="U17" s="4" t="n">
        <v>57210498.2937841</v>
      </c>
      <c r="V17" s="4" t="n">
        <v>4967575.05982648</v>
      </c>
      <c r="W17" s="4" t="n">
        <v>5582817.14219425</v>
      </c>
      <c r="X17" s="4" t="n">
        <v>3637577.93088632</v>
      </c>
      <c r="Y17" s="4" t="n">
        <v>2998909.18694505</v>
      </c>
      <c r="Z17" s="4" t="n">
        <v>638747.080591465</v>
      </c>
      <c r="AA17" s="4" t="n">
        <v>-2027794.77020691</v>
      </c>
      <c r="AB17" s="4" t="n">
        <v>-118034.508515756</v>
      </c>
      <c r="AC17" s="4" t="n">
        <v>-50571.3153489391</v>
      </c>
      <c r="AD17" s="4" t="n">
        <v>-242305.071182938</v>
      </c>
      <c r="AE17" s="4" t="n">
        <v>-7327169.6655896</v>
      </c>
      <c r="AF17" s="4"/>
      <c r="AG17" s="4" t="n">
        <v>0</v>
      </c>
      <c r="AH17" s="4"/>
      <c r="AI17" s="4" t="n">
        <v>0</v>
      </c>
      <c r="AJ17" s="4" t="n">
        <v>0</v>
      </c>
      <c r="AK17" s="4" t="n">
        <v>2842125.28019525</v>
      </c>
      <c r="AL17" s="4" t="n">
        <v>3465998.1011</v>
      </c>
      <c r="AM17" s="4" t="n">
        <v>3739114.25945633</v>
      </c>
      <c r="AN17" s="4" t="n">
        <v>1592916.17191766</v>
      </c>
      <c r="AO17" s="4" t="n">
        <v>4967575.05982648</v>
      </c>
      <c r="AP17" s="1" t="n">
        <v>5582817.14219425</v>
      </c>
      <c r="AQ17" s="1" t="n">
        <v>3637577.93088632</v>
      </c>
      <c r="AR17" s="1" t="n">
        <v>2998909.18694505</v>
      </c>
      <c r="AS17" s="1" t="n">
        <v>638747.080591465</v>
      </c>
      <c r="AT17" s="1" t="n">
        <v>-2027794.77020691</v>
      </c>
      <c r="AU17" s="1" t="n">
        <v>-118034.508515756</v>
      </c>
      <c r="AV17" s="1" t="n">
        <v>-50571.3153489391</v>
      </c>
      <c r="AW17" s="1" t="n">
        <v>-242305.071182938</v>
      </c>
      <c r="AX17" s="1" t="n">
        <v>-7327169.6655896</v>
      </c>
      <c r="AY17" s="1"/>
      <c r="AZ17" s="1" t="n">
        <v>0</v>
      </c>
      <c r="BA17" s="1"/>
      <c r="BB17" s="1" t="n">
        <v>0</v>
      </c>
      <c r="BC17" s="1" t="n">
        <v>0</v>
      </c>
      <c r="BD17" s="1" t="n">
        <v>2842125.28019525</v>
      </c>
      <c r="BE17" s="1" t="n">
        <v>3465998.1011</v>
      </c>
      <c r="BF17" s="1" t="n">
        <v>3739114.25945633</v>
      </c>
      <c r="BG17" s="1" t="n">
        <v>1592916.17191766</v>
      </c>
      <c r="BH17" s="1"/>
    </row>
    <row r="18">
      <c r="A18" t="str">
        <f>M18</f>
      </c>
      <c r="B18" t="str">
        <f>N18</f>
      </c>
      <c r="M18" t="s">
        <v>51</v>
      </c>
      <c r="N18" t="s">
        <v>54</v>
      </c>
      <c r="O18" s="4" t="n">
        <v>9975052.08657634</v>
      </c>
      <c r="P18" s="4" t="n">
        <v>45864342.4614184</v>
      </c>
      <c r="Q18" s="4" t="n">
        <v>77299664.6594571</v>
      </c>
      <c r="R18" s="4" t="n">
        <v>20538363.9463219</v>
      </c>
      <c r="S18" s="4" t="n">
        <v>9561136.23282235</v>
      </c>
      <c r="T18" s="4" t="n">
        <v>1486718.55868828</v>
      </c>
      <c r="U18" s="4" t="n">
        <v>10535386.3495859</v>
      </c>
      <c r="V18" s="4" t="n">
        <v>1257462.67951142</v>
      </c>
      <c r="W18" s="4" t="n">
        <v>164794.304920896</v>
      </c>
      <c r="X18" s="4" t="n">
        <v>362168.741530587</v>
      </c>
      <c r="Y18" s="4" t="n">
        <v>32426.7764677423</v>
      </c>
      <c r="Z18" s="4" t="n">
        <v>-109100.851060885</v>
      </c>
      <c r="AA18" s="4" t="n">
        <v>-1898.54629662614</v>
      </c>
      <c r="AB18" s="4" t="n">
        <v>-61357.9068597507</v>
      </c>
      <c r="AC18" s="4" t="n">
        <v>267886.344359938</v>
      </c>
      <c r="AD18" s="4" t="n">
        <v>-723905.104483674</v>
      </c>
      <c r="AE18" s="4" t="n">
        <v>8846349.78339005</v>
      </c>
      <c r="AF18" s="4" t="n">
        <v>-299.071500057452</v>
      </c>
      <c r="AG18" s="4" t="n">
        <v>0</v>
      </c>
      <c r="AH18" s="4" t="n">
        <v>546254.749528136</v>
      </c>
      <c r="AI18" s="4" t="n">
        <v>0</v>
      </c>
      <c r="AJ18" s="4" t="n">
        <v>421053.108340354</v>
      </c>
      <c r="AK18" s="4" t="n">
        <v>62577.4762279629</v>
      </c>
      <c r="AL18" s="4"/>
      <c r="AM18" s="4" t="n">
        <v>-1289.31750225655</v>
      </c>
      <c r="AN18" s="4" t="n">
        <v>2168713.68087497</v>
      </c>
      <c r="AO18" s="4" t="n">
        <v>1257462.67951142</v>
      </c>
      <c r="AP18" s="1" t="n">
        <v>164794.304920896</v>
      </c>
      <c r="AQ18" s="1" t="n">
        <v>362168.741530587</v>
      </c>
      <c r="AR18" s="1" t="n">
        <v>32426.7764677423</v>
      </c>
      <c r="AS18" s="1" t="n">
        <v>-109100.851060885</v>
      </c>
      <c r="AT18" s="1" t="n">
        <v>-1898.54629662614</v>
      </c>
      <c r="AU18" s="1" t="n">
        <v>-61357.9068597507</v>
      </c>
      <c r="AV18" s="1" t="n">
        <v>267886.344359938</v>
      </c>
      <c r="AW18" s="1" t="n">
        <v>-723905.104483674</v>
      </c>
      <c r="AX18" s="1" t="n">
        <v>8846349.78339005</v>
      </c>
      <c r="AY18" s="1" t="n">
        <v>-299.071500057452</v>
      </c>
      <c r="AZ18" s="1" t="n">
        <v>0</v>
      </c>
      <c r="BA18" s="1" t="n">
        <v>546254.749528136</v>
      </c>
      <c r="BB18" s="1" t="n">
        <v>0</v>
      </c>
      <c r="BC18" s="1" t="n">
        <v>421053.108340354</v>
      </c>
      <c r="BD18" s="1" t="n">
        <v>62577.4762279629</v>
      </c>
      <c r="BE18" s="1"/>
      <c r="BF18" s="1" t="n">
        <v>-1289.31750225655</v>
      </c>
      <c r="BG18" s="1" t="n">
        <v>2168713.68087497</v>
      </c>
      <c r="BH18" s="1"/>
    </row>
    <row r="19">
      <c r="A19" t="str">
        <f>M19</f>
      </c>
      <c r="B19" t="str">
        <f>N19</f>
      </c>
      <c r="M19" t="s">
        <v>51</v>
      </c>
      <c r="N19" t="s">
        <v>55</v>
      </c>
      <c r="O19" s="4" t="n">
        <v>65090442.470429</v>
      </c>
      <c r="P19" s="4" t="n">
        <v>17286942.790254</v>
      </c>
      <c r="Q19" s="4" t="n">
        <v>130601292.352537</v>
      </c>
      <c r="R19" s="4" t="n">
        <v>99981250.2040281</v>
      </c>
      <c r="S19" s="4" t="n">
        <v>63659755.8924406</v>
      </c>
      <c r="T19" s="4" t="n">
        <v>9208473.58300657</v>
      </c>
      <c r="U19" s="4" t="n">
        <v>48892840.8677092</v>
      </c>
      <c r="V19" s="4" t="n">
        <v>8169866.51986704</v>
      </c>
      <c r="W19" s="4" t="n">
        <v>21284337.4515728</v>
      </c>
      <c r="X19" s="4" t="n">
        <v>3856331.66277566</v>
      </c>
      <c r="Y19" s="4" t="n">
        <v>1595509.08512849</v>
      </c>
      <c r="Z19" s="4" t="n">
        <v>-231689.337726455</v>
      </c>
      <c r="AA19" s="4" t="n">
        <v>-371693.508394854</v>
      </c>
      <c r="AB19" s="4" t="n">
        <v>-238404.356955959</v>
      </c>
      <c r="AC19" s="4"/>
      <c r="AD19" s="4" t="n">
        <v>-929487.413130322</v>
      </c>
      <c r="AE19" s="4" t="n">
        <v>4446489.51183224</v>
      </c>
      <c r="AF19" s="4" t="n">
        <v>0</v>
      </c>
      <c r="AG19" s="4"/>
      <c r="AH19" s="4"/>
      <c r="AI19" s="4"/>
      <c r="AJ19" s="4" t="n">
        <v>0</v>
      </c>
      <c r="AK19" s="4" t="n">
        <v>91123.0537045423</v>
      </c>
      <c r="AL19" s="4" t="n">
        <v>209909.0718</v>
      </c>
      <c r="AM19" s="4" t="n">
        <v>2407748.06896324</v>
      </c>
      <c r="AN19" s="4" t="n">
        <v>1413151.5705696</v>
      </c>
      <c r="AO19" s="4" t="n">
        <v>8169866.51986704</v>
      </c>
      <c r="AP19" s="1" t="n">
        <v>21284337.4515728</v>
      </c>
      <c r="AQ19" s="1" t="n">
        <v>3856331.66277566</v>
      </c>
      <c r="AR19" s="1" t="n">
        <v>1595509.08512849</v>
      </c>
      <c r="AS19" s="1" t="n">
        <v>-231689.337726455</v>
      </c>
      <c r="AT19" s="1" t="n">
        <v>-371693.508394854</v>
      </c>
      <c r="AU19" s="1" t="n">
        <v>-238404.356955959</v>
      </c>
      <c r="AV19" s="1"/>
      <c r="AW19" s="1" t="n">
        <v>-929487.413130322</v>
      </c>
      <c r="AX19" s="1" t="n">
        <v>4446489.51183224</v>
      </c>
      <c r="AY19" s="1" t="n">
        <v>0</v>
      </c>
      <c r="AZ19" s="1"/>
      <c r="BA19" s="1"/>
      <c r="BB19" s="1"/>
      <c r="BC19" s="1" t="n">
        <v>0</v>
      </c>
      <c r="BD19" s="1" t="n">
        <v>91123.0537045423</v>
      </c>
      <c r="BE19" s="1" t="n">
        <v>209909.0718</v>
      </c>
      <c r="BF19" s="1" t="n">
        <v>2407748.06896324</v>
      </c>
      <c r="BG19" s="1" t="n">
        <v>1413151.5705696</v>
      </c>
      <c r="BH19" s="1"/>
    </row>
    <row r="20">
      <c r="A20" t="str">
        <f>M20</f>
      </c>
      <c r="B20" t="str">
        <f>N20</f>
      </c>
      <c r="M20" t="s">
        <v>51</v>
      </c>
      <c r="N20" t="s">
        <v>56</v>
      </c>
      <c r="O20" s="4" t="n">
        <v>53573821.4145288</v>
      </c>
      <c r="P20" s="4" t="n">
        <v>186660815.380656</v>
      </c>
      <c r="Q20" s="4" t="n">
        <v>104901672.101093</v>
      </c>
      <c r="R20" s="4" t="n">
        <v>79767796.2617612</v>
      </c>
      <c r="S20" s="4" t="n">
        <v>14501920.3856767</v>
      </c>
      <c r="T20" s="4" t="n">
        <v>16078493.5281962</v>
      </c>
      <c r="U20" s="4" t="n">
        <v>4820064.98005332</v>
      </c>
      <c r="V20" s="4" t="n">
        <v>289946.51966339</v>
      </c>
      <c r="W20" s="4" t="n">
        <v>486117.673099858</v>
      </c>
      <c r="X20" s="4" t="n">
        <v>872585.931304136</v>
      </c>
      <c r="Y20" s="4" t="n">
        <v>-1853800.46902512</v>
      </c>
      <c r="Z20" s="4" t="n">
        <v>1064053.51545601</v>
      </c>
      <c r="AA20" s="4" t="n">
        <v>0</v>
      </c>
      <c r="AB20" s="4" t="n">
        <v>534386.751478117</v>
      </c>
      <c r="AC20" s="4" t="n">
        <v>-1533.48541220834</v>
      </c>
      <c r="AD20" s="4" t="n">
        <v>-4207.24840398918</v>
      </c>
      <c r="AE20" s="4"/>
      <c r="AF20" s="4" t="n">
        <v>0</v>
      </c>
      <c r="AG20" s="4"/>
      <c r="AH20" s="4"/>
      <c r="AI20" s="4"/>
      <c r="AJ20" s="4"/>
      <c r="AK20" s="4" t="n">
        <v>0</v>
      </c>
      <c r="AL20" s="4"/>
      <c r="AM20" s="4"/>
      <c r="AN20" s="4"/>
      <c r="AO20" s="4" t="n">
        <v>289946.51966339</v>
      </c>
      <c r="AP20" s="1" t="n">
        <v>486117.673099858</v>
      </c>
      <c r="AQ20" s="1" t="n">
        <v>872585.931304136</v>
      </c>
      <c r="AR20" s="1" t="n">
        <v>-1853800.46902512</v>
      </c>
      <c r="AS20" s="1" t="n">
        <v>1064053.51545601</v>
      </c>
      <c r="AT20" s="1" t="n">
        <v>0</v>
      </c>
      <c r="AU20" s="1" t="n">
        <v>534386.751478117</v>
      </c>
      <c r="AV20" s="1" t="n">
        <v>-1533.48541220834</v>
      </c>
      <c r="AW20" s="1" t="n">
        <v>-4207.24840398918</v>
      </c>
      <c r="AX20" s="1"/>
      <c r="AY20" s="1" t="n">
        <v>0</v>
      </c>
      <c r="AZ20" s="1"/>
      <c r="BA20" s="1"/>
      <c r="BB20" s="1"/>
      <c r="BC20" s="1"/>
      <c r="BD20" s="1" t="n">
        <v>0</v>
      </c>
      <c r="BE20" s="1"/>
      <c r="BF20" s="1"/>
      <c r="BG20" s="1"/>
      <c r="BH20" s="1"/>
    </row>
    <row r="21">
      <c r="A21" t="str">
        <f>M21</f>
      </c>
      <c r="B21" t="str">
        <f>N21</f>
      </c>
      <c r="M21"/>
      <c r="N21"/>
      <c r="O21" s="4" t="n">
        <v>30121351.6513695</v>
      </c>
      <c r="P21" s="4"/>
      <c r="Q21" s="4"/>
      <c r="R21" s="4"/>
      <c r="S21" s="4" t="n">
        <v>0</v>
      </c>
      <c r="T21" s="4" t="n">
        <v>0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>
      <c r="A22" t="str">
        <f>M22</f>
      </c>
      <c r="B22" t="str">
        <f>N22</f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0</v>
      </c>
      <c r="O1" t="s">
        <v>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</row>
    <row r="2">
      <c r="A2" t="str">
        <f>N2</f>
      </c>
      <c r="B2" t="str">
        <f>O2</f>
      </c>
      <c r="N2" t="s">
        <v>48</v>
      </c>
      <c r="O2" t="s">
        <v>49</v>
      </c>
      <c r="P2" s="2" t="n">
        <v>48121954.2923</v>
      </c>
      <c r="Q2" s="2" t="n">
        <v>243277536.84</v>
      </c>
      <c r="R2" s="2" t="n">
        <v>289284951.6</v>
      </c>
      <c r="S2" s="2" t="n">
        <v>371602176.69</v>
      </c>
      <c r="T2" s="2" t="n">
        <v>112263304.86</v>
      </c>
      <c r="U2" s="2" t="n">
        <v>45748811.32</v>
      </c>
      <c r="V2" s="2" t="n">
        <v>107419713.31</v>
      </c>
      <c r="W2" s="2" t="n">
        <v>38139093.37</v>
      </c>
      <c r="X2" s="2" t="n">
        <v>3380352.27</v>
      </c>
      <c r="Y2" s="2" t="n">
        <v>8524377.83</v>
      </c>
      <c r="Z2" s="2" t="n">
        <v>641199.2641</v>
      </c>
      <c r="AA2" s="2" t="n">
        <v>460026.7781</v>
      </c>
      <c r="AB2" s="2" t="n">
        <v>-981573.3969</v>
      </c>
      <c r="AC2" s="2" t="n">
        <v>-6631443.21</v>
      </c>
      <c r="AD2" s="2" t="n">
        <v>-64890.89</v>
      </c>
      <c r="AE2" s="2" t="n">
        <v>839854.2644</v>
      </c>
      <c r="AF2" s="2" t="n">
        <v>215416.9825</v>
      </c>
      <c r="AG2" s="2" t="n">
        <v>575288.3359</v>
      </c>
      <c r="AH2" s="2" t="n">
        <v>-212795.37</v>
      </c>
      <c r="AI2" s="2" t="n">
        <v>-404229.84</v>
      </c>
      <c r="AJ2" s="2" t="n">
        <v>10000</v>
      </c>
      <c r="AK2" s="2" t="n">
        <v>7143.98</v>
      </c>
      <c r="AL2" s="2" t="n">
        <v>52867</v>
      </c>
      <c r="AM2" s="2" t="n">
        <v>-1117</v>
      </c>
      <c r="AN2" s="2" t="n">
        <v>-47114.85</v>
      </c>
      <c r="AO2" s="2" t="n">
        <v>2174883</v>
      </c>
      <c r="AP2" s="2"/>
    </row>
    <row r="3">
      <c r="A3" t="str">
        <f>N3</f>
      </c>
      <c r="B3" t="str">
        <f>O3</f>
      </c>
      <c r="N3" t="s">
        <v>48</v>
      </c>
      <c r="O3" t="s">
        <v>50</v>
      </c>
      <c r="P3" s="2" t="n">
        <v>2281379.4209</v>
      </c>
      <c r="Q3" s="2" t="n">
        <v>7055001.81</v>
      </c>
      <c r="R3" s="2" t="n">
        <v>157283203.07</v>
      </c>
      <c r="S3" s="2" t="n">
        <v>69731207.68</v>
      </c>
      <c r="T3" s="2" t="n">
        <v>111979813.84</v>
      </c>
      <c r="U3" s="2" t="n">
        <v>327136238.41</v>
      </c>
      <c r="V3" s="2" t="n">
        <v>335576619.15</v>
      </c>
      <c r="W3" s="2" t="n">
        <v>263412045.08</v>
      </c>
      <c r="X3" s="2" t="n">
        <v>184867801.46</v>
      </c>
      <c r="Y3" s="2" t="n">
        <v>93099304.82</v>
      </c>
      <c r="Z3" s="2" t="n">
        <v>30866090.536</v>
      </c>
      <c r="AA3" s="2" t="n">
        <v>911464.7006</v>
      </c>
      <c r="AB3" s="2" t="n">
        <v>-753343.9329</v>
      </c>
      <c r="AC3" s="2" t="n">
        <v>-798759.41</v>
      </c>
      <c r="AD3" s="2" t="n">
        <v>-282171.11</v>
      </c>
      <c r="AE3" s="2" t="n">
        <v>-92479.26</v>
      </c>
      <c r="AF3" s="2" t="n">
        <v>-240507.56</v>
      </c>
      <c r="AG3" s="2" t="n">
        <v>-342707.0276</v>
      </c>
      <c r="AH3" s="2" t="n">
        <v>-31720.15</v>
      </c>
      <c r="AI3" s="2" t="n">
        <v>-24544.07</v>
      </c>
      <c r="AJ3" s="2" t="n">
        <v>3033.91</v>
      </c>
      <c r="AK3" s="2" t="n">
        <v>-67292.43</v>
      </c>
      <c r="AL3" s="2" t="n">
        <v>3314743.12</v>
      </c>
      <c r="AM3" s="2" t="n">
        <v>6310289.29</v>
      </c>
      <c r="AN3" s="2" t="n">
        <v>8714062.95</v>
      </c>
      <c r="AO3" s="2" t="n">
        <v>2578464.14</v>
      </c>
      <c r="AP3" s="2"/>
    </row>
    <row r="4">
      <c r="A4" t="str">
        <f>N4</f>
      </c>
      <c r="B4" t="str">
        <f>O4</f>
      </c>
      <c r="N4" t="s">
        <v>51</v>
      </c>
      <c r="O4" t="s">
        <v>52</v>
      </c>
      <c r="P4" s="2" t="n">
        <v>2121412.3978</v>
      </c>
      <c r="Q4" s="2" t="n">
        <v>2579022.5626</v>
      </c>
      <c r="R4" s="2" t="n">
        <v>9568162.5428</v>
      </c>
      <c r="S4" s="2" t="n">
        <v>7479563.7541</v>
      </c>
      <c r="T4" s="2" t="n">
        <v>839875.065</v>
      </c>
      <c r="U4" s="2" t="n">
        <v>942804.2498</v>
      </c>
      <c r="V4" s="2" t="n">
        <v>269999.1499</v>
      </c>
      <c r="W4" s="2" t="n">
        <v>-3635.1785</v>
      </c>
      <c r="X4" s="2" t="n">
        <v>-4111.52</v>
      </c>
      <c r="Y4" s="2" t="n">
        <v>-1347.97</v>
      </c>
      <c r="Z4" s="2" t="n">
        <v>-32549.2316</v>
      </c>
      <c r="AA4" s="2" t="n">
        <v>-7025.4101</v>
      </c>
      <c r="AB4" s="2" t="n">
        <v>-4405</v>
      </c>
      <c r="AC4" s="2"/>
      <c r="AD4" s="2"/>
      <c r="AE4" s="2"/>
      <c r="AF4" s="2" t="n">
        <v>-8757.1001</v>
      </c>
      <c r="AG4" s="2" t="n">
        <v>0</v>
      </c>
      <c r="AH4" s="2"/>
      <c r="AI4" s="2"/>
      <c r="AJ4" s="2"/>
      <c r="AK4" s="2"/>
      <c r="AL4" s="2" t="n">
        <v>0</v>
      </c>
      <c r="AM4" s="2" t="n">
        <v>4606547.0625</v>
      </c>
      <c r="AN4" s="2" t="n">
        <v>-392961.44</v>
      </c>
      <c r="AO4" s="2" t="n">
        <v>1585708.22</v>
      </c>
      <c r="AP4" s="2"/>
    </row>
    <row r="5">
      <c r="A5" t="str">
        <f>N5</f>
      </c>
      <c r="B5" t="str">
        <f>O5</f>
      </c>
      <c r="N5" t="s">
        <v>51</v>
      </c>
      <c r="O5" t="s">
        <v>53</v>
      </c>
      <c r="P5" s="2" t="n">
        <v>4050219.9143</v>
      </c>
      <c r="Q5" s="2" t="n">
        <v>2518599.4869</v>
      </c>
      <c r="R5" s="2" t="n">
        <v>16114373.7839</v>
      </c>
      <c r="S5" s="2" t="n">
        <v>99209435.1996</v>
      </c>
      <c r="T5" s="2" t="n">
        <v>64455065.3667</v>
      </c>
      <c r="U5" s="2" t="n">
        <v>45227224.9384</v>
      </c>
      <c r="V5" s="2" t="n">
        <v>39326066.3042</v>
      </c>
      <c r="W5" s="2" t="n">
        <v>3508677.9844</v>
      </c>
      <c r="X5" s="2" t="n">
        <v>4025098.1968</v>
      </c>
      <c r="Y5" s="2" t="n">
        <v>2649439.2891</v>
      </c>
      <c r="Z5" s="2" t="n">
        <v>2203179.9458</v>
      </c>
      <c r="AA5" s="2" t="n">
        <v>478680.9445</v>
      </c>
      <c r="AB5" s="2" t="n">
        <v>-1547217.21</v>
      </c>
      <c r="AC5" s="2" t="n">
        <v>-91695.0311</v>
      </c>
      <c r="AD5" s="2" t="n">
        <v>-40003</v>
      </c>
      <c r="AE5" s="2" t="n">
        <v>-193653.5</v>
      </c>
      <c r="AF5" s="2" t="n">
        <v>-5902792.37</v>
      </c>
      <c r="AG5" s="2"/>
      <c r="AH5" s="2" t="n">
        <v>0</v>
      </c>
      <c r="AI5" s="2"/>
      <c r="AJ5" s="2" t="n">
        <v>0</v>
      </c>
      <c r="AK5" s="2" t="n">
        <v>0</v>
      </c>
      <c r="AL5" s="2" t="n">
        <v>2717795.3957</v>
      </c>
      <c r="AM5" s="2" t="n">
        <v>3465998.1011</v>
      </c>
      <c r="AN5" s="2" t="n">
        <v>3838971</v>
      </c>
      <c r="AO5" s="2" t="n">
        <v>1671341.88</v>
      </c>
      <c r="AP5" s="2"/>
    </row>
    <row r="6">
      <c r="A6" t="str">
        <f>N6</f>
      </c>
      <c r="B6" t="str">
        <f>O6</f>
      </c>
      <c r="N6" t="s">
        <v>51</v>
      </c>
      <c r="O6" t="s">
        <v>54</v>
      </c>
      <c r="P6" s="2" t="n">
        <v>5933386.8462</v>
      </c>
      <c r="Q6" s="2" t="n">
        <v>27942419.5198</v>
      </c>
      <c r="R6" s="2" t="n">
        <v>47834985.39</v>
      </c>
      <c r="S6" s="2" t="n">
        <v>12953622.0302</v>
      </c>
      <c r="T6" s="2" t="n">
        <v>6177495</v>
      </c>
      <c r="U6" s="2" t="n">
        <v>989805.99</v>
      </c>
      <c r="V6" s="2" t="n">
        <v>7241945.3506</v>
      </c>
      <c r="W6" s="2" t="n">
        <v>888166.0703</v>
      </c>
      <c r="X6" s="2" t="n">
        <v>118813.3594</v>
      </c>
      <c r="Y6" s="2" t="n">
        <v>263786.5391</v>
      </c>
      <c r="Z6" s="2" t="n">
        <v>23822.6699</v>
      </c>
      <c r="AA6" s="2" t="n">
        <v>-81760.8409</v>
      </c>
      <c r="AB6" s="2" t="n">
        <v>-1448.6</v>
      </c>
      <c r="AC6" s="2" t="n">
        <v>-47665.85</v>
      </c>
      <c r="AD6" s="2" t="n">
        <v>211903.87</v>
      </c>
      <c r="AE6" s="2" t="n">
        <v>-578554.78</v>
      </c>
      <c r="AF6" s="2" t="n">
        <v>7126648.95</v>
      </c>
      <c r="AG6" s="2" t="n">
        <v>-245</v>
      </c>
      <c r="AH6" s="2" t="n">
        <v>0</v>
      </c>
      <c r="AI6" s="2" t="n">
        <v>465885</v>
      </c>
      <c r="AJ6" s="2" t="n">
        <v>0</v>
      </c>
      <c r="AK6" s="2" t="n">
        <v>376316</v>
      </c>
      <c r="AL6" s="2" t="n">
        <v>59840</v>
      </c>
      <c r="AM6" s="2"/>
      <c r="AN6" s="2" t="n">
        <v>-1323.75</v>
      </c>
      <c r="AO6" s="2" t="n">
        <v>2275488.23</v>
      </c>
      <c r="AP6" s="2"/>
    </row>
    <row r="7">
      <c r="A7" t="str">
        <f>N7</f>
      </c>
      <c r="B7" t="str">
        <f>O7</f>
      </c>
      <c r="N7" t="s">
        <v>51</v>
      </c>
      <c r="O7" t="s">
        <v>55</v>
      </c>
      <c r="P7" s="2" t="n">
        <v>38717269.0243</v>
      </c>
      <c r="Q7" s="2" t="n">
        <v>10531907.3977</v>
      </c>
      <c r="R7" s="2" t="n">
        <v>80819379.2188</v>
      </c>
      <c r="S7" s="2" t="n">
        <v>63058543.9344</v>
      </c>
      <c r="T7" s="2" t="n">
        <v>41130867.101</v>
      </c>
      <c r="U7" s="2" t="n">
        <v>6130684.4244</v>
      </c>
      <c r="V7" s="2" t="n">
        <v>33608571.1383</v>
      </c>
      <c r="W7" s="2" t="n">
        <v>5770507.833</v>
      </c>
      <c r="X7" s="2" t="n">
        <v>15345576.6353</v>
      </c>
      <c r="Y7" s="2" t="n">
        <v>2808769.1352</v>
      </c>
      <c r="Z7" s="2" t="n">
        <v>1172157.4081</v>
      </c>
      <c r="AA7" s="2" t="n">
        <v>-173629.3979</v>
      </c>
      <c r="AB7" s="2" t="n">
        <v>-283603.9433</v>
      </c>
      <c r="AC7" s="2" t="n">
        <v>-185204.2695</v>
      </c>
      <c r="AD7" s="2"/>
      <c r="AE7" s="2" t="n">
        <v>-742858.95</v>
      </c>
      <c r="AF7" s="2" t="n">
        <v>3582106.8109</v>
      </c>
      <c r="AG7" s="2" t="n">
        <v>0</v>
      </c>
      <c r="AH7" s="2"/>
      <c r="AI7" s="2"/>
      <c r="AJ7" s="2"/>
      <c r="AK7" s="2" t="n">
        <v>0</v>
      </c>
      <c r="AL7" s="2" t="n">
        <v>87136.84</v>
      </c>
      <c r="AM7" s="2" t="n">
        <v>209909.0718</v>
      </c>
      <c r="AN7" s="2" t="n">
        <v>2472049.36</v>
      </c>
      <c r="AO7" s="2" t="n">
        <v>1482726.74</v>
      </c>
      <c r="AP7" s="2"/>
    </row>
    <row r="8">
      <c r="A8" t="str">
        <f>N8</f>
      </c>
      <c r="B8" t="str">
        <f>O8</f>
      </c>
      <c r="N8" t="s">
        <v>51</v>
      </c>
      <c r="O8" t="s">
        <v>56</v>
      </c>
      <c r="P8" s="2" t="n">
        <v>31866922.0494</v>
      </c>
      <c r="Q8" s="2" t="n">
        <v>113721347.159</v>
      </c>
      <c r="R8" s="2" t="n">
        <v>64915804.932</v>
      </c>
      <c r="S8" s="2" t="n">
        <v>50309843.8443</v>
      </c>
      <c r="T8" s="2" t="n">
        <v>9369758.8332</v>
      </c>
      <c r="U8" s="2" t="n">
        <v>10704506.9905</v>
      </c>
      <c r="V8" s="2" t="n">
        <v>3313276.4204</v>
      </c>
      <c r="W8" s="2" t="n">
        <v>204793.8799</v>
      </c>
      <c r="X8" s="2" t="n">
        <v>350481.0062</v>
      </c>
      <c r="Y8" s="2" t="n">
        <v>635550.2187</v>
      </c>
      <c r="Z8" s="2" t="n">
        <v>-1361913.8701</v>
      </c>
      <c r="AA8" s="2" t="n">
        <v>797408.1718</v>
      </c>
      <c r="AB8" s="2" t="n">
        <v>0</v>
      </c>
      <c r="AC8" s="2" t="n">
        <v>415138</v>
      </c>
      <c r="AD8" s="2" t="n">
        <v>-1213.02</v>
      </c>
      <c r="AE8" s="2" t="n">
        <v>-3362.49</v>
      </c>
      <c r="AF8" s="2"/>
      <c r="AG8" s="2" t="n">
        <v>0</v>
      </c>
      <c r="AH8" s="2"/>
      <c r="AI8" s="2"/>
      <c r="AJ8" s="2"/>
      <c r="AK8" s="2"/>
      <c r="AL8" s="2" t="n">
        <v>0</v>
      </c>
      <c r="AM8" s="2"/>
      <c r="AN8" s="2"/>
      <c r="AO8" s="2"/>
      <c r="AP8" s="2"/>
    </row>
    <row r="9">
      <c r="A9" t="str">
        <f>N9</f>
      </c>
      <c r="B9" t="str">
        <f>O9</f>
      </c>
      <c r="N9"/>
      <c r="O9"/>
      <c r="P9" s="2" t="n">
        <v>17916862</v>
      </c>
      <c r="Q9" s="2"/>
      <c r="R9" s="2"/>
      <c r="S9" s="2"/>
      <c r="T9" s="2" t="n">
        <v>0</v>
      </c>
      <c r="U9" s="2" t="n">
        <v>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>
      <c r="A10" t="str">
        <f>N10</f>
      </c>
      <c r="B10" t="str">
        <f>O10</f>
      </c>
      <c r="N10" t="s">
        <v>57</v>
      </c>
      <c r="O10" t="s">
        <v>58</v>
      </c>
      <c r="P10" s="2" t="str">
        <f>Sum(P2:P9)</f>
      </c>
      <c r="Q10" s="2" t="str">
        <f>Sum(Q2:Q9)</f>
      </c>
      <c r="R10" s="2" t="str">
        <f>Sum(R2:R9)</f>
      </c>
      <c r="S10" s="2" t="str">
        <f>Sum(S2:S9)</f>
      </c>
      <c r="T10" s="2" t="str">
        <f>Sum(T2:T9)</f>
      </c>
      <c r="U10" s="2" t="str">
        <f>Sum(U2:U9)</f>
      </c>
      <c r="V10" s="2" t="str">
        <f>Sum(V2:V9)</f>
      </c>
      <c r="W10" s="2" t="str">
        <f>Sum(W2:W9)</f>
      </c>
      <c r="X10" s="2" t="str">
        <f>Sum(X2:X9)</f>
      </c>
      <c r="Y10" s="2" t="str">
        <f>Sum(Y2:Y9)</f>
      </c>
      <c r="Z10" s="2" t="str">
        <f>Sum(Z2:Z9)</f>
      </c>
      <c r="AA10" s="2" t="str">
        <f>Sum(AA2:AA9)</f>
      </c>
      <c r="AB10" s="2" t="str">
        <f>Sum(AB2:AB9)</f>
      </c>
      <c r="AC10" s="2" t="str">
        <f>Sum(AC2:AC9)</f>
      </c>
      <c r="AD10" s="2" t="str">
        <f>Sum(AD2:AD9)</f>
      </c>
      <c r="AE10" s="2" t="str">
        <f>Sum(AE2:AE9)</f>
      </c>
      <c r="AF10" s="2" t="str">
        <f>Sum(AF2:AF9)</f>
      </c>
      <c r="AG10" s="2" t="str">
        <f>Sum(AG2:AG9)</f>
      </c>
      <c r="AH10" s="2" t="str">
        <f>Sum(AH2:AH9)</f>
      </c>
      <c r="AI10" s="2" t="str">
        <f>Sum(AI2:AI9)</f>
      </c>
      <c r="AJ10" s="2" t="str">
        <f>Sum(AJ2:AJ9)</f>
      </c>
      <c r="AK10" s="2" t="str">
        <f>Sum(AK2:AK9)</f>
      </c>
      <c r="AL10" s="2" t="str">
        <f>Sum(AL2:AL9)</f>
      </c>
      <c r="AM10" s="2" t="str">
        <f>Sum(AM2:AM9)</f>
      </c>
      <c r="AN10" s="2" t="str">
        <f>Sum(AN2:AN9)</f>
      </c>
      <c r="AO10" s="2" t="str">
        <f>Sum(AO2:AO9)</f>
      </c>
      <c r="AP10" s="2"/>
    </row>
    <row r="13">
      <c r="A13" t="str">
        <f>N13</f>
      </c>
      <c r="B13" t="str">
        <f>O13</f>
      </c>
      <c r="N13" t="s">
        <v>0</v>
      </c>
      <c r="O13" t="s">
        <v>1</v>
      </c>
      <c r="P13" t="s">
        <v>22</v>
      </c>
      <c r="Q13" t="s">
        <v>23</v>
      </c>
      <c r="R13" t="s">
        <v>24</v>
      </c>
      <c r="S13" t="s">
        <v>25</v>
      </c>
      <c r="T13" t="s">
        <v>26</v>
      </c>
      <c r="U13" t="s">
        <v>27</v>
      </c>
      <c r="V13" t="s">
        <v>28</v>
      </c>
      <c r="W13" t="s">
        <v>29</v>
      </c>
      <c r="X13" t="s">
        <v>30</v>
      </c>
      <c r="Y13" t="s">
        <v>31</v>
      </c>
      <c r="Z13" t="s">
        <v>32</v>
      </c>
      <c r="AA13" t="s">
        <v>33</v>
      </c>
      <c r="AB13" t="s">
        <v>34</v>
      </c>
      <c r="AC13" t="s">
        <v>35</v>
      </c>
      <c r="AD13" t="s">
        <v>36</v>
      </c>
      <c r="AE13" t="s">
        <v>37</v>
      </c>
      <c r="AF13" t="s">
        <v>38</v>
      </c>
      <c r="AG13" t="s">
        <v>39</v>
      </c>
      <c r="AH13" t="s">
        <v>40</v>
      </c>
      <c r="AI13" t="s">
        <v>41</v>
      </c>
      <c r="AJ13" t="s">
        <v>42</v>
      </c>
      <c r="AK13" t="s">
        <v>43</v>
      </c>
      <c r="AL13" t="s">
        <v>44</v>
      </c>
      <c r="AM13" t="s">
        <v>45</v>
      </c>
      <c r="AN13" t="s">
        <v>46</v>
      </c>
      <c r="AO13" t="s">
        <v>47</v>
      </c>
    </row>
    <row r="14">
      <c r="A14" t="str">
        <f>N14</f>
      </c>
      <c r="B14" t="str">
        <f>O14</f>
      </c>
      <c r="N14" t="s">
        <v>48</v>
      </c>
      <c r="O14" t="s">
        <v>49</v>
      </c>
      <c r="P14" s="2" t="n">
        <v>80901349.0972636</v>
      </c>
      <c r="Q14" s="2" t="n">
        <v>399312745.801905</v>
      </c>
      <c r="R14" s="2" t="n">
        <v>467474371.893129</v>
      </c>
      <c r="S14" s="2" t="n">
        <v>589186617.481288</v>
      </c>
      <c r="T14" s="2" t="n">
        <v>173754046.213445</v>
      </c>
      <c r="U14" s="2" t="n">
        <v>68716099.4321448</v>
      </c>
      <c r="V14" s="2" t="n">
        <v>156271295.417721</v>
      </c>
      <c r="W14" s="2" t="n">
        <v>53997206.3186082</v>
      </c>
      <c r="X14" s="2" t="n">
        <v>4688553.58972723</v>
      </c>
      <c r="Y14" s="2" t="n">
        <v>11703641.8975571</v>
      </c>
      <c r="Z14" s="2" t="n">
        <v>872783.163916131</v>
      </c>
      <c r="AA14" s="2" t="n">
        <v>613855.146902078</v>
      </c>
      <c r="AB14" s="2" t="n">
        <v>-1286457.64017068</v>
      </c>
      <c r="AC14" s="2" t="n">
        <v>-8536331.03836198</v>
      </c>
      <c r="AD14" s="2" t="n">
        <v>-82034.2889649106</v>
      </c>
      <c r="AE14" s="2" t="n">
        <v>1050850.86155807</v>
      </c>
      <c r="AF14" s="2" t="n">
        <v>267398.322808845</v>
      </c>
      <c r="AG14" s="2" t="n">
        <v>702254.471768033</v>
      </c>
      <c r="AH14" s="2" t="n">
        <v>-254117.890892549</v>
      </c>
      <c r="AI14" s="2" t="n">
        <v>-473963.467381432</v>
      </c>
      <c r="AJ14" s="2" t="n">
        <v>11573.9072704938</v>
      </c>
      <c r="AK14" s="2" t="n">
        <v>7993.26891474538</v>
      </c>
      <c r="AL14" s="2" t="n">
        <v>55285.4852229899</v>
      </c>
      <c r="AM14" s="2" t="n">
        <v>-1117</v>
      </c>
      <c r="AN14" s="2" t="n">
        <v>-45889.3301009948</v>
      </c>
      <c r="AO14" s="2" t="n">
        <v>2072829.23032408</v>
      </c>
      <c r="AP14" s="2"/>
    </row>
    <row r="15">
      <c r="A15" t="str">
        <f>N15</f>
      </c>
      <c r="B15" t="str">
        <f>O15</f>
      </c>
      <c r="N15" t="s">
        <v>48</v>
      </c>
      <c r="O15" t="s">
        <v>50</v>
      </c>
      <c r="P15" s="2" t="n">
        <v>3835394.37805161</v>
      </c>
      <c r="Q15" s="2" t="n">
        <v>11579992.8796604</v>
      </c>
      <c r="R15" s="2" t="n">
        <v>254164159.448409</v>
      </c>
      <c r="S15" s="2" t="n">
        <v>110560962.67202</v>
      </c>
      <c r="T15" s="2" t="n">
        <v>173315276.734393</v>
      </c>
      <c r="U15" s="2" t="n">
        <v>491368532.598617</v>
      </c>
      <c r="V15" s="2" t="n">
        <v>488187795.057054</v>
      </c>
      <c r="W15" s="2" t="n">
        <v>372937930.301705</v>
      </c>
      <c r="X15" s="2" t="n">
        <v>256411913.590374</v>
      </c>
      <c r="Y15" s="2" t="n">
        <v>127821753.828196</v>
      </c>
      <c r="Z15" s="2" t="n">
        <v>42014090.882566</v>
      </c>
      <c r="AA15" s="2" t="n">
        <v>1216249.41050985</v>
      </c>
      <c r="AB15" s="2" t="n">
        <v>-987338.350057345</v>
      </c>
      <c r="AC15" s="2" t="n">
        <v>-1028203.74507387</v>
      </c>
      <c r="AD15" s="2" t="n">
        <v>-356717.35085294</v>
      </c>
      <c r="AE15" s="2" t="n">
        <v>-115712.825625385</v>
      </c>
      <c r="AF15" s="2" t="n">
        <v>-298543.399041659</v>
      </c>
      <c r="AG15" s="2" t="n">
        <v>-418342.468671684</v>
      </c>
      <c r="AH15" s="2" t="n">
        <v>-37879.8543257557</v>
      </c>
      <c r="AI15" s="2" t="n">
        <v>-28778.1637319318</v>
      </c>
      <c r="AJ15" s="2" t="n">
        <v>3511.41930070239</v>
      </c>
      <c r="AK15" s="2" t="n">
        <v>-75292.2725030976</v>
      </c>
      <c r="AL15" s="2" t="n">
        <v>3466381.33010701</v>
      </c>
      <c r="AM15" s="2" t="n">
        <v>6310289.29</v>
      </c>
      <c r="AN15" s="2" t="n">
        <v>8487398.58523159</v>
      </c>
      <c r="AO15" s="2" t="n">
        <v>2457472.81059921</v>
      </c>
      <c r="AP15" s="2"/>
    </row>
    <row r="16">
      <c r="A16" t="str">
        <f>N16</f>
      </c>
      <c r="B16" t="str">
        <f>O16</f>
      </c>
      <c r="N16" t="s">
        <v>51</v>
      </c>
      <c r="O16" t="s">
        <v>52</v>
      </c>
      <c r="P16" s="2" t="n">
        <v>3566462.07531814</v>
      </c>
      <c r="Q16" s="2" t="n">
        <v>4233175.79721378</v>
      </c>
      <c r="R16" s="2" t="n">
        <v>15461816.2822777</v>
      </c>
      <c r="S16" s="2" t="n">
        <v>11859077.1124307</v>
      </c>
      <c r="T16" s="2" t="n">
        <v>1299905.53048048</v>
      </c>
      <c r="U16" s="2" t="n">
        <v>1416120.52215186</v>
      </c>
      <c r="V16" s="2" t="n">
        <v>392787.465321122</v>
      </c>
      <c r="W16" s="2" t="n">
        <v>-5146.67408491332</v>
      </c>
      <c r="X16" s="2" t="n">
        <v>-5702.68431083821</v>
      </c>
      <c r="Y16" s="2" t="n">
        <v>-1850.71080649765</v>
      </c>
      <c r="Z16" s="2" t="n">
        <v>-44305.1371538324</v>
      </c>
      <c r="AA16" s="2" t="n">
        <v>-9374.63720437026</v>
      </c>
      <c r="AB16" s="2" t="n">
        <v>-5773.22686499943</v>
      </c>
      <c r="AC16" s="2"/>
      <c r="AD16" s="2"/>
      <c r="AE16" s="2"/>
      <c r="AF16" s="2" t="n">
        <v>-10870.2380482429</v>
      </c>
      <c r="AG16" s="2" t="n">
        <v>0</v>
      </c>
      <c r="AH16" s="2"/>
      <c r="AI16" s="2"/>
      <c r="AJ16" s="2"/>
      <c r="AK16" s="2"/>
      <c r="AL16" s="2" t="n">
        <v>0</v>
      </c>
      <c r="AM16" s="2" t="n">
        <v>4606547.0625</v>
      </c>
      <c r="AN16" s="2" t="n">
        <v>-382739.990409017</v>
      </c>
      <c r="AO16" s="2" t="n">
        <v>1511300.76844647</v>
      </c>
      <c r="AP16" s="2"/>
    </row>
    <row r="17">
      <c r="A17" t="str">
        <f>N17</f>
      </c>
      <c r="B17" t="str">
        <f>O17</f>
      </c>
      <c r="N17" t="s">
        <v>51</v>
      </c>
      <c r="O17" t="s">
        <v>53</v>
      </c>
      <c r="P17" s="2" t="n">
        <v>6809121.94914544</v>
      </c>
      <c r="Q17" s="2" t="n">
        <v>4133998.10665934</v>
      </c>
      <c r="R17" s="2" t="n">
        <v>26040264.8717652</v>
      </c>
      <c r="S17" s="2" t="n">
        <v>157299594.066275</v>
      </c>
      <c r="T17" s="2" t="n">
        <v>99759475.4615728</v>
      </c>
      <c r="U17" s="2" t="n">
        <v>67932660.8984138</v>
      </c>
      <c r="V17" s="2" t="n">
        <v>57210498.2937841</v>
      </c>
      <c r="W17" s="2" t="n">
        <v>4967575.05982648</v>
      </c>
      <c r="X17" s="2" t="n">
        <v>5582817.14219425</v>
      </c>
      <c r="Y17" s="2" t="n">
        <v>3637577.93088632</v>
      </c>
      <c r="Z17" s="2" t="n">
        <v>2998909.18694505</v>
      </c>
      <c r="AA17" s="2" t="n">
        <v>638747.080591465</v>
      </c>
      <c r="AB17" s="2" t="n">
        <v>-2027794.77020691</v>
      </c>
      <c r="AC17" s="2" t="n">
        <v>-118034.508515756</v>
      </c>
      <c r="AD17" s="2" t="n">
        <v>-50571.3153489391</v>
      </c>
      <c r="AE17" s="2" t="n">
        <v>-242305.071182938</v>
      </c>
      <c r="AF17" s="2" t="n">
        <v>-7327169.6655896</v>
      </c>
      <c r="AG17" s="2"/>
      <c r="AH17" s="2" t="n">
        <v>0</v>
      </c>
      <c r="AI17" s="2"/>
      <c r="AJ17" s="2" t="n">
        <v>0</v>
      </c>
      <c r="AK17" s="2" t="n">
        <v>0</v>
      </c>
      <c r="AL17" s="2" t="n">
        <v>2842125.28019525</v>
      </c>
      <c r="AM17" s="2" t="n">
        <v>3465998.1011</v>
      </c>
      <c r="AN17" s="2" t="n">
        <v>3739114.25945633</v>
      </c>
      <c r="AO17" s="2" t="n">
        <v>1592916.17191766</v>
      </c>
      <c r="AP17" s="2"/>
    </row>
    <row r="18">
      <c r="A18" t="str">
        <f>N18</f>
      </c>
      <c r="B18" t="str">
        <f>O18</f>
      </c>
      <c r="N18" t="s">
        <v>51</v>
      </c>
      <c r="O18" t="s">
        <v>54</v>
      </c>
      <c r="P18" s="2" t="n">
        <v>9975052.08657634</v>
      </c>
      <c r="Q18" s="2" t="n">
        <v>45864342.4614184</v>
      </c>
      <c r="R18" s="2" t="n">
        <v>77299664.6594571</v>
      </c>
      <c r="S18" s="2" t="n">
        <v>20538363.9463219</v>
      </c>
      <c r="T18" s="2" t="n">
        <v>9561136.23282235</v>
      </c>
      <c r="U18" s="2" t="n">
        <v>1486718.55868828</v>
      </c>
      <c r="V18" s="2" t="n">
        <v>10535386.3495859</v>
      </c>
      <c r="W18" s="2" t="n">
        <v>1257462.67951142</v>
      </c>
      <c r="X18" s="2" t="n">
        <v>164794.304920896</v>
      </c>
      <c r="Y18" s="2" t="n">
        <v>362168.741530587</v>
      </c>
      <c r="Z18" s="2" t="n">
        <v>32426.7764677423</v>
      </c>
      <c r="AA18" s="2" t="n">
        <v>-109100.851060885</v>
      </c>
      <c r="AB18" s="2" t="n">
        <v>-1898.54629662614</v>
      </c>
      <c r="AC18" s="2" t="n">
        <v>-61357.9068597507</v>
      </c>
      <c r="AD18" s="2" t="n">
        <v>267886.344359938</v>
      </c>
      <c r="AE18" s="2" t="n">
        <v>-723905.104483674</v>
      </c>
      <c r="AF18" s="2" t="n">
        <v>8846349.78339005</v>
      </c>
      <c r="AG18" s="2" t="n">
        <v>-299.071500057452</v>
      </c>
      <c r="AH18" s="2" t="n">
        <v>0</v>
      </c>
      <c r="AI18" s="2" t="n">
        <v>546254.749528136</v>
      </c>
      <c r="AJ18" s="2" t="n">
        <v>0</v>
      </c>
      <c r="AK18" s="2" t="n">
        <v>421053.108340354</v>
      </c>
      <c r="AL18" s="2" t="n">
        <v>62577.4762279629</v>
      </c>
      <c r="AM18" s="2"/>
      <c r="AN18" s="2" t="n">
        <v>-1289.31750225655</v>
      </c>
      <c r="AO18" s="2" t="n">
        <v>2168713.68087497</v>
      </c>
      <c r="AP18" s="2"/>
    </row>
    <row r="19">
      <c r="A19" t="str">
        <f>N19</f>
      </c>
      <c r="B19" t="str">
        <f>O19</f>
      </c>
      <c r="N19" t="s">
        <v>51</v>
      </c>
      <c r="O19" t="s">
        <v>55</v>
      </c>
      <c r="P19" s="2" t="n">
        <v>65090442.470429</v>
      </c>
      <c r="Q19" s="2" t="n">
        <v>17286942.790254</v>
      </c>
      <c r="R19" s="2" t="n">
        <v>130601292.352537</v>
      </c>
      <c r="S19" s="2" t="n">
        <v>99981250.2040281</v>
      </c>
      <c r="T19" s="2" t="n">
        <v>63659755.8924406</v>
      </c>
      <c r="U19" s="2" t="n">
        <v>9208473.58300657</v>
      </c>
      <c r="V19" s="2" t="n">
        <v>48892840.8677092</v>
      </c>
      <c r="W19" s="2" t="n">
        <v>8169866.51986704</v>
      </c>
      <c r="X19" s="2" t="n">
        <v>21284337.4515728</v>
      </c>
      <c r="Y19" s="2" t="n">
        <v>3856331.66277566</v>
      </c>
      <c r="Z19" s="2" t="n">
        <v>1595509.08512849</v>
      </c>
      <c r="AA19" s="2" t="n">
        <v>-231689.337726455</v>
      </c>
      <c r="AB19" s="2" t="n">
        <v>-371693.508394854</v>
      </c>
      <c r="AC19" s="2" t="n">
        <v>-238404.356955959</v>
      </c>
      <c r="AD19" s="2"/>
      <c r="AE19" s="2" t="n">
        <v>-929487.413130322</v>
      </c>
      <c r="AF19" s="2" t="n">
        <v>4446489.51183224</v>
      </c>
      <c r="AG19" s="2" t="n">
        <v>0</v>
      </c>
      <c r="AH19" s="2"/>
      <c r="AI19" s="2"/>
      <c r="AJ19" s="2"/>
      <c r="AK19" s="2" t="n">
        <v>0</v>
      </c>
      <c r="AL19" s="2" t="n">
        <v>91123.0537045423</v>
      </c>
      <c r="AM19" s="2" t="n">
        <v>209909.0718</v>
      </c>
      <c r="AN19" s="2" t="n">
        <v>2407748.06896324</v>
      </c>
      <c r="AO19" s="2" t="n">
        <v>1413151.5705696</v>
      </c>
      <c r="AP19" s="2"/>
    </row>
    <row r="20">
      <c r="A20" t="str">
        <f>N20</f>
      </c>
      <c r="B20" t="str">
        <f>O20</f>
      </c>
      <c r="N20" t="s">
        <v>51</v>
      </c>
      <c r="O20" t="s">
        <v>56</v>
      </c>
      <c r="P20" s="2" t="n">
        <v>53573821.4145288</v>
      </c>
      <c r="Q20" s="2" t="n">
        <v>186660815.380656</v>
      </c>
      <c r="R20" s="2" t="n">
        <v>104901672.101093</v>
      </c>
      <c r="S20" s="2" t="n">
        <v>79767796.2617612</v>
      </c>
      <c r="T20" s="2" t="n">
        <v>14501920.3856767</v>
      </c>
      <c r="U20" s="2" t="n">
        <v>16078493.5281962</v>
      </c>
      <c r="V20" s="2" t="n">
        <v>4820064.98005332</v>
      </c>
      <c r="W20" s="2" t="n">
        <v>289946.51966339</v>
      </c>
      <c r="X20" s="2" t="n">
        <v>486117.673099858</v>
      </c>
      <c r="Y20" s="2" t="n">
        <v>872585.931304136</v>
      </c>
      <c r="Z20" s="2" t="n">
        <v>-1853800.46902512</v>
      </c>
      <c r="AA20" s="2" t="n">
        <v>1064053.51545601</v>
      </c>
      <c r="AB20" s="2" t="n">
        <v>0</v>
      </c>
      <c r="AC20" s="2" t="n">
        <v>534386.751478117</v>
      </c>
      <c r="AD20" s="2" t="n">
        <v>-1533.48541220834</v>
      </c>
      <c r="AE20" s="2" t="n">
        <v>-4207.24840398918</v>
      </c>
      <c r="AF20" s="2"/>
      <c r="AG20" s="2" t="n">
        <v>0</v>
      </c>
      <c r="AH20" s="2"/>
      <c r="AI20" s="2"/>
      <c r="AJ20" s="2"/>
      <c r="AK20" s="2"/>
      <c r="AL20" s="2" t="n">
        <v>0</v>
      </c>
      <c r="AM20" s="2"/>
      <c r="AN20" s="2"/>
      <c r="AO20" s="2"/>
      <c r="AP20" s="2"/>
    </row>
    <row r="21">
      <c r="A21" t="str">
        <f>N21</f>
      </c>
      <c r="B21" t="str">
        <f>O21</f>
      </c>
      <c r="N21"/>
      <c r="O21"/>
      <c r="P21" s="2" t="n">
        <v>30121351.6513695</v>
      </c>
      <c r="Q21" s="2"/>
      <c r="R21" s="2"/>
      <c r="S21" s="2"/>
      <c r="T21" s="2" t="n">
        <v>0</v>
      </c>
      <c r="U21" s="2" t="n">
        <v>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>
      <c r="A22" t="str">
        <f>N22</f>
      </c>
      <c r="B22" t="str">
        <f>O22</f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59</v>
      </c>
      <c r="O1" t="s">
        <v>60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</row>
    <row r="2">
      <c r="A2" t="str">
        <f>N2</f>
      </c>
      <c r="B2" t="str">
        <f>O2</f>
      </c>
      <c r="N2" t="s">
        <v>61</v>
      </c>
      <c r="O2" t="s">
        <v>62</v>
      </c>
      <c r="P2" s="3" t="n">
        <v>7694547</v>
      </c>
      <c r="Q2" s="3" t="n">
        <v>185882948.0532</v>
      </c>
      <c r="R2" s="3" t="n">
        <v>129016044.5185</v>
      </c>
      <c r="S2" s="3" t="n">
        <v>114291112.0063</v>
      </c>
      <c r="T2" s="3" t="n">
        <v>56149051.3528</v>
      </c>
      <c r="U2" s="3" t="n">
        <v>30942412.8641</v>
      </c>
      <c r="V2" s="3" t="n">
        <v>20927821.3098</v>
      </c>
      <c r="W2" s="3" t="n">
        <v>11822061.6868</v>
      </c>
      <c r="X2" s="3" t="n">
        <v>1890625.1037</v>
      </c>
      <c r="Y2" s="3" t="n">
        <v>-1496849.7355</v>
      </c>
      <c r="Z2" s="3" t="n">
        <v>-436855.0976</v>
      </c>
      <c r="AA2" s="3" t="n">
        <v>-872165.7508</v>
      </c>
      <c r="AB2" s="3" t="n">
        <v>-14090.6001</v>
      </c>
      <c r="AC2" s="3" t="n">
        <v>-11543.27</v>
      </c>
      <c r="AD2" s="3" t="n">
        <v>3846.75</v>
      </c>
      <c r="AE2" s="3" t="n">
        <v>-381645.16</v>
      </c>
      <c r="AF2" s="3" t="n">
        <v>-725588.1</v>
      </c>
      <c r="AG2" s="3" t="n">
        <v>-105716.3389</v>
      </c>
      <c r="AH2" s="3" t="n">
        <v>0</v>
      </c>
      <c r="AI2" s="3" t="n">
        <v>-404229.84</v>
      </c>
      <c r="AJ2" s="3"/>
      <c r="AK2" s="3" t="n">
        <v>0</v>
      </c>
      <c r="AL2" s="3" t="n">
        <v>0</v>
      </c>
      <c r="AM2" s="3" t="n">
        <v>-11117</v>
      </c>
      <c r="AN2" s="3" t="n">
        <v>-75479.65</v>
      </c>
      <c r="AO2" s="3" t="n">
        <v>0</v>
      </c>
      <c r="AP2" s="3"/>
    </row>
    <row r="3">
      <c r="A3" t="str">
        <f>N3</f>
      </c>
      <c r="B3" t="str">
        <f>O3</f>
      </c>
      <c r="N3" t="s">
        <v>61</v>
      </c>
      <c r="O3" t="s">
        <v>63</v>
      </c>
      <c r="P3" s="3" t="n">
        <v>29702639.7322</v>
      </c>
      <c r="Q3" s="3" t="n">
        <v>7668180.378</v>
      </c>
      <c r="R3" s="3" t="n">
        <v>41753573.6495</v>
      </c>
      <c r="S3" s="3" t="n">
        <v>74949491.1457</v>
      </c>
      <c r="T3" s="3" t="n">
        <v>21673513.1924</v>
      </c>
      <c r="U3" s="3" t="n">
        <v>14299502.3798</v>
      </c>
      <c r="V3" s="3" t="n">
        <v>76336793.9108</v>
      </c>
      <c r="W3" s="3" t="n">
        <v>5939209.3637</v>
      </c>
      <c r="X3" s="3" t="n">
        <v>1601831.5683</v>
      </c>
      <c r="Y3" s="3" t="n">
        <v>397028.7391</v>
      </c>
      <c r="Z3" s="3" t="n">
        <v>303508.769</v>
      </c>
      <c r="AA3" s="3" t="n">
        <v>73330.81</v>
      </c>
      <c r="AB3" s="3" t="n">
        <v>-76203.1497</v>
      </c>
      <c r="AC3" s="3" t="n">
        <v>-27596.5295</v>
      </c>
      <c r="AD3" s="3" t="n">
        <v>-76.34</v>
      </c>
      <c r="AE3" s="3"/>
      <c r="AF3" s="3" t="n">
        <v>6416203.93</v>
      </c>
      <c r="AG3" s="3" t="n">
        <v>-36752.0781</v>
      </c>
      <c r="AH3" s="3"/>
      <c r="AI3" s="3"/>
      <c r="AJ3" s="3"/>
      <c r="AK3" s="3"/>
      <c r="AL3" s="3"/>
      <c r="AM3" s="3"/>
      <c r="AN3" s="3"/>
      <c r="AO3" s="3" t="n">
        <v>0</v>
      </c>
      <c r="AP3" s="3"/>
    </row>
    <row r="4">
      <c r="A4" t="str">
        <f>N4</f>
      </c>
      <c r="B4" t="str">
        <f>O4</f>
      </c>
      <c r="N4" t="s">
        <v>64</v>
      </c>
      <c r="O4" t="s">
        <v>65</v>
      </c>
      <c r="P4" s="3" t="n">
        <v>48443</v>
      </c>
      <c r="Q4" s="3" t="n">
        <v>47470</v>
      </c>
      <c r="R4" s="3" t="n">
        <v>586686</v>
      </c>
      <c r="S4" s="3" t="n">
        <v>42462.59</v>
      </c>
      <c r="T4" s="3" t="n">
        <v>712566.88</v>
      </c>
      <c r="U4" s="3" t="n">
        <v>1759148.53</v>
      </c>
      <c r="V4" s="3" t="n">
        <v>12347844.8</v>
      </c>
      <c r="W4" s="3" t="n">
        <v>1431785.63</v>
      </c>
      <c r="X4" s="3" t="n">
        <v>734442.8099</v>
      </c>
      <c r="Y4" s="3" t="n">
        <v>159136.08</v>
      </c>
      <c r="Z4" s="3" t="n">
        <v>-7346.3999</v>
      </c>
      <c r="AA4" s="3" t="n">
        <v>-5020</v>
      </c>
      <c r="AB4" s="3" t="n">
        <v>0</v>
      </c>
      <c r="AC4" s="3" t="n">
        <v>-2722</v>
      </c>
      <c r="AD4" s="3" t="n">
        <v>0</v>
      </c>
      <c r="AE4" s="3"/>
      <c r="AF4" s="3" t="n">
        <v>-9742595.27</v>
      </c>
      <c r="AG4" s="3" t="n">
        <v>-155</v>
      </c>
      <c r="AH4" s="3"/>
      <c r="AI4" s="3"/>
      <c r="AJ4" s="3"/>
      <c r="AK4" s="3"/>
      <c r="AL4" s="3"/>
      <c r="AM4" s="3"/>
      <c r="AN4" s="3"/>
      <c r="AO4" s="3"/>
      <c r="AP4" s="3"/>
    </row>
    <row r="5">
      <c r="A5" t="str">
        <f>N5</f>
      </c>
      <c r="B5" t="str">
        <f>O5</f>
      </c>
      <c r="N5" t="s">
        <v>64</v>
      </c>
      <c r="O5" t="s">
        <v>66</v>
      </c>
      <c r="P5" s="3" t="n">
        <v>0</v>
      </c>
      <c r="Q5" s="3" t="n">
        <v>7800</v>
      </c>
      <c r="R5" s="3" t="n">
        <v>771404.72</v>
      </c>
      <c r="S5" s="3" t="n">
        <v>216971.0625</v>
      </c>
      <c r="T5" s="3"/>
      <c r="U5" s="3" t="n">
        <v>544976</v>
      </c>
      <c r="V5" s="3" t="n">
        <v>300000</v>
      </c>
      <c r="W5" s="3" t="n">
        <v>121344.15</v>
      </c>
      <c r="X5" s="3" t="n">
        <v>6249552.41</v>
      </c>
      <c r="Y5" s="3" t="n">
        <v>3330642.89</v>
      </c>
      <c r="Z5" s="3" t="n">
        <v>264476.273</v>
      </c>
      <c r="AA5" s="3" t="n">
        <v>-11952.6105</v>
      </c>
      <c r="AB5" s="3" t="n">
        <v>0</v>
      </c>
      <c r="AC5" s="3"/>
      <c r="AD5" s="3" t="n">
        <v>0</v>
      </c>
      <c r="AE5" s="3"/>
      <c r="AF5" s="3" t="n">
        <v>-79</v>
      </c>
      <c r="AG5" s="3" t="n">
        <v>0</v>
      </c>
      <c r="AH5" s="3"/>
      <c r="AI5" s="3"/>
      <c r="AJ5" s="3" t="n">
        <v>0</v>
      </c>
      <c r="AK5" s="3"/>
      <c r="AL5" s="3" t="n">
        <v>0</v>
      </c>
      <c r="AM5" s="3" t="n">
        <v>125467.5112</v>
      </c>
      <c r="AN5" s="3" t="n">
        <v>101177.25</v>
      </c>
      <c r="AO5" s="3" t="n">
        <v>135358.84</v>
      </c>
      <c r="AP5" s="3"/>
    </row>
    <row r="6">
      <c r="A6" t="str">
        <f>N6</f>
      </c>
      <c r="B6" t="str">
        <f>O6</f>
      </c>
      <c r="N6" t="s">
        <v>64</v>
      </c>
      <c r="O6"/>
      <c r="P6" s="3" t="n">
        <v>104540874.9989</v>
      </c>
      <c r="Q6" s="3" t="n">
        <v>151024982.777</v>
      </c>
      <c r="R6" s="3" t="n">
        <v>304223026.2055</v>
      </c>
      <c r="S6" s="3" t="n">
        <v>241566232.3281</v>
      </c>
      <c r="T6" s="3" t="n">
        <v>118209461.115</v>
      </c>
      <c r="U6" s="3" t="n">
        <v>214719928.6722</v>
      </c>
      <c r="V6" s="3" t="n">
        <v>197234731.9471</v>
      </c>
      <c r="W6" s="3" t="n">
        <v>124741551.8927</v>
      </c>
      <c r="X6" s="3" t="n">
        <v>66946558.9662</v>
      </c>
      <c r="Y6" s="3" t="n">
        <v>30666093.0385</v>
      </c>
      <c r="Z6" s="3" t="n">
        <v>4553139.045</v>
      </c>
      <c r="AA6" s="3" t="n">
        <v>-638546.6752</v>
      </c>
      <c r="AB6" s="3" t="n">
        <v>-1862576.4654</v>
      </c>
      <c r="AC6" s="3" t="n">
        <v>-2777407.22</v>
      </c>
      <c r="AD6" s="3" t="n">
        <v>-1429953.32</v>
      </c>
      <c r="AE6" s="3" t="n">
        <v>-164319.16</v>
      </c>
      <c r="AF6" s="3" t="n">
        <v>-164986.65</v>
      </c>
      <c r="AG6" s="3" t="n">
        <v>-157051.3406</v>
      </c>
      <c r="AH6" s="3" t="n">
        <v>19769.31</v>
      </c>
      <c r="AI6" s="3" t="n">
        <v>-23975.07</v>
      </c>
      <c r="AJ6" s="3" t="n">
        <v>5200</v>
      </c>
      <c r="AK6" s="3" t="n">
        <v>-25927.46</v>
      </c>
      <c r="AL6" s="3" t="n">
        <v>-508.13</v>
      </c>
      <c r="AM6" s="3" t="n">
        <v>5170.98</v>
      </c>
      <c r="AN6" s="3" t="n">
        <v>10000</v>
      </c>
      <c r="AO6" s="3" t="n">
        <v>0</v>
      </c>
      <c r="AP6" s="3"/>
    </row>
    <row r="7">
      <c r="A7" t="str">
        <f>N7</f>
      </c>
      <c r="B7" t="str">
        <f>O7</f>
      </c>
      <c r="N7" t="s">
        <v>67</v>
      </c>
      <c r="O7" t="s">
        <v>68</v>
      </c>
      <c r="P7" s="3" t="n">
        <v>8996621.8137</v>
      </c>
      <c r="Q7" s="3" t="n">
        <v>62859106.0678</v>
      </c>
      <c r="R7" s="3" t="n">
        <v>188212958.569</v>
      </c>
      <c r="S7" s="3" t="n">
        <v>240843350.2187</v>
      </c>
      <c r="T7" s="3" t="n">
        <v>149184800.9057</v>
      </c>
      <c r="U7" s="3" t="n">
        <v>173341325.967</v>
      </c>
      <c r="V7" s="3" t="n">
        <v>218583490.2857</v>
      </c>
      <c r="W7" s="3" t="n">
        <v>167176007.0659</v>
      </c>
      <c r="X7" s="3" t="n">
        <v>130095251.4096</v>
      </c>
      <c r="Y7" s="3" t="n">
        <v>74032061.5</v>
      </c>
      <c r="Z7" s="3" t="n">
        <v>27954729.3152</v>
      </c>
      <c r="AA7" s="3" t="n">
        <v>3028972.4389</v>
      </c>
      <c r="AB7" s="3" t="n">
        <v>-2481594.6179</v>
      </c>
      <c r="AC7" s="3" t="n">
        <v>-5499435.8111</v>
      </c>
      <c r="AD7" s="3" t="n">
        <v>286714.39</v>
      </c>
      <c r="AE7" s="3" t="n">
        <v>-1040388</v>
      </c>
      <c r="AF7" s="3" t="n">
        <v>8103496.2408</v>
      </c>
      <c r="AG7" s="3" t="n">
        <v>-110546.8091</v>
      </c>
      <c r="AH7" s="3" t="n">
        <v>-264284.83</v>
      </c>
      <c r="AI7" s="3" t="n">
        <v>465316</v>
      </c>
      <c r="AJ7" s="3" t="n">
        <v>7833.91</v>
      </c>
      <c r="AK7" s="3" t="n">
        <v>346930.32</v>
      </c>
      <c r="AL7" s="3" t="n">
        <v>6227932.0357</v>
      </c>
      <c r="AM7" s="3" t="n">
        <v>14472105.0342</v>
      </c>
      <c r="AN7" s="3" t="n">
        <v>14547985.67</v>
      </c>
      <c r="AO7" s="3" t="n">
        <v>11633253.37</v>
      </c>
      <c r="AP7" s="3"/>
    </row>
    <row r="8">
      <c r="A8" t="str">
        <f>N8</f>
      </c>
      <c r="B8" t="str">
        <f>O8</f>
      </c>
      <c r="N8" t="s">
        <v>67</v>
      </c>
      <c r="O8" t="s">
        <v>69</v>
      </c>
      <c r="P8" s="3" t="n">
        <v>26279.4004</v>
      </c>
      <c r="Q8" s="3" t="n">
        <v>19997</v>
      </c>
      <c r="R8" s="3" t="n">
        <v>1257166.875</v>
      </c>
      <c r="S8" s="3" t="n">
        <v>2434773.7813</v>
      </c>
      <c r="T8" s="3" t="n">
        <v>121769.99</v>
      </c>
      <c r="U8" s="3" t="n">
        <v>1154300.6</v>
      </c>
      <c r="V8" s="3" t="n">
        <v>882704.96</v>
      </c>
      <c r="W8" s="3" t="n">
        <v>517854.54</v>
      </c>
      <c r="X8" s="3" t="n">
        <v>492717.65</v>
      </c>
      <c r="Y8" s="3" t="n">
        <v>855851.51</v>
      </c>
      <c r="Z8" s="3" t="n">
        <v>880036.8475</v>
      </c>
      <c r="AA8" s="3" t="n">
        <v>810546.7337</v>
      </c>
      <c r="AB8" s="3" t="n">
        <v>862872.75</v>
      </c>
      <c r="AC8" s="3" t="n">
        <v>979075.06</v>
      </c>
      <c r="AD8" s="3" t="n">
        <v>963094.37</v>
      </c>
      <c r="AE8" s="3" t="n">
        <v>815297.6044</v>
      </c>
      <c r="AF8" s="3" t="n">
        <v>885664.5625</v>
      </c>
      <c r="AG8" s="3" t="n">
        <v>642557.875</v>
      </c>
      <c r="AH8" s="3"/>
      <c r="AI8" s="3"/>
      <c r="AJ8" s="3"/>
      <c r="AK8" s="3" t="n">
        <v>-2856.02</v>
      </c>
      <c r="AL8" s="3"/>
      <c r="AM8" s="3"/>
      <c r="AN8" s="3"/>
      <c r="AO8" s="3" t="n">
        <v>0</v>
      </c>
      <c r="AP8" s="3"/>
    </row>
    <row r="9">
      <c r="A9" t="str">
        <f>N9</f>
      </c>
      <c r="B9" t="str">
        <f>O9</f>
      </c>
      <c r="N9" t="s">
        <v>70</v>
      </c>
      <c r="O9" t="s">
        <v>70</v>
      </c>
      <c r="P9" s="3" t="n">
        <v>0</v>
      </c>
      <c r="Q9" s="3" t="n">
        <v>115350.5</v>
      </c>
      <c r="R9" s="3" t="n">
        <v>0</v>
      </c>
      <c r="S9" s="3"/>
      <c r="T9" s="3" t="n">
        <v>165016.63</v>
      </c>
      <c r="U9" s="3" t="n">
        <v>118481.31</v>
      </c>
      <c r="V9" s="3" t="n">
        <v>142803.61</v>
      </c>
      <c r="W9" s="3" t="n">
        <v>169834.71</v>
      </c>
      <c r="X9" s="3" t="n">
        <v>73031.49</v>
      </c>
      <c r="Y9" s="3" t="n">
        <v>35915.84</v>
      </c>
      <c r="Z9" s="3" t="n">
        <v>297.97</v>
      </c>
      <c r="AA9" s="3"/>
      <c r="AB9" s="3"/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/>
      <c r="AI9" s="3"/>
      <c r="AJ9" s="3"/>
      <c r="AK9" s="3" t="n">
        <v>-1979.29</v>
      </c>
      <c r="AL9" s="3" t="n">
        <v>4958.45</v>
      </c>
      <c r="AM9" s="3"/>
      <c r="AN9" s="3"/>
      <c r="AO9" s="3"/>
      <c r="AP9" s="3"/>
    </row>
    <row r="10">
      <c r="A10" t="str">
        <f>N10</f>
      </c>
      <c r="B10" t="str">
        <f>O10</f>
      </c>
      <c r="N10" t="s">
        <v>57</v>
      </c>
      <c r="O10" t="s">
        <v>58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/>
    </row>
    <row r="13">
      <c r="A13" t="str">
        <f>N13</f>
      </c>
      <c r="B13" t="str">
        <f>O13</f>
      </c>
      <c r="N13" t="s">
        <v>59</v>
      </c>
      <c r="O13" t="s">
        <v>60</v>
      </c>
      <c r="P13" t="s">
        <v>22</v>
      </c>
      <c r="Q13" t="s">
        <v>23</v>
      </c>
      <c r="R13" t="s">
        <v>24</v>
      </c>
      <c r="S13" t="s">
        <v>25</v>
      </c>
      <c r="T13" t="s">
        <v>26</v>
      </c>
      <c r="U13" t="s">
        <v>27</v>
      </c>
      <c r="V13" t="s">
        <v>28</v>
      </c>
      <c r="W13" t="s">
        <v>29</v>
      </c>
      <c r="X13" t="s">
        <v>30</v>
      </c>
      <c r="Y13" t="s">
        <v>31</v>
      </c>
      <c r="Z13" t="s">
        <v>32</v>
      </c>
      <c r="AA13" t="s">
        <v>33</v>
      </c>
      <c r="AB13" t="s">
        <v>34</v>
      </c>
      <c r="AC13" t="s">
        <v>35</v>
      </c>
      <c r="AD13" t="s">
        <v>36</v>
      </c>
      <c r="AE13" t="s">
        <v>37</v>
      </c>
      <c r="AF13" t="s">
        <v>38</v>
      </c>
      <c r="AG13" t="s">
        <v>39</v>
      </c>
      <c r="AH13" t="s">
        <v>40</v>
      </c>
      <c r="AI13" t="s">
        <v>41</v>
      </c>
      <c r="AJ13" t="s">
        <v>42</v>
      </c>
      <c r="AK13" t="s">
        <v>43</v>
      </c>
      <c r="AL13" t="s">
        <v>44</v>
      </c>
      <c r="AM13" t="s">
        <v>45</v>
      </c>
      <c r="AN13" t="s">
        <v>46</v>
      </c>
      <c r="AO13" t="s">
        <v>47</v>
      </c>
    </row>
    <row r="14">
      <c r="A14" t="str">
        <f>N14</f>
      </c>
      <c r="B14" t="str">
        <f>O14</f>
      </c>
      <c r="N14" t="s">
        <v>61</v>
      </c>
      <c r="O14" t="s">
        <v>62</v>
      </c>
      <c r="P14" s="3" t="n">
        <v>12935867.6750979</v>
      </c>
      <c r="Q14" s="3" t="n">
        <v>305105976.281292</v>
      </c>
      <c r="R14" s="3" t="n">
        <v>208485419.106128</v>
      </c>
      <c r="S14" s="3" t="n">
        <v>181212053.952371</v>
      </c>
      <c r="T14" s="3" t="n">
        <v>86903952.0595094</v>
      </c>
      <c r="U14" s="3" t="n">
        <v>46476440.7574989</v>
      </c>
      <c r="V14" s="3" t="n">
        <v>30445228.7720692</v>
      </c>
      <c r="W14" s="3" t="n">
        <v>16737637.0964178</v>
      </c>
      <c r="X14" s="3" t="n">
        <v>2622299.81042214</v>
      </c>
      <c r="Y14" s="3" t="n">
        <v>-2055116.93968931</v>
      </c>
      <c r="Z14" s="3" t="n">
        <v>-594635.389657519</v>
      </c>
      <c r="AA14" s="3" t="n">
        <v>-1163809.28364982</v>
      </c>
      <c r="AB14" s="3" t="n">
        <v>-18467.2488175445</v>
      </c>
      <c r="AC14" s="3" t="n">
        <v>-14859.0843448078</v>
      </c>
      <c r="AD14" s="3" t="n">
        <v>4863.01545680402</v>
      </c>
      <c r="AE14" s="3" t="n">
        <v>-477525.878233153</v>
      </c>
      <c r="AF14" s="3" t="n">
        <v>-900676.626041107</v>
      </c>
      <c r="AG14" s="3" t="n">
        <v>-129047.93492002</v>
      </c>
      <c r="AH14" s="3" t="n">
        <v>0</v>
      </c>
      <c r="AI14" s="3" t="n">
        <v>-473963.467381432</v>
      </c>
      <c r="AJ14" s="3"/>
      <c r="AK14" s="3" t="n">
        <v>0</v>
      </c>
      <c r="AL14" s="3" t="n">
        <v>0</v>
      </c>
      <c r="AM14" s="3" t="n">
        <v>-11117</v>
      </c>
      <c r="AN14" s="3" t="n">
        <v>-73516.3239351829</v>
      </c>
      <c r="AO14" s="3" t="n">
        <v>0</v>
      </c>
      <c r="AP14" s="3"/>
    </row>
    <row r="15">
      <c r="A15" t="str">
        <f>N15</f>
      </c>
      <c r="B15" t="str">
        <f>O15</f>
      </c>
      <c r="N15" t="s">
        <v>61</v>
      </c>
      <c r="O15" t="s">
        <v>63</v>
      </c>
      <c r="P15" s="3" t="n">
        <v>49935287.5714249</v>
      </c>
      <c r="Q15" s="3" t="n">
        <v>12586456.6117229</v>
      </c>
      <c r="R15" s="3" t="n">
        <v>67472315.8191874</v>
      </c>
      <c r="S15" s="3" t="n">
        <v>118834710.720539</v>
      </c>
      <c r="T15" s="3" t="n">
        <v>33544893.5655001</v>
      </c>
      <c r="U15" s="3" t="n">
        <v>21478285.4244557</v>
      </c>
      <c r="V15" s="3" t="n">
        <v>111052704.432845</v>
      </c>
      <c r="W15" s="3" t="n">
        <v>8408713.60705654</v>
      </c>
      <c r="X15" s="3" t="n">
        <v>2221742.75040612</v>
      </c>
      <c r="Y15" s="3" t="n">
        <v>545105.141763175</v>
      </c>
      <c r="Z15" s="3" t="n">
        <v>413127.959614747</v>
      </c>
      <c r="AA15" s="3" t="n">
        <v>97851.901863011</v>
      </c>
      <c r="AB15" s="3" t="n">
        <v>-99872.4338355534</v>
      </c>
      <c r="AC15" s="3" t="n">
        <v>-35523.6565950962</v>
      </c>
      <c r="AD15" s="3" t="n">
        <v>-96.5081172346576</v>
      </c>
      <c r="AE15" s="3"/>
      <c r="AF15" s="3" t="n">
        <v>7964470.34848572</v>
      </c>
      <c r="AG15" s="3" t="n">
        <v>-44863.2617452882</v>
      </c>
      <c r="AH15" s="3"/>
      <c r="AI15" s="3"/>
      <c r="AJ15" s="3"/>
      <c r="AK15" s="3"/>
      <c r="AL15" s="3"/>
      <c r="AM15" s="3"/>
      <c r="AN15" s="3"/>
      <c r="AO15" s="3" t="n">
        <v>0</v>
      </c>
      <c r="AP15" s="3"/>
    </row>
    <row r="16">
      <c r="A16" t="str">
        <f>N16</f>
      </c>
      <c r="B16" t="str">
        <f>O16</f>
      </c>
      <c r="N16" t="s">
        <v>64</v>
      </c>
      <c r="O16" t="s">
        <v>65</v>
      </c>
      <c r="P16" s="3" t="n">
        <v>81441.0825984646</v>
      </c>
      <c r="Q16" s="3" t="n">
        <v>77916.6720011765</v>
      </c>
      <c r="R16" s="3" t="n">
        <v>948064.072574774</v>
      </c>
      <c r="S16" s="3" t="n">
        <v>67325.7352646396</v>
      </c>
      <c r="T16" s="3" t="n">
        <v>1102865.96989187</v>
      </c>
      <c r="U16" s="3" t="n">
        <v>2642294.34198535</v>
      </c>
      <c r="V16" s="3" t="n">
        <v>17963310.8584487</v>
      </c>
      <c r="W16" s="3" t="n">
        <v>2027117.51213106</v>
      </c>
      <c r="X16" s="3" t="n">
        <v>1018673.26176807</v>
      </c>
      <c r="Y16" s="3" t="n">
        <v>218487.69850937</v>
      </c>
      <c r="Z16" s="3" t="n">
        <v>-9999.72162649765</v>
      </c>
      <c r="AA16" s="3" t="n">
        <v>-6698.63795793767</v>
      </c>
      <c r="AB16" s="3" t="n">
        <v>0</v>
      </c>
      <c r="AC16" s="3" t="n">
        <v>-3503.89686688146</v>
      </c>
      <c r="AD16" s="3" t="n">
        <v>0</v>
      </c>
      <c r="AE16" s="3"/>
      <c r="AF16" s="3" t="n">
        <v>-12093538.7951755</v>
      </c>
      <c r="AG16" s="3" t="n">
        <v>-189.208500036347</v>
      </c>
      <c r="AH16" s="3"/>
      <c r="AI16" s="3"/>
      <c r="AJ16" s="3"/>
      <c r="AK16" s="3"/>
      <c r="AL16" s="3"/>
      <c r="AM16" s="3"/>
      <c r="AN16" s="3"/>
      <c r="AO16" s="3"/>
      <c r="AP16" s="3"/>
    </row>
    <row r="17">
      <c r="A17" t="str">
        <f>N17</f>
      </c>
      <c r="B17" t="str">
        <f>O17</f>
      </c>
      <c r="N17" t="s">
        <v>64</v>
      </c>
      <c r="O17" t="s">
        <v>66</v>
      </c>
      <c r="P17" s="3" t="n">
        <v>0</v>
      </c>
      <c r="Q17" s="3" t="n">
        <v>12802.8237120113</v>
      </c>
      <c r="R17" s="3" t="n">
        <v>1246563.06856922</v>
      </c>
      <c r="S17" s="3" t="n">
        <v>344014.256171434</v>
      </c>
      <c r="T17" s="3"/>
      <c r="U17" s="3" t="n">
        <v>818570.448578216</v>
      </c>
      <c r="V17" s="3" t="n">
        <v>436431.89113736</v>
      </c>
      <c r="W17" s="3" t="n">
        <v>171798.659174738</v>
      </c>
      <c r="X17" s="3" t="n">
        <v>8668138.4204061</v>
      </c>
      <c r="Y17" s="3" t="n">
        <v>4572844.19468354</v>
      </c>
      <c r="Z17" s="3" t="n">
        <v>359997.977623515</v>
      </c>
      <c r="AA17" s="3" t="n">
        <v>-15949.4443011443</v>
      </c>
      <c r="AB17" s="3" t="n">
        <v>0</v>
      </c>
      <c r="AC17" s="3"/>
      <c r="AD17" s="3" t="n">
        <v>0</v>
      </c>
      <c r="AE17" s="3"/>
      <c r="AF17" s="3" t="n">
        <v>-98.0631483030764</v>
      </c>
      <c r="AG17" s="3" t="n">
        <v>0</v>
      </c>
      <c r="AH17" s="3"/>
      <c r="AI17" s="3"/>
      <c r="AJ17" s="3" t="n">
        <v>0</v>
      </c>
      <c r="AK17" s="3"/>
      <c r="AL17" s="3" t="n">
        <v>0</v>
      </c>
      <c r="AM17" s="3" t="n">
        <v>125467.5112</v>
      </c>
      <c r="AN17" s="3" t="n">
        <v>98545.4951880538</v>
      </c>
      <c r="AO17" s="3" t="n">
        <v>129007.289189699</v>
      </c>
      <c r="AP17" s="3"/>
    </row>
    <row r="18">
      <c r="A18" t="str">
        <f>N18</f>
      </c>
      <c r="B18" t="str">
        <f>O18</f>
      </c>
      <c r="N18" t="s">
        <v>64</v>
      </c>
      <c r="O18"/>
      <c r="P18" s="3" t="n">
        <v>175751337.359395</v>
      </c>
      <c r="Q18" s="3" t="n">
        <v>247890542.385061</v>
      </c>
      <c r="R18" s="3" t="n">
        <v>491613778.401749</v>
      </c>
      <c r="S18" s="3" t="n">
        <v>383010650.235845</v>
      </c>
      <c r="T18" s="3" t="n">
        <v>182957130.961503</v>
      </c>
      <c r="U18" s="3" t="n">
        <v>322515832.498835</v>
      </c>
      <c r="V18" s="3" t="n">
        <v>286931756.872144</v>
      </c>
      <c r="W18" s="3" t="n">
        <v>176608689.900105</v>
      </c>
      <c r="X18" s="3" t="n">
        <v>92854976.1356271</v>
      </c>
      <c r="Y18" s="3" t="n">
        <v>42103362.6708416</v>
      </c>
      <c r="Z18" s="3" t="n">
        <v>6197610.20316051</v>
      </c>
      <c r="AA18" s="3" t="n">
        <v>-852070.318009884</v>
      </c>
      <c r="AB18" s="3" t="n">
        <v>-2441107.03477025</v>
      </c>
      <c r="AC18" s="3" t="n">
        <v>-3575219.85900512</v>
      </c>
      <c r="AD18" s="3" t="n">
        <v>-1807729.92725502</v>
      </c>
      <c r="AE18" s="3" t="n">
        <v>-205601.064584532</v>
      </c>
      <c r="AF18" s="3" t="n">
        <v>-204798.864898453</v>
      </c>
      <c r="AG18" s="3" t="n">
        <v>-191712.571507248</v>
      </c>
      <c r="AH18" s="3" t="n">
        <v>23608.2926127621</v>
      </c>
      <c r="AI18" s="3" t="n">
        <v>-28111.0056296501</v>
      </c>
      <c r="AJ18" s="3" t="n">
        <v>6018.43178065679</v>
      </c>
      <c r="AK18" s="3" t="n">
        <v>-29009.7620732847</v>
      </c>
      <c r="AL18" s="3" t="n">
        <v>-531.375217174378</v>
      </c>
      <c r="AM18" s="3" t="n">
        <v>5170.98</v>
      </c>
      <c r="AN18" s="3" t="n">
        <v>9739.88670259903</v>
      </c>
      <c r="AO18" s="3" t="n">
        <v>0</v>
      </c>
      <c r="AP18" s="3"/>
    </row>
    <row r="19">
      <c r="A19" t="str">
        <f>N19</f>
      </c>
      <c r="B19" t="str">
        <f>O19</f>
      </c>
      <c r="N19" t="s">
        <v>67</v>
      </c>
      <c r="O19" t="s">
        <v>68</v>
      </c>
      <c r="P19" s="3" t="n">
        <v>15124881.2054722</v>
      </c>
      <c r="Q19" s="3" t="n">
        <v>103176160.72829</v>
      </c>
      <c r="R19" s="3" t="n">
        <v>304145563.405763</v>
      </c>
      <c r="S19" s="3" t="n">
        <v>381864498.540317</v>
      </c>
      <c r="T19" s="3" t="n">
        <v>230898803.694034</v>
      </c>
      <c r="U19" s="3" t="n">
        <v>260363918.693575</v>
      </c>
      <c r="V19" s="3" t="n">
        <v>317989353.455976</v>
      </c>
      <c r="W19" s="3" t="n">
        <v>236687255.7112</v>
      </c>
      <c r="X19" s="3" t="n">
        <v>180442305.796415</v>
      </c>
      <c r="Y19" s="3" t="n">
        <v>101643164.347388</v>
      </c>
      <c r="Z19" s="3" t="n">
        <v>38051224.423012</v>
      </c>
      <c r="AA19" s="3" t="n">
        <v>4041830.62804036</v>
      </c>
      <c r="AB19" s="3" t="n">
        <v>-3252396.98435829</v>
      </c>
      <c r="AC19" s="3" t="n">
        <v>-7079153.52980491</v>
      </c>
      <c r="AD19" s="3" t="n">
        <v>362460.911225876</v>
      </c>
      <c r="AE19" s="3" t="n">
        <v>-1301764.69001528</v>
      </c>
      <c r="AF19" s="3" t="n">
        <v>10058915.8687974</v>
      </c>
      <c r="AG19" s="3" t="n">
        <v>-134944.489894293</v>
      </c>
      <c r="AH19" s="3" t="n">
        <v>-315606.037831067</v>
      </c>
      <c r="AI19" s="3" t="n">
        <v>545587.591425854</v>
      </c>
      <c r="AJ19" s="3" t="n">
        <v>9066.89479053943</v>
      </c>
      <c r="AK19" s="3" t="n">
        <v>388174.006987515</v>
      </c>
      <c r="AL19" s="3" t="n">
        <v>6512838.71847235</v>
      </c>
      <c r="AM19" s="3" t="n">
        <v>14472105.0342</v>
      </c>
      <c r="AN19" s="3" t="n">
        <v>14169573.2176834</v>
      </c>
      <c r="AO19" s="3" t="n">
        <v>11087376.9435423</v>
      </c>
      <c r="AP19" s="3"/>
    </row>
    <row r="20">
      <c r="A20" t="str">
        <f>N20</f>
      </c>
      <c r="B20" t="str">
        <f>O20</f>
      </c>
      <c r="N20" t="s">
        <v>67</v>
      </c>
      <c r="O20" t="s">
        <v>69</v>
      </c>
      <c r="P20" s="3" t="n">
        <v>44180.2286938159</v>
      </c>
      <c r="Q20" s="3" t="n">
        <v>32822.8289447552</v>
      </c>
      <c r="R20" s="3" t="n">
        <v>2031537.73469727</v>
      </c>
      <c r="S20" s="3" t="n">
        <v>3860408.30361712</v>
      </c>
      <c r="T20" s="3" t="n">
        <v>188467.892480595</v>
      </c>
      <c r="U20" s="3" t="n">
        <v>1733794.44220682</v>
      </c>
      <c r="V20" s="3" t="n">
        <v>1284135.31669709</v>
      </c>
      <c r="W20" s="3" t="n">
        <v>733176.80019639</v>
      </c>
      <c r="X20" s="3" t="n">
        <v>683400.108069052</v>
      </c>
      <c r="Y20" s="3" t="n">
        <v>1175051.10522811</v>
      </c>
      <c r="Z20" s="3" t="n">
        <v>1197882.44798116</v>
      </c>
      <c r="AA20" s="3" t="n">
        <v>1081585.48148311</v>
      </c>
      <c r="AB20" s="3" t="n">
        <v>1130887.65979022</v>
      </c>
      <c r="AC20" s="3" t="n">
        <v>1260315.22232762</v>
      </c>
      <c r="AD20" s="3" t="n">
        <v>1217532.41247051</v>
      </c>
      <c r="AE20" s="3" t="n">
        <v>1020124.83156473</v>
      </c>
      <c r="AF20" s="3" t="n">
        <v>1099380.44733186</v>
      </c>
      <c r="AG20" s="3" t="n">
        <v>784370.398163178</v>
      </c>
      <c r="AH20" s="3"/>
      <c r="AI20" s="3"/>
      <c r="AJ20" s="3"/>
      <c r="AK20" s="3" t="n">
        <v>-3195.54868377167</v>
      </c>
      <c r="AL20" s="3"/>
      <c r="AM20" s="3"/>
      <c r="AN20" s="3"/>
      <c r="AO20" s="3" t="n">
        <v>0</v>
      </c>
      <c r="AP20" s="3"/>
    </row>
    <row r="21">
      <c r="A21" t="str">
        <f>N21</f>
      </c>
      <c r="B21" t="str">
        <f>O21</f>
      </c>
      <c r="N21" t="s">
        <v>70</v>
      </c>
      <c r="O21" t="s">
        <v>70</v>
      </c>
      <c r="P21" s="3" t="n">
        <v>0</v>
      </c>
      <c r="Q21" s="3" t="n">
        <v>189334.88674261</v>
      </c>
      <c r="R21" s="3" t="n">
        <v>0</v>
      </c>
      <c r="S21" s="3"/>
      <c r="T21" s="3" t="n">
        <v>255402.307911417</v>
      </c>
      <c r="U21" s="3" t="n">
        <v>177962.514082886</v>
      </c>
      <c r="V21" s="3" t="n">
        <v>207746.831911807</v>
      </c>
      <c r="W21" s="3" t="n">
        <v>240451.43881539</v>
      </c>
      <c r="X21" s="3" t="n">
        <v>101294.784464173</v>
      </c>
      <c r="Y21" s="3" t="n">
        <v>49311.0627183399</v>
      </c>
      <c r="Z21" s="3" t="n">
        <v>405.588736470431</v>
      </c>
      <c r="AA21" s="3"/>
      <c r="AB21" s="3"/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/>
      <c r="AI21" s="3"/>
      <c r="AJ21" s="3"/>
      <c r="AK21" s="3" t="n">
        <v>-2214.59147845688</v>
      </c>
      <c r="AL21" s="3" t="n">
        <v>5185.2822025826</v>
      </c>
      <c r="AM21" s="3"/>
      <c r="AN21" s="3"/>
      <c r="AO21" s="3"/>
      <c r="AP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../output/FedAcqTrends/Platform//Unlabeled/Fed_Unlabeled_Contracts.xlsx</dc:creator>
  <cp:lastModifiedBy>../output/FedAcqTrends/Platform//Unlabeled/Fed_Unlabeled_Contracts.xlsx</cp:lastModifiedBy>
  <dcterms:created xsi:type="dcterms:W3CDTF">2025-11-13T21:12:58Z</dcterms:created>
</coreProperties>
</file>