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  <sheet name="PSR" sheetId="4" state="visible" r:id="rId4"/>
  </sheets>
</workbook>
</file>

<file path=xl/sharedStrings.xml><?xml version="1.0" encoding="utf-8"?>
<sst xmlns="http://schemas.openxmlformats.org/spreadsheetml/2006/main" count="33" uniqueCount="33">
  <si>
    <t xml:space="preserve">Vehicle.AwardTask</t>
  </si>
  <si>
    <t xml:space="preserve">Vehicle.sum7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</si>
  <si>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</si>
  <si>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</si>
  <si>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</si>
  <si>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</si>
  <si>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</si>
  <si>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</si>
  <si>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</si>
  <si>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</si>
  <si>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</si>
  <si>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</si>
  <si>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</si>
  <si>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</si>
  <si>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</si>
  <si>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</si>
  <si>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</si>
  <si>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</si>
  <si>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</si>
  <si>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</si>
  <si>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</si>
  <si>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</si>
  <si>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</si>
  <si>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</si>
  <si>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</si>
  <si>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</si>
  <si>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</si>
  <si>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</si>
  <si>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</si>
  <si>
    <t xml:space="preserve">SimpleArea</t>
  </si>
  <si>
    <t xml:space="preserve">Products (All)</t>
  </si>
  <si>
    <t xml:space="preserve">R&amp;D</t>
  </si>
  <si>
    <t xml:space="preserve">Services (Non-R&amp;D)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</si>
</sst>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0.00,,,&quot;B&quot;"/>
    <numFmt numFmtId="167" formatCode="0.00,,,&quot;B&quot;"/>
    <numFmt numFmtId="168" formatCode="0.00,,,&quot;B&quot;"/>
    <numFmt numFmtId="169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6" fontId="1" fillId="0" borderId="0" xfId="0" applyFont="1" applyNumberFormat="1"/>
    <xf numFmtId="167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</row>
    <row r="2">
      <c r="A2" t="str">
        <f>M2</f>
      </c>
      <c r="B2" t="str">
        <f>N2</f>
      </c>
      <c r="M2" t="s">
        <v>8</v>
      </c>
      <c r="N2" t="s">
        <v>9</v>
      </c>
      <c r="O2" s="1" t="n">
        <v>7884669.47</v>
      </c>
      <c r="P2" s="1" t="n">
        <v>9374520.41</v>
      </c>
      <c r="Q2" s="1" t="n">
        <v>7202242.32</v>
      </c>
      <c r="R2" s="1" t="n">
        <v>7032339.45</v>
      </c>
      <c r="S2" s="1" t="n">
        <v>5051574.5</v>
      </c>
      <c r="T2" s="1" t="n">
        <v>1798752.08</v>
      </c>
      <c r="U2" s="1"/>
    </row>
    <row r="3">
      <c r="A3" t="str">
        <f>M3</f>
      </c>
      <c r="B3" t="str">
        <f>N3</f>
      </c>
      <c r="M3" t="s">
        <v>8</v>
      </c>
      <c r="N3" t="s">
        <v>10</v>
      </c>
      <c r="O3" s="1" t="n">
        <v>486426.4</v>
      </c>
      <c r="P3" s="1" t="n">
        <v>1222149.8</v>
      </c>
      <c r="Q3" s="1" t="n">
        <v>1234338</v>
      </c>
      <c r="R3" s="1" t="n">
        <v>2944360</v>
      </c>
      <c r="S3" s="1" t="n">
        <v>1823304.55</v>
      </c>
      <c r="T3" s="1" t="n">
        <v>290261</v>
      </c>
      <c r="U3" s="1"/>
    </row>
    <row r="4">
      <c r="A4" t="str">
        <f>M4</f>
      </c>
      <c r="B4" t="str">
        <f>N4</f>
      </c>
      <c r="M4" t="s">
        <v>11</v>
      </c>
      <c r="N4" t="s">
        <v>12</v>
      </c>
      <c r="O4" s="1" t="n">
        <v>5914506.11</v>
      </c>
      <c r="P4" s="1" t="n">
        <v>10766539.135</v>
      </c>
      <c r="Q4" s="1" t="n">
        <v>12674580.5663</v>
      </c>
      <c r="R4" s="1" t="n">
        <v>20194252.2469</v>
      </c>
      <c r="S4" s="1" t="n">
        <v>21476677.75</v>
      </c>
      <c r="T4" s="1" t="n">
        <v>6840806.35</v>
      </c>
      <c r="U4" s="1"/>
    </row>
    <row r="5">
      <c r="A5" t="str">
        <f>M5</f>
      </c>
      <c r="B5" t="str">
        <f>N5</f>
      </c>
      <c r="M5" t="s">
        <v>11</v>
      </c>
      <c r="N5" t="s">
        <v>13</v>
      </c>
      <c r="O5" s="1" t="n">
        <v>8735462.6712</v>
      </c>
      <c r="P5" s="1" t="n">
        <v>13494653.4169</v>
      </c>
      <c r="Q5" s="1" t="n">
        <v>20747843.7951</v>
      </c>
      <c r="R5" s="1" t="n">
        <v>18842113.2056</v>
      </c>
      <c r="S5" s="1" t="n">
        <v>45862284.72</v>
      </c>
      <c r="T5" s="1" t="n">
        <v>1188413.12</v>
      </c>
      <c r="U5" s="1"/>
    </row>
    <row r="6">
      <c r="A6" t="str">
        <f>M6</f>
      </c>
      <c r="B6" t="str">
        <f>N6</f>
      </c>
      <c r="M6" t="s">
        <v>11</v>
      </c>
      <c r="N6" t="s">
        <v>14</v>
      </c>
      <c r="O6" s="1" t="n">
        <v>3968751.1851</v>
      </c>
      <c r="P6" s="1" t="n">
        <v>5442858.9589</v>
      </c>
      <c r="Q6" s="1" t="n">
        <v>7688731.36</v>
      </c>
      <c r="R6" s="1" t="n">
        <v>11422931.0059</v>
      </c>
      <c r="S6" s="1" t="n">
        <v>5014149.63</v>
      </c>
      <c r="T6" s="1" t="n">
        <v>3370913.9</v>
      </c>
      <c r="U6" s="1"/>
    </row>
    <row r="7">
      <c r="A7" t="str">
        <f>M7</f>
      </c>
      <c r="B7" t="str">
        <f>N7</f>
      </c>
      <c r="M7" t="s">
        <v>11</v>
      </c>
      <c r="N7" t="s">
        <v>15</v>
      </c>
      <c r="O7" s="1" t="n">
        <v>3882059.0801</v>
      </c>
      <c r="P7" s="1" t="n">
        <v>999266.5684</v>
      </c>
      <c r="Q7" s="1" t="n">
        <v>1036160.7191</v>
      </c>
      <c r="R7" s="1" t="n">
        <v>18017282.8383</v>
      </c>
      <c r="S7" s="1" t="n">
        <v>24395026.05</v>
      </c>
      <c r="T7" s="1" t="n">
        <v>2127208.16</v>
      </c>
      <c r="U7" s="1"/>
    </row>
    <row r="8">
      <c r="A8" t="str">
        <f>M8</f>
      </c>
      <c r="B8" t="str">
        <f>N8</f>
      </c>
      <c r="M8" t="s">
        <v>16</v>
      </c>
      <c r="N8" t="s">
        <v>17</v>
      </c>
      <c r="O8" s="1" t="str">
        <f>Sum(O2:O7)</f>
      </c>
      <c r="P8" s="1" t="str">
        <f>Sum(P2:P7)</f>
      </c>
      <c r="Q8" s="1" t="str">
        <f>Sum(Q2:Q7)</f>
      </c>
      <c r="R8" s="1" t="str">
        <f>Sum(R2:R7)</f>
      </c>
      <c r="S8" s="1" t="str">
        <f>Sum(S2:S7)</f>
      </c>
      <c r="T8" s="1" t="str">
        <f>Sum(T2:T7)</f>
      </c>
      <c r="U8" s="1"/>
    </row>
    <row r="11">
      <c r="A11" t="str">
        <f>M11</f>
      </c>
      <c r="B11" t="str">
        <f>N11</f>
      </c>
      <c r="M11" t="s">
        <v>0</v>
      </c>
      <c r="N11" t="s">
        <v>1</v>
      </c>
      <c r="O11" t="s">
        <v>2</v>
      </c>
      <c r="P11" t="s">
        <v>3</v>
      </c>
      <c r="Q11" t="s">
        <v>4</v>
      </c>
      <c r="R11" t="s">
        <v>5</v>
      </c>
      <c r="S11" t="s">
        <v>6</v>
      </c>
      <c r="T11" t="s">
        <v>7</v>
      </c>
    </row>
    <row r="12">
      <c r="A12" t="str">
        <f>M12</f>
      </c>
      <c r="B12" t="str">
        <f>N12</f>
      </c>
      <c r="M12" t="s">
        <v>8</v>
      </c>
      <c r="N12" t="s">
        <v>9</v>
      </c>
      <c r="O12" s="1" t="n">
        <v>9125643.33042737</v>
      </c>
      <c r="P12" s="1" t="n">
        <v>10488979.8941065</v>
      </c>
      <c r="Q12" s="1" t="n">
        <v>7531720.38047842</v>
      </c>
      <c r="R12" s="1" t="n">
        <v>7032339.45</v>
      </c>
      <c r="S12" s="1" t="n">
        <v>4920176.32997383</v>
      </c>
      <c r="T12" s="1" t="n">
        <v>1714347.80148184</v>
      </c>
      <c r="U12" s="1"/>
    </row>
    <row r="13">
      <c r="A13" t="str">
        <f>M13</f>
      </c>
      <c r="B13" t="str">
        <f>N13</f>
      </c>
      <c r="M13" t="s">
        <v>8</v>
      </c>
      <c r="N13" t="s">
        <v>10</v>
      </c>
      <c r="O13" s="1" t="n">
        <v>562985.404752014</v>
      </c>
      <c r="P13" s="1" t="n">
        <v>1367441.11902641</v>
      </c>
      <c r="Q13" s="1" t="n">
        <v>1290804.76023181</v>
      </c>
      <c r="R13" s="1" t="n">
        <v>2944360</v>
      </c>
      <c r="S13" s="1" t="n">
        <v>1775877.97413333</v>
      </c>
      <c r="T13" s="1" t="n">
        <v>276640.851587464</v>
      </c>
      <c r="U13" s="1"/>
    </row>
    <row r="14">
      <c r="A14" t="str">
        <f>M14</f>
      </c>
      <c r="B14" t="str">
        <f>N14</f>
      </c>
      <c r="M14" t="s">
        <v>11</v>
      </c>
      <c r="N14" t="s">
        <v>12</v>
      </c>
      <c r="O14" s="1" t="n">
        <v>6845394.52679092</v>
      </c>
      <c r="P14" s="1" t="n">
        <v>12046484.2548811</v>
      </c>
      <c r="Q14" s="1" t="n">
        <v>13254399.4666952</v>
      </c>
      <c r="R14" s="1" t="n">
        <v>20194252.2469</v>
      </c>
      <c r="S14" s="1" t="n">
        <v>20918040.8033229</v>
      </c>
      <c r="T14" s="1" t="n">
        <v>6519809.73747396</v>
      </c>
      <c r="U14" s="1"/>
    </row>
    <row r="15">
      <c r="A15" t="str">
        <f>M15</f>
      </c>
      <c r="B15" t="str">
        <f>N15</f>
      </c>
      <c r="M15" t="s">
        <v>11</v>
      </c>
      <c r="N15" t="s">
        <v>13</v>
      </c>
      <c r="O15" s="1" t="n">
        <v>10110343.4921329</v>
      </c>
      <c r="P15" s="1" t="n">
        <v>15098921.5636899</v>
      </c>
      <c r="Q15" s="1" t="n">
        <v>21696986.9964799</v>
      </c>
      <c r="R15" s="1" t="n">
        <v>18842113.2056</v>
      </c>
      <c r="S15" s="1" t="n">
        <v>44669345.7095139</v>
      </c>
      <c r="T15" s="1" t="n">
        <v>1132648.26330273</v>
      </c>
      <c r="U15" s="1"/>
    </row>
    <row r="16">
      <c r="A16" t="str">
        <f>M16</f>
      </c>
      <c r="B16" t="str">
        <f>N16</f>
      </c>
      <c r="M16" t="s">
        <v>11</v>
      </c>
      <c r="N16" t="s">
        <v>14</v>
      </c>
      <c r="O16" s="1" t="n">
        <v>4593395.81960099</v>
      </c>
      <c r="P16" s="1" t="n">
        <v>6089915.61055865</v>
      </c>
      <c r="Q16" s="1" t="n">
        <v>8040464.63742635</v>
      </c>
      <c r="R16" s="1" t="n">
        <v>11422931.0059</v>
      </c>
      <c r="S16" s="1" t="n">
        <v>4883724.93060789</v>
      </c>
      <c r="T16" s="1" t="n">
        <v>3212737.81846</v>
      </c>
      <c r="U16" s="1"/>
    </row>
    <row r="17">
      <c r="A17" t="str">
        <f>M17</f>
      </c>
      <c r="B17" t="str">
        <f>N17</f>
      </c>
      <c r="M17" t="s">
        <v>11</v>
      </c>
      <c r="N17" t="s">
        <v>15</v>
      </c>
      <c r="O17" s="1" t="n">
        <v>4493059.1811656</v>
      </c>
      <c r="P17" s="1" t="n">
        <v>1118061.13661237</v>
      </c>
      <c r="Q17" s="1" t="n">
        <v>1083561.54358003</v>
      </c>
      <c r="R17" s="1" t="n">
        <v>18017282.8383</v>
      </c>
      <c r="S17" s="1" t="n">
        <v>23760478.9833952</v>
      </c>
      <c r="T17" s="1" t="n">
        <v>2027391.47486642</v>
      </c>
      <c r="U17" s="1"/>
    </row>
    <row r="18">
      <c r="A18" t="str">
        <f>M18</f>
      </c>
      <c r="B18" t="str">
        <f>N18</f>
      </c>
      <c r="O18" s="1"/>
      <c r="P18" s="1"/>
      <c r="Q18" s="1"/>
      <c r="R18" s="1"/>
      <c r="S18" s="1"/>
      <c r="T18" s="1"/>
      <c r="U18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</row>
    <row r="2">
      <c r="A2" t="str">
        <f>N2</f>
      </c>
      <c r="B2" t="str">
        <f>O2</f>
      </c>
      <c r="N2" t="s">
        <v>8</v>
      </c>
      <c r="O2" t="s">
        <v>9</v>
      </c>
      <c r="P2" s="2" t="n">
        <v>7884669.47</v>
      </c>
      <c r="Q2" s="2" t="n">
        <v>9374520.41</v>
      </c>
      <c r="R2" s="2" t="n">
        <v>7202242.32</v>
      </c>
      <c r="S2" s="2" t="n">
        <v>7032339.45</v>
      </c>
      <c r="T2" s="2" t="n">
        <v>5051574.5</v>
      </c>
      <c r="U2" s="2" t="n">
        <v>1798752.08</v>
      </c>
      <c r="V2" s="2"/>
    </row>
    <row r="3">
      <c r="A3" t="str">
        <f>N3</f>
      </c>
      <c r="B3" t="str">
        <f>O3</f>
      </c>
      <c r="N3" t="s">
        <v>8</v>
      </c>
      <c r="O3" t="s">
        <v>10</v>
      </c>
      <c r="P3" s="2" t="n">
        <v>486426.4</v>
      </c>
      <c r="Q3" s="2" t="n">
        <v>1222149.8</v>
      </c>
      <c r="R3" s="2" t="n">
        <v>1234338</v>
      </c>
      <c r="S3" s="2" t="n">
        <v>2944360</v>
      </c>
      <c r="T3" s="2" t="n">
        <v>1823304.55</v>
      </c>
      <c r="U3" s="2" t="n">
        <v>290261</v>
      </c>
      <c r="V3" s="2"/>
    </row>
    <row r="4">
      <c r="A4" t="str">
        <f>N4</f>
      </c>
      <c r="B4" t="str">
        <f>O4</f>
      </c>
      <c r="N4" t="s">
        <v>11</v>
      </c>
      <c r="O4" t="s">
        <v>12</v>
      </c>
      <c r="P4" s="2" t="n">
        <v>5914506.11</v>
      </c>
      <c r="Q4" s="2" t="n">
        <v>10766539.135</v>
      </c>
      <c r="R4" s="2" t="n">
        <v>12674580.5663</v>
      </c>
      <c r="S4" s="2" t="n">
        <v>20194252.2469</v>
      </c>
      <c r="T4" s="2" t="n">
        <v>21476677.75</v>
      </c>
      <c r="U4" s="2" t="n">
        <v>6840806.35</v>
      </c>
      <c r="V4" s="2"/>
    </row>
    <row r="5">
      <c r="A5" t="str">
        <f>N5</f>
      </c>
      <c r="B5" t="str">
        <f>O5</f>
      </c>
      <c r="N5" t="s">
        <v>11</v>
      </c>
      <c r="O5" t="s">
        <v>13</v>
      </c>
      <c r="P5" s="2" t="n">
        <v>8735462.6712</v>
      </c>
      <c r="Q5" s="2" t="n">
        <v>13494653.4169</v>
      </c>
      <c r="R5" s="2" t="n">
        <v>20747843.7951</v>
      </c>
      <c r="S5" s="2" t="n">
        <v>18842113.2056</v>
      </c>
      <c r="T5" s="2" t="n">
        <v>45862284.72</v>
      </c>
      <c r="U5" s="2" t="n">
        <v>1188413.12</v>
      </c>
      <c r="V5" s="2"/>
    </row>
    <row r="6">
      <c r="A6" t="str">
        <f>N6</f>
      </c>
      <c r="B6" t="str">
        <f>O6</f>
      </c>
      <c r="N6" t="s">
        <v>11</v>
      </c>
      <c r="O6" t="s">
        <v>14</v>
      </c>
      <c r="P6" s="2" t="n">
        <v>3968751.1851</v>
      </c>
      <c r="Q6" s="2" t="n">
        <v>5442858.9589</v>
      </c>
      <c r="R6" s="2" t="n">
        <v>7688731.36</v>
      </c>
      <c r="S6" s="2" t="n">
        <v>11422931.0059</v>
      </c>
      <c r="T6" s="2" t="n">
        <v>5014149.63</v>
      </c>
      <c r="U6" s="2" t="n">
        <v>3370913.9</v>
      </c>
      <c r="V6" s="2"/>
    </row>
    <row r="7">
      <c r="A7" t="str">
        <f>N7</f>
      </c>
      <c r="B7" t="str">
        <f>O7</f>
      </c>
      <c r="N7" t="s">
        <v>11</v>
      </c>
      <c r="O7" t="s">
        <v>15</v>
      </c>
      <c r="P7" s="2" t="n">
        <v>3882059.0801</v>
      </c>
      <c r="Q7" s="2" t="n">
        <v>999266.5684</v>
      </c>
      <c r="R7" s="2" t="n">
        <v>1036160.7191</v>
      </c>
      <c r="S7" s="2" t="n">
        <v>18017282.8383</v>
      </c>
      <c r="T7" s="2" t="n">
        <v>24395026.05</v>
      </c>
      <c r="U7" s="2" t="n">
        <v>2127208.16</v>
      </c>
      <c r="V7" s="2"/>
    </row>
    <row r="8">
      <c r="A8" t="str">
        <f>N8</f>
      </c>
      <c r="B8" t="str">
        <f>O8</f>
      </c>
      <c r="N8" t="s">
        <v>16</v>
      </c>
      <c r="O8" t="s">
        <v>17</v>
      </c>
      <c r="P8" s="2" t="str">
        <f>Sum(P2:P7)</f>
      </c>
      <c r="Q8" s="2" t="str">
        <f>Sum(Q2:Q7)</f>
      </c>
      <c r="R8" s="2" t="str">
        <f>Sum(R2:R7)</f>
      </c>
      <c r="S8" s="2" t="str">
        <f>Sum(S2:S7)</f>
      </c>
      <c r="T8" s="2" t="str">
        <f>Sum(T2:T7)</f>
      </c>
      <c r="U8" s="2" t="str">
        <f>Sum(U2:U7)</f>
      </c>
      <c r="V8" s="2"/>
    </row>
    <row r="11">
      <c r="A11" t="str">
        <f>N11</f>
      </c>
      <c r="B11" t="str">
        <f>O11</f>
      </c>
      <c r="N11" t="s">
        <v>0</v>
      </c>
      <c r="O11" t="s">
        <v>1</v>
      </c>
      <c r="P11" t="s">
        <v>2</v>
      </c>
      <c r="Q11" t="s">
        <v>3</v>
      </c>
      <c r="R11" t="s">
        <v>4</v>
      </c>
      <c r="S11" t="s">
        <v>5</v>
      </c>
      <c r="T11" t="s">
        <v>6</v>
      </c>
      <c r="U11" t="s">
        <v>7</v>
      </c>
    </row>
    <row r="12">
      <c r="A12" t="str">
        <f>N12</f>
      </c>
      <c r="B12" t="str">
        <f>O12</f>
      </c>
      <c r="N12" t="s">
        <v>8</v>
      </c>
      <c r="O12" t="s">
        <v>9</v>
      </c>
      <c r="P12" s="2" t="n">
        <v>9125643.33042737</v>
      </c>
      <c r="Q12" s="2" t="n">
        <v>10488979.8941065</v>
      </c>
      <c r="R12" s="2" t="n">
        <v>7531720.38047842</v>
      </c>
      <c r="S12" s="2" t="n">
        <v>7032339.45</v>
      </c>
      <c r="T12" s="2" t="n">
        <v>4920176.32997383</v>
      </c>
      <c r="U12" s="2" t="n">
        <v>1714347.80148184</v>
      </c>
      <c r="V12" s="2"/>
    </row>
    <row r="13">
      <c r="A13" t="str">
        <f>N13</f>
      </c>
      <c r="B13" t="str">
        <f>O13</f>
      </c>
      <c r="N13" t="s">
        <v>8</v>
      </c>
      <c r="O13" t="s">
        <v>10</v>
      </c>
      <c r="P13" s="2" t="n">
        <v>562985.404752014</v>
      </c>
      <c r="Q13" s="2" t="n">
        <v>1367441.11902641</v>
      </c>
      <c r="R13" s="2" t="n">
        <v>1290804.76023181</v>
      </c>
      <c r="S13" s="2" t="n">
        <v>2944360</v>
      </c>
      <c r="T13" s="2" t="n">
        <v>1775877.97413333</v>
      </c>
      <c r="U13" s="2" t="n">
        <v>276640.851587464</v>
      </c>
      <c r="V13" s="2"/>
    </row>
    <row r="14">
      <c r="A14" t="str">
        <f>N14</f>
      </c>
      <c r="B14" t="str">
        <f>O14</f>
      </c>
      <c r="N14" t="s">
        <v>11</v>
      </c>
      <c r="O14" t="s">
        <v>12</v>
      </c>
      <c r="P14" s="2" t="n">
        <v>6845394.52679092</v>
      </c>
      <c r="Q14" s="2" t="n">
        <v>12046484.2548811</v>
      </c>
      <c r="R14" s="2" t="n">
        <v>13254399.4666952</v>
      </c>
      <c r="S14" s="2" t="n">
        <v>20194252.2469</v>
      </c>
      <c r="T14" s="2" t="n">
        <v>20918040.8033229</v>
      </c>
      <c r="U14" s="2" t="n">
        <v>6519809.73747396</v>
      </c>
      <c r="V14" s="2"/>
    </row>
    <row r="15">
      <c r="A15" t="str">
        <f>N15</f>
      </c>
      <c r="B15" t="str">
        <f>O15</f>
      </c>
      <c r="N15" t="s">
        <v>11</v>
      </c>
      <c r="O15" t="s">
        <v>13</v>
      </c>
      <c r="P15" s="2" t="n">
        <v>10110343.4921329</v>
      </c>
      <c r="Q15" s="2" t="n">
        <v>15098921.5636899</v>
      </c>
      <c r="R15" s="2" t="n">
        <v>21696986.9964799</v>
      </c>
      <c r="S15" s="2" t="n">
        <v>18842113.2056</v>
      </c>
      <c r="T15" s="2" t="n">
        <v>44669345.7095139</v>
      </c>
      <c r="U15" s="2" t="n">
        <v>1132648.26330273</v>
      </c>
      <c r="V15" s="2"/>
    </row>
    <row r="16">
      <c r="A16" t="str">
        <f>N16</f>
      </c>
      <c r="B16" t="str">
        <f>O16</f>
      </c>
      <c r="N16" t="s">
        <v>11</v>
      </c>
      <c r="O16" t="s">
        <v>14</v>
      </c>
      <c r="P16" s="2" t="n">
        <v>4593395.81960099</v>
      </c>
      <c r="Q16" s="2" t="n">
        <v>6089915.61055865</v>
      </c>
      <c r="R16" s="2" t="n">
        <v>8040464.63742635</v>
      </c>
      <c r="S16" s="2" t="n">
        <v>11422931.0059</v>
      </c>
      <c r="T16" s="2" t="n">
        <v>4883724.93060789</v>
      </c>
      <c r="U16" s="2" t="n">
        <v>3212737.81846</v>
      </c>
      <c r="V16" s="2"/>
    </row>
    <row r="17">
      <c r="A17" t="str">
        <f>N17</f>
      </c>
      <c r="B17" t="str">
        <f>O17</f>
      </c>
      <c r="N17" t="s">
        <v>11</v>
      </c>
      <c r="O17" t="s">
        <v>15</v>
      </c>
      <c r="P17" s="2" t="n">
        <v>4493059.1811656</v>
      </c>
      <c r="Q17" s="2" t="n">
        <v>1118061.13661237</v>
      </c>
      <c r="R17" s="2" t="n">
        <v>1083561.54358003</v>
      </c>
      <c r="S17" s="2" t="n">
        <v>18017282.8383</v>
      </c>
      <c r="T17" s="2" t="n">
        <v>23760478.9833952</v>
      </c>
      <c r="U17" s="2" t="n">
        <v>2027391.47486642</v>
      </c>
      <c r="V17" s="2"/>
    </row>
    <row r="18">
      <c r="A18" t="str">
        <f>N18</f>
      </c>
      <c r="B18" t="str">
        <f>O18</f>
      </c>
      <c r="P18" s="2"/>
      <c r="Q18" s="2"/>
      <c r="R18" s="2"/>
      <c r="S18" s="2"/>
      <c r="T18" s="2"/>
      <c r="U18" s="2"/>
      <c r="V18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18</v>
      </c>
      <c r="O1" t="s">
        <v>19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</row>
    <row r="2">
      <c r="A2" t="str">
        <f>N2</f>
      </c>
      <c r="B2" t="str">
        <f>O2</f>
      </c>
      <c r="N2" t="s">
        <v>20</v>
      </c>
      <c r="O2" t="s">
        <v>21</v>
      </c>
      <c r="P2" s="3" t="n">
        <v>0</v>
      </c>
      <c r="Q2" s="3" t="n">
        <v>580000</v>
      </c>
      <c r="R2" s="3" t="n">
        <v>200000</v>
      </c>
      <c r="S2" s="3" t="n">
        <v>307097.6</v>
      </c>
      <c r="T2" s="3" t="n">
        <v>0</v>
      </c>
      <c r="U2" s="3"/>
      <c r="V2" s="3"/>
    </row>
    <row r="3">
      <c r="A3" t="str">
        <f>N3</f>
      </c>
      <c r="B3" t="str">
        <f>O3</f>
      </c>
      <c r="N3" t="s">
        <v>20</v>
      </c>
      <c r="O3" t="s">
        <v>22</v>
      </c>
      <c r="P3" s="3" t="n">
        <v>12756814.1347</v>
      </c>
      <c r="Q3" s="3" t="n">
        <v>19558762.4324</v>
      </c>
      <c r="R3" s="3" t="n">
        <v>22944699.0476</v>
      </c>
      <c r="S3" s="3" t="n">
        <v>31146224.974</v>
      </c>
      <c r="T3" s="3" t="n">
        <v>25667538.82</v>
      </c>
      <c r="U3" s="3" t="n">
        <v>10497668.65</v>
      </c>
      <c r="V3" s="3"/>
    </row>
    <row r="4">
      <c r="A4" t="str">
        <f>N4</f>
      </c>
      <c r="B4" t="str">
        <f>O4</f>
      </c>
      <c r="N4" t="s">
        <v>23</v>
      </c>
      <c r="O4" t="s">
        <v>24</v>
      </c>
      <c r="P4" s="3" t="n">
        <v>2379.07</v>
      </c>
      <c r="Q4" s="3" t="n">
        <v>0</v>
      </c>
      <c r="R4" s="3" t="n">
        <v>9100</v>
      </c>
      <c r="S4" s="3" t="n">
        <v>262030.5476</v>
      </c>
      <c r="T4" s="3" t="n">
        <v>307234.92</v>
      </c>
      <c r="U4" s="3" t="n">
        <v>0</v>
      </c>
      <c r="V4" s="3"/>
    </row>
    <row r="5">
      <c r="A5" t="str">
        <f>N5</f>
      </c>
      <c r="B5" t="str">
        <f>O5</f>
      </c>
      <c r="N5" t="s">
        <v>23</v>
      </c>
      <c r="O5"/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/>
    </row>
    <row r="6">
      <c r="A6" t="str">
        <f>N6</f>
      </c>
      <c r="B6" t="str">
        <f>O6</f>
      </c>
      <c r="N6" t="s">
        <v>25</v>
      </c>
      <c r="O6" t="s">
        <v>26</v>
      </c>
      <c r="P6" s="3" t="n">
        <v>18041157.9517</v>
      </c>
      <c r="Q6" s="3" t="n">
        <v>20820837.3568</v>
      </c>
      <c r="R6" s="3" t="n">
        <v>27072259.7129</v>
      </c>
      <c r="S6" s="3" t="n">
        <v>46460130.6251</v>
      </c>
      <c r="T6" s="3" t="n">
        <v>77648243.46</v>
      </c>
      <c r="U6" s="3" t="n">
        <v>5118685.96</v>
      </c>
      <c r="V6" s="3"/>
    </row>
    <row r="7">
      <c r="A7" t="str">
        <f>N7</f>
      </c>
      <c r="B7" t="str">
        <f>O7</f>
      </c>
      <c r="N7" t="s">
        <v>25</v>
      </c>
      <c r="O7" t="s">
        <v>27</v>
      </c>
      <c r="P7" s="3" t="n">
        <v>71523.76</v>
      </c>
      <c r="Q7" s="3" t="n">
        <v>97067</v>
      </c>
      <c r="R7" s="3" t="n">
        <v>351425</v>
      </c>
      <c r="S7" s="3" t="n">
        <v>269570</v>
      </c>
      <c r="T7" s="3" t="n">
        <v>0</v>
      </c>
      <c r="U7" s="3"/>
      <c r="V7" s="3"/>
    </row>
    <row r="8">
      <c r="A8" t="str">
        <f>N8</f>
      </c>
      <c r="B8" t="str">
        <f>O8</f>
      </c>
      <c r="N8" t="s">
        <v>28</v>
      </c>
      <c r="O8" t="s">
        <v>28</v>
      </c>
      <c r="P8" s="3"/>
      <c r="Q8" s="3" t="n">
        <v>243321.5</v>
      </c>
      <c r="R8" s="3" t="n">
        <v>6413</v>
      </c>
      <c r="S8" s="3" t="n">
        <v>8225</v>
      </c>
      <c r="T8" s="3"/>
      <c r="U8" s="3"/>
      <c r="V8" s="3"/>
    </row>
    <row r="9">
      <c r="A9" t="str">
        <f>N9</f>
      </c>
      <c r="B9" t="str">
        <f>O9</f>
      </c>
      <c r="N9" t="s">
        <v>16</v>
      </c>
      <c r="O9" t="s">
        <v>17</v>
      </c>
      <c r="P9" s="3" t="str">
        <f>Sum(P2:P8)</f>
      </c>
      <c r="Q9" s="3" t="str">
        <f>Sum(Q2:Q8)</f>
      </c>
      <c r="R9" s="3" t="str">
        <f>Sum(R2:R8)</f>
      </c>
      <c r="S9" s="3" t="str">
        <f>Sum(S2:S8)</f>
      </c>
      <c r="T9" s="3" t="str">
        <f>Sum(T2:T8)</f>
      </c>
      <c r="U9" s="3" t="str">
        <f>Sum(U2:U8)</f>
      </c>
      <c r="V9" s="3"/>
    </row>
    <row r="12">
      <c r="A12" t="str">
        <f>N12</f>
      </c>
      <c r="B12" t="str">
        <f>O12</f>
      </c>
      <c r="N12" t="s">
        <v>18</v>
      </c>
      <c r="O12" t="s">
        <v>19</v>
      </c>
      <c r="P12" t="s">
        <v>2</v>
      </c>
      <c r="Q12" t="s">
        <v>3</v>
      </c>
      <c r="R12" t="s">
        <v>4</v>
      </c>
      <c r="S12" t="s">
        <v>5</v>
      </c>
      <c r="T12" t="s">
        <v>6</v>
      </c>
      <c r="U12" t="s">
        <v>7</v>
      </c>
    </row>
    <row r="13">
      <c r="A13" t="str">
        <f>N13</f>
      </c>
      <c r="B13" t="str">
        <f>O13</f>
      </c>
      <c r="N13" t="s">
        <v>20</v>
      </c>
      <c r="O13" t="s">
        <v>21</v>
      </c>
      <c r="P13" s="3" t="n">
        <v>0</v>
      </c>
      <c r="Q13" s="3" t="n">
        <v>648951.420713989</v>
      </c>
      <c r="R13" s="3" t="n">
        <v>209149.318943726</v>
      </c>
      <c r="S13" s="3" t="n">
        <v>307097.6</v>
      </c>
      <c r="T13" s="3" t="n">
        <v>0</v>
      </c>
      <c r="U13" s="3"/>
      <c r="V13" s="3"/>
    </row>
    <row r="14">
      <c r="A14" t="str">
        <f>N14</f>
      </c>
      <c r="B14" t="str">
        <f>O14</f>
      </c>
      <c r="N14" t="s">
        <v>20</v>
      </c>
      <c r="O14" t="s">
        <v>22</v>
      </c>
      <c r="P14" s="3" t="n">
        <v>14764618.3861943</v>
      </c>
      <c r="Q14" s="3" t="n">
        <v>21883942.5308851</v>
      </c>
      <c r="R14" s="3" t="n">
        <v>23994340.8958715</v>
      </c>
      <c r="S14" s="3" t="n">
        <v>31146224.974</v>
      </c>
      <c r="T14" s="3" t="n">
        <v>24999892.0041362</v>
      </c>
      <c r="U14" s="3" t="n">
        <v>10005078.1710909</v>
      </c>
      <c r="V14" s="3"/>
    </row>
    <row r="15">
      <c r="A15" t="str">
        <f>N15</f>
      </c>
      <c r="B15" t="str">
        <f>O15</f>
      </c>
      <c r="N15" t="s">
        <v>23</v>
      </c>
      <c r="O15" t="s">
        <v>24</v>
      </c>
      <c r="P15" s="3" t="n">
        <v>2753.51355700138</v>
      </c>
      <c r="Q15" s="3" t="n">
        <v>0</v>
      </c>
      <c r="R15" s="3" t="n">
        <v>9516.29401193955</v>
      </c>
      <c r="S15" s="3" t="n">
        <v>262030.5476</v>
      </c>
      <c r="T15" s="3" t="n">
        <v>299243.331188208</v>
      </c>
      <c r="U15" s="3" t="n">
        <v>0</v>
      </c>
      <c r="V15" s="3"/>
    </row>
    <row r="16">
      <c r="A16" t="str">
        <f>N16</f>
      </c>
      <c r="B16" t="str">
        <f>O16</f>
      </c>
      <c r="N16" t="s">
        <v>23</v>
      </c>
      <c r="O16"/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/>
    </row>
    <row r="17">
      <c r="A17" t="str">
        <f>N17</f>
      </c>
      <c r="B17" t="str">
        <f>O17</f>
      </c>
      <c r="N17" t="s">
        <v>25</v>
      </c>
      <c r="O17" t="s">
        <v>26</v>
      </c>
      <c r="P17" s="3" t="n">
        <v>20880668.9185308</v>
      </c>
      <c r="Q17" s="3" t="n">
        <v>23296055.1433625</v>
      </c>
      <c r="R17" s="3" t="n">
        <v>28310723.4061036</v>
      </c>
      <c r="S17" s="3" t="n">
        <v>46460130.6251</v>
      </c>
      <c r="T17" s="3" t="n">
        <v>75628509.3956226</v>
      </c>
      <c r="U17" s="3" t="n">
        <v>4878497.77608151</v>
      </c>
      <c r="V17" s="3"/>
    </row>
    <row r="18">
      <c r="A18" t="str">
        <f>N18</f>
      </c>
      <c r="B18" t="str">
        <f>O18</f>
      </c>
      <c r="N18" t="s">
        <v>25</v>
      </c>
      <c r="O18" t="s">
        <v>27</v>
      </c>
      <c r="P18" s="3" t="n">
        <v>82780.9365877056</v>
      </c>
      <c r="Q18" s="3" t="n">
        <v>108606.495783525</v>
      </c>
      <c r="R18" s="3" t="n">
        <v>367501.497048995</v>
      </c>
      <c r="S18" s="3" t="n">
        <v>269570</v>
      </c>
      <c r="T18" s="3" t="n">
        <v>0</v>
      </c>
      <c r="U18" s="3"/>
      <c r="V18" s="3"/>
    </row>
    <row r="19">
      <c r="A19" t="str">
        <f>N19</f>
      </c>
      <c r="B19" t="str">
        <f>O19</f>
      </c>
      <c r="N19" t="s">
        <v>28</v>
      </c>
      <c r="O19" t="s">
        <v>28</v>
      </c>
      <c r="P19" s="3"/>
      <c r="Q19" s="3" t="n">
        <v>272247.988129757</v>
      </c>
      <c r="R19" s="3" t="n">
        <v>6706.37291193059</v>
      </c>
      <c r="S19" s="3" t="n">
        <v>8225</v>
      </c>
      <c r="T19" s="3"/>
      <c r="U19" s="3"/>
      <c r="V19" s="3"/>
    </row>
    <row r="20">
      <c r="A20" t="str">
        <f>N20</f>
      </c>
      <c r="B20" t="str">
        <f>O20</f>
      </c>
      <c r="P20" s="3"/>
      <c r="Q20" s="3"/>
      <c r="R20" s="3"/>
      <c r="S20" s="3"/>
      <c r="T20" s="3"/>
      <c r="U20" s="3"/>
      <c r="V20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29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</row>
    <row r="2">
      <c r="A2" t="str">
        <f>M2</f>
      </c>
      <c r="M2" t="s">
        <v>30</v>
      </c>
      <c r="N2" s="4" t="n">
        <v>3026471.9567</v>
      </c>
      <c r="O2" s="4" t="n">
        <v>5065566.5007</v>
      </c>
      <c r="P2" s="4" t="n">
        <v>4307459.4704</v>
      </c>
      <c r="Q2" s="4" t="n">
        <v>7358338.6482</v>
      </c>
      <c r="R2" s="4" t="n">
        <v>8283048.87</v>
      </c>
      <c r="S2" s="4" t="n">
        <v>747456.11</v>
      </c>
      <c r="T2" s="4"/>
      <c r="U2" s="4"/>
    </row>
    <row r="3">
      <c r="A3" t="str">
        <f>M3</f>
      </c>
      <c r="M3" t="s">
        <v>31</v>
      </c>
      <c r="N3" s="4" t="n">
        <v>138000</v>
      </c>
      <c r="O3" s="4"/>
      <c r="P3" s="4" t="n">
        <v>181939.2</v>
      </c>
      <c r="Q3" s="4" t="n">
        <v>185587.2</v>
      </c>
      <c r="R3" s="4" t="n">
        <v>189292.8</v>
      </c>
      <c r="S3" s="4" t="n">
        <v>47323.2</v>
      </c>
      <c r="T3" s="4"/>
      <c r="U3" s="4"/>
    </row>
    <row r="4">
      <c r="A4" t="str">
        <f>M4</f>
      </c>
      <c r="M4" t="s">
        <v>32</v>
      </c>
      <c r="N4" s="4" t="n">
        <v>27707402.9597</v>
      </c>
      <c r="O4" s="4" t="n">
        <v>36234421.7885</v>
      </c>
      <c r="P4" s="4" t="n">
        <v>46094498.0901</v>
      </c>
      <c r="Q4" s="4" t="n">
        <v>70909352.8985</v>
      </c>
      <c r="R4" s="4" t="n">
        <v>95150675.53</v>
      </c>
      <c r="S4" s="4" t="n">
        <v>14821575.3</v>
      </c>
      <c r="T4" s="4"/>
      <c r="U4" s="4"/>
    </row>
    <row r="5">
      <c r="A5" t="str">
        <f>M5</f>
      </c>
      <c r="M5" t="s">
        <v>16</v>
      </c>
      <c r="N5" s="4" t="str">
        <f>Sum(N2:N4)</f>
      </c>
      <c r="O5" s="4" t="str">
        <f>Sum(O2:O4)</f>
      </c>
      <c r="P5" s="4" t="str">
        <f>Sum(P2:P4)</f>
      </c>
      <c r="Q5" s="4" t="str">
        <f>Sum(Q2:Q4)</f>
      </c>
      <c r="R5" s="4" t="str">
        <f>Sum(R2:R4)</f>
      </c>
      <c r="S5" s="4" t="str">
        <f>Sum(S2:S4)</f>
      </c>
      <c r="T5" s="4" t="str">
        <f>Sum(T2:T4)</f>
      </c>
      <c r="U5" s="4"/>
    </row>
    <row r="8">
      <c r="A8" t="str">
        <f>M8</f>
      </c>
      <c r="M8" t="s">
        <v>29</v>
      </c>
      <c r="N8" t="s">
        <v>2</v>
      </c>
      <c r="O8" t="s">
        <v>3</v>
      </c>
      <c r="P8" t="s">
        <v>4</v>
      </c>
      <c r="Q8" t="s">
        <v>5</v>
      </c>
      <c r="R8" t="s">
        <v>6</v>
      </c>
      <c r="S8" t="s">
        <v>7</v>
      </c>
    </row>
    <row r="9">
      <c r="A9" t="str">
        <f>M9</f>
      </c>
      <c r="M9" t="s">
        <v>30</v>
      </c>
      <c r="N9" s="4" t="n">
        <v>3502810.57835958</v>
      </c>
      <c r="O9" s="4" t="n">
        <v>5667769.96094906</v>
      </c>
      <c r="P9" s="4" t="n">
        <v>4504511.07305932</v>
      </c>
      <c r="Q9" s="4" t="n">
        <v>7358338.6482</v>
      </c>
      <c r="R9" s="4" t="n">
        <v>8067595.75458909</v>
      </c>
      <c r="S9" s="4" t="n">
        <v>712382.630786268</v>
      </c>
      <c r="T9" s="4"/>
      <c r="U9" s="4"/>
    </row>
    <row r="10">
      <c r="A10" t="str">
        <f>M10</f>
      </c>
      <c r="M10" t="s">
        <v>31</v>
      </c>
      <c r="N10" s="4" t="n">
        <v>159719.920332815</v>
      </c>
      <c r="O10" s="4"/>
      <c r="P10" s="4" t="n">
        <v>190262.298845832</v>
      </c>
      <c r="Q10" s="4" t="n">
        <v>185587.2</v>
      </c>
      <c r="R10" s="4" t="n">
        <v>184369.042561774</v>
      </c>
      <c r="S10" s="4" t="n">
        <v>45102.6157418456</v>
      </c>
      <c r="T10" s="4"/>
      <c r="U10" s="4"/>
    </row>
    <row r="11">
      <c r="A11" t="str">
        <f>M11</f>
      </c>
      <c r="M11" t="s">
        <v>32</v>
      </c>
      <c r="N11" s="4" t="n">
        <v>32068291.2561774</v>
      </c>
      <c r="O11" s="4" t="n">
        <v>40542033.6179258</v>
      </c>
      <c r="P11" s="4" t="n">
        <v>48203164.4129865</v>
      </c>
      <c r="Q11" s="4" t="n">
        <v>70909352.8985</v>
      </c>
      <c r="R11" s="4" t="n">
        <v>92675679.9337962</v>
      </c>
      <c r="S11" s="4" t="n">
        <v>14126090.7006443</v>
      </c>
      <c r="T11" s="4"/>
      <c r="U11" s="4"/>
    </row>
    <row r="12">
      <c r="A12" t="str">
        <f>M12</f>
      </c>
      <c r="N12" s="4"/>
      <c r="O12" s="4"/>
      <c r="P12" s="4"/>
      <c r="Q12" s="4"/>
      <c r="R12" s="4"/>
      <c r="S12" s="4"/>
      <c r="T12" s="4"/>
      <c r="U12" s="4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../output/FedAcqTrends/Customer//UNITED_STATES_INTERNATIONAL_DEVELOPMENT_FINANCE_CO/UNITED_STATES_INTERNATIONAL_DEVELOPMENT_FINANCE_CO_Contracts.xlsx</dc:creator>
  <cp:lastModifiedBy>../output/FedAcqTrends/Customer//UNITED_STATES_INTERNATIONAL_DEVELOPMENT_FINANCE_CO/UNITED_STATES_INTERNATIONAL_DEVELOPMENT_FINANCE_CO_Contracts.xlsx</cp:lastModifiedBy>
  <dcterms:created xsi:type="dcterms:W3CDTF">2025-11-16T16:55:32Z</dcterms:created>
</coreProperties>
</file>