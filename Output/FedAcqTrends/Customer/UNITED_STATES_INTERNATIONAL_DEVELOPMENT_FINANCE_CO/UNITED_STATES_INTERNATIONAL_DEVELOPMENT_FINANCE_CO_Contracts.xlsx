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YQ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<sst xmlns="http://schemas.openxmlformats.org/spreadsheetml/2006/main" count="18" uniqueCount="18">
  <si>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Vehicle.AwardTask</t>
  </si>
  <si>
    <t xml:space="preserve">Vehicle.sum7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</si>
  <si>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</si>
  <si>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</si>
  <si>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</si>
  <si>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</si>
  <si>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</si>
  <si>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</si>
  <si>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</si>
  <si>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</si>
  <si>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</si>
  <si>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</si>
  <si>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</si>
  <si>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</si>
  <si>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</si>
  <si>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</si>
  <si>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Grand Total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</si>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</sst>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>
      <c r="A2" t="str">
        <f>M2</f>
      </c>
      <c r="B2" t="str">
        <f>N2</f>
      </c>
      <c r="M2" t="s">
        <v>8</v>
      </c>
      <c r="N2" t="s">
        <v>9</v>
      </c>
      <c r="O2" s="1" t="n">
        <v>7884669.47</v>
      </c>
      <c r="P2" s="1" t="n">
        <v>9374520.41</v>
      </c>
      <c r="Q2" s="1" t="n">
        <v>7202242.32</v>
      </c>
      <c r="R2" s="1" t="n">
        <v>7032339.45</v>
      </c>
      <c r="S2" s="1" t="n">
        <v>5051574.5</v>
      </c>
      <c r="T2" s="1" t="n">
        <v>1798752.08</v>
      </c>
      <c r="U2" s="1"/>
    </row>
    <row r="3">
      <c r="A3" t="str">
        <f>M3</f>
      </c>
      <c r="B3" t="str">
        <f>N3</f>
      </c>
      <c r="M3" t="s">
        <v>8</v>
      </c>
      <c r="N3" t="s">
        <v>10</v>
      </c>
      <c r="O3" s="1" t="n">
        <v>486426.4</v>
      </c>
      <c r="P3" s="1" t="n">
        <v>1222149.8</v>
      </c>
      <c r="Q3" s="1" t="n">
        <v>1234338</v>
      </c>
      <c r="R3" s="1" t="n">
        <v>2944360</v>
      </c>
      <c r="S3" s="1" t="n">
        <v>1823304.55</v>
      </c>
      <c r="T3" s="1" t="n">
        <v>290261</v>
      </c>
      <c r="U3" s="1"/>
    </row>
    <row r="4">
      <c r="A4" t="str">
        <f>M4</f>
      </c>
      <c r="B4" t="str">
        <f>N4</f>
      </c>
      <c r="M4" t="s">
        <v>11</v>
      </c>
      <c r="N4" t="s">
        <v>12</v>
      </c>
      <c r="O4" s="1" t="n">
        <v>5914506.11</v>
      </c>
      <c r="P4" s="1" t="n">
        <v>10766539.135</v>
      </c>
      <c r="Q4" s="1" t="n">
        <v>12674580.5663</v>
      </c>
      <c r="R4" s="1" t="n">
        <v>20194252.2469</v>
      </c>
      <c r="S4" s="1" t="n">
        <v>21476677.75</v>
      </c>
      <c r="T4" s="1" t="n">
        <v>6840806.35</v>
      </c>
      <c r="U4" s="1"/>
    </row>
    <row r="5">
      <c r="A5" t="str">
        <f>M5</f>
      </c>
      <c r="B5" t="str">
        <f>N5</f>
      </c>
      <c r="M5" t="s">
        <v>11</v>
      </c>
      <c r="N5" t="s">
        <v>13</v>
      </c>
      <c r="O5" s="1" t="n">
        <v>8735462.6712</v>
      </c>
      <c r="P5" s="1" t="n">
        <v>13494653.4169</v>
      </c>
      <c r="Q5" s="1" t="n">
        <v>20747843.7951</v>
      </c>
      <c r="R5" s="1" t="n">
        <v>18842113.2056</v>
      </c>
      <c r="S5" s="1" t="n">
        <v>45862284.72</v>
      </c>
      <c r="T5" s="1" t="n">
        <v>1188413.12</v>
      </c>
      <c r="U5" s="1"/>
    </row>
    <row r="6">
      <c r="A6" t="str">
        <f>M6</f>
      </c>
      <c r="B6" t="str">
        <f>N6</f>
      </c>
      <c r="M6" t="s">
        <v>11</v>
      </c>
      <c r="N6" t="s">
        <v>14</v>
      </c>
      <c r="O6" s="1" t="n">
        <v>3968751.1851</v>
      </c>
      <c r="P6" s="1" t="n">
        <v>5442858.9589</v>
      </c>
      <c r="Q6" s="1" t="n">
        <v>7688731.36</v>
      </c>
      <c r="R6" s="1" t="n">
        <v>11422931.0059</v>
      </c>
      <c r="S6" s="1" t="n">
        <v>5014149.63</v>
      </c>
      <c r="T6" s="1" t="n">
        <v>3370913.9</v>
      </c>
      <c r="U6" s="1"/>
    </row>
    <row r="7">
      <c r="A7" t="str">
        <f>M7</f>
      </c>
      <c r="B7" t="str">
        <f>N7</f>
      </c>
      <c r="M7" t="s">
        <v>11</v>
      </c>
      <c r="N7" t="s">
        <v>15</v>
      </c>
      <c r="O7" s="1" t="n">
        <v>3882059.0801</v>
      </c>
      <c r="P7" s="1" t="n">
        <v>999266.5684</v>
      </c>
      <c r="Q7" s="1" t="n">
        <v>1036160.7191</v>
      </c>
      <c r="R7" s="1" t="n">
        <v>18017282.8383</v>
      </c>
      <c r="S7" s="1" t="n">
        <v>24395026.05</v>
      </c>
      <c r="T7" s="1" t="n">
        <v>2127208.16</v>
      </c>
      <c r="U7" s="1"/>
    </row>
    <row r="8">
      <c r="A8" t="str">
        <f>M8</f>
      </c>
      <c r="B8" t="str">
        <f>N8</f>
      </c>
      <c r="M8" t="s">
        <v>16</v>
      </c>
      <c r="N8" t="s">
        <v>17</v>
      </c>
      <c r="O8" s="1" t="str">
        <f>Sum(O2:O7)</f>
      </c>
      <c r="P8" s="1" t="str">
        <f>Sum(P2:P7)</f>
      </c>
      <c r="Q8" s="1" t="str">
        <f>Sum(Q2:Q7)</f>
      </c>
      <c r="R8" s="1" t="str">
        <f>Sum(R2:R7)</f>
      </c>
      <c r="S8" s="1" t="str">
        <f>Sum(S2:S7)</f>
      </c>
      <c r="T8" s="1" t="str">
        <f>Sum(T2:T7)</f>
      </c>
      <c r="U8" s="1"/>
    </row>
    <row r="11">
      <c r="A11" t="str">
        <f>M11</f>
      </c>
      <c r="B11" t="str">
        <f>N11</f>
      </c>
      <c r="M11" t="s">
        <v>0</v>
      </c>
      <c r="N11" t="s">
        <v>1</v>
      </c>
      <c r="O11" t="s">
        <v>2</v>
      </c>
      <c r="P11" t="s">
        <v>3</v>
      </c>
      <c r="Q11" t="s">
        <v>4</v>
      </c>
      <c r="R11" t="s">
        <v>5</v>
      </c>
      <c r="S11" t="s">
        <v>6</v>
      </c>
      <c r="T11" t="s">
        <v>7</v>
      </c>
    </row>
    <row r="12">
      <c r="A12" t="str">
        <f>M12</f>
      </c>
      <c r="B12" t="str">
        <f>N12</f>
      </c>
      <c r="M12" t="s">
        <v>8</v>
      </c>
      <c r="N12" t="s">
        <v>9</v>
      </c>
      <c r="O12" s="1" t="n">
        <v>9125643.33042737</v>
      </c>
      <c r="P12" s="1" t="n">
        <v>10488979.8941065</v>
      </c>
      <c r="Q12" s="1" t="n">
        <v>7531720.38047842</v>
      </c>
      <c r="R12" s="1" t="n">
        <v>7032339.45</v>
      </c>
      <c r="S12" s="1" t="n">
        <v>4920176.32997383</v>
      </c>
      <c r="T12" s="1" t="n">
        <v>1714347.80148184</v>
      </c>
      <c r="U12" s="1"/>
    </row>
    <row r="13">
      <c r="A13" t="str">
        <f>M13</f>
      </c>
      <c r="B13" t="str">
        <f>N13</f>
      </c>
      <c r="M13" t="s">
        <v>8</v>
      </c>
      <c r="N13" t="s">
        <v>10</v>
      </c>
      <c r="O13" s="1" t="n">
        <v>562985.404752014</v>
      </c>
      <c r="P13" s="1" t="n">
        <v>1367441.11902641</v>
      </c>
      <c r="Q13" s="1" t="n">
        <v>1290804.76023181</v>
      </c>
      <c r="R13" s="1" t="n">
        <v>2944360</v>
      </c>
      <c r="S13" s="1" t="n">
        <v>1775877.97413333</v>
      </c>
      <c r="T13" s="1" t="n">
        <v>276640.851587464</v>
      </c>
      <c r="U13" s="1"/>
    </row>
    <row r="14">
      <c r="A14" t="str">
        <f>M14</f>
      </c>
      <c r="B14" t="str">
        <f>N14</f>
      </c>
      <c r="M14" t="s">
        <v>11</v>
      </c>
      <c r="N14" t="s">
        <v>12</v>
      </c>
      <c r="O14" s="1" t="n">
        <v>6845394.52679092</v>
      </c>
      <c r="P14" s="1" t="n">
        <v>12046484.2548811</v>
      </c>
      <c r="Q14" s="1" t="n">
        <v>13254399.4666952</v>
      </c>
      <c r="R14" s="1" t="n">
        <v>20194252.2469</v>
      </c>
      <c r="S14" s="1" t="n">
        <v>20918040.8033229</v>
      </c>
      <c r="T14" s="1" t="n">
        <v>6519809.73747396</v>
      </c>
      <c r="U14" s="1"/>
    </row>
    <row r="15">
      <c r="A15" t="str">
        <f>M15</f>
      </c>
      <c r="B15" t="str">
        <f>N15</f>
      </c>
      <c r="M15" t="s">
        <v>11</v>
      </c>
      <c r="N15" t="s">
        <v>13</v>
      </c>
      <c r="O15" s="1" t="n">
        <v>10110343.4921329</v>
      </c>
      <c r="P15" s="1" t="n">
        <v>15098921.5636899</v>
      </c>
      <c r="Q15" s="1" t="n">
        <v>21696986.9964799</v>
      </c>
      <c r="R15" s="1" t="n">
        <v>18842113.2056</v>
      </c>
      <c r="S15" s="1" t="n">
        <v>44669345.7095139</v>
      </c>
      <c r="T15" s="1" t="n">
        <v>1132648.26330273</v>
      </c>
      <c r="U15" s="1"/>
    </row>
    <row r="16">
      <c r="A16" t="str">
        <f>M16</f>
      </c>
      <c r="B16" t="str">
        <f>N16</f>
      </c>
      <c r="M16" t="s">
        <v>11</v>
      </c>
      <c r="N16" t="s">
        <v>14</v>
      </c>
      <c r="O16" s="1" t="n">
        <v>4593395.81960099</v>
      </c>
      <c r="P16" s="1" t="n">
        <v>6089915.61055865</v>
      </c>
      <c r="Q16" s="1" t="n">
        <v>8040464.63742635</v>
      </c>
      <c r="R16" s="1" t="n">
        <v>11422931.0059</v>
      </c>
      <c r="S16" s="1" t="n">
        <v>4883724.93060789</v>
      </c>
      <c r="T16" s="1" t="n">
        <v>3212737.81846</v>
      </c>
      <c r="U16" s="1"/>
    </row>
    <row r="17">
      <c r="A17" t="str">
        <f>M17</f>
      </c>
      <c r="B17" t="str">
        <f>N17</f>
      </c>
      <c r="M17" t="s">
        <v>11</v>
      </c>
      <c r="N17" t="s">
        <v>15</v>
      </c>
      <c r="O17" s="1" t="n">
        <v>4493059.1811656</v>
      </c>
      <c r="P17" s="1" t="n">
        <v>1118061.13661237</v>
      </c>
      <c r="Q17" s="1" t="n">
        <v>1083561.54358003</v>
      </c>
      <c r="R17" s="1" t="n">
        <v>18017282.8383</v>
      </c>
      <c r="S17" s="1" t="n">
        <v>23760478.9833952</v>
      </c>
      <c r="T17" s="1" t="n">
        <v>2027391.47486642</v>
      </c>
      <c r="U17" s="1"/>
    </row>
    <row r="18">
      <c r="A18" t="str">
        <f>M18</f>
      </c>
      <c r="B18" t="str">
        <f>N18</f>
      </c>
      <c r="O18" s="1"/>
      <c r="P18" s="1"/>
      <c r="Q18" s="1"/>
      <c r="R18" s="1"/>
      <c r="S18" s="1"/>
      <c r="T18" s="1"/>
      <c r="U18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../output/FedAcqTrends/Customer//UNITED_STATES_INTERNATIONAL_DEVELOPMENT_FINANCE_CO/UNITED_STATES_INTERNATIONAL_DEVELOPMENT_FINANCE_CO_Contracts.xlsx</dc:creator>
  <cp:lastModifiedBy>../output/FedAcqTrends/Customer//UNITED_STATES_INTERNATIONAL_DEVELOPMENT_FINANCE_CO/UNITED_STATES_INTERNATIONAL_DEVELOPMENT_FINANCE_CO_Contracts.xlsx</cp:lastModifiedBy>
  <dcterms:created xsi:type="dcterms:W3CDTF">2025-11-16T16:55:32Z</dcterms:created>
</coreProperties>
</file>