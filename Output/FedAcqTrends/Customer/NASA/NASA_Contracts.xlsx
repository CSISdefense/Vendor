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</sheets>
</workbook>
</file>

<file path=xl/sharedStrings.xml><?xml version="1.0" encoding="utf-8"?>
<sst xmlns="http://schemas.openxmlformats.org/spreadsheetml/2006/main" count="39" uniqueCount="39">
  <si>
    <t xml:space="preserve">Vehicle.AwardTask</t>
  </si>
  <si>
    <t xml:space="preserve">Vehicle.sum7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</si>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</sst>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6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</row>
    <row r="2">
      <c r="A2" t="str">
        <f>M2</f>
      </c>
      <c r="B2" t="str">
        <f>N2</f>
      </c>
      <c r="M2" t="s">
        <v>28</v>
      </c>
      <c r="N2" t="s">
        <v>29</v>
      </c>
      <c r="O2" s="1" t="n">
        <v>3913861081.4409</v>
      </c>
      <c r="P2" s="1" t="n">
        <v>5078211812.84</v>
      </c>
      <c r="Q2" s="1" t="n">
        <v>4656495266.73</v>
      </c>
      <c r="R2" s="1" t="n">
        <v>5389864409.84</v>
      </c>
      <c r="S2" s="1" t="n">
        <v>7811266907.92</v>
      </c>
      <c r="T2" s="1" t="n">
        <v>9418389305.51</v>
      </c>
      <c r="U2" s="1" t="n">
        <v>9779309837.52</v>
      </c>
      <c r="V2" s="1" t="n">
        <v>9811666943.78</v>
      </c>
      <c r="W2" s="1" t="n">
        <v>11105939782.2</v>
      </c>
      <c r="X2" s="1" t="n">
        <v>11348519836.02</v>
      </c>
      <c r="Y2" s="1" t="n">
        <v>11876897295.9558</v>
      </c>
      <c r="Z2" s="1" t="n">
        <v>10770495483.5162</v>
      </c>
      <c r="AA2" s="1" t="n">
        <v>10010253547.7526</v>
      </c>
      <c r="AB2" s="1" t="n">
        <v>9099832909.4629</v>
      </c>
      <c r="AC2" s="1" t="n">
        <v>8728619912.8649</v>
      </c>
      <c r="AD2" s="1" t="n">
        <v>8800531952.8513</v>
      </c>
      <c r="AE2" s="1" t="n">
        <v>8778257092.753</v>
      </c>
      <c r="AF2" s="1" t="n">
        <v>8764500998.9072</v>
      </c>
      <c r="AG2" s="1" t="n">
        <v>9114919242.2</v>
      </c>
      <c r="AH2" s="1" t="n">
        <v>9016775126.56</v>
      </c>
      <c r="AI2" s="1" t="n">
        <v>9396678222.01</v>
      </c>
      <c r="AJ2" s="1" t="n">
        <v>9382206528.27</v>
      </c>
      <c r="AK2" s="1" t="n">
        <v>9086840529.21</v>
      </c>
      <c r="AL2" s="1" t="n">
        <v>9376529921.85</v>
      </c>
      <c r="AM2" s="1" t="n">
        <v>8667217479.03</v>
      </c>
      <c r="AN2" s="1" t="n">
        <v>3700685679.63</v>
      </c>
      <c r="AO2" s="1"/>
    </row>
    <row r="3">
      <c r="A3" t="str">
        <f>M3</f>
      </c>
      <c r="B3" t="str">
        <f>N3</f>
      </c>
      <c r="M3" t="s">
        <v>28</v>
      </c>
      <c r="N3" t="s">
        <v>30</v>
      </c>
      <c r="O3" s="1" t="n">
        <v>681321241.8852</v>
      </c>
      <c r="P3" s="1" t="n">
        <v>564430170.37</v>
      </c>
      <c r="Q3" s="1" t="n">
        <v>455493901.16</v>
      </c>
      <c r="R3" s="1" t="n">
        <v>298523901.72</v>
      </c>
      <c r="S3" s="1" t="n">
        <v>196135382.37</v>
      </c>
      <c r="T3" s="1" t="n">
        <v>304567965.9</v>
      </c>
      <c r="U3" s="1" t="n">
        <v>262562361.15</v>
      </c>
      <c r="V3" s="1" t="n">
        <v>224711639.38</v>
      </c>
      <c r="W3" s="1" t="n">
        <v>269578842.61</v>
      </c>
      <c r="X3" s="1" t="n">
        <v>213776940.34</v>
      </c>
      <c r="Y3" s="1" t="n">
        <v>217964044.7485</v>
      </c>
      <c r="Z3" s="1" t="n">
        <v>186428263.0196</v>
      </c>
      <c r="AA3" s="1" t="n">
        <v>163169663.0579</v>
      </c>
      <c r="AB3" s="1" t="n">
        <v>188274449.0706</v>
      </c>
      <c r="AC3" s="1" t="n">
        <v>205291034.747</v>
      </c>
      <c r="AD3" s="1" t="n">
        <v>186686813.4452</v>
      </c>
      <c r="AE3" s="1" t="n">
        <v>197395455.4894</v>
      </c>
      <c r="AF3" s="1" t="n">
        <v>186428014.2143</v>
      </c>
      <c r="AG3" s="1" t="n">
        <v>202315375.32</v>
      </c>
      <c r="AH3" s="1" t="n">
        <v>153800930.97</v>
      </c>
      <c r="AI3" s="1" t="n">
        <v>163008877.79</v>
      </c>
      <c r="AJ3" s="1" t="n">
        <v>167401681.91</v>
      </c>
      <c r="AK3" s="1" t="n">
        <v>200910400.01</v>
      </c>
      <c r="AL3" s="1" t="n">
        <v>210106763.85</v>
      </c>
      <c r="AM3" s="1" t="n">
        <v>191525143.37</v>
      </c>
      <c r="AN3" s="1" t="n">
        <v>45768346.22</v>
      </c>
      <c r="AO3" s="1"/>
    </row>
    <row r="4">
      <c r="A4" t="str">
        <f>M4</f>
      </c>
      <c r="B4" t="str">
        <f>N4</f>
      </c>
      <c r="M4" t="s">
        <v>31</v>
      </c>
      <c r="N4" t="s">
        <v>32</v>
      </c>
      <c r="O4" s="1" t="n">
        <v>804000</v>
      </c>
      <c r="P4" s="1" t="n">
        <v>2489633.6139</v>
      </c>
      <c r="Q4" s="1" t="n">
        <v>1544867.5</v>
      </c>
      <c r="R4" s="1" t="n">
        <v>15681505.9825</v>
      </c>
      <c r="S4" s="1" t="n">
        <v>31549214.3927</v>
      </c>
      <c r="T4" s="1" t="n">
        <v>96557099.2616</v>
      </c>
      <c r="U4" s="1" t="n">
        <v>122009435.8313</v>
      </c>
      <c r="V4" s="1" t="n">
        <v>182742634.6844</v>
      </c>
      <c r="W4" s="1" t="n">
        <v>267822023.3887</v>
      </c>
      <c r="X4" s="1" t="n">
        <v>249718412.9264</v>
      </c>
      <c r="Y4" s="1" t="n">
        <v>258027301.233</v>
      </c>
      <c r="Z4" s="1" t="n">
        <v>213536669.7672</v>
      </c>
      <c r="AA4" s="1" t="n">
        <v>206416721.9604</v>
      </c>
      <c r="AB4" s="1" t="n">
        <v>167112754.3646</v>
      </c>
      <c r="AC4" s="1" t="n">
        <v>162186425.6079</v>
      </c>
      <c r="AD4" s="1" t="n">
        <v>161998974.0819</v>
      </c>
      <c r="AE4" s="1" t="n">
        <v>170578923.1005</v>
      </c>
      <c r="AF4" s="1" t="n">
        <v>201559922.8285</v>
      </c>
      <c r="AG4" s="1" t="n">
        <v>196522646.9647</v>
      </c>
      <c r="AH4" s="1" t="n">
        <v>239720042.913</v>
      </c>
      <c r="AI4" s="1" t="n">
        <v>258185444.6487</v>
      </c>
      <c r="AJ4" s="1" t="n">
        <v>243465487.6617</v>
      </c>
      <c r="AK4" s="1" t="n">
        <v>238219845.5361</v>
      </c>
      <c r="AL4" s="1" t="n">
        <v>305427536.5886</v>
      </c>
      <c r="AM4" s="1" t="n">
        <v>249639915.55</v>
      </c>
      <c r="AN4" s="1" t="n">
        <v>78069397.95</v>
      </c>
      <c r="AO4" s="1"/>
    </row>
    <row r="5">
      <c r="A5" t="str">
        <f>M5</f>
      </c>
      <c r="B5" t="str">
        <f>N5</f>
      </c>
      <c r="M5" t="s">
        <v>31</v>
      </c>
      <c r="N5" t="s">
        <v>33</v>
      </c>
      <c r="O5" s="1" t="n">
        <v>192515671.7898</v>
      </c>
      <c r="P5" s="1" t="n">
        <v>249514504.9236</v>
      </c>
      <c r="Q5" s="1" t="n">
        <v>351928893.683</v>
      </c>
      <c r="R5" s="1" t="n">
        <v>316851295.9028</v>
      </c>
      <c r="S5" s="1" t="n">
        <v>407928908.9798</v>
      </c>
      <c r="T5" s="1" t="n">
        <v>380052624.5538</v>
      </c>
      <c r="U5" s="1" t="n">
        <v>370623206.402</v>
      </c>
      <c r="V5" s="1" t="n">
        <v>352973273.9899</v>
      </c>
      <c r="W5" s="1" t="n">
        <v>381199847.1049</v>
      </c>
      <c r="X5" s="1" t="n">
        <v>346454193.2927</v>
      </c>
      <c r="Y5" s="1" t="n">
        <v>331690648.7011</v>
      </c>
      <c r="Z5" s="1" t="n">
        <v>268813048.3276</v>
      </c>
      <c r="AA5" s="1" t="n">
        <v>215341911.0071</v>
      </c>
      <c r="AB5" s="1" t="n">
        <v>205928535.0798</v>
      </c>
      <c r="AC5" s="1" t="n">
        <v>197932539.8146</v>
      </c>
      <c r="AD5" s="1" t="n">
        <v>172753735.1356</v>
      </c>
      <c r="AE5" s="1" t="n">
        <v>153760181.4146</v>
      </c>
      <c r="AF5" s="1" t="n">
        <v>156863293.0975</v>
      </c>
      <c r="AG5" s="1" t="n">
        <v>178259458.8348</v>
      </c>
      <c r="AH5" s="1" t="n">
        <v>206340859.523</v>
      </c>
      <c r="AI5" s="1" t="n">
        <v>188221534.1469</v>
      </c>
      <c r="AJ5" s="1" t="n">
        <v>199364732.2478</v>
      </c>
      <c r="AK5" s="1" t="n">
        <v>193299512.7528</v>
      </c>
      <c r="AL5" s="1" t="n">
        <v>247826480.598</v>
      </c>
      <c r="AM5" s="1" t="n">
        <v>276460333.95</v>
      </c>
      <c r="AN5" s="1" t="n">
        <v>92353226.8</v>
      </c>
      <c r="AO5" s="1"/>
    </row>
    <row r="6">
      <c r="A6" t="str">
        <f>M6</f>
      </c>
      <c r="B6" t="str">
        <f>N6</f>
      </c>
      <c r="M6" t="s">
        <v>31</v>
      </c>
      <c r="N6" t="s">
        <v>34</v>
      </c>
      <c r="O6" s="1" t="n">
        <v>73760259</v>
      </c>
      <c r="P6" s="1" t="n">
        <v>45320902</v>
      </c>
      <c r="Q6" s="1" t="n">
        <v>50293387.4883</v>
      </c>
      <c r="R6" s="1" t="n">
        <v>76703870.375</v>
      </c>
      <c r="S6" s="1" t="n">
        <v>85718746.3933</v>
      </c>
      <c r="T6" s="1" t="n">
        <v>125269298.274</v>
      </c>
      <c r="U6" s="1" t="n">
        <v>151181706.0397</v>
      </c>
      <c r="V6" s="1" t="n">
        <v>214180484.1425</v>
      </c>
      <c r="W6" s="1" t="n">
        <v>255358702.5529</v>
      </c>
      <c r="X6" s="1" t="n">
        <v>307928567.8932</v>
      </c>
      <c r="Y6" s="1" t="n">
        <v>493077699.756</v>
      </c>
      <c r="Z6" s="1" t="n">
        <v>869108407.3687</v>
      </c>
      <c r="AA6" s="1" t="n">
        <v>1302904976.6354</v>
      </c>
      <c r="AB6" s="1" t="n">
        <v>1222531225.6526</v>
      </c>
      <c r="AC6" s="1" t="n">
        <v>1753275324.503</v>
      </c>
      <c r="AD6" s="1" t="n">
        <v>1815601328.7111</v>
      </c>
      <c r="AE6" s="1" t="n">
        <v>1922156967.0738</v>
      </c>
      <c r="AF6" s="1" t="n">
        <v>1807257978.7425</v>
      </c>
      <c r="AG6" s="1" t="n">
        <v>2084721369.5507</v>
      </c>
      <c r="AH6" s="1" t="n">
        <v>2061449657.4078</v>
      </c>
      <c r="AI6" s="1" t="n">
        <v>2516930374.9761</v>
      </c>
      <c r="AJ6" s="1" t="n">
        <v>2237075717.2303</v>
      </c>
      <c r="AK6" s="1" t="n">
        <v>2369745122.3366</v>
      </c>
      <c r="AL6" s="1" t="n">
        <v>2116400350.6434</v>
      </c>
      <c r="AM6" s="1" t="n">
        <v>1928437430.3</v>
      </c>
      <c r="AN6" s="1" t="n">
        <v>806534848.07</v>
      </c>
      <c r="AO6" s="1"/>
    </row>
    <row r="7">
      <c r="A7" t="str">
        <f>M7</f>
      </c>
      <c r="B7" t="str">
        <f>N7</f>
      </c>
      <c r="M7" t="s">
        <v>31</v>
      </c>
      <c r="N7" t="s">
        <v>35</v>
      </c>
      <c r="O7" s="1" t="n">
        <v>124390663.8936</v>
      </c>
      <c r="P7" s="1" t="n">
        <v>144404840.2813</v>
      </c>
      <c r="Q7" s="1" t="n">
        <v>132069376.5304</v>
      </c>
      <c r="R7" s="1" t="n">
        <v>408762353.4122</v>
      </c>
      <c r="S7" s="1" t="n">
        <v>2168053388.4979</v>
      </c>
      <c r="T7" s="1" t="n">
        <v>2201293656.5295</v>
      </c>
      <c r="U7" s="1" t="n">
        <v>2254806932.7534</v>
      </c>
      <c r="V7" s="1" t="n">
        <v>2435702086.7497</v>
      </c>
      <c r="W7" s="1" t="n">
        <v>2739716644.6164</v>
      </c>
      <c r="X7" s="1" t="n">
        <v>2853528337.7218</v>
      </c>
      <c r="Y7" s="1" t="n">
        <v>2954917246.3072</v>
      </c>
      <c r="Z7" s="1" t="n">
        <v>3082877417.429</v>
      </c>
      <c r="AA7" s="1" t="n">
        <v>3255342315.1159</v>
      </c>
      <c r="AB7" s="1" t="n">
        <v>3335427840.6744</v>
      </c>
      <c r="AC7" s="1" t="n">
        <v>3965613350.5087</v>
      </c>
      <c r="AD7" s="1" t="n">
        <v>4736878469.9335</v>
      </c>
      <c r="AE7" s="1" t="n">
        <v>6048949382.6828</v>
      </c>
      <c r="AF7" s="1" t="n">
        <v>6263545848.9871</v>
      </c>
      <c r="AG7" s="1" t="n">
        <v>6264517833.7282</v>
      </c>
      <c r="AH7" s="1" t="n">
        <v>6051921078.067</v>
      </c>
      <c r="AI7" s="1" t="n">
        <v>6416031126.0498</v>
      </c>
      <c r="AJ7" s="1" t="n">
        <v>6942141734.5207</v>
      </c>
      <c r="AK7" s="1" t="n">
        <v>7834517719.6248</v>
      </c>
      <c r="AL7" s="1" t="n">
        <v>8689820575.6493</v>
      </c>
      <c r="AM7" s="1" t="n">
        <v>8717296588.96</v>
      </c>
      <c r="AN7" s="1" t="n">
        <v>3728588341.74</v>
      </c>
      <c r="AO7" s="1"/>
    </row>
    <row r="8">
      <c r="A8" t="str">
        <f>M8</f>
      </c>
      <c r="B8" t="str">
        <f>N8</f>
      </c>
      <c r="M8" t="s">
        <v>31</v>
      </c>
      <c r="N8" t="s">
        <v>36</v>
      </c>
      <c r="O8" s="1" t="n">
        <v>60513664.9786</v>
      </c>
      <c r="P8" s="1" t="n">
        <v>213473806.6093</v>
      </c>
      <c r="Q8" s="1" t="n">
        <v>94784086.5091</v>
      </c>
      <c r="R8" s="1" t="n">
        <v>63370715.2838</v>
      </c>
      <c r="S8" s="1" t="n">
        <v>199398443.3965</v>
      </c>
      <c r="T8" s="1" t="n">
        <v>74658664.2919</v>
      </c>
      <c r="U8" s="1" t="n">
        <v>35402264.0189</v>
      </c>
      <c r="V8" s="1" t="n">
        <v>9298009.1798</v>
      </c>
      <c r="W8" s="1" t="n">
        <v>16095991.1469</v>
      </c>
      <c r="X8" s="1" t="n">
        <v>16667071.5556</v>
      </c>
      <c r="Y8" s="1" t="n">
        <v>10899120.3774</v>
      </c>
      <c r="Z8" s="1" t="n">
        <v>1496479.6989</v>
      </c>
      <c r="AA8" s="1" t="n">
        <v>130107</v>
      </c>
      <c r="AB8" s="1" t="n">
        <v>-134012.39</v>
      </c>
      <c r="AC8" s="1"/>
      <c r="AD8" s="1"/>
      <c r="AE8" s="1"/>
      <c r="AF8" s="1" t="n">
        <v>-6368.1601</v>
      </c>
      <c r="AG8" s="1"/>
      <c r="AH8" s="1"/>
      <c r="AI8" s="1"/>
      <c r="AJ8" s="1"/>
      <c r="AK8" s="1"/>
      <c r="AL8" s="1"/>
      <c r="AM8" s="1"/>
      <c r="AN8" s="1"/>
      <c r="AO8" s="1"/>
    </row>
    <row r="9">
      <c r="A9" t="str">
        <f>M9</f>
      </c>
      <c r="B9" t="str">
        <f>N9</f>
      </c>
      <c r="M9"/>
      <c r="N9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 t="n">
        <v>0</v>
      </c>
      <c r="AH9" s="1"/>
      <c r="AI9" s="1" t="n">
        <v>0</v>
      </c>
      <c r="AJ9" s="1" t="n">
        <v>31174.99</v>
      </c>
      <c r="AK9" s="1"/>
      <c r="AL9" s="1" t="n">
        <v>0</v>
      </c>
      <c r="AM9" s="1" t="n">
        <v>2823842.2</v>
      </c>
      <c r="AN9" s="1" t="n">
        <v>548746.58</v>
      </c>
      <c r="AO9" s="1"/>
    </row>
    <row r="10">
      <c r="A10" t="str">
        <f>M10</f>
      </c>
      <c r="B10" t="str">
        <f>N10</f>
      </c>
      <c r="M10" t="s">
        <v>37</v>
      </c>
      <c r="N10" t="s">
        <v>38</v>
      </c>
      <c r="O10" s="1" t="str">
        <f>Sum(O2:O9)</f>
      </c>
      <c r="P10" s="1" t="str">
        <f>Sum(P2:P9)</f>
      </c>
      <c r="Q10" s="1" t="str">
        <f>Sum(Q2:Q9)</f>
      </c>
      <c r="R10" s="1" t="str">
        <f>Sum(R2:R9)</f>
      </c>
      <c r="S10" s="1" t="str">
        <f>Sum(S2:S9)</f>
      </c>
      <c r="T10" s="1" t="str">
        <f>Sum(T2:T9)</f>
      </c>
      <c r="U10" s="1" t="str">
        <f>Sum(U2:U9)</f>
      </c>
      <c r="V10" s="1" t="str">
        <f>Sum(V2:V9)</f>
      </c>
      <c r="W10" s="1" t="str">
        <f>Sum(W2:W9)</f>
      </c>
      <c r="X10" s="1" t="str">
        <f>Sum(X2:X9)</f>
      </c>
      <c r="Y10" s="1" t="str">
        <f>Sum(Y2:Y9)</f>
      </c>
      <c r="Z10" s="1" t="str">
        <f>Sum(Z2:Z9)</f>
      </c>
      <c r="AA10" s="1" t="str">
        <f>Sum(AA2:AA9)</f>
      </c>
      <c r="AB10" s="1" t="str">
        <f>Sum(AB2:AB9)</f>
      </c>
      <c r="AC10" s="1" t="str">
        <f>Sum(AC2:AC9)</f>
      </c>
      <c r="AD10" s="1" t="str">
        <f>Sum(AD2:AD9)</f>
      </c>
      <c r="AE10" s="1" t="str">
        <f>Sum(AE2:AE9)</f>
      </c>
      <c r="AF10" s="1" t="str">
        <f>Sum(AF2:AF9)</f>
      </c>
      <c r="AG10" s="1" t="str">
        <f>Sum(AG2:AG9)</f>
      </c>
      <c r="AH10" s="1" t="str">
        <f>Sum(AH2:AH9)</f>
      </c>
      <c r="AI10" s="1" t="str">
        <f>Sum(AI2:AI9)</f>
      </c>
      <c r="AJ10" s="1" t="str">
        <f>Sum(AJ2:AJ9)</f>
      </c>
      <c r="AK10" s="1" t="str">
        <f>Sum(AK2:AK9)</f>
      </c>
      <c r="AL10" s="1" t="str">
        <f>Sum(AL2:AL9)</f>
      </c>
      <c r="AM10" s="1" t="str">
        <f>Sum(AM2:AM9)</f>
      </c>
      <c r="AN10" s="1" t="str">
        <f>Sum(AN2:AN9)</f>
      </c>
      <c r="AO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2</v>
      </c>
      <c r="P13" t="s">
        <v>3</v>
      </c>
      <c r="Q13" t="s">
        <v>4</v>
      </c>
      <c r="R13" t="s">
        <v>5</v>
      </c>
      <c r="S13" t="s">
        <v>6</v>
      </c>
      <c r="T13" t="s">
        <v>7</v>
      </c>
      <c r="U13" t="s">
        <v>8</v>
      </c>
      <c r="V13" t="s">
        <v>9</v>
      </c>
      <c r="W13" t="s">
        <v>10</v>
      </c>
      <c r="X13" t="s">
        <v>11</v>
      </c>
      <c r="Y13" t="s">
        <v>12</v>
      </c>
      <c r="Z13" t="s">
        <v>13</v>
      </c>
      <c r="AA13" t="s">
        <v>14</v>
      </c>
      <c r="AB13" t="s">
        <v>15</v>
      </c>
      <c r="AC13" t="s">
        <v>16</v>
      </c>
      <c r="AD13" t="s">
        <v>17</v>
      </c>
      <c r="AE13" t="s">
        <v>18</v>
      </c>
      <c r="AF13" t="s">
        <v>19</v>
      </c>
      <c r="AG13" t="s">
        <v>20</v>
      </c>
      <c r="AH13" t="s">
        <v>21</v>
      </c>
      <c r="AI13" t="s">
        <v>22</v>
      </c>
      <c r="AJ13" t="s">
        <v>23</v>
      </c>
      <c r="AK13" t="s">
        <v>24</v>
      </c>
      <c r="AL13" t="s">
        <v>25</v>
      </c>
      <c r="AM13" t="s">
        <v>26</v>
      </c>
      <c r="AN13" t="s">
        <v>27</v>
      </c>
    </row>
    <row r="14">
      <c r="A14" t="str">
        <f>M14</f>
      </c>
      <c r="B14" t="str">
        <f>N14</f>
      </c>
      <c r="M14" t="s">
        <v>28</v>
      </c>
      <c r="N14" t="s">
        <v>29</v>
      </c>
      <c r="O14" s="1" t="n">
        <v>6579879107.66353</v>
      </c>
      <c r="P14" s="1" t="n">
        <v>8335314181.03127</v>
      </c>
      <c r="Q14" s="1" t="n">
        <v>7524733616.45106</v>
      </c>
      <c r="R14" s="1" t="n">
        <v>8545794883.66562</v>
      </c>
      <c r="S14" s="1" t="n">
        <v>12089785108.2939</v>
      </c>
      <c r="T14" s="1" t="n">
        <v>14146705834.1938</v>
      </c>
      <c r="U14" s="1" t="n">
        <v>14226675621.3568</v>
      </c>
      <c r="V14" s="1" t="n">
        <v>13891326654.0703</v>
      </c>
      <c r="W14" s="1" t="n">
        <v>15403954876.3148</v>
      </c>
      <c r="X14" s="1" t="n">
        <v>15581079918.8967</v>
      </c>
      <c r="Y14" s="1" t="n">
        <v>16166512626.9618</v>
      </c>
      <c r="Z14" s="1" t="n">
        <v>14372041807.1071</v>
      </c>
      <c r="AA14" s="1" t="n">
        <v>13119515257.0581</v>
      </c>
      <c r="AB14" s="1" t="n">
        <v>11713767825.3534</v>
      </c>
      <c r="AC14" s="1" t="n">
        <v>11034617158.0761</v>
      </c>
      <c r="AD14" s="1" t="n">
        <v>11011489703.4309</v>
      </c>
      <c r="AE14" s="1" t="n">
        <v>10896500343.4072</v>
      </c>
      <c r="AF14" s="1" t="n">
        <v>10698826371.4213</v>
      </c>
      <c r="AG14" s="1" t="n">
        <v>10884936328.6606</v>
      </c>
      <c r="AH14" s="1" t="n">
        <v>10572257613.5968</v>
      </c>
      <c r="AI14" s="1" t="n">
        <v>10875628239.2213</v>
      </c>
      <c r="AJ14" s="1" t="n">
        <v>10497579751.6429</v>
      </c>
      <c r="AK14" s="1" t="n">
        <v>9502532540.17261</v>
      </c>
      <c r="AL14" s="1" t="n">
        <v>9376529921.85</v>
      </c>
      <c r="AM14" s="1" t="n">
        <v>8441771627.25382</v>
      </c>
      <c r="AN14" s="1" t="n">
        <v>3527035453.85145</v>
      </c>
      <c r="AO14" s="1"/>
    </row>
    <row r="15">
      <c r="A15" t="str">
        <f>M15</f>
      </c>
      <c r="B15" t="str">
        <f>N15</f>
      </c>
      <c r="M15" t="s">
        <v>28</v>
      </c>
      <c r="N15" t="s">
        <v>30</v>
      </c>
      <c r="O15" s="1" t="n">
        <v>1145419142.83717</v>
      </c>
      <c r="P15" s="1" t="n">
        <v>926448713.972772</v>
      </c>
      <c r="Q15" s="1" t="n">
        <v>736062225.733563</v>
      </c>
      <c r="R15" s="1" t="n">
        <v>473318777.242933</v>
      </c>
      <c r="S15" s="1" t="n">
        <v>303565945.567948</v>
      </c>
      <c r="T15" s="1" t="n">
        <v>457470304.140582</v>
      </c>
      <c r="U15" s="1" t="n">
        <v>381968626.060617</v>
      </c>
      <c r="V15" s="1" t="n">
        <v>318146019.782917</v>
      </c>
      <c r="W15" s="1" t="n">
        <v>373906252.744963</v>
      </c>
      <c r="X15" s="1" t="n">
        <v>293507491.75964</v>
      </c>
      <c r="Y15" s="1" t="n">
        <v>296686785.600996</v>
      </c>
      <c r="Z15" s="1" t="n">
        <v>248768015.756072</v>
      </c>
      <c r="AA15" s="1" t="n">
        <v>213851414.828325</v>
      </c>
      <c r="AB15" s="1" t="n">
        <v>242356448.27785</v>
      </c>
      <c r="AC15" s="1" t="n">
        <v>259526476.926744</v>
      </c>
      <c r="AD15" s="1" t="n">
        <v>233588143.87943</v>
      </c>
      <c r="AE15" s="1" t="n">
        <v>245028099.063422</v>
      </c>
      <c r="AF15" s="1" t="n">
        <v>227572676.995113</v>
      </c>
      <c r="AG15" s="1" t="n">
        <v>241602796.486845</v>
      </c>
      <c r="AH15" s="1" t="n">
        <v>180333105.861342</v>
      </c>
      <c r="AI15" s="1" t="n">
        <v>188664963.580872</v>
      </c>
      <c r="AJ15" s="1" t="n">
        <v>187302688.457596</v>
      </c>
      <c r="AK15" s="1" t="n">
        <v>210101366.654016</v>
      </c>
      <c r="AL15" s="1" t="n">
        <v>210106763.85</v>
      </c>
      <c r="AM15" s="1" t="n">
        <v>186543319.712284</v>
      </c>
      <c r="AN15" s="1" t="n">
        <v>43620721.6059018</v>
      </c>
      <c r="AO15" s="1"/>
    </row>
    <row r="16">
      <c r="A16" t="str">
        <f>M16</f>
      </c>
      <c r="B16" t="str">
        <f>N16</f>
      </c>
      <c r="M16" t="s">
        <v>31</v>
      </c>
      <c r="N16" t="s">
        <v>32</v>
      </c>
      <c r="O16" s="1" t="n">
        <v>1351663.40666692</v>
      </c>
      <c r="P16" s="1" t="n">
        <v>4086453.88028966</v>
      </c>
      <c r="Q16" s="1" t="n">
        <v>2496451.89017364</v>
      </c>
      <c r="R16" s="1" t="n">
        <v>24863507.3915335</v>
      </c>
      <c r="S16" s="1" t="n">
        <v>48829879.562367</v>
      </c>
      <c r="T16" s="1" t="n">
        <v>145031685.901726</v>
      </c>
      <c r="U16" s="1" t="n">
        <v>177496029.388189</v>
      </c>
      <c r="V16" s="1" t="n">
        <v>258726437.268207</v>
      </c>
      <c r="W16" s="1" t="n">
        <v>371469541.890999</v>
      </c>
      <c r="X16" s="1" t="n">
        <v>342853747.030224</v>
      </c>
      <c r="Y16" s="1" t="n">
        <v>351219810.994288</v>
      </c>
      <c r="Z16" s="1" t="n">
        <v>284941203.488878</v>
      </c>
      <c r="AA16" s="1" t="n">
        <v>270531342.703042</v>
      </c>
      <c r="AB16" s="1" t="n">
        <v>215116038.366661</v>
      </c>
      <c r="AC16" s="1" t="n">
        <v>205034144.307536</v>
      </c>
      <c r="AD16" s="1" t="n">
        <v>202697978.329737</v>
      </c>
      <c r="AE16" s="1" t="n">
        <v>211740585.232701</v>
      </c>
      <c r="AF16" s="1" t="n">
        <v>246044197.844015</v>
      </c>
      <c r="AG16" s="1" t="n">
        <v>234685183.983517</v>
      </c>
      <c r="AH16" s="1" t="n">
        <v>281074110.560149</v>
      </c>
      <c r="AI16" s="1" t="n">
        <v>298821439.495527</v>
      </c>
      <c r="AJ16" s="1" t="n">
        <v>272409093.298076</v>
      </c>
      <c r="AK16" s="1" t="n">
        <v>249117592.263775</v>
      </c>
      <c r="AL16" s="1" t="n">
        <v>305427536.5886</v>
      </c>
      <c r="AM16" s="1" t="n">
        <v>243146449.390339</v>
      </c>
      <c r="AN16" s="1" t="n">
        <v>74406085.3225497</v>
      </c>
      <c r="AO16" s="1"/>
    </row>
    <row r="17">
      <c r="A17" t="str">
        <f>M17</f>
      </c>
      <c r="B17" t="str">
        <f>N17</f>
      </c>
      <c r="M17" t="s">
        <v>31</v>
      </c>
      <c r="N17" t="s">
        <v>33</v>
      </c>
      <c r="O17" s="1" t="n">
        <v>323652224.836034</v>
      </c>
      <c r="P17" s="1" t="n">
        <v>409550028.221363</v>
      </c>
      <c r="Q17" s="1" t="n">
        <v>568704793.027002</v>
      </c>
      <c r="R17" s="1" t="n">
        <v>502377421.306847</v>
      </c>
      <c r="S17" s="1" t="n">
        <v>631366576.915474</v>
      </c>
      <c r="T17" s="1" t="n">
        <v>570850546.380634</v>
      </c>
      <c r="U17" s="1" t="n">
        <v>539172622.898057</v>
      </c>
      <c r="V17" s="1" t="n">
        <v>499738431.527044</v>
      </c>
      <c r="W17" s="1" t="n">
        <v>528724750.79266</v>
      </c>
      <c r="X17" s="1" t="n">
        <v>475668241.491447</v>
      </c>
      <c r="Y17" s="1" t="n">
        <v>451488375.023448</v>
      </c>
      <c r="Z17" s="1" t="n">
        <v>358701452.015178</v>
      </c>
      <c r="AA17" s="1" t="n">
        <v>282228764.083202</v>
      </c>
      <c r="AB17" s="1" t="n">
        <v>265081685.844085</v>
      </c>
      <c r="AC17" s="1" t="n">
        <v>250223955.422858</v>
      </c>
      <c r="AD17" s="1" t="n">
        <v>216154658.13502</v>
      </c>
      <c r="AE17" s="1" t="n">
        <v>190863385.736302</v>
      </c>
      <c r="AF17" s="1" t="n">
        <v>191483021.920902</v>
      </c>
      <c r="AG17" s="1" t="n">
        <v>212875485.546262</v>
      </c>
      <c r="AH17" s="1" t="n">
        <v>241936689.389349</v>
      </c>
      <c r="AI17" s="1" t="n">
        <v>217845858.252631</v>
      </c>
      <c r="AJ17" s="1" t="n">
        <v>223065562.469782</v>
      </c>
      <c r="AK17" s="1" t="n">
        <v>202142307.222011</v>
      </c>
      <c r="AL17" s="1" t="n">
        <v>247826480.598</v>
      </c>
      <c r="AM17" s="1" t="n">
        <v>269269233.043569</v>
      </c>
      <c r="AN17" s="1" t="n">
        <v>88019662.678769</v>
      </c>
      <c r="AO17" s="1"/>
    </row>
    <row r="18">
      <c r="A18" t="str">
        <f>M18</f>
      </c>
      <c r="B18" t="str">
        <f>N18</f>
      </c>
      <c r="M18" t="s">
        <v>31</v>
      </c>
      <c r="N18" t="s">
        <v>34</v>
      </c>
      <c r="O18" s="1" t="n">
        <v>124003784.771858</v>
      </c>
      <c r="P18" s="1" t="n">
        <v>74389169.0737617</v>
      </c>
      <c r="Q18" s="1" t="n">
        <v>81272356.5343964</v>
      </c>
      <c r="R18" s="1" t="n">
        <v>121616332.650469</v>
      </c>
      <c r="S18" s="1" t="n">
        <v>132670056.709571</v>
      </c>
      <c r="T18" s="1" t="n">
        <v>188158277.944766</v>
      </c>
      <c r="U18" s="1" t="n">
        <v>219935059.574262</v>
      </c>
      <c r="V18" s="1" t="n">
        <v>303236043.905518</v>
      </c>
      <c r="W18" s="1" t="n">
        <v>354182897.489109</v>
      </c>
      <c r="X18" s="1" t="n">
        <v>422774044.10283</v>
      </c>
      <c r="Y18" s="1" t="n">
        <v>671164081.034275</v>
      </c>
      <c r="Z18" s="1" t="n">
        <v>1159729595.05234</v>
      </c>
      <c r="AA18" s="1" t="n">
        <v>1707597278.92235</v>
      </c>
      <c r="AB18" s="1" t="n">
        <v>1573704383.25823</v>
      </c>
      <c r="AC18" s="1" t="n">
        <v>2216469747.99277</v>
      </c>
      <c r="AD18" s="1" t="n">
        <v>2271734872.81759</v>
      </c>
      <c r="AE18" s="1" t="n">
        <v>2385984350.93607</v>
      </c>
      <c r="AF18" s="1" t="n">
        <v>2206119815.07477</v>
      </c>
      <c r="AG18" s="1" t="n">
        <v>2489551335.29856</v>
      </c>
      <c r="AH18" s="1" t="n">
        <v>2417070020.00957</v>
      </c>
      <c r="AI18" s="1" t="n">
        <v>2913071876.62626</v>
      </c>
      <c r="AJ18" s="1" t="n">
        <v>2503023215.41615</v>
      </c>
      <c r="AK18" s="1" t="n">
        <v>2478152892.03459</v>
      </c>
      <c r="AL18" s="1" t="n">
        <v>2116400350.6434</v>
      </c>
      <c r="AM18" s="1" t="n">
        <v>1878276208.41732</v>
      </c>
      <c r="AN18" s="1" t="n">
        <v>768689170.109144</v>
      </c>
      <c r="AO18" s="1"/>
    </row>
    <row r="19">
      <c r="A19" t="str">
        <f>M19</f>
      </c>
      <c r="B19" t="str">
        <f>N19</f>
      </c>
      <c r="M19" t="s">
        <v>31</v>
      </c>
      <c r="N19" t="s">
        <v>35</v>
      </c>
      <c r="O19" s="1" t="n">
        <v>209122274.273611</v>
      </c>
      <c r="P19" s="1" t="n">
        <v>237024322.215722</v>
      </c>
      <c r="Q19" s="1" t="n">
        <v>213419496.929912</v>
      </c>
      <c r="R19" s="1" t="n">
        <v>648105214.307013</v>
      </c>
      <c r="S19" s="1" t="n">
        <v>3355575974.96405</v>
      </c>
      <c r="T19" s="1" t="n">
        <v>3306409705.89115</v>
      </c>
      <c r="U19" s="1" t="n">
        <v>3280232179.37066</v>
      </c>
      <c r="V19" s="1" t="n">
        <v>3448459218.28708</v>
      </c>
      <c r="W19" s="1" t="n">
        <v>3799991031.3938</v>
      </c>
      <c r="X19" s="1" t="n">
        <v>3917784321.06725</v>
      </c>
      <c r="Y19" s="1" t="n">
        <v>4022153748.04317</v>
      </c>
      <c r="Z19" s="1" t="n">
        <v>4113760894.03561</v>
      </c>
      <c r="AA19" s="1" t="n">
        <v>4266476664.78923</v>
      </c>
      <c r="AB19" s="1" t="n">
        <v>4293532388.18818</v>
      </c>
      <c r="AC19" s="1" t="n">
        <v>5013281086.43198</v>
      </c>
      <c r="AD19" s="1" t="n">
        <v>5926924506.10066</v>
      </c>
      <c r="AE19" s="1" t="n">
        <v>7508595194.83324</v>
      </c>
      <c r="AF19" s="1" t="n">
        <v>7645910419.32733</v>
      </c>
      <c r="AG19" s="1" t="n">
        <v>7481018310.52889</v>
      </c>
      <c r="AH19" s="1" t="n">
        <v>7095937050.26677</v>
      </c>
      <c r="AI19" s="1" t="n">
        <v>7425854929.75025</v>
      </c>
      <c r="AJ19" s="1" t="n">
        <v>7767435761.06049</v>
      </c>
      <c r="AK19" s="1" t="n">
        <v>8192920226.56041</v>
      </c>
      <c r="AL19" s="1" t="n">
        <v>8689820575.6493</v>
      </c>
      <c r="AM19" s="1" t="n">
        <v>8490548112.94234</v>
      </c>
      <c r="AN19" s="1" t="n">
        <v>3553628817.09235</v>
      </c>
      <c r="AO19" s="1"/>
    </row>
    <row r="20">
      <c r="A20" t="str">
        <f>M20</f>
      </c>
      <c r="B20" t="str">
        <f>N20</f>
      </c>
      <c r="M20" t="s">
        <v>31</v>
      </c>
      <c r="N20" t="s">
        <v>36</v>
      </c>
      <c r="O20" s="1" t="n">
        <v>101733963.37671</v>
      </c>
      <c r="P20" s="1" t="n">
        <v>350393270.916777</v>
      </c>
      <c r="Q20" s="1" t="n">
        <v>153167771.296907</v>
      </c>
      <c r="R20" s="1" t="n">
        <v>100476207.427007</v>
      </c>
      <c r="S20" s="1" t="n">
        <v>308616305.140944</v>
      </c>
      <c r="T20" s="1" t="n">
        <v>112139573.705394</v>
      </c>
      <c r="U20" s="1" t="n">
        <v>51502256.7877088</v>
      </c>
      <c r="V20" s="1" t="n">
        <v>13164091.6359301</v>
      </c>
      <c r="W20" s="1" t="n">
        <v>22325163.4871817</v>
      </c>
      <c r="X20" s="1" t="n">
        <v>22883246.2448115</v>
      </c>
      <c r="Y20" s="1" t="n">
        <v>14835589.0274484</v>
      </c>
      <c r="Z20" s="1" t="n">
        <v>1996887.59249695</v>
      </c>
      <c r="AA20" s="1" t="n">
        <v>170519.234443696</v>
      </c>
      <c r="AB20" s="1" t="n">
        <v>-172507.565556317</v>
      </c>
      <c r="AC20" s="1"/>
      <c r="AD20" s="1"/>
      <c r="AE20" s="1"/>
      <c r="AF20" s="1" t="n">
        <v>-7773.61303556331</v>
      </c>
      <c r="AG20" s="1"/>
      <c r="AH20" s="1"/>
      <c r="AI20" s="1"/>
      <c r="AJ20" s="1"/>
      <c r="AK20" s="1"/>
      <c r="AL20" s="1"/>
      <c r="AM20" s="1"/>
      <c r="AN20" s="1"/>
      <c r="AO20" s="1"/>
    </row>
    <row r="21">
      <c r="A21" t="str">
        <f>M21</f>
      </c>
      <c r="B21" t="str">
        <f>N21</f>
      </c>
      <c r="M21"/>
      <c r="N2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 t="n">
        <v>0</v>
      </c>
      <c r="AH21" s="1"/>
      <c r="AI21" s="1" t="n">
        <v>0</v>
      </c>
      <c r="AJ21" s="1" t="n">
        <v>34881.1276745593</v>
      </c>
      <c r="AK21" s="1"/>
      <c r="AL21" s="1" t="n">
        <v>0</v>
      </c>
      <c r="AM21" s="1" t="n">
        <v>2750390.3094018</v>
      </c>
      <c r="AN21" s="1" t="n">
        <v>522997.306551374</v>
      </c>
      <c r="AO21" s="1"/>
    </row>
    <row r="22">
      <c r="A22" t="str">
        <f>M22</f>
      </c>
      <c r="B22" t="str">
        <f>N22</f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../output/FedAcqTrends/Customer//NASA/NASA_Contracts.xlsx</dc:creator>
  <cp:lastModifiedBy>../output/FedAcqTrends/Customer//NASA/NASA_Contracts.xlsx</cp:lastModifiedBy>
  <dcterms:created xsi:type="dcterms:W3CDTF">2025-11-16T16:54:55Z</dcterms:created>
</coreProperties>
</file>