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<sst xmlns="http://schemas.openxmlformats.org/spreadsheetml/2006/main" count="19" uniqueCount="19">
  <si>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Vehicle.AwardTask</t>
  </si>
  <si>
    <t xml:space="preserve">Vehicle.sum7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</si>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</sst>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</row>
    <row r="2">
      <c r="A2" t="str">
        <f>M2</f>
      </c>
      <c r="B2" t="str">
        <f>N2</f>
      </c>
      <c r="M2" t="s">
        <v>9</v>
      </c>
      <c r="N2" t="s">
        <v>10</v>
      </c>
      <c r="O2" s="1"/>
      <c r="P2" s="1" t="n">
        <v>61648</v>
      </c>
      <c r="Q2" s="1" t="n">
        <v>26664</v>
      </c>
      <c r="R2" s="1"/>
      <c r="S2" s="1"/>
      <c r="T2" s="1" t="n">
        <v>268420</v>
      </c>
      <c r="U2" s="1"/>
      <c r="V2" s="1"/>
    </row>
    <row r="3">
      <c r="A3" t="str">
        <f>M3</f>
      </c>
      <c r="B3" t="str">
        <f>N3</f>
      </c>
      <c r="M3" t="s">
        <v>9</v>
      </c>
      <c r="N3" t="s">
        <v>11</v>
      </c>
      <c r="O3" s="1" t="n">
        <v>892013.26</v>
      </c>
      <c r="P3" s="1" t="n">
        <v>317775.63</v>
      </c>
      <c r="Q3" s="1" t="n">
        <v>-45887.51</v>
      </c>
      <c r="R3" s="1" t="n">
        <v>245615.25</v>
      </c>
      <c r="S3" s="1" t="n">
        <v>16000</v>
      </c>
      <c r="T3" s="1" t="n">
        <v>612461.98</v>
      </c>
      <c r="U3" s="1" t="n">
        <v>267632.1</v>
      </c>
      <c r="V3" s="1"/>
    </row>
    <row r="4">
      <c r="A4" t="str">
        <f>M4</f>
      </c>
      <c r="B4" t="str">
        <f>N4</f>
      </c>
      <c r="M4" t="s">
        <v>12</v>
      </c>
      <c r="N4" t="s">
        <v>13</v>
      </c>
      <c r="O4" s="1"/>
      <c r="P4" s="1"/>
      <c r="Q4" s="1" t="n">
        <v>88523.2</v>
      </c>
      <c r="R4" s="1"/>
      <c r="S4" s="1"/>
      <c r="T4" s="1"/>
      <c r="U4" s="1"/>
      <c r="V4" s="1"/>
    </row>
    <row r="5">
      <c r="A5" t="str">
        <f>M5</f>
      </c>
      <c r="B5" t="str">
        <f>N5</f>
      </c>
      <c r="M5" t="s">
        <v>12</v>
      </c>
      <c r="N5" t="s">
        <v>14</v>
      </c>
      <c r="O5" s="1" t="n">
        <v>1279194.4938</v>
      </c>
      <c r="P5" s="1" t="n">
        <v>1745002.3192</v>
      </c>
      <c r="Q5" s="1" t="n">
        <v>2174734.4625</v>
      </c>
      <c r="R5" s="1" t="n">
        <v>3359951.9786</v>
      </c>
      <c r="S5" s="1" t="n">
        <v>641244.3538</v>
      </c>
      <c r="T5" s="1" t="n">
        <v>853281.13</v>
      </c>
      <c r="U5" s="1" t="n">
        <v>348190.07</v>
      </c>
      <c r="V5" s="1"/>
    </row>
    <row r="6">
      <c r="A6" t="str">
        <f>M6</f>
      </c>
      <c r="B6" t="str">
        <f>N6</f>
      </c>
      <c r="M6" t="s">
        <v>12</v>
      </c>
      <c r="N6" t="s">
        <v>15</v>
      </c>
      <c r="O6" s="1" t="n">
        <v>163047.1597</v>
      </c>
      <c r="P6" s="1" t="n">
        <v>139380.96</v>
      </c>
      <c r="Q6" s="1"/>
      <c r="R6" s="1"/>
      <c r="S6" s="1"/>
      <c r="T6" s="1"/>
      <c r="U6" s="1"/>
      <c r="V6" s="1"/>
    </row>
    <row r="7">
      <c r="A7" t="str">
        <f>M7</f>
      </c>
      <c r="B7" t="str">
        <f>N7</f>
      </c>
      <c r="M7" t="s">
        <v>12</v>
      </c>
      <c r="N7" t="s">
        <v>16</v>
      </c>
      <c r="O7" s="1" t="n">
        <v>-5000</v>
      </c>
      <c r="P7" s="1"/>
      <c r="Q7" s="1" t="n">
        <v>65000</v>
      </c>
      <c r="R7" s="1"/>
      <c r="S7" s="1"/>
      <c r="T7" s="1"/>
      <c r="U7" s="1" t="n">
        <v>177650</v>
      </c>
      <c r="V7" s="1"/>
    </row>
    <row r="8">
      <c r="A8" t="str">
        <f>M8</f>
      </c>
      <c r="B8" t="str">
        <f>N8</f>
      </c>
      <c r="M8" t="s">
        <v>17</v>
      </c>
      <c r="N8" t="s">
        <v>18</v>
      </c>
      <c r="O8" s="1" t="str">
        <f>Sum(O2:O7)</f>
      </c>
      <c r="P8" s="1" t="str">
        <f>Sum(P2:P7)</f>
      </c>
      <c r="Q8" s="1" t="str">
        <f>Sum(Q2:Q7)</f>
      </c>
      <c r="R8" s="1" t="str">
        <f>Sum(R2:R7)</f>
      </c>
      <c r="S8" s="1" t="str">
        <f>Sum(S2:S7)</f>
      </c>
      <c r="T8" s="1" t="str">
        <f>Sum(T2:T7)</f>
      </c>
      <c r="U8" s="1" t="str">
        <f>Sum(U2:U7)</f>
      </c>
      <c r="V8" s="1"/>
    </row>
    <row r="11">
      <c r="A11" t="str">
        <f>M11</f>
      </c>
      <c r="B11" t="str">
        <f>N11</f>
      </c>
      <c r="M11" t="s">
        <v>0</v>
      </c>
      <c r="N11" t="s">
        <v>1</v>
      </c>
      <c r="O11" t="s">
        <v>2</v>
      </c>
      <c r="P11" t="s">
        <v>3</v>
      </c>
      <c r="Q11" t="s">
        <v>4</v>
      </c>
      <c r="R11" t="s">
        <v>5</v>
      </c>
      <c r="S11" t="s">
        <v>6</v>
      </c>
      <c r="T11" t="s">
        <v>7</v>
      </c>
      <c r="U11" t="s">
        <v>8</v>
      </c>
    </row>
    <row r="12">
      <c r="A12" t="str">
        <f>M12</f>
      </c>
      <c r="B12" t="str">
        <f>N12</f>
      </c>
      <c r="M12" t="s">
        <v>9</v>
      </c>
      <c r="N12" t="s">
        <v>10</v>
      </c>
      <c r="O12" s="1"/>
      <c r="P12" s="1" t="n">
        <v>71350.8235411404</v>
      </c>
      <c r="Q12" s="1" t="n">
        <v>29833.8632446859</v>
      </c>
      <c r="R12" s="1"/>
      <c r="S12" s="1"/>
      <c r="T12" s="1" t="n">
        <v>261438.038871163</v>
      </c>
      <c r="U12" s="1"/>
      <c r="V12" s="1"/>
    </row>
    <row r="13">
      <c r="A13" t="str">
        <f>M13</f>
      </c>
      <c r="B13" t="str">
        <f>N13</f>
      </c>
      <c r="M13" t="s">
        <v>9</v>
      </c>
      <c r="N13" t="s">
        <v>11</v>
      </c>
      <c r="O13" s="1" t="n">
        <v>1045894.32996786</v>
      </c>
      <c r="P13" s="1" t="n">
        <v>367790.567444276</v>
      </c>
      <c r="Q13" s="1" t="n">
        <v>-51342.6979440127</v>
      </c>
      <c r="R13" s="1" t="n">
        <v>256851.311298465</v>
      </c>
      <c r="S13" s="1" t="n">
        <v>16000</v>
      </c>
      <c r="T13" s="1" t="n">
        <v>596531.029484947</v>
      </c>
      <c r="U13" s="1" t="n">
        <v>255073.785510769</v>
      </c>
      <c r="V13" s="1"/>
    </row>
    <row r="14">
      <c r="A14" t="str">
        <f>M14</f>
      </c>
      <c r="B14" t="str">
        <f>N14</f>
      </c>
      <c r="M14" t="s">
        <v>12</v>
      </c>
      <c r="N14" t="s">
        <v>13</v>
      </c>
      <c r="O14" s="1"/>
      <c r="P14" s="1"/>
      <c r="Q14" s="1" t="n">
        <v>99046.9938037044</v>
      </c>
      <c r="R14" s="1"/>
      <c r="S14" s="1"/>
      <c r="T14" s="1"/>
      <c r="U14" s="1"/>
      <c r="V14" s="1"/>
    </row>
    <row r="15">
      <c r="A15" t="str">
        <f>M15</f>
      </c>
      <c r="B15" t="str">
        <f>N15</f>
      </c>
      <c r="M15" t="s">
        <v>12</v>
      </c>
      <c r="N15" t="s">
        <v>14</v>
      </c>
      <c r="O15" s="1" t="n">
        <v>1499868.13872198</v>
      </c>
      <c r="P15" s="1" t="n">
        <v>2019649.50292175</v>
      </c>
      <c r="Q15" s="1" t="n">
        <v>2433270.72261215</v>
      </c>
      <c r="R15" s="1" t="n">
        <v>3513658.34003908</v>
      </c>
      <c r="S15" s="1" t="n">
        <v>641244.3538</v>
      </c>
      <c r="T15" s="1" t="n">
        <v>831086.153166568</v>
      </c>
      <c r="U15" s="1" t="n">
        <v>331851.669632154</v>
      </c>
      <c r="V15" s="1"/>
    </row>
    <row r="16">
      <c r="A16" t="str">
        <f>M16</f>
      </c>
      <c r="B16" t="str">
        <f>N16</f>
      </c>
      <c r="M16" t="s">
        <v>12</v>
      </c>
      <c r="N16" t="s">
        <v>15</v>
      </c>
      <c r="O16" s="1" t="n">
        <v>191174.400084136</v>
      </c>
      <c r="P16" s="1" t="n">
        <v>161318.230631241</v>
      </c>
      <c r="Q16" s="1"/>
      <c r="R16" s="1"/>
      <c r="S16" s="1"/>
      <c r="T16" s="1"/>
      <c r="U16" s="1"/>
      <c r="V16" s="1"/>
    </row>
    <row r="17">
      <c r="A17" t="str">
        <f>M17</f>
      </c>
      <c r="B17" t="str">
        <f>N17</f>
      </c>
      <c r="M17" t="s">
        <v>12</v>
      </c>
      <c r="N17" t="s">
        <v>16</v>
      </c>
      <c r="O17" s="1" t="n">
        <v>-5862.54922918892</v>
      </c>
      <c r="P17" s="1"/>
      <c r="Q17" s="1" t="n">
        <v>72727.3143903608</v>
      </c>
      <c r="R17" s="1"/>
      <c r="S17" s="1"/>
      <c r="T17" s="1"/>
      <c r="U17" s="1" t="n">
        <v>169313.987357974</v>
      </c>
      <c r="V17" s="1"/>
    </row>
    <row r="18">
      <c r="A18" t="str">
        <f>M18</f>
      </c>
      <c r="B18" t="str">
        <f>N18</f>
      </c>
      <c r="O18" s="1"/>
      <c r="P18" s="1"/>
      <c r="Q18" s="1"/>
      <c r="R18" s="1"/>
      <c r="S18" s="1"/>
      <c r="T18" s="1"/>
      <c r="U18" s="1"/>
      <c r="V1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../output/FedAcqTrends/Customer//NATIONAL_ENDOWMENT_FOR_THE_HUMANITIES/NATIONAL_ENDOWMENT_FOR_THE_HUMANITIES_Contracts.xlsx</dc:creator>
  <cp:lastModifiedBy>../output/FedAcqTrends/Customer//NATIONAL_ENDOWMENT_FOR_THE_HUMANITIES/NATIONAL_ENDOWMENT_FOR_THE_HUMANITIES_Contracts.xlsx</cp:lastModifiedBy>
  <dcterms:created xsi:type="dcterms:W3CDTF">2025-11-16T16:54:58Z</dcterms:created>
</coreProperties>
</file>