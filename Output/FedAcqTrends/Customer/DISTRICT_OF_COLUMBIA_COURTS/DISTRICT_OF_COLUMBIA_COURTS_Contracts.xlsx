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YQ" sheetId="1" state="visible" r:id="rId1"/>
    <sheet name="Veh" sheetId="2" state="visible" r:id="rId2"/>
    <sheet name="Price" sheetId="3" state="visible" r:id="rId3"/>
    <sheet name="PSR" sheetId="4" state="visible" r:id="rId4"/>
  </sheets>
</workbook>
</file>

<file path=xl/sharedStrings.xml><?xml version="1.0" encoding="utf-8"?>
<sst xmlns="http://schemas.openxmlformats.org/spreadsheetml/2006/main" count="26" uniqueCount="26">
  <si>
    <t xml:space="preserve">Vehicle.AwardTask</t>
  </si>
  <si>
    <t xml:space="preserve">Vehicle.sum7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</si>
  <si>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</si>
  <si>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</si>
  <si>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</si>
  <si>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</si>
  <si>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</si>
  <si>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Award</t>
  </si>
  <si>
    <t xml:space="preserve">Pur. Order</t>
  </si>
  <si>
    <t xml:space="preserve">Grand Total</t>
  </si>
  <si>
    <t xml:space="preserve"/>
  </si>
  <si>
    <t xml:space="preserve">PricingUCA.sum</t>
  </si>
  <si>
    <t xml:space="preserve">PricingUCA</t>
  </si>
  <si>
    <t xml:space="preserve">Cost or Effort-Based</t>
  </si>
  <si>
    <t xml:space="preserve">Other CB</t>
  </si>
  <si>
    <t xml:space="preserve">T&amp;M/LH/FPLOE</t>
  </si>
  <si>
    <t xml:space="preserve">Crosscutting</t>
  </si>
  <si>
    <t xml:space="preserve">UCA</t>
  </si>
  <si>
    <t xml:space="preserve">Fixed-Price</t>
  </si>
  <si>
    <t xml:space="preserve">FFP</t>
  </si>
  <si>
    <t xml:space="preserve">Other FP</t>
  </si>
  <si>
    <t xml:space="preserve">SimpleArea</t>
  </si>
  <si>
    <t xml:space="preserve">Products (All)</t>
  </si>
  <si>
    <t xml:space="preserve">R&amp;D</t>
  </si>
  <si>
    <t xml:space="preserve">Services (Non-R&amp;D)</t>
  </si>
  <si>
    <t xml:space="preserve">Unlabeled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</si>
</sst>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6" formatCode="0.00,,,&quot;B&quot;"/>
    <numFmt numFmtId="167" formatCode="0.00,,,&quot;B&quot;"/>
    <numFmt numFmtId="168" formatCode="0.00,,,&quot;B&quot;"/>
    <numFmt numFmtId="169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66" fontId="1" fillId="0" borderId="0" xfId="0" applyFont="1" applyNumberFormat="1"/>
    <xf numFmtId="167" fontId="1" fillId="0" borderId="0" xfId="0" applyFont="1" applyNumberFormat="1"/>
    <xf numFmtId="168" fontId="1" fillId="0" borderId="0" xfId="0" applyFont="1" applyNumberFormat="1"/>
    <xf numFmtId="169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</row>
    <row r="2">
      <c r="A2" t="str">
        <f>M2</f>
      </c>
      <c r="B2" t="str">
        <f>N2</f>
      </c>
      <c r="M2" t="s">
        <v>7</v>
      </c>
      <c r="N2" t="s">
        <v>8</v>
      </c>
      <c r="O2" s="1" t="n">
        <v>31201876.44</v>
      </c>
      <c r="P2" s="1" t="n">
        <v>40421520.2</v>
      </c>
      <c r="Q2" s="1" t="n">
        <v>36765139.79</v>
      </c>
      <c r="R2" s="1" t="n">
        <v>62508044.2</v>
      </c>
      <c r="S2" s="1" t="n">
        <v>21487661.93</v>
      </c>
      <c r="T2" s="1"/>
    </row>
    <row r="3">
      <c r="A3" t="str">
        <f>M3</f>
      </c>
      <c r="B3" t="str">
        <f>N3</f>
      </c>
      <c r="M3" t="s">
        <v>9</v>
      </c>
      <c r="N3" t="s">
        <v>10</v>
      </c>
      <c r="O3" s="1" t="str">
        <f>Sum(O2:O2)</f>
      </c>
      <c r="P3" s="1" t="str">
        <f>Sum(P2:P2)</f>
      </c>
      <c r="Q3" s="1" t="str">
        <f>Sum(Q2:Q2)</f>
      </c>
      <c r="R3" s="1" t="str">
        <f>Sum(R2:R2)</f>
      </c>
      <c r="S3" s="1" t="str">
        <f>Sum(S2:S2)</f>
      </c>
      <c r="T3" s="1"/>
    </row>
    <row r="6">
      <c r="A6" t="str">
        <f>M6</f>
      </c>
      <c r="B6" t="str">
        <f>N6</f>
      </c>
      <c r="M6" t="s">
        <v>0</v>
      </c>
      <c r="N6" t="s">
        <v>1</v>
      </c>
      <c r="O6" t="s">
        <v>2</v>
      </c>
      <c r="P6" t="s">
        <v>3</v>
      </c>
      <c r="Q6" t="s">
        <v>4</v>
      </c>
      <c r="R6" t="s">
        <v>5</v>
      </c>
      <c r="S6" t="s">
        <v>6</v>
      </c>
    </row>
    <row r="7">
      <c r="A7" t="str">
        <f>M7</f>
      </c>
      <c r="B7" t="str">
        <f>N7</f>
      </c>
      <c r="M7" t="s">
        <v>7</v>
      </c>
      <c r="N7" t="s">
        <v>8</v>
      </c>
      <c r="O7" s="1" t="n">
        <v>34911210.4218626</v>
      </c>
      <c r="P7" s="1" t="n">
        <v>42270667.1025004</v>
      </c>
      <c r="Q7" s="1" t="n">
        <v>36765139.79</v>
      </c>
      <c r="R7" s="1" t="n">
        <v>60882126.8509052</v>
      </c>
      <c r="S7" s="1" t="n">
        <v>20479379.2308947</v>
      </c>
      <c r="T7" s="1"/>
    </row>
    <row r="8">
      <c r="A8" t="str">
        <f>M8</f>
      </c>
      <c r="B8" t="str">
        <f>N8</f>
      </c>
      <c r="O8" s="1"/>
      <c r="P8" s="1"/>
      <c r="Q8" s="1"/>
      <c r="R8" s="1"/>
      <c r="S8" s="1"/>
      <c r="T8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</row>
    <row r="2">
      <c r="A2" t="str">
        <f>N2</f>
      </c>
      <c r="B2" t="str">
        <f>O2</f>
      </c>
      <c r="N2" t="s">
        <v>7</v>
      </c>
      <c r="O2" t="s">
        <v>8</v>
      </c>
      <c r="P2" s="2" t="n">
        <v>31201876.44</v>
      </c>
      <c r="Q2" s="2" t="n">
        <v>40421520.2</v>
      </c>
      <c r="R2" s="2" t="n">
        <v>36765139.79</v>
      </c>
      <c r="S2" s="2" t="n">
        <v>62508044.2</v>
      </c>
      <c r="T2" s="2" t="n">
        <v>21487661.93</v>
      </c>
      <c r="U2" s="2"/>
    </row>
    <row r="3">
      <c r="A3" t="str">
        <f>N3</f>
      </c>
      <c r="B3" t="str">
        <f>O3</f>
      </c>
      <c r="N3" t="s">
        <v>9</v>
      </c>
      <c r="O3" t="s">
        <v>10</v>
      </c>
      <c r="P3" s="2" t="str">
        <f>Sum(P2:P2)</f>
      </c>
      <c r="Q3" s="2" t="str">
        <f>Sum(Q2:Q2)</f>
      </c>
      <c r="R3" s="2" t="str">
        <f>Sum(R2:R2)</f>
      </c>
      <c r="S3" s="2" t="str">
        <f>Sum(S2:S2)</f>
      </c>
      <c r="T3" s="2" t="str">
        <f>Sum(T2:T2)</f>
      </c>
      <c r="U3" s="2"/>
    </row>
    <row r="6">
      <c r="A6" t="str">
        <f>N6</f>
      </c>
      <c r="B6" t="str">
        <f>O6</f>
      </c>
      <c r="N6" t="s">
        <v>0</v>
      </c>
      <c r="O6" t="s">
        <v>1</v>
      </c>
      <c r="P6" t="s">
        <v>2</v>
      </c>
      <c r="Q6" t="s">
        <v>3</v>
      </c>
      <c r="R6" t="s">
        <v>4</v>
      </c>
      <c r="S6" t="s">
        <v>5</v>
      </c>
      <c r="T6" t="s">
        <v>6</v>
      </c>
    </row>
    <row r="7">
      <c r="A7" t="str">
        <f>N7</f>
      </c>
      <c r="B7" t="str">
        <f>O7</f>
      </c>
      <c r="N7" t="s">
        <v>7</v>
      </c>
      <c r="O7" t="s">
        <v>8</v>
      </c>
      <c r="P7" s="2" t="n">
        <v>34911210.4218626</v>
      </c>
      <c r="Q7" s="2" t="n">
        <v>42270667.1025004</v>
      </c>
      <c r="R7" s="2" t="n">
        <v>36765139.79</v>
      </c>
      <c r="S7" s="2" t="n">
        <v>60882126.8509052</v>
      </c>
      <c r="T7" s="2" t="n">
        <v>20479379.2308947</v>
      </c>
      <c r="U7" s="2"/>
    </row>
    <row r="8">
      <c r="A8" t="str">
        <f>N8</f>
      </c>
      <c r="B8" t="str">
        <f>O8</f>
      </c>
      <c r="P8" s="2"/>
      <c r="Q8" s="2"/>
      <c r="R8" s="2"/>
      <c r="S8" s="2"/>
      <c r="T8" s="2"/>
      <c r="U8" s="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11</v>
      </c>
      <c r="O1" t="s">
        <v>12</v>
      </c>
      <c r="P1" t="s">
        <v>2</v>
      </c>
      <c r="Q1" t="s">
        <v>3</v>
      </c>
      <c r="R1" t="s">
        <v>4</v>
      </c>
      <c r="S1" t="s">
        <v>5</v>
      </c>
      <c r="T1" t="s">
        <v>6</v>
      </c>
    </row>
    <row r="2">
      <c r="A2" t="str">
        <f>N2</f>
      </c>
      <c r="B2" t="str">
        <f>O2</f>
      </c>
      <c r="N2" t="s">
        <v>13</v>
      </c>
      <c r="O2" t="s">
        <v>14</v>
      </c>
      <c r="P2" s="3"/>
      <c r="Q2" s="3"/>
      <c r="R2" s="3"/>
      <c r="S2" s="3" t="n">
        <v>63000</v>
      </c>
      <c r="T2" s="3" t="n">
        <v>357295</v>
      </c>
      <c r="U2" s="3"/>
    </row>
    <row r="3">
      <c r="A3" t="str">
        <f>N3</f>
      </c>
      <c r="B3" t="str">
        <f>O3</f>
      </c>
      <c r="N3" t="s">
        <v>13</v>
      </c>
      <c r="O3" t="s">
        <v>15</v>
      </c>
      <c r="P3" s="3" t="n">
        <v>180000</v>
      </c>
      <c r="Q3" s="3" t="n">
        <v>971062.5</v>
      </c>
      <c r="R3" s="3" t="n">
        <v>919156.48</v>
      </c>
      <c r="S3" s="3" t="n">
        <v>2843254.47</v>
      </c>
      <c r="T3" s="3"/>
      <c r="U3" s="3"/>
    </row>
    <row r="4">
      <c r="A4" t="str">
        <f>N4</f>
      </c>
      <c r="B4" t="str">
        <f>O4</f>
      </c>
      <c r="N4" t="s">
        <v>16</v>
      </c>
      <c r="O4" t="s">
        <v>17</v>
      </c>
      <c r="P4" s="3" t="n">
        <v>10750</v>
      </c>
      <c r="Q4" s="3"/>
      <c r="R4" s="3" t="n">
        <v>65000</v>
      </c>
      <c r="S4" s="3" t="n">
        <v>1313439.32</v>
      </c>
      <c r="T4" s="3"/>
      <c r="U4" s="3"/>
    </row>
    <row r="5">
      <c r="A5" t="str">
        <f>N5</f>
      </c>
      <c r="B5" t="str">
        <f>O5</f>
      </c>
      <c r="N5" t="s">
        <v>18</v>
      </c>
      <c r="O5" t="s">
        <v>19</v>
      </c>
      <c r="P5" s="3" t="n">
        <v>31011126.44</v>
      </c>
      <c r="Q5" s="3" t="n">
        <v>39450457.7</v>
      </c>
      <c r="R5" s="3" t="n">
        <v>35780983.31</v>
      </c>
      <c r="S5" s="3" t="n">
        <v>58258828.61</v>
      </c>
      <c r="T5" s="3" t="n">
        <v>21130366.93</v>
      </c>
      <c r="U5" s="3"/>
    </row>
    <row r="6">
      <c r="A6" t="str">
        <f>N6</f>
      </c>
      <c r="B6" t="str">
        <f>O6</f>
      </c>
      <c r="N6" t="s">
        <v>18</v>
      </c>
      <c r="O6" t="s">
        <v>20</v>
      </c>
      <c r="P6" s="3"/>
      <c r="Q6" s="3"/>
      <c r="R6" s="3"/>
      <c r="S6" s="3" t="n">
        <v>29521.8</v>
      </c>
      <c r="T6" s="3"/>
      <c r="U6" s="3"/>
    </row>
    <row r="7">
      <c r="A7" t="str">
        <f>N7</f>
      </c>
      <c r="B7" t="str">
        <f>O7</f>
      </c>
      <c r="N7" t="s">
        <v>9</v>
      </c>
      <c r="O7" t="s">
        <v>10</v>
      </c>
      <c r="P7" s="3" t="str">
        <f>Sum(P2:P6)</f>
      </c>
      <c r="Q7" s="3" t="str">
        <f>Sum(Q2:Q6)</f>
      </c>
      <c r="R7" s="3" t="str">
        <f>Sum(R2:R6)</f>
      </c>
      <c r="S7" s="3" t="str">
        <f>Sum(S2:S6)</f>
      </c>
      <c r="T7" s="3" t="str">
        <f>Sum(T2:T6)</f>
      </c>
      <c r="U7" s="3"/>
    </row>
    <row r="10">
      <c r="A10" t="str">
        <f>N10</f>
      </c>
      <c r="B10" t="str">
        <f>O10</f>
      </c>
      <c r="N10" t="s">
        <v>11</v>
      </c>
      <c r="O10" t="s">
        <v>12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</row>
    <row r="11">
      <c r="A11" t="str">
        <f>N11</f>
      </c>
      <c r="B11" t="str">
        <f>O11</f>
      </c>
      <c r="N11" t="s">
        <v>13</v>
      </c>
      <c r="O11" t="s">
        <v>14</v>
      </c>
      <c r="P11" s="3"/>
      <c r="Q11" s="3"/>
      <c r="R11" s="3"/>
      <c r="S11" s="3" t="n">
        <v>61361.2862263739</v>
      </c>
      <c r="T11" s="3" t="n">
        <v>340529.361739754</v>
      </c>
      <c r="U11" s="3"/>
    </row>
    <row r="12">
      <c r="A12" t="str">
        <f>N12</f>
      </c>
      <c r="B12" t="str">
        <f>O12</f>
      </c>
      <c r="N12" t="s">
        <v>13</v>
      </c>
      <c r="O12" t="s">
        <v>15</v>
      </c>
      <c r="P12" s="3" t="n">
        <v>201398.716773307</v>
      </c>
      <c r="Q12" s="3" t="n">
        <v>1015485.30263396</v>
      </c>
      <c r="R12" s="3" t="n">
        <v>919156.48</v>
      </c>
      <c r="S12" s="3" t="n">
        <v>2769297.64044583</v>
      </c>
      <c r="T12" s="3"/>
      <c r="U12" s="3"/>
    </row>
    <row r="13">
      <c r="A13" t="str">
        <f>N13</f>
      </c>
      <c r="B13" t="str">
        <f>O13</f>
      </c>
      <c r="N13" t="s">
        <v>16</v>
      </c>
      <c r="O13" t="s">
        <v>17</v>
      </c>
      <c r="P13" s="3" t="n">
        <v>12027.9789184058</v>
      </c>
      <c r="Q13" s="3"/>
      <c r="R13" s="3" t="n">
        <v>65000</v>
      </c>
      <c r="S13" s="3" t="n">
        <v>1279275.01675387</v>
      </c>
      <c r="T13" s="3"/>
      <c r="U13" s="3"/>
    </row>
    <row r="14">
      <c r="A14" t="str">
        <f>N14</f>
      </c>
      <c r="B14" t="str">
        <f>O14</f>
      </c>
      <c r="N14" t="s">
        <v>18</v>
      </c>
      <c r="O14" t="s">
        <v>19</v>
      </c>
      <c r="P14" s="3" t="n">
        <v>34697783.7261709</v>
      </c>
      <c r="Q14" s="3" t="n">
        <v>41255181.7998664</v>
      </c>
      <c r="R14" s="3" t="n">
        <v>35780983.31</v>
      </c>
      <c r="S14" s="3" t="n">
        <v>56743439.0087535</v>
      </c>
      <c r="T14" s="3" t="n">
        <v>20138849.8691549</v>
      </c>
      <c r="U14" s="3"/>
    </row>
    <row r="15">
      <c r="A15" t="str">
        <f>N15</f>
      </c>
      <c r="B15" t="str">
        <f>O15</f>
      </c>
      <c r="N15" t="s">
        <v>18</v>
      </c>
      <c r="O15" t="s">
        <v>20</v>
      </c>
      <c r="P15" s="3"/>
      <c r="Q15" s="3"/>
      <c r="R15" s="3"/>
      <c r="S15" s="3" t="n">
        <v>28753.8987256788</v>
      </c>
      <c r="T15" s="3"/>
      <c r="U15" s="3"/>
    </row>
    <row r="16">
      <c r="A16" t="str">
        <f>N16</f>
      </c>
      <c r="B16" t="str">
        <f>O16</f>
      </c>
      <c r="P16" s="3"/>
      <c r="Q16" s="3"/>
      <c r="R16" s="3"/>
      <c r="S16" s="3"/>
      <c r="T16" s="3"/>
      <c r="U16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21</v>
      </c>
      <c r="N1" t="s">
        <v>2</v>
      </c>
      <c r="O1" t="s">
        <v>3</v>
      </c>
      <c r="P1" t="s">
        <v>4</v>
      </c>
      <c r="Q1" t="s">
        <v>5</v>
      </c>
      <c r="R1" t="s">
        <v>6</v>
      </c>
    </row>
    <row r="2">
      <c r="A2" t="str">
        <f>M2</f>
      </c>
      <c r="M2" t="s">
        <v>22</v>
      </c>
      <c r="N2" s="4" t="n">
        <v>7150362.02</v>
      </c>
      <c r="O2" s="4" t="n">
        <v>6333930.63</v>
      </c>
      <c r="P2" s="4" t="n">
        <v>7549987.1</v>
      </c>
      <c r="Q2" s="4" t="n">
        <v>10821462.59</v>
      </c>
      <c r="R2" s="4" t="n">
        <v>3925677.69</v>
      </c>
      <c r="S2" s="4"/>
      <c r="T2" s="4"/>
    </row>
    <row r="3">
      <c r="A3" t="str">
        <f>M3</f>
      </c>
      <c r="M3" t="s">
        <v>23</v>
      </c>
      <c r="N3" s="4"/>
      <c r="O3" s="4" t="n">
        <v>510393.54</v>
      </c>
      <c r="P3" s="4" t="n">
        <v>634018.23</v>
      </c>
      <c r="Q3" s="4" t="n">
        <v>316697.66</v>
      </c>
      <c r="R3" s="4" t="n">
        <v>337175</v>
      </c>
      <c r="S3" s="4"/>
      <c r="T3" s="4"/>
    </row>
    <row r="4">
      <c r="A4" t="str">
        <f>M4</f>
      </c>
      <c r="M4" t="s">
        <v>24</v>
      </c>
      <c r="N4" s="4" t="n">
        <v>24051514.42</v>
      </c>
      <c r="O4" s="4" t="n">
        <v>33577196.03</v>
      </c>
      <c r="P4" s="4" t="n">
        <v>28581134.46</v>
      </c>
      <c r="Q4" s="4" t="n">
        <v>51369883.95</v>
      </c>
      <c r="R4" s="4" t="n">
        <v>17066089.24</v>
      </c>
      <c r="S4" s="4"/>
      <c r="T4" s="4"/>
    </row>
    <row r="5">
      <c r="A5" t="str">
        <f>M5</f>
      </c>
      <c r="M5" t="s">
        <v>25</v>
      </c>
      <c r="N5" s="4"/>
      <c r="O5" s="4"/>
      <c r="P5" s="4"/>
      <c r="Q5" s="4"/>
      <c r="R5" s="4" t="n">
        <v>158720</v>
      </c>
      <c r="S5" s="4"/>
      <c r="T5" s="4"/>
    </row>
    <row r="6">
      <c r="A6" t="str">
        <f>M6</f>
      </c>
      <c r="M6" t="s">
        <v>9</v>
      </c>
      <c r="N6" s="4" t="str">
        <f>Sum(N2:N5)</f>
      </c>
      <c r="O6" s="4" t="str">
        <f>Sum(O2:O5)</f>
      </c>
      <c r="P6" s="4" t="str">
        <f>Sum(P2:P5)</f>
      </c>
      <c r="Q6" s="4" t="str">
        <f>Sum(Q2:Q5)</f>
      </c>
      <c r="R6" s="4" t="str">
        <f>Sum(R2:R5)</f>
      </c>
      <c r="S6" s="4" t="str">
        <f>Sum(S2:S5)</f>
      </c>
      <c r="T6" s="4"/>
    </row>
    <row r="9">
      <c r="A9" t="str">
        <f>M9</f>
      </c>
      <c r="M9" t="s">
        <v>21</v>
      </c>
      <c r="N9" t="s">
        <v>2</v>
      </c>
      <c r="O9" t="s">
        <v>3</v>
      </c>
      <c r="P9" t="s">
        <v>4</v>
      </c>
      <c r="Q9" t="s">
        <v>5</v>
      </c>
      <c r="R9" t="s">
        <v>6</v>
      </c>
    </row>
    <row r="10">
      <c r="A10" t="str">
        <f>M10</f>
      </c>
      <c r="M10" t="s">
        <v>22</v>
      </c>
      <c r="N10" s="4" t="n">
        <v>8000409.64051439</v>
      </c>
      <c r="O10" s="4" t="n">
        <v>6623686.38750654</v>
      </c>
      <c r="P10" s="4" t="n">
        <v>7549987.1</v>
      </c>
      <c r="Q10" s="4" t="n">
        <v>10539981.9583014</v>
      </c>
      <c r="R10" s="4" t="n">
        <v>3741469.98466727</v>
      </c>
      <c r="S10" s="4"/>
      <c r="T10" s="4"/>
    </row>
    <row r="11">
      <c r="A11" t="str">
        <f>M11</f>
      </c>
      <c r="M11" t="s">
        <v>23</v>
      </c>
      <c r="N11" s="4"/>
      <c r="O11" s="4" t="n">
        <v>533742.306421388</v>
      </c>
      <c r="P11" s="4" t="n">
        <v>634018.23</v>
      </c>
      <c r="Q11" s="4" t="n">
        <v>308459.932737823</v>
      </c>
      <c r="R11" s="4" t="n">
        <v>321353.468547283</v>
      </c>
      <c r="S11" s="4"/>
      <c r="T11" s="4"/>
    </row>
    <row r="12">
      <c r="A12" t="str">
        <f>M12</f>
      </c>
      <c r="M12" t="s">
        <v>24</v>
      </c>
      <c r="N12" s="4" t="n">
        <v>26910800.7813483</v>
      </c>
      <c r="O12" s="4" t="n">
        <v>35113238.4085725</v>
      </c>
      <c r="P12" s="4" t="n">
        <v>28581134.46</v>
      </c>
      <c r="Q12" s="4" t="n">
        <v>50033684.959866</v>
      </c>
      <c r="R12" s="4" t="n">
        <v>16265283.5228338</v>
      </c>
      <c r="S12" s="4"/>
      <c r="T12" s="4"/>
    </row>
    <row r="13">
      <c r="A13" t="str">
        <f>M13</f>
      </c>
      <c r="M13" t="s">
        <v>25</v>
      </c>
      <c r="N13" s="4"/>
      <c r="O13" s="4"/>
      <c r="P13" s="4"/>
      <c r="Q13" s="4"/>
      <c r="R13" s="4" t="n">
        <v>151272.25484637</v>
      </c>
      <c r="S13" s="4"/>
      <c r="T13" s="4"/>
    </row>
    <row r="14">
      <c r="A14" t="str">
        <f>M14</f>
      </c>
      <c r="N14" s="4"/>
      <c r="O14" s="4"/>
      <c r="P14" s="4"/>
      <c r="Q14" s="4"/>
      <c r="R14" s="4"/>
      <c r="S14" s="4"/>
      <c r="T14" s="4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../output/FedAcqTrends/Customer//DISTRICT_OF_COLUMBIA_COURTS/DISTRICT_OF_COLUMBIA_COURTS_Contracts.xlsx</dc:creator>
  <cp:lastModifiedBy>../output/FedAcqTrends/Customer//DISTRICT_OF_COLUMBIA_COURTS/DISTRICT_OF_COLUMBIA_COURTS_Contracts.xlsx</cp:lastModifiedBy>
  <dcterms:created xsi:type="dcterms:W3CDTF">2025-11-16T16:54:35Z</dcterms:created>
</coreProperties>
</file>