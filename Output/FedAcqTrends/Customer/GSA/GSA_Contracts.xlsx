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  <sheet name="Veh" sheetId="2" state="visible" r:id="rId2"/>
    <sheet name="Price" sheetId="3" state="visible" r:id="rId3"/>
    <sheet name="PSR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<sst xmlns="http://schemas.openxmlformats.org/spreadsheetml/2006/main" count="56" uniqueCount="56">
  <si>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Vehicle.AwardTask</t>
  </si>
  <si>
    <t xml:space="preserve">Vehicle.sum7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</si>
  <si>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</si>
  <si>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</si>
  <si>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</si>
  <si>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</si>
  <si>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</si>
  <si>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</si>
  <si>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</si>
  <si>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</si>
  <si>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</si>
  <si>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</si>
  <si>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</si>
  <si>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</si>
  <si>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</si>
  <si>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</si>
  <si>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</si>
  <si>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</si>
  <si>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</si>
  <si>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</si>
  <si>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</si>
  <si>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</si>
  <si>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</si>
  <si>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</si>
  <si>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</si>
  <si>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</si>
  <si>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</si>
  <si>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</si>
  <si>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</si>
  <si>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</si>
  <si>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</si>
  <si>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</si>
  <si>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</si>
  <si>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</si>
  <si>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</si>
  <si>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</si>
  <si>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</si>
  <si>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</si>
  <si>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</si>
  <si>
    <t xml:space="preserve">PricingUCA.sum</t>
  </si>
  <si>
    <t xml:space="preserve">PricingUCA</t>
  </si>
  <si>
    <t xml:space="preserve">Cost or Effort-Based</t>
  </si>
  <si>
    <t xml:space="preserve">Other CB</t>
  </si>
  <si>
    <t xml:space="preserve">T&amp;M/LH/FPLOE</t>
  </si>
  <si>
    <t xml:space="preserve">Crosscutting</t>
  </si>
  <si>
    <t xml:space="preserve">Combination/Other</t>
  </si>
  <si>
    <t xml:space="preserve">UCA</t>
  </si>
  <si>
    <t xml:space="preserve">Fixed-Price</t>
  </si>
  <si>
    <t xml:space="preserve">FFP</t>
  </si>
  <si>
    <t xml:space="preserve">Other FP</t>
  </si>
  <si>
    <t xml:space="preserve">Incentive</t>
  </si>
  <si>
    <t xml:space="preserve">SimpleArea</t>
  </si>
  <si>
    <t xml:space="preserve">Products (All)</t>
  </si>
  <si>
    <t xml:space="preserve">R&amp;D</t>
  </si>
  <si>
    <t xml:space="preserve">Services (Non-R&amp;D)</t>
  </si>
  <si>
    <t xml:space="preserve">Unlabeled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</si>
</sst>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,,,&quot;B&quot;"/>
    <numFmt numFmtId="167" formatCode="0.00,,,&quot;B&quot;"/>
    <numFmt numFmtId="168" formatCode="0.00,,,&quot;B&quot;"/>
    <numFmt numFmtId="169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</row>
    <row r="2">
      <c r="A2" t="str">
        <f>M2</f>
      </c>
      <c r="B2" t="str">
        <f>N2</f>
      </c>
      <c r="M2" t="s">
        <v>28</v>
      </c>
      <c r="N2" t="s">
        <v>29</v>
      </c>
      <c r="O2" s="1" t="n">
        <v>1912122539.524</v>
      </c>
      <c r="P2" s="1" t="n">
        <v>1588070670.23</v>
      </c>
      <c r="Q2" s="1" t="n">
        <v>5404929286.58</v>
      </c>
      <c r="R2" s="1" t="n">
        <v>1509624301.25</v>
      </c>
      <c r="S2" s="1" t="n">
        <v>1642011616.63</v>
      </c>
      <c r="T2" s="1" t="n">
        <v>1684082571.91</v>
      </c>
      <c r="U2" s="1" t="n">
        <v>2117228425.22</v>
      </c>
      <c r="V2" s="1" t="n">
        <v>1882343105.29</v>
      </c>
      <c r="W2" s="1" t="n">
        <v>1630807156.12</v>
      </c>
      <c r="X2" s="1" t="n">
        <v>3101342922.85</v>
      </c>
      <c r="Y2" s="1" t="n">
        <v>5005416333.7367</v>
      </c>
      <c r="Z2" s="1" t="n">
        <v>2100729069.7092</v>
      </c>
      <c r="AA2" s="1" t="n">
        <v>1495077163.1755</v>
      </c>
      <c r="AB2" s="1" t="n">
        <v>1369484966.1238</v>
      </c>
      <c r="AC2" s="1" t="n">
        <v>1315508122.4416</v>
      </c>
      <c r="AD2" s="1" t="n">
        <v>1609962792.3058</v>
      </c>
      <c r="AE2" s="1" t="n">
        <v>1656370197.58</v>
      </c>
      <c r="AF2" s="1" t="n">
        <v>1845535133.3661</v>
      </c>
      <c r="AG2" s="1" t="n">
        <v>2014244963.94</v>
      </c>
      <c r="AH2" s="1" t="n">
        <v>2069244399.3</v>
      </c>
      <c r="AI2" s="1" t="n">
        <v>1915335842.43</v>
      </c>
      <c r="AJ2" s="1" t="n">
        <v>2445075803.01</v>
      </c>
      <c r="AK2" s="1" t="n">
        <v>3063946815.67</v>
      </c>
      <c r="AL2" s="1" t="n">
        <v>2917739736.74</v>
      </c>
      <c r="AM2" s="1" t="n">
        <v>3771299801.6</v>
      </c>
      <c r="AN2" s="1" t="n">
        <v>1201274328.94</v>
      </c>
      <c r="AO2" s="1"/>
    </row>
    <row r="3">
      <c r="A3" t="str">
        <f>M3</f>
      </c>
      <c r="B3" t="str">
        <f>N3</f>
      </c>
      <c r="M3" t="s">
        <v>28</v>
      </c>
      <c r="N3" t="s">
        <v>30</v>
      </c>
      <c r="O3" s="1" t="n">
        <v>545177835.4594</v>
      </c>
      <c r="P3" s="1" t="n">
        <v>325381987.01</v>
      </c>
      <c r="Q3" s="1" t="n">
        <v>1370291341.71</v>
      </c>
      <c r="R3" s="1" t="n">
        <v>926811858.48</v>
      </c>
      <c r="S3" s="1" t="n">
        <v>357374724.92</v>
      </c>
      <c r="T3" s="1" t="n">
        <v>767972784.55</v>
      </c>
      <c r="U3" s="1" t="n">
        <v>511221927.29</v>
      </c>
      <c r="V3" s="1" t="n">
        <v>359418862.22</v>
      </c>
      <c r="W3" s="1" t="n">
        <v>435916315.78</v>
      </c>
      <c r="X3" s="1" t="n">
        <v>333406575.36</v>
      </c>
      <c r="Y3" s="1" t="n">
        <v>445485505.5287</v>
      </c>
      <c r="Z3" s="1" t="n">
        <v>504447366.2123</v>
      </c>
      <c r="AA3" s="1" t="n">
        <v>657809022.6312</v>
      </c>
      <c r="AB3" s="1" t="n">
        <v>430971472.7481</v>
      </c>
      <c r="AC3" s="1" t="n">
        <v>476992991.8244</v>
      </c>
      <c r="AD3" s="1" t="n">
        <v>432688875.4092</v>
      </c>
      <c r="AE3" s="1" t="n">
        <v>529679889.7335</v>
      </c>
      <c r="AF3" s="1" t="n">
        <v>619397398.9409</v>
      </c>
      <c r="AG3" s="1" t="n">
        <v>500993614.07</v>
      </c>
      <c r="AH3" s="1" t="n">
        <v>527361598.88</v>
      </c>
      <c r="AI3" s="1" t="n">
        <v>449499448.23</v>
      </c>
      <c r="AJ3" s="1" t="n">
        <v>151801325.58</v>
      </c>
      <c r="AK3" s="1" t="n">
        <v>245684884.75</v>
      </c>
      <c r="AL3" s="1" t="n">
        <v>258188104.36</v>
      </c>
      <c r="AM3" s="1" t="n">
        <v>393746213.89</v>
      </c>
      <c r="AN3" s="1" t="n">
        <v>54426997.34</v>
      </c>
      <c r="AO3" s="1"/>
    </row>
    <row r="4">
      <c r="A4" t="str">
        <f>M4</f>
      </c>
      <c r="B4" t="str">
        <f>N4</f>
      </c>
      <c r="M4" t="s">
        <v>31</v>
      </c>
      <c r="N4" t="s">
        <v>32</v>
      </c>
      <c r="O4" s="1" t="n">
        <v>2367203780.6906</v>
      </c>
      <c r="P4" s="1" t="n">
        <v>2383067146.9452</v>
      </c>
      <c r="Q4" s="1" t="n">
        <v>2417817874.2918</v>
      </c>
      <c r="R4" s="1" t="n">
        <v>4864038376.3678</v>
      </c>
      <c r="S4" s="1" t="n">
        <v>4551417527.8355</v>
      </c>
      <c r="T4" s="1" t="n">
        <v>4189142456.6601</v>
      </c>
      <c r="U4" s="1" t="n">
        <v>4402307037.7345</v>
      </c>
      <c r="V4" s="1" t="n">
        <v>4529201577.4094</v>
      </c>
      <c r="W4" s="1" t="n">
        <v>4625527590.7656</v>
      </c>
      <c r="X4" s="1" t="n">
        <v>4119592741.0902</v>
      </c>
      <c r="Y4" s="1" t="n">
        <v>5305716206.0943</v>
      </c>
      <c r="Z4" s="1" t="n">
        <v>3653563619.6919</v>
      </c>
      <c r="AA4" s="1" t="n">
        <v>625370571.8297</v>
      </c>
      <c r="AB4" s="1" t="n">
        <v>519691409.4351</v>
      </c>
      <c r="AC4" s="1" t="n">
        <v>550385999.4239</v>
      </c>
      <c r="AD4" s="1" t="n">
        <v>608717574.719</v>
      </c>
      <c r="AE4" s="1" t="n">
        <v>491785288.8308</v>
      </c>
      <c r="AF4" s="1" t="n">
        <v>911337886.9996</v>
      </c>
      <c r="AG4" s="1" t="n">
        <v>1002796123.6238</v>
      </c>
      <c r="AH4" s="1" t="n">
        <v>1287744995.8686</v>
      </c>
      <c r="AI4" s="1" t="n">
        <v>1593352437.6408</v>
      </c>
      <c r="AJ4" s="1" t="n">
        <v>2019557082.2823</v>
      </c>
      <c r="AK4" s="1" t="n">
        <v>2723727608.252</v>
      </c>
      <c r="AL4" s="1" t="n">
        <v>2713965107.3538</v>
      </c>
      <c r="AM4" s="1" t="n">
        <v>2955491946.13</v>
      </c>
      <c r="AN4" s="1" t="n">
        <v>1245700611.39</v>
      </c>
      <c r="AO4" s="1"/>
    </row>
    <row r="5">
      <c r="A5" t="str">
        <f>M5</f>
      </c>
      <c r="B5" t="str">
        <f>N5</f>
      </c>
      <c r="M5" t="s">
        <v>31</v>
      </c>
      <c r="N5" t="s">
        <v>33</v>
      </c>
      <c r="O5" s="1" t="n">
        <v>2772392114.0392</v>
      </c>
      <c r="P5" s="1" t="n">
        <v>5398927756.0644</v>
      </c>
      <c r="Q5" s="1" t="n">
        <v>6826443263.9074</v>
      </c>
      <c r="R5" s="1" t="n">
        <v>8747831547.3682</v>
      </c>
      <c r="S5" s="1" t="n">
        <v>7115160670.5386</v>
      </c>
      <c r="T5" s="1" t="n">
        <v>5824298409.8176</v>
      </c>
      <c r="U5" s="1" t="n">
        <v>4096113820.4404</v>
      </c>
      <c r="V5" s="1" t="n">
        <v>3465963291.2719</v>
      </c>
      <c r="W5" s="1" t="n">
        <v>3744795116.8026</v>
      </c>
      <c r="X5" s="1" t="n">
        <v>4121445727.1438</v>
      </c>
      <c r="Y5" s="1" t="n">
        <v>4334299961.1924</v>
      </c>
      <c r="Z5" s="1" t="n">
        <v>4719342272.5365</v>
      </c>
      <c r="AA5" s="1" t="n">
        <v>4105097947.3361</v>
      </c>
      <c r="AB5" s="1" t="n">
        <v>3617150415.4657</v>
      </c>
      <c r="AC5" s="1" t="n">
        <v>3699551528.3655</v>
      </c>
      <c r="AD5" s="1" t="n">
        <v>3583325442.7722</v>
      </c>
      <c r="AE5" s="1" t="n">
        <v>3724351984.1652</v>
      </c>
      <c r="AF5" s="1" t="n">
        <v>3917854474.2979</v>
      </c>
      <c r="AG5" s="1" t="n">
        <v>3961218896.5639</v>
      </c>
      <c r="AH5" s="1" t="n">
        <v>4566262896.9627</v>
      </c>
      <c r="AI5" s="1" t="n">
        <v>5370138385.9265</v>
      </c>
      <c r="AJ5" s="1" t="n">
        <v>5335376184.6897</v>
      </c>
      <c r="AK5" s="1" t="n">
        <v>6330298675.8503</v>
      </c>
      <c r="AL5" s="1" t="n">
        <v>7306252996.0019</v>
      </c>
      <c r="AM5" s="1" t="n">
        <v>7819587999.58</v>
      </c>
      <c r="AN5" s="1" t="n">
        <v>3056877891.2</v>
      </c>
      <c r="AO5" s="1"/>
    </row>
    <row r="6">
      <c r="A6" t="str">
        <f>M6</f>
      </c>
      <c r="B6" t="str">
        <f>N6</f>
      </c>
      <c r="M6" t="s">
        <v>31</v>
      </c>
      <c r="N6" t="s">
        <v>34</v>
      </c>
      <c r="O6" s="1" t="n">
        <v>911608448.2419</v>
      </c>
      <c r="P6" s="1" t="n">
        <v>993291718.1495</v>
      </c>
      <c r="Q6" s="1" t="n">
        <v>1114761791.7103</v>
      </c>
      <c r="R6" s="1" t="n">
        <v>1290834232.8839</v>
      </c>
      <c r="S6" s="1" t="n">
        <v>1366650258.928</v>
      </c>
      <c r="T6" s="1" t="n">
        <v>1304103907.4377</v>
      </c>
      <c r="U6" s="1" t="n">
        <v>1531564063.017</v>
      </c>
      <c r="V6" s="1" t="n">
        <v>1588838246.3923</v>
      </c>
      <c r="W6" s="1" t="n">
        <v>1735406673.2111</v>
      </c>
      <c r="X6" s="1" t="n">
        <v>2371834213.5593</v>
      </c>
      <c r="Y6" s="1" t="n">
        <v>2118435608.9961</v>
      </c>
      <c r="Z6" s="1" t="n">
        <v>2149394837.604</v>
      </c>
      <c r="AA6" s="1" t="n">
        <v>1944383312.9572</v>
      </c>
      <c r="AB6" s="1" t="n">
        <v>1836892446.2211</v>
      </c>
      <c r="AC6" s="1" t="n">
        <v>2077900799.9611</v>
      </c>
      <c r="AD6" s="1" t="n">
        <v>2525097198.072</v>
      </c>
      <c r="AE6" s="1" t="n">
        <v>2966576228.7293</v>
      </c>
      <c r="AF6" s="1" t="n">
        <v>3490249472.3445</v>
      </c>
      <c r="AG6" s="1" t="n">
        <v>5076415834.1651</v>
      </c>
      <c r="AH6" s="1" t="n">
        <v>6281117856.8864</v>
      </c>
      <c r="AI6" s="1" t="n">
        <v>6428012365.3074</v>
      </c>
      <c r="AJ6" s="1" t="n">
        <v>6521886347.2001</v>
      </c>
      <c r="AK6" s="1" t="n">
        <v>6949228173.6003</v>
      </c>
      <c r="AL6" s="1" t="n">
        <v>9143325902.5254</v>
      </c>
      <c r="AM6" s="1" t="n">
        <v>9909845502.21</v>
      </c>
      <c r="AN6" s="1" t="n">
        <v>4171608674.3</v>
      </c>
      <c r="AO6" s="1"/>
    </row>
    <row r="7">
      <c r="A7" t="str">
        <f>M7</f>
      </c>
      <c r="B7" t="str">
        <f>N7</f>
      </c>
      <c r="M7" t="s">
        <v>31</v>
      </c>
      <c r="N7" t="s">
        <v>35</v>
      </c>
      <c r="O7" s="1" t="n">
        <v>1431554126.2527</v>
      </c>
      <c r="P7" s="1" t="n">
        <v>1249436292.4847</v>
      </c>
      <c r="Q7" s="1" t="n">
        <v>1206539890.2158</v>
      </c>
      <c r="R7" s="1" t="n">
        <v>1133144843.5042</v>
      </c>
      <c r="S7" s="1" t="n">
        <v>1245722778.4086</v>
      </c>
      <c r="T7" s="1" t="n">
        <v>1025189320.0905</v>
      </c>
      <c r="U7" s="1" t="n">
        <v>1253412535.5063</v>
      </c>
      <c r="V7" s="1" t="n">
        <v>1263466412.4992</v>
      </c>
      <c r="W7" s="1" t="n">
        <v>1198927027.9407</v>
      </c>
      <c r="X7" s="1" t="n">
        <v>1587047089.6785</v>
      </c>
      <c r="Y7" s="1" t="n">
        <v>1595049613.2096</v>
      </c>
      <c r="Z7" s="1" t="n">
        <v>1464116914.9863</v>
      </c>
      <c r="AA7" s="1" t="n">
        <v>1401635602.3463</v>
      </c>
      <c r="AB7" s="1" t="n">
        <v>1143689137.6011</v>
      </c>
      <c r="AC7" s="1" t="n">
        <v>990775413.0663</v>
      </c>
      <c r="AD7" s="1" t="n">
        <v>849530889.4354</v>
      </c>
      <c r="AE7" s="1" t="n">
        <v>1124119046.25</v>
      </c>
      <c r="AF7" s="1" t="n">
        <v>1191709079.1205</v>
      </c>
      <c r="AG7" s="1" t="n">
        <v>1287583147.2739</v>
      </c>
      <c r="AH7" s="1" t="n">
        <v>1364031959.1227</v>
      </c>
      <c r="AI7" s="1" t="n">
        <v>1856408319.5092</v>
      </c>
      <c r="AJ7" s="1" t="n">
        <v>1736248701.0423</v>
      </c>
      <c r="AK7" s="1" t="n">
        <v>1874355290.0103</v>
      </c>
      <c r="AL7" s="1" t="n">
        <v>2096291347.989</v>
      </c>
      <c r="AM7" s="1" t="n">
        <v>2116700788.09</v>
      </c>
      <c r="AN7" s="1" t="n">
        <v>743407437.53</v>
      </c>
      <c r="AO7" s="1"/>
    </row>
    <row r="8">
      <c r="A8" t="str">
        <f>M8</f>
      </c>
      <c r="B8" t="str">
        <f>N8</f>
      </c>
      <c r="M8" t="s">
        <v>31</v>
      </c>
      <c r="N8" t="s">
        <v>36</v>
      </c>
      <c r="O8" s="1" t="n">
        <v>857075193.8522</v>
      </c>
      <c r="P8" s="1" t="n">
        <v>785965624.9907</v>
      </c>
      <c r="Q8" s="1" t="n">
        <v>909998703.4557</v>
      </c>
      <c r="R8" s="1" t="n">
        <v>815079102.5286</v>
      </c>
      <c r="S8" s="1" t="n">
        <v>267251815.059</v>
      </c>
      <c r="T8" s="1" t="n">
        <v>166099227.1516</v>
      </c>
      <c r="U8" s="1" t="n">
        <v>135039444.1303</v>
      </c>
      <c r="V8" s="1" t="n">
        <v>77168062.1941</v>
      </c>
      <c r="W8" s="1" t="n">
        <v>13002685.5478</v>
      </c>
      <c r="X8" s="1" t="n">
        <v>16708681.0012</v>
      </c>
      <c r="Y8" s="1" t="n">
        <v>8697060.1988</v>
      </c>
      <c r="Z8" s="1" t="n">
        <v>340614.9104</v>
      </c>
      <c r="AA8" s="1" t="n">
        <v>1442055.1924</v>
      </c>
      <c r="AB8" s="1" t="n">
        <v>1154066.88</v>
      </c>
      <c r="AC8" s="1" t="n">
        <v>1168320.4</v>
      </c>
      <c r="AD8" s="1" t="n">
        <v>1470525.408</v>
      </c>
      <c r="AE8" s="1" t="n">
        <v>452712.89</v>
      </c>
      <c r="AF8" s="1" t="n">
        <v>196727.24</v>
      </c>
      <c r="AG8" s="1" t="n">
        <v>181515.0391</v>
      </c>
      <c r="AH8" s="1" t="n">
        <v>321913</v>
      </c>
      <c r="AI8" s="1" t="n">
        <v>0</v>
      </c>
      <c r="AJ8" s="1"/>
      <c r="AK8" s="1" t="n">
        <v>21500</v>
      </c>
      <c r="AL8" s="1"/>
      <c r="AM8" s="1"/>
      <c r="AN8" s="1"/>
      <c r="AO8" s="1"/>
    </row>
    <row r="9">
      <c r="A9" t="str">
        <f>M9</f>
      </c>
      <c r="B9" t="str">
        <f>N9</f>
      </c>
      <c r="M9"/>
      <c r="N9"/>
      <c r="O9" s="1" t="n">
        <v>0</v>
      </c>
      <c r="P9" s="1" t="n">
        <v>773740.3125</v>
      </c>
      <c r="Q9" s="1" t="n">
        <v>1304089.8414</v>
      </c>
      <c r="R9" s="1" t="n">
        <v>5533322.5</v>
      </c>
      <c r="S9" s="1" t="n">
        <v>4197029.9339</v>
      </c>
      <c r="T9" s="1" t="n">
        <v>355515.6401</v>
      </c>
      <c r="U9" s="1" t="n">
        <v>647421.89</v>
      </c>
      <c r="V9" s="1" t="n">
        <v>0</v>
      </c>
      <c r="W9" s="1" t="n">
        <v>0</v>
      </c>
      <c r="X9" s="1" t="n">
        <v>0</v>
      </c>
      <c r="Y9" s="1" t="n">
        <v>0</v>
      </c>
      <c r="Z9" s="1"/>
      <c r="AA9" s="1" t="n">
        <v>0</v>
      </c>
      <c r="AB9" s="1"/>
      <c r="AC9" s="1"/>
      <c r="AD9" s="1" t="n">
        <v>10740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-250</v>
      </c>
      <c r="AN9" s="1" t="n">
        <v>99479.2</v>
      </c>
      <c r="AO9" s="1"/>
    </row>
    <row r="10">
      <c r="A10" t="str">
        <f>M10</f>
      </c>
      <c r="B10" t="str">
        <f>N10</f>
      </c>
      <c r="M10" t="s">
        <v>37</v>
      </c>
      <c r="N10" t="s">
        <v>38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</row>
    <row r="14">
      <c r="A14" t="str">
        <f>M14</f>
      </c>
      <c r="B14" t="str">
        <f>N14</f>
      </c>
      <c r="M14" t="s">
        <v>28</v>
      </c>
      <c r="N14" t="s">
        <v>29</v>
      </c>
      <c r="O14" s="1" t="n">
        <v>3214609534.49951</v>
      </c>
      <c r="P14" s="1" t="n">
        <v>2606639593.9962</v>
      </c>
      <c r="Q14" s="1" t="n">
        <v>8734176836.35489</v>
      </c>
      <c r="R14" s="1" t="n">
        <v>2393555505.0934</v>
      </c>
      <c r="S14" s="1" t="n">
        <v>2541401775.71593</v>
      </c>
      <c r="T14" s="1" t="n">
        <v>2529543000.66631</v>
      </c>
      <c r="U14" s="1" t="n">
        <v>3080086685.29513</v>
      </c>
      <c r="V14" s="1" t="n">
        <v>2665015343.51376</v>
      </c>
      <c r="W14" s="1" t="n">
        <v>2261931933.49618</v>
      </c>
      <c r="X14" s="1" t="n">
        <v>4258024185.97855</v>
      </c>
      <c r="Y14" s="1" t="n">
        <v>6813237863.90821</v>
      </c>
      <c r="Z14" s="1" t="n">
        <v>2803191929.42174</v>
      </c>
      <c r="AA14" s="1" t="n">
        <v>1959459623.99363</v>
      </c>
      <c r="AB14" s="1" t="n">
        <v>1762870713.46159</v>
      </c>
      <c r="AC14" s="1" t="n">
        <v>1663049673.87658</v>
      </c>
      <c r="AD14" s="1" t="n">
        <v>2014433764.38608</v>
      </c>
      <c r="AE14" s="1" t="n">
        <v>2056061725.69726</v>
      </c>
      <c r="AF14" s="1" t="n">
        <v>2252844737.73277</v>
      </c>
      <c r="AG14" s="1" t="n">
        <v>2405389186.69787</v>
      </c>
      <c r="AH14" s="1" t="n">
        <v>2426209431.62394</v>
      </c>
      <c r="AI14" s="1" t="n">
        <v>2216791943.2138</v>
      </c>
      <c r="AJ14" s="1" t="n">
        <v>2735750717.44265</v>
      </c>
      <c r="AK14" s="1" t="n">
        <v>3204111948.8859</v>
      </c>
      <c r="AL14" s="1" t="n">
        <v>2917739736.74</v>
      </c>
      <c r="AM14" s="1" t="n">
        <v>3673203278.91182</v>
      </c>
      <c r="AN14" s="1" t="n">
        <v>1144905975.47766</v>
      </c>
      <c r="AO14" s="1"/>
    </row>
    <row r="15">
      <c r="A15" t="str">
        <f>M15</f>
      </c>
      <c r="B15" t="str">
        <f>N15</f>
      </c>
      <c r="M15" t="s">
        <v>28</v>
      </c>
      <c r="N15" t="s">
        <v>30</v>
      </c>
      <c r="O15" s="1" t="n">
        <v>916538470.542723</v>
      </c>
      <c r="P15" s="1" t="n">
        <v>534077976.763203</v>
      </c>
      <c r="Q15" s="1" t="n">
        <v>2214342919.44163</v>
      </c>
      <c r="R15" s="1" t="n">
        <v>1469488550.37229</v>
      </c>
      <c r="S15" s="1" t="n">
        <v>553122006.756385</v>
      </c>
      <c r="T15" s="1" t="n">
        <v>1153518369.14828</v>
      </c>
      <c r="U15" s="1" t="n">
        <v>743711841.726869</v>
      </c>
      <c r="V15" s="1" t="n">
        <v>508864074.712345</v>
      </c>
      <c r="W15" s="1" t="n">
        <v>604616573.63627</v>
      </c>
      <c r="X15" s="1" t="n">
        <v>457754365.435526</v>
      </c>
      <c r="Y15" s="1" t="n">
        <v>606382868.420569</v>
      </c>
      <c r="Z15" s="1" t="n">
        <v>673129536.870796</v>
      </c>
      <c r="AA15" s="1" t="n">
        <v>862129562.200558</v>
      </c>
      <c r="AB15" s="1" t="n">
        <v>554768403.040909</v>
      </c>
      <c r="AC15" s="1" t="n">
        <v>603008849.555925</v>
      </c>
      <c r="AD15" s="1" t="n">
        <v>541393306.89139</v>
      </c>
      <c r="AE15" s="1" t="n">
        <v>657494652.912575</v>
      </c>
      <c r="AF15" s="1" t="n">
        <v>756098405.032403</v>
      </c>
      <c r="AG15" s="1" t="n">
        <v>598281064.846966</v>
      </c>
      <c r="AH15" s="1" t="n">
        <v>618336667.003556</v>
      </c>
      <c r="AI15" s="1" t="n">
        <v>520246493.195216</v>
      </c>
      <c r="AJ15" s="1" t="n">
        <v>169847734.312772</v>
      </c>
      <c r="AK15" s="1" t="n">
        <v>256924131.601152</v>
      </c>
      <c r="AL15" s="1" t="n">
        <v>258188104.36</v>
      </c>
      <c r="AM15" s="1" t="n">
        <v>383504351.286592</v>
      </c>
      <c r="AN15" s="1" t="n">
        <v>51873075.9333366</v>
      </c>
      <c r="AO15" s="1"/>
    </row>
    <row r="16">
      <c r="A16" t="str">
        <f>M16</f>
      </c>
      <c r="B16" t="str">
        <f>N16</f>
      </c>
      <c r="M16" t="s">
        <v>31</v>
      </c>
      <c r="N16" t="s">
        <v>32</v>
      </c>
      <c r="O16" s="1" t="n">
        <v>3979680008.06351</v>
      </c>
      <c r="P16" s="1" t="n">
        <v>3911536996.95194</v>
      </c>
      <c r="Q16" s="1" t="n">
        <v>3907109187.27423</v>
      </c>
      <c r="R16" s="1" t="n">
        <v>7712081623.95148</v>
      </c>
      <c r="S16" s="1" t="n">
        <v>7044396318.58718</v>
      </c>
      <c r="T16" s="1" t="n">
        <v>6292218776.43476</v>
      </c>
      <c r="U16" s="1" t="n">
        <v>6404357286.15259</v>
      </c>
      <c r="V16" s="1" t="n">
        <v>6412429096.34328</v>
      </c>
      <c r="W16" s="1" t="n">
        <v>6415613598.18467</v>
      </c>
      <c r="X16" s="1" t="n">
        <v>5656041903.23592</v>
      </c>
      <c r="Y16" s="1" t="n">
        <v>7221997959.86334</v>
      </c>
      <c r="Z16" s="1" t="n">
        <v>4875278873.42795</v>
      </c>
      <c r="AA16" s="1" t="n">
        <v>819615479.19802</v>
      </c>
      <c r="AB16" s="1" t="n">
        <v>668973218.686574</v>
      </c>
      <c r="AC16" s="1" t="n">
        <v>695791414.156614</v>
      </c>
      <c r="AD16" s="1" t="n">
        <v>761645698.490308</v>
      </c>
      <c r="AE16" s="1" t="n">
        <v>610455869.770709</v>
      </c>
      <c r="AF16" s="1" t="n">
        <v>1112470158.87412</v>
      </c>
      <c r="AG16" s="1" t="n">
        <v>1197528103.78583</v>
      </c>
      <c r="AH16" s="1" t="n">
        <v>1509893686.58427</v>
      </c>
      <c r="AI16" s="1" t="n">
        <v>1844131336.24699</v>
      </c>
      <c r="AJ16" s="1" t="n">
        <v>2259645582.34499</v>
      </c>
      <c r="AK16" s="1" t="n">
        <v>2848328871.27065</v>
      </c>
      <c r="AL16" s="1" t="n">
        <v>2713965107.3538</v>
      </c>
      <c r="AM16" s="1" t="n">
        <v>2878615670.57501</v>
      </c>
      <c r="AN16" s="1" t="n">
        <v>1187247608.04226</v>
      </c>
      <c r="AO16" s="1"/>
    </row>
    <row r="17">
      <c r="A17" t="str">
        <f>M17</f>
      </c>
      <c r="B17" t="str">
        <f>N17</f>
      </c>
      <c r="M17" t="s">
        <v>31</v>
      </c>
      <c r="N17" t="s">
        <v>33</v>
      </c>
      <c r="O17" s="1" t="n">
        <v>4660871852.58548</v>
      </c>
      <c r="P17" s="1" t="n">
        <v>8861733371.1253</v>
      </c>
      <c r="Q17" s="1" t="n">
        <v>11031293744.8323</v>
      </c>
      <c r="R17" s="1" t="n">
        <v>13869954491.6543</v>
      </c>
      <c r="S17" s="1" t="n">
        <v>11012395880.4401</v>
      </c>
      <c r="T17" s="1" t="n">
        <v>8748272514.71218</v>
      </c>
      <c r="U17" s="1" t="n">
        <v>5958915669.8956</v>
      </c>
      <c r="V17" s="1" t="n">
        <v>4907099734.01581</v>
      </c>
      <c r="W17" s="1" t="n">
        <v>5194036356.35816</v>
      </c>
      <c r="X17" s="1" t="n">
        <v>5658585981.60093</v>
      </c>
      <c r="Y17" s="1" t="n">
        <v>5899732337.96646</v>
      </c>
      <c r="Z17" s="1" t="n">
        <v>6297443283.52845</v>
      </c>
      <c r="AA17" s="1" t="n">
        <v>5380172929.17475</v>
      </c>
      <c r="AB17" s="1" t="n">
        <v>4656180017.55666</v>
      </c>
      <c r="AC17" s="1" t="n">
        <v>4676928905.09765</v>
      </c>
      <c r="AD17" s="1" t="n">
        <v>4483564337.76075</v>
      </c>
      <c r="AE17" s="1" t="n">
        <v>4623059252.60822</v>
      </c>
      <c r="AF17" s="1" t="n">
        <v>4782524957.69417</v>
      </c>
      <c r="AG17" s="1" t="n">
        <v>4730444047.5304</v>
      </c>
      <c r="AH17" s="1" t="n">
        <v>5353988205.37253</v>
      </c>
      <c r="AI17" s="1" t="n">
        <v>6215348370.84327</v>
      </c>
      <c r="AJ17" s="1" t="n">
        <v>5969655094.99649</v>
      </c>
      <c r="AK17" s="1" t="n">
        <v>6619888283.82231</v>
      </c>
      <c r="AL17" s="1" t="n">
        <v>7306252996.0019</v>
      </c>
      <c r="AM17" s="1" t="n">
        <v>7616190117.69122</v>
      </c>
      <c r="AN17" s="1" t="n">
        <v>2913437571.77319</v>
      </c>
      <c r="AO17" s="1"/>
    </row>
    <row r="18">
      <c r="A18" t="str">
        <f>M18</f>
      </c>
      <c r="B18" t="str">
        <f>N18</f>
      </c>
      <c r="M18" t="s">
        <v>31</v>
      </c>
      <c r="N18" t="s">
        <v>34</v>
      </c>
      <c r="O18" s="1" t="n">
        <v>1532571866.53854</v>
      </c>
      <c r="P18" s="1" t="n">
        <v>1630376764.3678</v>
      </c>
      <c r="Q18" s="1" t="n">
        <v>1801416096.85525</v>
      </c>
      <c r="R18" s="1" t="n">
        <v>2046657159.48263</v>
      </c>
      <c r="S18" s="1" t="n">
        <v>2115214874.02783</v>
      </c>
      <c r="T18" s="1" t="n">
        <v>1958803544.56688</v>
      </c>
      <c r="U18" s="1" t="n">
        <v>2228078001.40176</v>
      </c>
      <c r="V18" s="1" t="n">
        <v>2249472103.72926</v>
      </c>
      <c r="W18" s="1" t="n">
        <v>2407011618.14727</v>
      </c>
      <c r="X18" s="1" t="n">
        <v>3256436871.92969</v>
      </c>
      <c r="Y18" s="1" t="n">
        <v>2883557478.76195</v>
      </c>
      <c r="Z18" s="1" t="n">
        <v>2868131044.97399</v>
      </c>
      <c r="AA18" s="1" t="n">
        <v>2548323718.09786</v>
      </c>
      <c r="AB18" s="1" t="n">
        <v>2364541398.64523</v>
      </c>
      <c r="AC18" s="1" t="n">
        <v>2626857401.16105</v>
      </c>
      <c r="AD18" s="1" t="n">
        <v>3159477398.15017</v>
      </c>
      <c r="AE18" s="1" t="n">
        <v>3682427907.21851</v>
      </c>
      <c r="AF18" s="1" t="n">
        <v>4260547531.70938</v>
      </c>
      <c r="AG18" s="1" t="n">
        <v>6062199967.37511</v>
      </c>
      <c r="AH18" s="1" t="n">
        <v>7364672530.06682</v>
      </c>
      <c r="AI18" s="1" t="n">
        <v>7439721904.96556</v>
      </c>
      <c r="AJ18" s="1" t="n">
        <v>7297219673.70805</v>
      </c>
      <c r="AK18" s="1" t="n">
        <v>7267131698.46529</v>
      </c>
      <c r="AL18" s="1" t="n">
        <v>9143325902.5254</v>
      </c>
      <c r="AM18" s="1" t="n">
        <v>9652077243.1786</v>
      </c>
      <c r="AN18" s="1" t="n">
        <v>3975860953.23864</v>
      </c>
      <c r="AO18" s="1"/>
    </row>
    <row r="19">
      <c r="A19" t="str">
        <f>M19</f>
      </c>
      <c r="B19" t="str">
        <f>N19</f>
      </c>
      <c r="M19" t="s">
        <v>31</v>
      </c>
      <c r="N19" t="s">
        <v>35</v>
      </c>
      <c r="O19" s="1" t="n">
        <v>2406690705.37165</v>
      </c>
      <c r="P19" s="1" t="n">
        <v>2050809306.67572</v>
      </c>
      <c r="Q19" s="1" t="n">
        <v>1949726296.59121</v>
      </c>
      <c r="R19" s="1" t="n">
        <v>1796635809.31486</v>
      </c>
      <c r="S19" s="1" t="n">
        <v>1928050964.45964</v>
      </c>
      <c r="T19" s="1" t="n">
        <v>1539865391.54766</v>
      </c>
      <c r="U19" s="1" t="n">
        <v>1823430677.48763</v>
      </c>
      <c r="V19" s="1" t="n">
        <v>1788811702.74528</v>
      </c>
      <c r="W19" s="1" t="n">
        <v>1662913558.02168</v>
      </c>
      <c r="X19" s="1" t="n">
        <v>2178954427.24144</v>
      </c>
      <c r="Y19" s="1" t="n">
        <v>2171138561.6986</v>
      </c>
      <c r="Z19" s="1" t="n">
        <v>1953703016.25216</v>
      </c>
      <c r="AA19" s="1" t="n">
        <v>1836994396.00575</v>
      </c>
      <c r="AB19" s="1" t="n">
        <v>1472214836.85777</v>
      </c>
      <c r="AC19" s="1" t="n">
        <v>1252526456.86952</v>
      </c>
      <c r="AD19" s="1" t="n">
        <v>1062958545.21994</v>
      </c>
      <c r="AE19" s="1" t="n">
        <v>1395375351.17375</v>
      </c>
      <c r="AF19" s="1" t="n">
        <v>1454719273.16185</v>
      </c>
      <c r="AG19" s="1" t="n">
        <v>1537617635.8256</v>
      </c>
      <c r="AH19" s="1" t="n">
        <v>1599340902.10877</v>
      </c>
      <c r="AI19" s="1" t="n">
        <v>2148589774.61728</v>
      </c>
      <c r="AJ19" s="1" t="n">
        <v>1942657002.16244</v>
      </c>
      <c r="AK19" s="1" t="n">
        <v>1960100661.82112</v>
      </c>
      <c r="AL19" s="1" t="n">
        <v>2096291347.989</v>
      </c>
      <c r="AM19" s="1" t="n">
        <v>2061642585.92987</v>
      </c>
      <c r="AN19" s="1" t="n">
        <v>708523937.403762</v>
      </c>
      <c r="AO19" s="1"/>
    </row>
    <row r="20">
      <c r="A20" t="str">
        <f>M20</f>
      </c>
      <c r="B20" t="str">
        <f>N20</f>
      </c>
      <c r="M20" t="s">
        <v>31</v>
      </c>
      <c r="N20" t="s">
        <v>36</v>
      </c>
      <c r="O20" s="1" t="n">
        <v>1440892010.3134</v>
      </c>
      <c r="P20" s="1" t="n">
        <v>1290074274.41753</v>
      </c>
      <c r="Q20" s="1" t="n">
        <v>1470526102.26932</v>
      </c>
      <c r="R20" s="1" t="n">
        <v>1292332848.19839</v>
      </c>
      <c r="S20" s="1" t="n">
        <v>413635464.253414</v>
      </c>
      <c r="T20" s="1" t="n">
        <v>249486067.052458</v>
      </c>
      <c r="U20" s="1" t="n">
        <v>196451733.266416</v>
      </c>
      <c r="V20" s="1" t="n">
        <v>109254295.456841</v>
      </c>
      <c r="W20" s="1" t="n">
        <v>18034744.0538297</v>
      </c>
      <c r="X20" s="1" t="n">
        <v>22940374.4083643</v>
      </c>
      <c r="Y20" s="1" t="n">
        <v>11838204.0374486</v>
      </c>
      <c r="Z20" s="1" t="n">
        <v>454513.141004976</v>
      </c>
      <c r="AA20" s="1" t="n">
        <v>1889968.62147006</v>
      </c>
      <c r="AB20" s="1" t="n">
        <v>1485573.59478459</v>
      </c>
      <c r="AC20" s="1" t="n">
        <v>1476976.71117163</v>
      </c>
      <c r="AD20" s="1" t="n">
        <v>1839965.52430893</v>
      </c>
      <c r="AE20" s="1" t="n">
        <v>561955.079377017</v>
      </c>
      <c r="AF20" s="1" t="n">
        <v>240144.941914132</v>
      </c>
      <c r="AG20" s="1" t="n">
        <v>216763.263699631</v>
      </c>
      <c r="AH20" s="1" t="n">
        <v>377446.162003179</v>
      </c>
      <c r="AI20" s="1" t="n">
        <v>0</v>
      </c>
      <c r="AJ20" s="1"/>
      <c r="AK20" s="1" t="n">
        <v>22483.5517864506</v>
      </c>
      <c r="AL20" s="1"/>
      <c r="AM20" s="1"/>
      <c r="AN20" s="1"/>
      <c r="AO20" s="1"/>
    </row>
    <row r="21">
      <c r="A21" t="str">
        <f>M21</f>
      </c>
      <c r="B21" t="str">
        <f>N21</f>
      </c>
      <c r="M21"/>
      <c r="N21"/>
      <c r="O21" s="1" t="n">
        <v>0</v>
      </c>
      <c r="P21" s="1" t="n">
        <v>1270007.79741206</v>
      </c>
      <c r="Q21" s="1" t="n">
        <v>2107363.60854201</v>
      </c>
      <c r="R21" s="1" t="n">
        <v>8773252.0736223</v>
      </c>
      <c r="S21" s="1" t="n">
        <v>6495897.6043285</v>
      </c>
      <c r="T21" s="1" t="n">
        <v>533995.252989542</v>
      </c>
      <c r="U21" s="1" t="n">
        <v>941851.866054747</v>
      </c>
      <c r="V21" s="1" t="n">
        <v>0</v>
      </c>
      <c r="W21" s="1" t="n">
        <v>0</v>
      </c>
      <c r="X21" s="1" t="n">
        <v>0</v>
      </c>
      <c r="Y21" s="1" t="n">
        <v>0</v>
      </c>
      <c r="Z21" s="1"/>
      <c r="AA21" s="1" t="n">
        <v>0</v>
      </c>
      <c r="AB21" s="1"/>
      <c r="AC21" s="1"/>
      <c r="AD21" s="1" t="n">
        <v>13438.2103318802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-243.497167564976</v>
      </c>
      <c r="AN21" s="1" t="n">
        <v>94811.2581546939</v>
      </c>
      <c r="AO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</row>
    <row r="2">
      <c r="A2" t="str">
        <f>N2</f>
      </c>
      <c r="B2" t="str">
        <f>O2</f>
      </c>
      <c r="N2" t="s">
        <v>28</v>
      </c>
      <c r="O2" t="s">
        <v>29</v>
      </c>
      <c r="P2" s="2" t="n">
        <v>1912122539.524</v>
      </c>
      <c r="Q2" s="2" t="n">
        <v>1588070670.23</v>
      </c>
      <c r="R2" s="2" t="n">
        <v>5404929286.58</v>
      </c>
      <c r="S2" s="2" t="n">
        <v>1509624301.25</v>
      </c>
      <c r="T2" s="2" t="n">
        <v>1642011616.63</v>
      </c>
      <c r="U2" s="2" t="n">
        <v>1684082571.91</v>
      </c>
      <c r="V2" s="2" t="n">
        <v>2117228425.22</v>
      </c>
      <c r="W2" s="2" t="n">
        <v>1882343105.29</v>
      </c>
      <c r="X2" s="2" t="n">
        <v>1630807156.12</v>
      </c>
      <c r="Y2" s="2" t="n">
        <v>3101342922.85</v>
      </c>
      <c r="Z2" s="2" t="n">
        <v>5005416333.7367</v>
      </c>
      <c r="AA2" s="2" t="n">
        <v>2100729069.7092</v>
      </c>
      <c r="AB2" s="2" t="n">
        <v>1495077163.1755</v>
      </c>
      <c r="AC2" s="2" t="n">
        <v>1369484966.1238</v>
      </c>
      <c r="AD2" s="2" t="n">
        <v>1315508122.4416</v>
      </c>
      <c r="AE2" s="2" t="n">
        <v>1609962792.3058</v>
      </c>
      <c r="AF2" s="2" t="n">
        <v>1656370197.58</v>
      </c>
      <c r="AG2" s="2" t="n">
        <v>1845535133.3661</v>
      </c>
      <c r="AH2" s="2" t="n">
        <v>2014244963.94</v>
      </c>
      <c r="AI2" s="2" t="n">
        <v>2069244399.3</v>
      </c>
      <c r="AJ2" s="2" t="n">
        <v>1915335842.43</v>
      </c>
      <c r="AK2" s="2" t="n">
        <v>2445075803.01</v>
      </c>
      <c r="AL2" s="2" t="n">
        <v>3063946815.67</v>
      </c>
      <c r="AM2" s="2" t="n">
        <v>2917739736.74</v>
      </c>
      <c r="AN2" s="2" t="n">
        <v>3771299801.6</v>
      </c>
      <c r="AO2" s="2" t="n">
        <v>1201274328.94</v>
      </c>
      <c r="AP2" s="2"/>
    </row>
    <row r="3">
      <c r="A3" t="str">
        <f>N3</f>
      </c>
      <c r="B3" t="str">
        <f>O3</f>
      </c>
      <c r="N3" t="s">
        <v>28</v>
      </c>
      <c r="O3" t="s">
        <v>30</v>
      </c>
      <c r="P3" s="2" t="n">
        <v>545177835.4594</v>
      </c>
      <c r="Q3" s="2" t="n">
        <v>325381987.01</v>
      </c>
      <c r="R3" s="2" t="n">
        <v>1370291341.71</v>
      </c>
      <c r="S3" s="2" t="n">
        <v>926811858.48</v>
      </c>
      <c r="T3" s="2" t="n">
        <v>357374724.92</v>
      </c>
      <c r="U3" s="2" t="n">
        <v>767972784.55</v>
      </c>
      <c r="V3" s="2" t="n">
        <v>511221927.29</v>
      </c>
      <c r="W3" s="2" t="n">
        <v>359418862.22</v>
      </c>
      <c r="X3" s="2" t="n">
        <v>435916315.78</v>
      </c>
      <c r="Y3" s="2" t="n">
        <v>333406575.36</v>
      </c>
      <c r="Z3" s="2" t="n">
        <v>445485505.5287</v>
      </c>
      <c r="AA3" s="2" t="n">
        <v>504447366.2123</v>
      </c>
      <c r="AB3" s="2" t="n">
        <v>657809022.6312</v>
      </c>
      <c r="AC3" s="2" t="n">
        <v>430971472.7481</v>
      </c>
      <c r="AD3" s="2" t="n">
        <v>476992991.8244</v>
      </c>
      <c r="AE3" s="2" t="n">
        <v>432688875.4092</v>
      </c>
      <c r="AF3" s="2" t="n">
        <v>529679889.7335</v>
      </c>
      <c r="AG3" s="2" t="n">
        <v>619397398.9409</v>
      </c>
      <c r="AH3" s="2" t="n">
        <v>500993614.07</v>
      </c>
      <c r="AI3" s="2" t="n">
        <v>527361598.88</v>
      </c>
      <c r="AJ3" s="2" t="n">
        <v>449499448.23</v>
      </c>
      <c r="AK3" s="2" t="n">
        <v>151801325.58</v>
      </c>
      <c r="AL3" s="2" t="n">
        <v>245684884.75</v>
      </c>
      <c r="AM3" s="2" t="n">
        <v>258188104.36</v>
      </c>
      <c r="AN3" s="2" t="n">
        <v>393746213.89</v>
      </c>
      <c r="AO3" s="2" t="n">
        <v>54426997.34</v>
      </c>
      <c r="AP3" s="2"/>
    </row>
    <row r="4">
      <c r="A4" t="str">
        <f>N4</f>
      </c>
      <c r="B4" t="str">
        <f>O4</f>
      </c>
      <c r="N4" t="s">
        <v>31</v>
      </c>
      <c r="O4" t="s">
        <v>32</v>
      </c>
      <c r="P4" s="2" t="n">
        <v>2367203780.6906</v>
      </c>
      <c r="Q4" s="2" t="n">
        <v>2383067146.9452</v>
      </c>
      <c r="R4" s="2" t="n">
        <v>2417817874.2918</v>
      </c>
      <c r="S4" s="2" t="n">
        <v>4864038376.3678</v>
      </c>
      <c r="T4" s="2" t="n">
        <v>4551417527.8355</v>
      </c>
      <c r="U4" s="2" t="n">
        <v>4189142456.6601</v>
      </c>
      <c r="V4" s="2" t="n">
        <v>4402307037.7345</v>
      </c>
      <c r="W4" s="2" t="n">
        <v>4529201577.4094</v>
      </c>
      <c r="X4" s="2" t="n">
        <v>4625527590.7656</v>
      </c>
      <c r="Y4" s="2" t="n">
        <v>4119592741.0902</v>
      </c>
      <c r="Z4" s="2" t="n">
        <v>5305716206.0943</v>
      </c>
      <c r="AA4" s="2" t="n">
        <v>3653563619.6919</v>
      </c>
      <c r="AB4" s="2" t="n">
        <v>625370571.8297</v>
      </c>
      <c r="AC4" s="2" t="n">
        <v>519691409.4351</v>
      </c>
      <c r="AD4" s="2" t="n">
        <v>550385999.4239</v>
      </c>
      <c r="AE4" s="2" t="n">
        <v>608717574.719</v>
      </c>
      <c r="AF4" s="2" t="n">
        <v>491785288.8308</v>
      </c>
      <c r="AG4" s="2" t="n">
        <v>911337886.9996</v>
      </c>
      <c r="AH4" s="2" t="n">
        <v>1002796123.6238</v>
      </c>
      <c r="AI4" s="2" t="n">
        <v>1287744995.8686</v>
      </c>
      <c r="AJ4" s="2" t="n">
        <v>1593352437.6408</v>
      </c>
      <c r="AK4" s="2" t="n">
        <v>2019557082.2823</v>
      </c>
      <c r="AL4" s="2" t="n">
        <v>2723727608.252</v>
      </c>
      <c r="AM4" s="2" t="n">
        <v>2713965107.3538</v>
      </c>
      <c r="AN4" s="2" t="n">
        <v>2955491946.13</v>
      </c>
      <c r="AO4" s="2" t="n">
        <v>1245700611.39</v>
      </c>
      <c r="AP4" s="2"/>
    </row>
    <row r="5">
      <c r="A5" t="str">
        <f>N5</f>
      </c>
      <c r="B5" t="str">
        <f>O5</f>
      </c>
      <c r="N5" t="s">
        <v>31</v>
      </c>
      <c r="O5" t="s">
        <v>33</v>
      </c>
      <c r="P5" s="2" t="n">
        <v>2772392114.0392</v>
      </c>
      <c r="Q5" s="2" t="n">
        <v>5398927756.0644</v>
      </c>
      <c r="R5" s="2" t="n">
        <v>6826443263.9074</v>
      </c>
      <c r="S5" s="2" t="n">
        <v>8747831547.3682</v>
      </c>
      <c r="T5" s="2" t="n">
        <v>7115160670.5386</v>
      </c>
      <c r="U5" s="2" t="n">
        <v>5824298409.8176</v>
      </c>
      <c r="V5" s="2" t="n">
        <v>4096113820.4404</v>
      </c>
      <c r="W5" s="2" t="n">
        <v>3465963291.2719</v>
      </c>
      <c r="X5" s="2" t="n">
        <v>3744795116.8026</v>
      </c>
      <c r="Y5" s="2" t="n">
        <v>4121445727.1438</v>
      </c>
      <c r="Z5" s="2" t="n">
        <v>4334299961.1924</v>
      </c>
      <c r="AA5" s="2" t="n">
        <v>4719342272.5365</v>
      </c>
      <c r="AB5" s="2" t="n">
        <v>4105097947.3361</v>
      </c>
      <c r="AC5" s="2" t="n">
        <v>3617150415.4657</v>
      </c>
      <c r="AD5" s="2" t="n">
        <v>3699551528.3655</v>
      </c>
      <c r="AE5" s="2" t="n">
        <v>3583325442.7722</v>
      </c>
      <c r="AF5" s="2" t="n">
        <v>3724351984.1652</v>
      </c>
      <c r="AG5" s="2" t="n">
        <v>3917854474.2979</v>
      </c>
      <c r="AH5" s="2" t="n">
        <v>3961218896.5639</v>
      </c>
      <c r="AI5" s="2" t="n">
        <v>4566262896.9627</v>
      </c>
      <c r="AJ5" s="2" t="n">
        <v>5370138385.9265</v>
      </c>
      <c r="AK5" s="2" t="n">
        <v>5335376184.6897</v>
      </c>
      <c r="AL5" s="2" t="n">
        <v>6330298675.8503</v>
      </c>
      <c r="AM5" s="2" t="n">
        <v>7306252996.0019</v>
      </c>
      <c r="AN5" s="2" t="n">
        <v>7819587999.58</v>
      </c>
      <c r="AO5" s="2" t="n">
        <v>3056877891.2</v>
      </c>
      <c r="AP5" s="2"/>
    </row>
    <row r="6">
      <c r="A6" t="str">
        <f>N6</f>
      </c>
      <c r="B6" t="str">
        <f>O6</f>
      </c>
      <c r="N6" t="s">
        <v>31</v>
      </c>
      <c r="O6" t="s">
        <v>34</v>
      </c>
      <c r="P6" s="2" t="n">
        <v>911608448.2419</v>
      </c>
      <c r="Q6" s="2" t="n">
        <v>993291718.1495</v>
      </c>
      <c r="R6" s="2" t="n">
        <v>1114761791.7103</v>
      </c>
      <c r="S6" s="2" t="n">
        <v>1290834232.8839</v>
      </c>
      <c r="T6" s="2" t="n">
        <v>1366650258.928</v>
      </c>
      <c r="U6" s="2" t="n">
        <v>1304103907.4377</v>
      </c>
      <c r="V6" s="2" t="n">
        <v>1531564063.017</v>
      </c>
      <c r="W6" s="2" t="n">
        <v>1588838246.3923</v>
      </c>
      <c r="X6" s="2" t="n">
        <v>1735406673.2111</v>
      </c>
      <c r="Y6" s="2" t="n">
        <v>2371834213.5593</v>
      </c>
      <c r="Z6" s="2" t="n">
        <v>2118435608.9961</v>
      </c>
      <c r="AA6" s="2" t="n">
        <v>2149394837.604</v>
      </c>
      <c r="AB6" s="2" t="n">
        <v>1944383312.9572</v>
      </c>
      <c r="AC6" s="2" t="n">
        <v>1836892446.2211</v>
      </c>
      <c r="AD6" s="2" t="n">
        <v>2077900799.9611</v>
      </c>
      <c r="AE6" s="2" t="n">
        <v>2525097198.072</v>
      </c>
      <c r="AF6" s="2" t="n">
        <v>2966576228.7293</v>
      </c>
      <c r="AG6" s="2" t="n">
        <v>3490249472.3445</v>
      </c>
      <c r="AH6" s="2" t="n">
        <v>5076415834.1651</v>
      </c>
      <c r="AI6" s="2" t="n">
        <v>6281117856.8864</v>
      </c>
      <c r="AJ6" s="2" t="n">
        <v>6428012365.3074</v>
      </c>
      <c r="AK6" s="2" t="n">
        <v>6521886347.2001</v>
      </c>
      <c r="AL6" s="2" t="n">
        <v>6949228173.6003</v>
      </c>
      <c r="AM6" s="2" t="n">
        <v>9143325902.5254</v>
      </c>
      <c r="AN6" s="2" t="n">
        <v>9909845502.21</v>
      </c>
      <c r="AO6" s="2" t="n">
        <v>4171608674.3</v>
      </c>
      <c r="AP6" s="2"/>
    </row>
    <row r="7">
      <c r="A7" t="str">
        <f>N7</f>
      </c>
      <c r="B7" t="str">
        <f>O7</f>
      </c>
      <c r="N7" t="s">
        <v>31</v>
      </c>
      <c r="O7" t="s">
        <v>35</v>
      </c>
      <c r="P7" s="2" t="n">
        <v>1431554126.2527</v>
      </c>
      <c r="Q7" s="2" t="n">
        <v>1249436292.4847</v>
      </c>
      <c r="R7" s="2" t="n">
        <v>1206539890.2158</v>
      </c>
      <c r="S7" s="2" t="n">
        <v>1133144843.5042</v>
      </c>
      <c r="T7" s="2" t="n">
        <v>1245722778.4086</v>
      </c>
      <c r="U7" s="2" t="n">
        <v>1025189320.0905</v>
      </c>
      <c r="V7" s="2" t="n">
        <v>1253412535.5063</v>
      </c>
      <c r="W7" s="2" t="n">
        <v>1263466412.4992</v>
      </c>
      <c r="X7" s="2" t="n">
        <v>1198927027.9407</v>
      </c>
      <c r="Y7" s="2" t="n">
        <v>1587047089.6785</v>
      </c>
      <c r="Z7" s="2" t="n">
        <v>1595049613.2096</v>
      </c>
      <c r="AA7" s="2" t="n">
        <v>1464116914.9863</v>
      </c>
      <c r="AB7" s="2" t="n">
        <v>1401635602.3463</v>
      </c>
      <c r="AC7" s="2" t="n">
        <v>1143689137.6011</v>
      </c>
      <c r="AD7" s="2" t="n">
        <v>990775413.0663</v>
      </c>
      <c r="AE7" s="2" t="n">
        <v>849530889.4354</v>
      </c>
      <c r="AF7" s="2" t="n">
        <v>1124119046.25</v>
      </c>
      <c r="AG7" s="2" t="n">
        <v>1191709079.1205</v>
      </c>
      <c r="AH7" s="2" t="n">
        <v>1287583147.2739</v>
      </c>
      <c r="AI7" s="2" t="n">
        <v>1364031959.1227</v>
      </c>
      <c r="AJ7" s="2" t="n">
        <v>1856408319.5092</v>
      </c>
      <c r="AK7" s="2" t="n">
        <v>1736248701.0423</v>
      </c>
      <c r="AL7" s="2" t="n">
        <v>1874355290.0103</v>
      </c>
      <c r="AM7" s="2" t="n">
        <v>2096291347.989</v>
      </c>
      <c r="AN7" s="2" t="n">
        <v>2116700788.09</v>
      </c>
      <c r="AO7" s="2" t="n">
        <v>743407437.53</v>
      </c>
      <c r="AP7" s="2"/>
    </row>
    <row r="8">
      <c r="A8" t="str">
        <f>N8</f>
      </c>
      <c r="B8" t="str">
        <f>O8</f>
      </c>
      <c r="N8" t="s">
        <v>31</v>
      </c>
      <c r="O8" t="s">
        <v>36</v>
      </c>
      <c r="P8" s="2" t="n">
        <v>857075193.8522</v>
      </c>
      <c r="Q8" s="2" t="n">
        <v>785965624.9907</v>
      </c>
      <c r="R8" s="2" t="n">
        <v>909998703.4557</v>
      </c>
      <c r="S8" s="2" t="n">
        <v>815079102.5286</v>
      </c>
      <c r="T8" s="2" t="n">
        <v>267251815.059</v>
      </c>
      <c r="U8" s="2" t="n">
        <v>166099227.1516</v>
      </c>
      <c r="V8" s="2" t="n">
        <v>135039444.1303</v>
      </c>
      <c r="W8" s="2" t="n">
        <v>77168062.1941</v>
      </c>
      <c r="X8" s="2" t="n">
        <v>13002685.5478</v>
      </c>
      <c r="Y8" s="2" t="n">
        <v>16708681.0012</v>
      </c>
      <c r="Z8" s="2" t="n">
        <v>8697060.1988</v>
      </c>
      <c r="AA8" s="2" t="n">
        <v>340614.9104</v>
      </c>
      <c r="AB8" s="2" t="n">
        <v>1442055.1924</v>
      </c>
      <c r="AC8" s="2" t="n">
        <v>1154066.88</v>
      </c>
      <c r="AD8" s="2" t="n">
        <v>1168320.4</v>
      </c>
      <c r="AE8" s="2" t="n">
        <v>1470525.408</v>
      </c>
      <c r="AF8" s="2" t="n">
        <v>452712.89</v>
      </c>
      <c r="AG8" s="2" t="n">
        <v>196727.24</v>
      </c>
      <c r="AH8" s="2" t="n">
        <v>181515.0391</v>
      </c>
      <c r="AI8" s="2" t="n">
        <v>321913</v>
      </c>
      <c r="AJ8" s="2" t="n">
        <v>0</v>
      </c>
      <c r="AK8" s="2"/>
      <c r="AL8" s="2" t="n">
        <v>21500</v>
      </c>
      <c r="AM8" s="2"/>
      <c r="AN8" s="2"/>
      <c r="AO8" s="2"/>
      <c r="AP8" s="2"/>
    </row>
    <row r="9">
      <c r="A9" t="str">
        <f>N9</f>
      </c>
      <c r="B9" t="str">
        <f>O9</f>
      </c>
      <c r="N9"/>
      <c r="O9"/>
      <c r="P9" s="2" t="n">
        <v>0</v>
      </c>
      <c r="Q9" s="2" t="n">
        <v>773740.3125</v>
      </c>
      <c r="R9" s="2" t="n">
        <v>1304089.8414</v>
      </c>
      <c r="S9" s="2" t="n">
        <v>5533322.5</v>
      </c>
      <c r="T9" s="2" t="n">
        <v>4197029.9339</v>
      </c>
      <c r="U9" s="2" t="n">
        <v>355515.6401</v>
      </c>
      <c r="V9" s="2" t="n">
        <v>647421.89</v>
      </c>
      <c r="W9" s="2" t="n">
        <v>0</v>
      </c>
      <c r="X9" s="2" t="n">
        <v>0</v>
      </c>
      <c r="Y9" s="2" t="n">
        <v>0</v>
      </c>
      <c r="Z9" s="2" t="n">
        <v>0</v>
      </c>
      <c r="AA9" s="2"/>
      <c r="AB9" s="2" t="n">
        <v>0</v>
      </c>
      <c r="AC9" s="2"/>
      <c r="AD9" s="2"/>
      <c r="AE9" s="2" t="n">
        <v>10740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-250</v>
      </c>
      <c r="AO9" s="2" t="n">
        <v>99479.2</v>
      </c>
      <c r="AP9" s="2"/>
    </row>
    <row r="10">
      <c r="A10" t="str">
        <f>N10</f>
      </c>
      <c r="B10" t="str">
        <f>O10</f>
      </c>
      <c r="N10" t="s">
        <v>37</v>
      </c>
      <c r="O10" t="s">
        <v>38</v>
      </c>
      <c r="P10" s="2" t="str">
        <f>Sum(P2:P9)</f>
      </c>
      <c r="Q10" s="2" t="str">
        <f>Sum(Q2:Q9)</f>
      </c>
      <c r="R10" s="2" t="str">
        <f>Sum(R2:R9)</f>
      </c>
      <c r="S10" s="2" t="str">
        <f>Sum(S2:S9)</f>
      </c>
      <c r="T10" s="2" t="str">
        <f>Sum(T2:T9)</f>
      </c>
      <c r="U10" s="2" t="str">
        <f>Sum(U2:U9)</f>
      </c>
      <c r="V10" s="2" t="str">
        <f>Sum(V2:V9)</f>
      </c>
      <c r="W10" s="2" t="str">
        <f>Sum(W2:W9)</f>
      </c>
      <c r="X10" s="2" t="str">
        <f>Sum(X2:X9)</f>
      </c>
      <c r="Y10" s="2" t="str">
        <f>Sum(Y2:Y9)</f>
      </c>
      <c r="Z10" s="2" t="str">
        <f>Sum(Z2:Z9)</f>
      </c>
      <c r="AA10" s="2" t="str">
        <f>Sum(AA2:AA9)</f>
      </c>
      <c r="AB10" s="2" t="str">
        <f>Sum(AB2:AB9)</f>
      </c>
      <c r="AC10" s="2" t="str">
        <f>Sum(AC2:AC9)</f>
      </c>
      <c r="AD10" s="2" t="str">
        <f>Sum(AD2:AD9)</f>
      </c>
      <c r="AE10" s="2" t="str">
        <f>Sum(AE2:AE9)</f>
      </c>
      <c r="AF10" s="2" t="str">
        <f>Sum(AF2:AF9)</f>
      </c>
      <c r="AG10" s="2" t="str">
        <f>Sum(AG2:AG9)</f>
      </c>
      <c r="AH10" s="2" t="str">
        <f>Sum(AH2:AH9)</f>
      </c>
      <c r="AI10" s="2" t="str">
        <f>Sum(AI2:AI9)</f>
      </c>
      <c r="AJ10" s="2" t="str">
        <f>Sum(AJ2:AJ9)</f>
      </c>
      <c r="AK10" s="2" t="str">
        <f>Sum(AK2:AK9)</f>
      </c>
      <c r="AL10" s="2" t="str">
        <f>Sum(AL2:AL9)</f>
      </c>
      <c r="AM10" s="2" t="str">
        <f>Sum(AM2:AM9)</f>
      </c>
      <c r="AN10" s="2" t="str">
        <f>Sum(AN2:AN9)</f>
      </c>
      <c r="AO10" s="2" t="str">
        <f>Sum(AO2:AO9)</f>
      </c>
      <c r="AP10" s="2"/>
    </row>
    <row r="13">
      <c r="A13" t="str">
        <f>N13</f>
      </c>
      <c r="B13" t="str">
        <f>O13</f>
      </c>
      <c r="N13" t="s">
        <v>0</v>
      </c>
      <c r="O13" t="s">
        <v>1</v>
      </c>
      <c r="P13" t="s">
        <v>2</v>
      </c>
      <c r="Q13" t="s">
        <v>3</v>
      </c>
      <c r="R13" t="s">
        <v>4</v>
      </c>
      <c r="S13" t="s">
        <v>5</v>
      </c>
      <c r="T13" t="s">
        <v>6</v>
      </c>
      <c r="U13" t="s">
        <v>7</v>
      </c>
      <c r="V13" t="s">
        <v>8</v>
      </c>
      <c r="W13" t="s">
        <v>9</v>
      </c>
      <c r="X13" t="s">
        <v>10</v>
      </c>
      <c r="Y13" t="s">
        <v>11</v>
      </c>
      <c r="Z13" t="s">
        <v>12</v>
      </c>
      <c r="AA13" t="s">
        <v>13</v>
      </c>
      <c r="AB13" t="s">
        <v>14</v>
      </c>
      <c r="AC13" t="s">
        <v>15</v>
      </c>
      <c r="AD13" t="s">
        <v>16</v>
      </c>
      <c r="AE13" t="s">
        <v>17</v>
      </c>
      <c r="AF13" t="s">
        <v>18</v>
      </c>
      <c r="AG13" t="s">
        <v>19</v>
      </c>
      <c r="AH13" t="s">
        <v>20</v>
      </c>
      <c r="AI13" t="s">
        <v>21</v>
      </c>
      <c r="AJ13" t="s">
        <v>22</v>
      </c>
      <c r="AK13" t="s">
        <v>23</v>
      </c>
      <c r="AL13" t="s">
        <v>24</v>
      </c>
      <c r="AM13" t="s">
        <v>25</v>
      </c>
      <c r="AN13" t="s">
        <v>26</v>
      </c>
      <c r="AO13" t="s">
        <v>27</v>
      </c>
    </row>
    <row r="14">
      <c r="A14" t="str">
        <f>N14</f>
      </c>
      <c r="B14" t="str">
        <f>O14</f>
      </c>
      <c r="N14" t="s">
        <v>28</v>
      </c>
      <c r="O14" t="s">
        <v>29</v>
      </c>
      <c r="P14" s="2" t="n">
        <v>3214609534.49951</v>
      </c>
      <c r="Q14" s="2" t="n">
        <v>2606639593.9962</v>
      </c>
      <c r="R14" s="2" t="n">
        <v>8734176836.35489</v>
      </c>
      <c r="S14" s="2" t="n">
        <v>2393555505.0934</v>
      </c>
      <c r="T14" s="2" t="n">
        <v>2541401775.71593</v>
      </c>
      <c r="U14" s="2" t="n">
        <v>2529543000.66631</v>
      </c>
      <c r="V14" s="2" t="n">
        <v>3080086685.29513</v>
      </c>
      <c r="W14" s="2" t="n">
        <v>2665015343.51376</v>
      </c>
      <c r="X14" s="2" t="n">
        <v>2261931933.49618</v>
      </c>
      <c r="Y14" s="2" t="n">
        <v>4258024185.97855</v>
      </c>
      <c r="Z14" s="2" t="n">
        <v>6813237863.90821</v>
      </c>
      <c r="AA14" s="2" t="n">
        <v>2803191929.42174</v>
      </c>
      <c r="AB14" s="2" t="n">
        <v>1959459623.99363</v>
      </c>
      <c r="AC14" s="2" t="n">
        <v>1762870713.46159</v>
      </c>
      <c r="AD14" s="2" t="n">
        <v>1663049673.87658</v>
      </c>
      <c r="AE14" s="2" t="n">
        <v>2014433764.38608</v>
      </c>
      <c r="AF14" s="2" t="n">
        <v>2056061725.69726</v>
      </c>
      <c r="AG14" s="2" t="n">
        <v>2252844737.73277</v>
      </c>
      <c r="AH14" s="2" t="n">
        <v>2405389186.69787</v>
      </c>
      <c r="AI14" s="2" t="n">
        <v>2426209431.62394</v>
      </c>
      <c r="AJ14" s="2" t="n">
        <v>2216791943.2138</v>
      </c>
      <c r="AK14" s="2" t="n">
        <v>2735750717.44265</v>
      </c>
      <c r="AL14" s="2" t="n">
        <v>3204111948.8859</v>
      </c>
      <c r="AM14" s="2" t="n">
        <v>2917739736.74</v>
      </c>
      <c r="AN14" s="2" t="n">
        <v>3673203278.91182</v>
      </c>
      <c r="AO14" s="2" t="n">
        <v>1144905975.47766</v>
      </c>
      <c r="AP14" s="2"/>
    </row>
    <row r="15">
      <c r="A15" t="str">
        <f>N15</f>
      </c>
      <c r="B15" t="str">
        <f>O15</f>
      </c>
      <c r="N15" t="s">
        <v>28</v>
      </c>
      <c r="O15" t="s">
        <v>30</v>
      </c>
      <c r="P15" s="2" t="n">
        <v>916538470.542723</v>
      </c>
      <c r="Q15" s="2" t="n">
        <v>534077976.763203</v>
      </c>
      <c r="R15" s="2" t="n">
        <v>2214342919.44163</v>
      </c>
      <c r="S15" s="2" t="n">
        <v>1469488550.37229</v>
      </c>
      <c r="T15" s="2" t="n">
        <v>553122006.756385</v>
      </c>
      <c r="U15" s="2" t="n">
        <v>1153518369.14828</v>
      </c>
      <c r="V15" s="2" t="n">
        <v>743711841.726869</v>
      </c>
      <c r="W15" s="2" t="n">
        <v>508864074.712345</v>
      </c>
      <c r="X15" s="2" t="n">
        <v>604616573.63627</v>
      </c>
      <c r="Y15" s="2" t="n">
        <v>457754365.435526</v>
      </c>
      <c r="Z15" s="2" t="n">
        <v>606382868.420569</v>
      </c>
      <c r="AA15" s="2" t="n">
        <v>673129536.870796</v>
      </c>
      <c r="AB15" s="2" t="n">
        <v>862129562.200558</v>
      </c>
      <c r="AC15" s="2" t="n">
        <v>554768403.040909</v>
      </c>
      <c r="AD15" s="2" t="n">
        <v>603008849.555925</v>
      </c>
      <c r="AE15" s="2" t="n">
        <v>541393306.89139</v>
      </c>
      <c r="AF15" s="2" t="n">
        <v>657494652.912575</v>
      </c>
      <c r="AG15" s="2" t="n">
        <v>756098405.032403</v>
      </c>
      <c r="AH15" s="2" t="n">
        <v>598281064.846966</v>
      </c>
      <c r="AI15" s="2" t="n">
        <v>618336667.003556</v>
      </c>
      <c r="AJ15" s="2" t="n">
        <v>520246493.195216</v>
      </c>
      <c r="AK15" s="2" t="n">
        <v>169847734.312772</v>
      </c>
      <c r="AL15" s="2" t="n">
        <v>256924131.601152</v>
      </c>
      <c r="AM15" s="2" t="n">
        <v>258188104.36</v>
      </c>
      <c r="AN15" s="2" t="n">
        <v>383504351.286592</v>
      </c>
      <c r="AO15" s="2" t="n">
        <v>51873075.9333366</v>
      </c>
      <c r="AP15" s="2"/>
    </row>
    <row r="16">
      <c r="A16" t="str">
        <f>N16</f>
      </c>
      <c r="B16" t="str">
        <f>O16</f>
      </c>
      <c r="N16" t="s">
        <v>31</v>
      </c>
      <c r="O16" t="s">
        <v>32</v>
      </c>
      <c r="P16" s="2" t="n">
        <v>3979680008.06351</v>
      </c>
      <c r="Q16" s="2" t="n">
        <v>3911536996.95194</v>
      </c>
      <c r="R16" s="2" t="n">
        <v>3907109187.27423</v>
      </c>
      <c r="S16" s="2" t="n">
        <v>7712081623.95148</v>
      </c>
      <c r="T16" s="2" t="n">
        <v>7044396318.58718</v>
      </c>
      <c r="U16" s="2" t="n">
        <v>6292218776.43476</v>
      </c>
      <c r="V16" s="2" t="n">
        <v>6404357286.15259</v>
      </c>
      <c r="W16" s="2" t="n">
        <v>6412429096.34328</v>
      </c>
      <c r="X16" s="2" t="n">
        <v>6415613598.18467</v>
      </c>
      <c r="Y16" s="2" t="n">
        <v>5656041903.23592</v>
      </c>
      <c r="Z16" s="2" t="n">
        <v>7221997959.86334</v>
      </c>
      <c r="AA16" s="2" t="n">
        <v>4875278873.42795</v>
      </c>
      <c r="AB16" s="2" t="n">
        <v>819615479.19802</v>
      </c>
      <c r="AC16" s="2" t="n">
        <v>668973218.686574</v>
      </c>
      <c r="AD16" s="2" t="n">
        <v>695791414.156614</v>
      </c>
      <c r="AE16" s="2" t="n">
        <v>761645698.490308</v>
      </c>
      <c r="AF16" s="2" t="n">
        <v>610455869.770709</v>
      </c>
      <c r="AG16" s="2" t="n">
        <v>1112470158.87412</v>
      </c>
      <c r="AH16" s="2" t="n">
        <v>1197528103.78583</v>
      </c>
      <c r="AI16" s="2" t="n">
        <v>1509893686.58427</v>
      </c>
      <c r="AJ16" s="2" t="n">
        <v>1844131336.24699</v>
      </c>
      <c r="AK16" s="2" t="n">
        <v>2259645582.34499</v>
      </c>
      <c r="AL16" s="2" t="n">
        <v>2848328871.27065</v>
      </c>
      <c r="AM16" s="2" t="n">
        <v>2713965107.3538</v>
      </c>
      <c r="AN16" s="2" t="n">
        <v>2878615670.57501</v>
      </c>
      <c r="AO16" s="2" t="n">
        <v>1187247608.04226</v>
      </c>
      <c r="AP16" s="2"/>
    </row>
    <row r="17">
      <c r="A17" t="str">
        <f>N17</f>
      </c>
      <c r="B17" t="str">
        <f>O17</f>
      </c>
      <c r="N17" t="s">
        <v>31</v>
      </c>
      <c r="O17" t="s">
        <v>33</v>
      </c>
      <c r="P17" s="2" t="n">
        <v>4660871852.58548</v>
      </c>
      <c r="Q17" s="2" t="n">
        <v>8861733371.1253</v>
      </c>
      <c r="R17" s="2" t="n">
        <v>11031293744.8323</v>
      </c>
      <c r="S17" s="2" t="n">
        <v>13869954491.6543</v>
      </c>
      <c r="T17" s="2" t="n">
        <v>11012395880.4401</v>
      </c>
      <c r="U17" s="2" t="n">
        <v>8748272514.71218</v>
      </c>
      <c r="V17" s="2" t="n">
        <v>5958915669.8956</v>
      </c>
      <c r="W17" s="2" t="n">
        <v>4907099734.01581</v>
      </c>
      <c r="X17" s="2" t="n">
        <v>5194036356.35816</v>
      </c>
      <c r="Y17" s="2" t="n">
        <v>5658585981.60093</v>
      </c>
      <c r="Z17" s="2" t="n">
        <v>5899732337.96646</v>
      </c>
      <c r="AA17" s="2" t="n">
        <v>6297443283.52845</v>
      </c>
      <c r="AB17" s="2" t="n">
        <v>5380172929.17475</v>
      </c>
      <c r="AC17" s="2" t="n">
        <v>4656180017.55666</v>
      </c>
      <c r="AD17" s="2" t="n">
        <v>4676928905.09765</v>
      </c>
      <c r="AE17" s="2" t="n">
        <v>4483564337.76075</v>
      </c>
      <c r="AF17" s="2" t="n">
        <v>4623059252.60822</v>
      </c>
      <c r="AG17" s="2" t="n">
        <v>4782524957.69417</v>
      </c>
      <c r="AH17" s="2" t="n">
        <v>4730444047.5304</v>
      </c>
      <c r="AI17" s="2" t="n">
        <v>5353988205.37253</v>
      </c>
      <c r="AJ17" s="2" t="n">
        <v>6215348370.84327</v>
      </c>
      <c r="AK17" s="2" t="n">
        <v>5969655094.99649</v>
      </c>
      <c r="AL17" s="2" t="n">
        <v>6619888283.82231</v>
      </c>
      <c r="AM17" s="2" t="n">
        <v>7306252996.0019</v>
      </c>
      <c r="AN17" s="2" t="n">
        <v>7616190117.69122</v>
      </c>
      <c r="AO17" s="2" t="n">
        <v>2913437571.77319</v>
      </c>
      <c r="AP17" s="2"/>
    </row>
    <row r="18">
      <c r="A18" t="str">
        <f>N18</f>
      </c>
      <c r="B18" t="str">
        <f>O18</f>
      </c>
      <c r="N18" t="s">
        <v>31</v>
      </c>
      <c r="O18" t="s">
        <v>34</v>
      </c>
      <c r="P18" s="2" t="n">
        <v>1532571866.53854</v>
      </c>
      <c r="Q18" s="2" t="n">
        <v>1630376764.3678</v>
      </c>
      <c r="R18" s="2" t="n">
        <v>1801416096.85525</v>
      </c>
      <c r="S18" s="2" t="n">
        <v>2046657159.48263</v>
      </c>
      <c r="T18" s="2" t="n">
        <v>2115214874.02783</v>
      </c>
      <c r="U18" s="2" t="n">
        <v>1958803544.56688</v>
      </c>
      <c r="V18" s="2" t="n">
        <v>2228078001.40176</v>
      </c>
      <c r="W18" s="2" t="n">
        <v>2249472103.72926</v>
      </c>
      <c r="X18" s="2" t="n">
        <v>2407011618.14727</v>
      </c>
      <c r="Y18" s="2" t="n">
        <v>3256436871.92969</v>
      </c>
      <c r="Z18" s="2" t="n">
        <v>2883557478.76195</v>
      </c>
      <c r="AA18" s="2" t="n">
        <v>2868131044.97399</v>
      </c>
      <c r="AB18" s="2" t="n">
        <v>2548323718.09786</v>
      </c>
      <c r="AC18" s="2" t="n">
        <v>2364541398.64523</v>
      </c>
      <c r="AD18" s="2" t="n">
        <v>2626857401.16105</v>
      </c>
      <c r="AE18" s="2" t="n">
        <v>3159477398.15017</v>
      </c>
      <c r="AF18" s="2" t="n">
        <v>3682427907.21851</v>
      </c>
      <c r="AG18" s="2" t="n">
        <v>4260547531.70938</v>
      </c>
      <c r="AH18" s="2" t="n">
        <v>6062199967.37511</v>
      </c>
      <c r="AI18" s="2" t="n">
        <v>7364672530.06682</v>
      </c>
      <c r="AJ18" s="2" t="n">
        <v>7439721904.96556</v>
      </c>
      <c r="AK18" s="2" t="n">
        <v>7297219673.70805</v>
      </c>
      <c r="AL18" s="2" t="n">
        <v>7267131698.46529</v>
      </c>
      <c r="AM18" s="2" t="n">
        <v>9143325902.5254</v>
      </c>
      <c r="AN18" s="2" t="n">
        <v>9652077243.1786</v>
      </c>
      <c r="AO18" s="2" t="n">
        <v>3975860953.23864</v>
      </c>
      <c r="AP18" s="2"/>
    </row>
    <row r="19">
      <c r="A19" t="str">
        <f>N19</f>
      </c>
      <c r="B19" t="str">
        <f>O19</f>
      </c>
      <c r="N19" t="s">
        <v>31</v>
      </c>
      <c r="O19" t="s">
        <v>35</v>
      </c>
      <c r="P19" s="2" t="n">
        <v>2406690705.37165</v>
      </c>
      <c r="Q19" s="2" t="n">
        <v>2050809306.67572</v>
      </c>
      <c r="R19" s="2" t="n">
        <v>1949726296.59121</v>
      </c>
      <c r="S19" s="2" t="n">
        <v>1796635809.31486</v>
      </c>
      <c r="T19" s="2" t="n">
        <v>1928050964.45964</v>
      </c>
      <c r="U19" s="2" t="n">
        <v>1539865391.54766</v>
      </c>
      <c r="V19" s="2" t="n">
        <v>1823430677.48763</v>
      </c>
      <c r="W19" s="2" t="n">
        <v>1788811702.74528</v>
      </c>
      <c r="X19" s="2" t="n">
        <v>1662913558.02168</v>
      </c>
      <c r="Y19" s="2" t="n">
        <v>2178954427.24144</v>
      </c>
      <c r="Z19" s="2" t="n">
        <v>2171138561.6986</v>
      </c>
      <c r="AA19" s="2" t="n">
        <v>1953703016.25216</v>
      </c>
      <c r="AB19" s="2" t="n">
        <v>1836994396.00575</v>
      </c>
      <c r="AC19" s="2" t="n">
        <v>1472214836.85777</v>
      </c>
      <c r="AD19" s="2" t="n">
        <v>1252526456.86952</v>
      </c>
      <c r="AE19" s="2" t="n">
        <v>1062958545.21994</v>
      </c>
      <c r="AF19" s="2" t="n">
        <v>1395375351.17375</v>
      </c>
      <c r="AG19" s="2" t="n">
        <v>1454719273.16185</v>
      </c>
      <c r="AH19" s="2" t="n">
        <v>1537617635.8256</v>
      </c>
      <c r="AI19" s="2" t="n">
        <v>1599340902.10877</v>
      </c>
      <c r="AJ19" s="2" t="n">
        <v>2148589774.61728</v>
      </c>
      <c r="AK19" s="2" t="n">
        <v>1942657002.16244</v>
      </c>
      <c r="AL19" s="2" t="n">
        <v>1960100661.82112</v>
      </c>
      <c r="AM19" s="2" t="n">
        <v>2096291347.989</v>
      </c>
      <c r="AN19" s="2" t="n">
        <v>2061642585.92987</v>
      </c>
      <c r="AO19" s="2" t="n">
        <v>708523937.403762</v>
      </c>
      <c r="AP19" s="2"/>
    </row>
    <row r="20">
      <c r="A20" t="str">
        <f>N20</f>
      </c>
      <c r="B20" t="str">
        <f>O20</f>
      </c>
      <c r="N20" t="s">
        <v>31</v>
      </c>
      <c r="O20" t="s">
        <v>36</v>
      </c>
      <c r="P20" s="2" t="n">
        <v>1440892010.3134</v>
      </c>
      <c r="Q20" s="2" t="n">
        <v>1290074274.41753</v>
      </c>
      <c r="R20" s="2" t="n">
        <v>1470526102.26932</v>
      </c>
      <c r="S20" s="2" t="n">
        <v>1292332848.19839</v>
      </c>
      <c r="T20" s="2" t="n">
        <v>413635464.253414</v>
      </c>
      <c r="U20" s="2" t="n">
        <v>249486067.052458</v>
      </c>
      <c r="V20" s="2" t="n">
        <v>196451733.266416</v>
      </c>
      <c r="W20" s="2" t="n">
        <v>109254295.456841</v>
      </c>
      <c r="X20" s="2" t="n">
        <v>18034744.0538297</v>
      </c>
      <c r="Y20" s="2" t="n">
        <v>22940374.4083643</v>
      </c>
      <c r="Z20" s="2" t="n">
        <v>11838204.0374486</v>
      </c>
      <c r="AA20" s="2" t="n">
        <v>454513.141004976</v>
      </c>
      <c r="AB20" s="2" t="n">
        <v>1889968.62147006</v>
      </c>
      <c r="AC20" s="2" t="n">
        <v>1485573.59478459</v>
      </c>
      <c r="AD20" s="2" t="n">
        <v>1476976.71117163</v>
      </c>
      <c r="AE20" s="2" t="n">
        <v>1839965.52430893</v>
      </c>
      <c r="AF20" s="2" t="n">
        <v>561955.079377017</v>
      </c>
      <c r="AG20" s="2" t="n">
        <v>240144.941914132</v>
      </c>
      <c r="AH20" s="2" t="n">
        <v>216763.263699631</v>
      </c>
      <c r="AI20" s="2" t="n">
        <v>377446.162003179</v>
      </c>
      <c r="AJ20" s="2" t="n">
        <v>0</v>
      </c>
      <c r="AK20" s="2"/>
      <c r="AL20" s="2" t="n">
        <v>22483.5517864506</v>
      </c>
      <c r="AM20" s="2"/>
      <c r="AN20" s="2"/>
      <c r="AO20" s="2"/>
      <c r="AP20" s="2"/>
    </row>
    <row r="21">
      <c r="A21" t="str">
        <f>N21</f>
      </c>
      <c r="B21" t="str">
        <f>O21</f>
      </c>
      <c r="N21"/>
      <c r="O21"/>
      <c r="P21" s="2" t="n">
        <v>0</v>
      </c>
      <c r="Q21" s="2" t="n">
        <v>1270007.79741206</v>
      </c>
      <c r="R21" s="2" t="n">
        <v>2107363.60854201</v>
      </c>
      <c r="S21" s="2" t="n">
        <v>8773252.0736223</v>
      </c>
      <c r="T21" s="2" t="n">
        <v>6495897.6043285</v>
      </c>
      <c r="U21" s="2" t="n">
        <v>533995.252989542</v>
      </c>
      <c r="V21" s="2" t="n">
        <v>941851.866054747</v>
      </c>
      <c r="W21" s="2" t="n">
        <v>0</v>
      </c>
      <c r="X21" s="2" t="n">
        <v>0</v>
      </c>
      <c r="Y21" s="2" t="n">
        <v>0</v>
      </c>
      <c r="Z21" s="2" t="n">
        <v>0</v>
      </c>
      <c r="AA21" s="2"/>
      <c r="AB21" s="2" t="n">
        <v>0</v>
      </c>
      <c r="AC21" s="2"/>
      <c r="AD21" s="2"/>
      <c r="AE21" s="2" t="n">
        <v>13438.2103318802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-243.497167564976</v>
      </c>
      <c r="AO21" s="2" t="n">
        <v>94811.2581546939</v>
      </c>
      <c r="AP21" s="2"/>
    </row>
    <row r="22">
      <c r="A22" t="str">
        <f>N22</f>
      </c>
      <c r="B22" t="str">
        <f>O22</f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39</v>
      </c>
      <c r="O1" t="s">
        <v>40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</row>
    <row r="2">
      <c r="A2" t="str">
        <f>N2</f>
      </c>
      <c r="B2" t="str">
        <f>O2</f>
      </c>
      <c r="N2" t="s">
        <v>41</v>
      </c>
      <c r="O2" t="s">
        <v>42</v>
      </c>
      <c r="P2" s="3" t="n">
        <v>382296168.6494</v>
      </c>
      <c r="Q2" s="3" t="n">
        <v>457891915.0532</v>
      </c>
      <c r="R2" s="3" t="n">
        <v>289312913.3466</v>
      </c>
      <c r="S2" s="3" t="n">
        <v>782764783.7275</v>
      </c>
      <c r="T2" s="3" t="n">
        <v>396150910.7173</v>
      </c>
      <c r="U2" s="3" t="n">
        <v>731675244.1782</v>
      </c>
      <c r="V2" s="3" t="n">
        <v>622364396.3336</v>
      </c>
      <c r="W2" s="3" t="n">
        <v>617814948.5846</v>
      </c>
      <c r="X2" s="3" t="n">
        <v>675379615.0558</v>
      </c>
      <c r="Y2" s="3" t="n">
        <v>857855271.4555</v>
      </c>
      <c r="Z2" s="3" t="n">
        <v>585617336.1713</v>
      </c>
      <c r="AA2" s="3" t="n">
        <v>1061326441.459</v>
      </c>
      <c r="AB2" s="3" t="n">
        <v>1026744802.9168</v>
      </c>
      <c r="AC2" s="3" t="n">
        <v>879074610.54</v>
      </c>
      <c r="AD2" s="3" t="n">
        <v>892307237.7725</v>
      </c>
      <c r="AE2" s="3" t="n">
        <v>1222395221.315</v>
      </c>
      <c r="AF2" s="3" t="n">
        <v>1892798363.99</v>
      </c>
      <c r="AG2" s="3" t="n">
        <v>2454134448.7312</v>
      </c>
      <c r="AH2" s="3" t="n">
        <v>4279293436.8468</v>
      </c>
      <c r="AI2" s="3" t="n">
        <v>5445056704.5945</v>
      </c>
      <c r="AJ2" s="3" t="n">
        <v>6702006978.8524</v>
      </c>
      <c r="AK2" s="3" t="n">
        <v>6663255959.6548</v>
      </c>
      <c r="AL2" s="3" t="n">
        <v>8163940647.9984</v>
      </c>
      <c r="AM2" s="3" t="n">
        <v>10419070037.9722</v>
      </c>
      <c r="AN2" s="3" t="n">
        <v>11989116551.73</v>
      </c>
      <c r="AO2" s="3" t="n">
        <v>4401376321.83</v>
      </c>
      <c r="AP2" s="3"/>
    </row>
    <row r="3">
      <c r="A3" t="str">
        <f>N3</f>
      </c>
      <c r="B3" t="str">
        <f>O3</f>
      </c>
      <c r="N3" t="s">
        <v>41</v>
      </c>
      <c r="O3" t="s">
        <v>43</v>
      </c>
      <c r="P3" s="3" t="n">
        <v>485326804.0984</v>
      </c>
      <c r="Q3" s="3" t="n">
        <v>674518046.2637</v>
      </c>
      <c r="R3" s="3" t="n">
        <v>1605647306.6343</v>
      </c>
      <c r="S3" s="3" t="n">
        <v>1976875322.1425</v>
      </c>
      <c r="T3" s="3" t="n">
        <v>2975278772.3596</v>
      </c>
      <c r="U3" s="3" t="n">
        <v>2330798508.07</v>
      </c>
      <c r="V3" s="3" t="n">
        <v>1444896163.7073</v>
      </c>
      <c r="W3" s="3" t="n">
        <v>1357584723.0203</v>
      </c>
      <c r="X3" s="3" t="n">
        <v>1394479252.4496</v>
      </c>
      <c r="Y3" s="3" t="n">
        <v>1152441451.7719</v>
      </c>
      <c r="Z3" s="3" t="n">
        <v>1710917741.4976</v>
      </c>
      <c r="AA3" s="3" t="n">
        <v>2112868769.3926</v>
      </c>
      <c r="AB3" s="3" t="n">
        <v>1840870844.4</v>
      </c>
      <c r="AC3" s="3" t="n">
        <v>1464592976.2476</v>
      </c>
      <c r="AD3" s="3" t="n">
        <v>1282220075.7623</v>
      </c>
      <c r="AE3" s="3" t="n">
        <v>1250059357.5413</v>
      </c>
      <c r="AF3" s="3" t="n">
        <v>1131115839.0801</v>
      </c>
      <c r="AG3" s="3" t="n">
        <v>1219850991.1412</v>
      </c>
      <c r="AH3" s="3" t="n">
        <v>1412698775.6244</v>
      </c>
      <c r="AI3" s="3" t="n">
        <v>1856603268.2004</v>
      </c>
      <c r="AJ3" s="3" t="n">
        <v>1710054630.0517</v>
      </c>
      <c r="AK3" s="3" t="n">
        <v>2122341452.4205</v>
      </c>
      <c r="AL3" s="3" t="n">
        <v>2213470786.2636</v>
      </c>
      <c r="AM3" s="3" t="n">
        <v>2474481878.1947</v>
      </c>
      <c r="AN3" s="3" t="n">
        <v>2435535397.1</v>
      </c>
      <c r="AO3" s="3" t="n">
        <v>909079534.1</v>
      </c>
      <c r="AP3" s="3"/>
    </row>
    <row r="4">
      <c r="A4" t="str">
        <f>N4</f>
      </c>
      <c r="B4" t="str">
        <f>O4</f>
      </c>
      <c r="N4" t="s">
        <v>44</v>
      </c>
      <c r="O4" t="s">
        <v>45</v>
      </c>
      <c r="P4" s="3" t="n">
        <v>0</v>
      </c>
      <c r="Q4" s="3" t="n">
        <v>30998.6192</v>
      </c>
      <c r="R4" s="3" t="n">
        <v>84446</v>
      </c>
      <c r="S4" s="3" t="n">
        <v>6770790.4768</v>
      </c>
      <c r="T4" s="3" t="n">
        <v>74777473.5624</v>
      </c>
      <c r="U4" s="3" t="n">
        <v>153775140.0435</v>
      </c>
      <c r="V4" s="3" t="n">
        <v>106040800.1911</v>
      </c>
      <c r="W4" s="3" t="n">
        <v>204494548.0057</v>
      </c>
      <c r="X4" s="3" t="n">
        <v>266224776.5834</v>
      </c>
      <c r="Y4" s="3" t="n">
        <v>282719202.7872</v>
      </c>
      <c r="Z4" s="3" t="n">
        <v>184068650.5073</v>
      </c>
      <c r="AA4" s="3" t="n">
        <v>231311552.7237</v>
      </c>
      <c r="AB4" s="3" t="n">
        <v>160739050.0716</v>
      </c>
      <c r="AC4" s="3" t="n">
        <v>91285430.7</v>
      </c>
      <c r="AD4" s="3" t="n">
        <v>8665995.17</v>
      </c>
      <c r="AE4" s="3" t="n">
        <v>-654653.7031</v>
      </c>
      <c r="AF4" s="3" t="n">
        <v>-444783.79</v>
      </c>
      <c r="AG4" s="3" t="n">
        <v>-63126006.5998</v>
      </c>
      <c r="AH4" s="3" t="n">
        <v>43665.461</v>
      </c>
      <c r="AI4" s="3" t="n">
        <v>-98626.3229</v>
      </c>
      <c r="AJ4" s="3" t="n">
        <v>-695727.9531</v>
      </c>
      <c r="AK4" s="3" t="n">
        <v>0</v>
      </c>
      <c r="AL4" s="3" t="n">
        <v>0</v>
      </c>
      <c r="AM4" s="3"/>
      <c r="AN4" s="3"/>
      <c r="AO4" s="3"/>
      <c r="AP4" s="3"/>
    </row>
    <row r="5">
      <c r="A5" t="str">
        <f>N5</f>
      </c>
      <c r="B5" t="str">
        <f>O5</f>
      </c>
      <c r="N5" t="s">
        <v>44</v>
      </c>
      <c r="O5" t="s">
        <v>46</v>
      </c>
      <c r="P5" s="3" t="n">
        <v>19055000</v>
      </c>
      <c r="Q5" s="3" t="n">
        <v>5991418.82</v>
      </c>
      <c r="R5" s="3" t="n">
        <v>18063741.76</v>
      </c>
      <c r="S5" s="3" t="n">
        <v>9929289.68</v>
      </c>
      <c r="T5" s="3" t="n">
        <v>15374723.3599</v>
      </c>
      <c r="U5" s="3" t="n">
        <v>4305837.0792</v>
      </c>
      <c r="V5" s="3" t="n">
        <v>13431328.0499</v>
      </c>
      <c r="W5" s="3" t="n">
        <v>2295495.42</v>
      </c>
      <c r="X5" s="3" t="n">
        <v>17796636.5931</v>
      </c>
      <c r="Y5" s="3" t="n">
        <v>215431988.1302</v>
      </c>
      <c r="Z5" s="3" t="n">
        <v>96552725.1896</v>
      </c>
      <c r="AA5" s="3" t="n">
        <v>164282408.2727</v>
      </c>
      <c r="AB5" s="3" t="n">
        <v>62370360.7253</v>
      </c>
      <c r="AC5" s="3" t="n">
        <v>53051077.0332</v>
      </c>
      <c r="AD5" s="3" t="n">
        <v>244506776.3613</v>
      </c>
      <c r="AE5" s="3" t="n">
        <v>86489256.67</v>
      </c>
      <c r="AF5" s="3" t="n">
        <v>191446501.59</v>
      </c>
      <c r="AG5" s="3" t="n">
        <v>78630417.3816</v>
      </c>
      <c r="AH5" s="3" t="n">
        <v>22962940.5173</v>
      </c>
      <c r="AI5" s="3" t="n">
        <v>9796815.1217</v>
      </c>
      <c r="AJ5" s="3" t="n">
        <v>25930078.1816</v>
      </c>
      <c r="AK5" s="3" t="n">
        <v>35502896.8605</v>
      </c>
      <c r="AL5" s="3" t="n">
        <v>56647309.6556</v>
      </c>
      <c r="AM5" s="3" t="n">
        <v>70100560.9339</v>
      </c>
      <c r="AN5" s="3" t="n">
        <v>51355303.74</v>
      </c>
      <c r="AO5" s="3" t="n">
        <v>72035688.55</v>
      </c>
      <c r="AP5" s="3"/>
    </row>
    <row r="6">
      <c r="A6" t="str">
        <f>N6</f>
      </c>
      <c r="B6" t="str">
        <f>O6</f>
      </c>
      <c r="N6" t="s">
        <v>44</v>
      </c>
      <c r="O6"/>
      <c r="P6" s="3" t="n">
        <v>60083078.2253</v>
      </c>
      <c r="Q6" s="3" t="n">
        <v>171593880.8</v>
      </c>
      <c r="R6" s="3" t="n">
        <v>29568586.8197</v>
      </c>
      <c r="S6" s="3" t="n">
        <v>331079927.207</v>
      </c>
      <c r="T6" s="3" t="n">
        <v>238604568.8847</v>
      </c>
      <c r="U6" s="3" t="n">
        <v>213499208.4379</v>
      </c>
      <c r="V6" s="3" t="n">
        <v>266414810.7729</v>
      </c>
      <c r="W6" s="3" t="n">
        <v>329599160.9158</v>
      </c>
      <c r="X6" s="3" t="n">
        <v>449182342.3307</v>
      </c>
      <c r="Y6" s="3" t="n">
        <v>504210095.8781</v>
      </c>
      <c r="Z6" s="3" t="n">
        <v>195337818.5461</v>
      </c>
      <c r="AA6" s="3" t="n">
        <v>363470970.4562</v>
      </c>
      <c r="AB6" s="3" t="n">
        <v>107424955.2995</v>
      </c>
      <c r="AC6" s="3" t="n">
        <v>165971414.4696</v>
      </c>
      <c r="AD6" s="3" t="n">
        <v>68193797.1605</v>
      </c>
      <c r="AE6" s="3" t="n">
        <v>23607037.0855</v>
      </c>
      <c r="AF6" s="3" t="n">
        <v>4801210.35</v>
      </c>
      <c r="AG6" s="3" t="n">
        <v>40429064.5605</v>
      </c>
      <c r="AH6" s="3" t="n">
        <v>8677575.1</v>
      </c>
      <c r="AI6" s="3" t="n">
        <v>41635106.71</v>
      </c>
      <c r="AJ6" s="3" t="n">
        <v>46782150.99</v>
      </c>
      <c r="AK6" s="3" t="n">
        <v>8054138.75</v>
      </c>
      <c r="AL6" s="3" t="n">
        <v>3575774.2</v>
      </c>
      <c r="AM6" s="3" t="n">
        <v>3337249.63</v>
      </c>
      <c r="AN6" s="3" t="n">
        <v>2386666.44</v>
      </c>
      <c r="AO6" s="3" t="n">
        <v>5679114.96</v>
      </c>
      <c r="AP6" s="3"/>
    </row>
    <row r="7">
      <c r="A7" t="str">
        <f>N7</f>
      </c>
      <c r="B7" t="str">
        <f>O7</f>
      </c>
      <c r="N7" t="s">
        <v>47</v>
      </c>
      <c r="O7" t="s">
        <v>48</v>
      </c>
      <c r="P7" s="3" t="n">
        <v>6985195936.6079</v>
      </c>
      <c r="Q7" s="3" t="n">
        <v>8393279122.2504</v>
      </c>
      <c r="R7" s="3" t="n">
        <v>11469529749.8175</v>
      </c>
      <c r="S7" s="3" t="n">
        <v>11038205345.0381</v>
      </c>
      <c r="T7" s="3" t="n">
        <v>6663068085.4153</v>
      </c>
      <c r="U7" s="3" t="n">
        <v>5587635394.4309</v>
      </c>
      <c r="V7" s="3" t="n">
        <v>5622135720.1828</v>
      </c>
      <c r="W7" s="3" t="n">
        <v>4704620012.8227</v>
      </c>
      <c r="X7" s="3" t="n">
        <v>4571032356.4117</v>
      </c>
      <c r="Y7" s="3" t="n">
        <v>6599487313.1985</v>
      </c>
      <c r="Z7" s="3" t="n">
        <v>8786049662.7857</v>
      </c>
      <c r="AA7" s="3" t="n">
        <v>5720794672.6144</v>
      </c>
      <c r="AB7" s="3" t="n">
        <v>5220244059.5494</v>
      </c>
      <c r="AC7" s="3" t="n">
        <v>4649454714.0694</v>
      </c>
      <c r="AD7" s="3" t="n">
        <v>4884875039.7938</v>
      </c>
      <c r="AE7" s="3" t="n">
        <v>5466885415.331</v>
      </c>
      <c r="AF7" s="3" t="n">
        <v>5393977352.6887</v>
      </c>
      <c r="AG7" s="3" t="n">
        <v>6264002846.3361</v>
      </c>
      <c r="AH7" s="3" t="n">
        <v>5978428844.3412</v>
      </c>
      <c r="AI7" s="3" t="n">
        <v>7319955160.7011</v>
      </c>
      <c r="AJ7" s="3" t="n">
        <v>7799720055.8711</v>
      </c>
      <c r="AK7" s="3" t="n">
        <v>8338174682.884</v>
      </c>
      <c r="AL7" s="3" t="n">
        <v>9726303732.0054</v>
      </c>
      <c r="AM7" s="3" t="n">
        <v>10336144903.3116</v>
      </c>
      <c r="AN7" s="3" t="n">
        <v>11136161612.76</v>
      </c>
      <c r="AO7" s="3" t="n">
        <v>4505517663.76</v>
      </c>
      <c r="AP7" s="3"/>
    </row>
    <row r="8">
      <c r="A8" t="str">
        <f>N8</f>
      </c>
      <c r="B8" t="str">
        <f>O8</f>
      </c>
      <c r="N8" t="s">
        <v>47</v>
      </c>
      <c r="O8" t="s">
        <v>49</v>
      </c>
      <c r="P8" s="3" t="n">
        <v>2833089050.479</v>
      </c>
      <c r="Q8" s="3" t="n">
        <v>2905976555.3805</v>
      </c>
      <c r="R8" s="3" t="n">
        <v>5696174798.1541</v>
      </c>
      <c r="S8" s="3" t="n">
        <v>4880275244.5242</v>
      </c>
      <c r="T8" s="3" t="n">
        <v>6162867621.9626</v>
      </c>
      <c r="U8" s="3" t="n">
        <v>5900618659.7135</v>
      </c>
      <c r="V8" s="3" t="n">
        <v>5946905731.5961</v>
      </c>
      <c r="W8" s="3" t="n">
        <v>5931346568.5715</v>
      </c>
      <c r="X8" s="3" t="n">
        <v>5999935892.3473</v>
      </c>
      <c r="Y8" s="3" t="n">
        <v>6024005330.8712</v>
      </c>
      <c r="Z8" s="3" t="n">
        <v>6757836505.9927</v>
      </c>
      <c r="AA8" s="3" t="n">
        <v>4900848314.9973</v>
      </c>
      <c r="AB8" s="3" t="n">
        <v>1789322955.3147</v>
      </c>
      <c r="AC8" s="3" t="n">
        <v>1429218480.8851</v>
      </c>
      <c r="AD8" s="3" t="n">
        <v>1738717299.8324</v>
      </c>
      <c r="AE8" s="3" t="n">
        <v>1520249339.7719</v>
      </c>
      <c r="AF8" s="3" t="n">
        <v>1805053139.12</v>
      </c>
      <c r="AG8" s="3" t="n">
        <v>1905136694.2768</v>
      </c>
      <c r="AH8" s="3" t="n">
        <v>2001673101.5347</v>
      </c>
      <c r="AI8" s="3" t="n">
        <v>1027230908.0856</v>
      </c>
      <c r="AJ8" s="3" t="n">
        <v>1061606277.6708</v>
      </c>
      <c r="AK8" s="3" t="n">
        <v>772338651.3438</v>
      </c>
      <c r="AL8" s="3" t="n">
        <v>782503889.7999</v>
      </c>
      <c r="AM8" s="3" t="n">
        <v>969688898.8689</v>
      </c>
      <c r="AN8" s="3" t="n">
        <v>1130038701.88</v>
      </c>
      <c r="AO8" s="3" t="n">
        <v>465566572.74</v>
      </c>
      <c r="AP8" s="3"/>
    </row>
    <row r="9">
      <c r="A9" t="str">
        <f>N9</f>
      </c>
      <c r="B9" t="str">
        <f>O9</f>
      </c>
      <c r="N9" t="s">
        <v>50</v>
      </c>
      <c r="O9" t="s">
        <v>50</v>
      </c>
      <c r="P9" s="3" t="n">
        <v>32088000</v>
      </c>
      <c r="Q9" s="3" t="n">
        <v>115632999</v>
      </c>
      <c r="R9" s="3" t="n">
        <v>143704699.1802</v>
      </c>
      <c r="S9" s="3" t="n">
        <v>266996882.0866</v>
      </c>
      <c r="T9" s="3" t="n">
        <v>23664265.9918</v>
      </c>
      <c r="U9" s="3" t="n">
        <v>38936201.3044</v>
      </c>
      <c r="V9" s="3" t="n">
        <v>25345724.3948</v>
      </c>
      <c r="W9" s="3" t="n">
        <v>18644099.9363</v>
      </c>
      <c r="X9" s="3" t="n">
        <v>10351694.3962</v>
      </c>
      <c r="Y9" s="3" t="n">
        <v>15227296.5904</v>
      </c>
      <c r="Z9" s="3" t="n">
        <v>496719848.2663</v>
      </c>
      <c r="AA9" s="3" t="n">
        <v>37031565.7347</v>
      </c>
      <c r="AB9" s="3" t="n">
        <v>23098647.1911</v>
      </c>
      <c r="AC9" s="3" t="n">
        <v>186385210.53</v>
      </c>
      <c r="AD9" s="3" t="n">
        <v>-7203046.37</v>
      </c>
      <c r="AE9" s="3" t="n">
        <v>41773064.11</v>
      </c>
      <c r="AF9" s="3" t="n">
        <v>74587725.15</v>
      </c>
      <c r="AG9" s="3" t="n">
        <v>77221716.4819</v>
      </c>
      <c r="AH9" s="3" t="n">
        <v>139655755.2504</v>
      </c>
      <c r="AI9" s="3" t="n">
        <v>395906282.93</v>
      </c>
      <c r="AJ9" s="3" t="n">
        <v>267342355.3794</v>
      </c>
      <c r="AK9" s="3" t="n">
        <v>270277661.8908</v>
      </c>
      <c r="AL9" s="3" t="n">
        <v>240820808.21</v>
      </c>
      <c r="AM9" s="3" t="n">
        <v>162939666.0588</v>
      </c>
      <c r="AN9" s="3" t="n">
        <v>222077767.85</v>
      </c>
      <c r="AO9" s="3" t="n">
        <v>114140523.96</v>
      </c>
      <c r="AP9" s="3"/>
    </row>
    <row r="10">
      <c r="A10" t="str">
        <f>N10</f>
      </c>
      <c r="B10" t="str">
        <f>O10</f>
      </c>
      <c r="N10" t="s">
        <v>37</v>
      </c>
      <c r="O10" t="s">
        <v>38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/>
    </row>
    <row r="13">
      <c r="A13" t="str">
        <f>N13</f>
      </c>
      <c r="B13" t="str">
        <f>O13</f>
      </c>
      <c r="N13" t="s">
        <v>39</v>
      </c>
      <c r="O13" t="s">
        <v>40</v>
      </c>
      <c r="P13" t="s">
        <v>2</v>
      </c>
      <c r="Q13" t="s">
        <v>3</v>
      </c>
      <c r="R13" t="s">
        <v>4</v>
      </c>
      <c r="S13" t="s">
        <v>5</v>
      </c>
      <c r="T13" t="s">
        <v>6</v>
      </c>
      <c r="U13" t="s">
        <v>7</v>
      </c>
      <c r="V13" t="s">
        <v>8</v>
      </c>
      <c r="W13" t="s">
        <v>9</v>
      </c>
      <c r="X13" t="s">
        <v>10</v>
      </c>
      <c r="Y13" t="s">
        <v>11</v>
      </c>
      <c r="Z13" t="s">
        <v>12</v>
      </c>
      <c r="AA13" t="s">
        <v>13</v>
      </c>
      <c r="AB13" t="s">
        <v>14</v>
      </c>
      <c r="AC13" t="s">
        <v>15</v>
      </c>
      <c r="AD13" t="s">
        <v>16</v>
      </c>
      <c r="AE13" t="s">
        <v>17</v>
      </c>
      <c r="AF13" t="s">
        <v>18</v>
      </c>
      <c r="AG13" t="s">
        <v>19</v>
      </c>
      <c r="AH13" t="s">
        <v>20</v>
      </c>
      <c r="AI13" t="s">
        <v>21</v>
      </c>
      <c r="AJ13" t="s">
        <v>22</v>
      </c>
      <c r="AK13" t="s">
        <v>23</v>
      </c>
      <c r="AL13" t="s">
        <v>24</v>
      </c>
      <c r="AM13" t="s">
        <v>25</v>
      </c>
      <c r="AN13" t="s">
        <v>26</v>
      </c>
      <c r="AO13" t="s">
        <v>27</v>
      </c>
    </row>
    <row r="14">
      <c r="A14" t="str">
        <f>N14</f>
      </c>
      <c r="B14" t="str">
        <f>O14</f>
      </c>
      <c r="N14" t="s">
        <v>41</v>
      </c>
      <c r="O14" t="s">
        <v>42</v>
      </c>
      <c r="P14" s="3" t="n">
        <v>642706146.358655</v>
      </c>
      <c r="Q14" s="3" t="n">
        <v>751578136.869408</v>
      </c>
      <c r="R14" s="3" t="n">
        <v>467519557.098432</v>
      </c>
      <c r="S14" s="3" t="n">
        <v>1241097507.3287</v>
      </c>
      <c r="T14" s="3" t="n">
        <v>613137335.784934</v>
      </c>
      <c r="U14" s="3" t="n">
        <v>1098998364.77299</v>
      </c>
      <c r="V14" s="3" t="n">
        <v>905398901.561449</v>
      </c>
      <c r="W14" s="3" t="n">
        <v>874700426.719739</v>
      </c>
      <c r="X14" s="3" t="n">
        <v>936752523.309787</v>
      </c>
      <c r="Y14" s="3" t="n">
        <v>1177802192.40315</v>
      </c>
      <c r="Z14" s="3" t="n">
        <v>797126541.037344</v>
      </c>
      <c r="AA14" s="3" t="n">
        <v>1416223423.6096</v>
      </c>
      <c r="AB14" s="3" t="n">
        <v>1345659632.16749</v>
      </c>
      <c r="AC14" s="3" t="n">
        <v>1131589556.80608</v>
      </c>
      <c r="AD14" s="3" t="n">
        <v>1128044164.42601</v>
      </c>
      <c r="AE14" s="3" t="n">
        <v>1529497587.77618</v>
      </c>
      <c r="AF14" s="3" t="n">
        <v>2349541350.32623</v>
      </c>
      <c r="AG14" s="3" t="n">
        <v>2995761922.14166</v>
      </c>
      <c r="AH14" s="3" t="n">
        <v>5110285165.89358</v>
      </c>
      <c r="AI14" s="3" t="n">
        <v>6384382597.28209</v>
      </c>
      <c r="AJ14" s="3" t="n">
        <v>7756840729.94402</v>
      </c>
      <c r="AK14" s="3" t="n">
        <v>7455395554.48092</v>
      </c>
      <c r="AL14" s="3" t="n">
        <v>8537413132.12935</v>
      </c>
      <c r="AM14" s="3" t="n">
        <v>10419070037.9722</v>
      </c>
      <c r="AN14" s="3" t="n">
        <v>11677263687.8105</v>
      </c>
      <c r="AO14" s="3" t="n">
        <v>4194847030.18301</v>
      </c>
      <c r="AP14" s="3"/>
    </row>
    <row r="15">
      <c r="A15" t="str">
        <f>N15</f>
      </c>
      <c r="B15" t="str">
        <f>O15</f>
      </c>
      <c r="N15" t="s">
        <v>41</v>
      </c>
      <c r="O15" t="s">
        <v>43</v>
      </c>
      <c r="P15" s="3" t="n">
        <v>815918509.172153</v>
      </c>
      <c r="Q15" s="3" t="n">
        <v>1107145594.47236</v>
      </c>
      <c r="R15" s="3" t="n">
        <v>2594669933.56997</v>
      </c>
      <c r="S15" s="3" t="n">
        <v>3134396290.70589</v>
      </c>
      <c r="T15" s="3" t="n">
        <v>4604948393.02251</v>
      </c>
      <c r="U15" s="3" t="n">
        <v>3500929913.0536</v>
      </c>
      <c r="V15" s="3" t="n">
        <v>2101995884.07965</v>
      </c>
      <c r="W15" s="3" t="n">
        <v>1922064105.52957</v>
      </c>
      <c r="X15" s="3" t="n">
        <v>1934144782.1569</v>
      </c>
      <c r="Y15" s="3" t="n">
        <v>1582257653.10066</v>
      </c>
      <c r="Z15" s="3" t="n">
        <v>2328855136.35217</v>
      </c>
      <c r="AA15" s="3" t="n">
        <v>2819391023.66421</v>
      </c>
      <c r="AB15" s="3" t="n">
        <v>2412659481.01799</v>
      </c>
      <c r="AC15" s="3" t="n">
        <v>1885298582.19344</v>
      </c>
      <c r="AD15" s="3" t="n">
        <v>1620967322.40372</v>
      </c>
      <c r="AE15" s="3" t="n">
        <v>1564111785.28631</v>
      </c>
      <c r="AF15" s="3" t="n">
        <v>1404060509.81861</v>
      </c>
      <c r="AG15" s="3" t="n">
        <v>1489072105.17211</v>
      </c>
      <c r="AH15" s="3" t="n">
        <v>1687029343.39295</v>
      </c>
      <c r="AI15" s="3" t="n">
        <v>2176885611.77958</v>
      </c>
      <c r="AJ15" s="3" t="n">
        <v>1979201371.5697</v>
      </c>
      <c r="AK15" s="3" t="n">
        <v>2374649139.29047</v>
      </c>
      <c r="AL15" s="3" t="n">
        <v>2314729537.24433</v>
      </c>
      <c r="AM15" s="3" t="n">
        <v>2474481878.1947</v>
      </c>
      <c r="AN15" s="3" t="n">
        <v>2372183882.79235</v>
      </c>
      <c r="AO15" s="3" t="n">
        <v>866422070.047849</v>
      </c>
      <c r="AP15" s="3"/>
    </row>
    <row r="16">
      <c r="A16" t="str">
        <f>N16</f>
      </c>
      <c r="B16" t="str">
        <f>O16</f>
      </c>
      <c r="N16" t="s">
        <v>44</v>
      </c>
      <c r="O16" t="s">
        <v>45</v>
      </c>
      <c r="P16" s="3" t="n">
        <v>0</v>
      </c>
      <c r="Q16" s="3" t="n">
        <v>50880.7508888935</v>
      </c>
      <c r="R16" s="3" t="n">
        <v>136461.78479229</v>
      </c>
      <c r="S16" s="3" t="n">
        <v>10735295.4017496</v>
      </c>
      <c r="T16" s="3" t="n">
        <v>115735846.306048</v>
      </c>
      <c r="U16" s="3" t="n">
        <v>230974915.162476</v>
      </c>
      <c r="V16" s="3" t="n">
        <v>154265289.883736</v>
      </c>
      <c r="W16" s="3" t="n">
        <v>289522726.525534</v>
      </c>
      <c r="X16" s="3" t="n">
        <v>369254158.213644</v>
      </c>
      <c r="Y16" s="3" t="n">
        <v>388162558.367525</v>
      </c>
      <c r="Z16" s="3" t="n">
        <v>250549288.126567</v>
      </c>
      <c r="AA16" s="3" t="n">
        <v>308659830.11643</v>
      </c>
      <c r="AB16" s="3" t="n">
        <v>210665834.762281</v>
      </c>
      <c r="AC16" s="3" t="n">
        <v>117507250.044693</v>
      </c>
      <c r="AD16" s="3" t="n">
        <v>10955447.7052834</v>
      </c>
      <c r="AE16" s="3" t="n">
        <v>-819122.360968532</v>
      </c>
      <c r="AF16" s="3" t="n">
        <v>-552112.642551575</v>
      </c>
      <c r="AG16" s="3" t="n">
        <v>-77057916.2711787</v>
      </c>
      <c r="AH16" s="3" t="n">
        <v>52144.8133677479</v>
      </c>
      <c r="AI16" s="3" t="n">
        <v>-115640.334659027</v>
      </c>
      <c r="AJ16" s="3" t="n">
        <v>-805229.081466988</v>
      </c>
      <c r="AK16" s="3" t="n">
        <v>0</v>
      </c>
      <c r="AL16" s="3" t="n">
        <v>0</v>
      </c>
      <c r="AM16" s="3"/>
      <c r="AN16" s="3"/>
      <c r="AO16" s="3"/>
      <c r="AP16" s="3"/>
    </row>
    <row r="17">
      <c r="A17" t="str">
        <f>N17</f>
      </c>
      <c r="B17" t="str">
        <f>O17</f>
      </c>
      <c r="N17" t="s">
        <v>44</v>
      </c>
      <c r="O17" t="s">
        <v>46</v>
      </c>
      <c r="P17" s="3" t="n">
        <v>32034758.9726842</v>
      </c>
      <c r="Q17" s="3" t="n">
        <v>9834240.88939575</v>
      </c>
      <c r="R17" s="3" t="n">
        <v>29190375.3948869</v>
      </c>
      <c r="S17" s="3" t="n">
        <v>15743192.4986582</v>
      </c>
      <c r="T17" s="3" t="n">
        <v>23796024.8589372</v>
      </c>
      <c r="U17" s="3" t="n">
        <v>6467497.63186904</v>
      </c>
      <c r="V17" s="3" t="n">
        <v>19539533.0043471</v>
      </c>
      <c r="W17" s="3" t="n">
        <v>3249955.06827278</v>
      </c>
      <c r="X17" s="3" t="n">
        <v>24683961.2321381</v>
      </c>
      <c r="Y17" s="3" t="n">
        <v>295779808.52529</v>
      </c>
      <c r="Z17" s="3" t="n">
        <v>131424968.327102</v>
      </c>
      <c r="AA17" s="3" t="n">
        <v>219216807.94361</v>
      </c>
      <c r="AB17" s="3" t="n">
        <v>81743074.2608415</v>
      </c>
      <c r="AC17" s="3" t="n">
        <v>68290045.0408951</v>
      </c>
      <c r="AD17" s="3" t="n">
        <v>309102549.616774</v>
      </c>
      <c r="AE17" s="3" t="n">
        <v>108217953.685236</v>
      </c>
      <c r="AF17" s="3" t="n">
        <v>237643628.829435</v>
      </c>
      <c r="AG17" s="3" t="n">
        <v>95984150.5161577</v>
      </c>
      <c r="AH17" s="3" t="n">
        <v>27422091.0584067</v>
      </c>
      <c r="AI17" s="3" t="n">
        <v>11486862.1880457</v>
      </c>
      <c r="AJ17" s="3" t="n">
        <v>30011232.0390494</v>
      </c>
      <c r="AK17" s="3" t="n">
        <v>39723543.7191098</v>
      </c>
      <c r="AL17" s="3" t="n">
        <v>59238731.1723156</v>
      </c>
      <c r="AM17" s="3" t="n">
        <v>70100560.9339</v>
      </c>
      <c r="AN17" s="3" t="n">
        <v>50019484.000516</v>
      </c>
      <c r="AO17" s="3" t="n">
        <v>68655500.4811577</v>
      </c>
      <c r="AP17" s="3"/>
    </row>
    <row r="18">
      <c r="A18" t="str">
        <f>N18</f>
      </c>
      <c r="B18" t="str">
        <f>O18</f>
      </c>
      <c r="N18" t="s">
        <v>44</v>
      </c>
      <c r="O18"/>
      <c r="P18" s="3" t="n">
        <v>101010072.384383</v>
      </c>
      <c r="Q18" s="3" t="n">
        <v>281652077.684908</v>
      </c>
      <c r="R18" s="3" t="n">
        <v>47781802.9415489</v>
      </c>
      <c r="S18" s="3" t="n">
        <v>524937351.456297</v>
      </c>
      <c r="T18" s="3" t="n">
        <v>369297067.643189</v>
      </c>
      <c r="U18" s="3" t="n">
        <v>320682273.755369</v>
      </c>
      <c r="V18" s="3" t="n">
        <v>387573065.642062</v>
      </c>
      <c r="W18" s="3" t="n">
        <v>466645437.051998</v>
      </c>
      <c r="X18" s="3" t="n">
        <v>623016572.049957</v>
      </c>
      <c r="Y18" s="3" t="n">
        <v>692261009.656608</v>
      </c>
      <c r="Z18" s="3" t="n">
        <v>265888576.061359</v>
      </c>
      <c r="AA18" s="3" t="n">
        <v>485012039.702459</v>
      </c>
      <c r="AB18" s="3" t="n">
        <v>140791972.282959</v>
      </c>
      <c r="AC18" s="3" t="n">
        <v>213646847.594385</v>
      </c>
      <c r="AD18" s="3" t="n">
        <v>86209784.7922714</v>
      </c>
      <c r="AE18" s="3" t="n">
        <v>29537833.3023691</v>
      </c>
      <c r="AF18" s="3" t="n">
        <v>5959769.65299134</v>
      </c>
      <c r="AG18" s="3" t="n">
        <v>49351759.1184828</v>
      </c>
      <c r="AH18" s="3" t="n">
        <v>10362664.7632122</v>
      </c>
      <c r="AI18" s="3" t="n">
        <v>48817572.5499818</v>
      </c>
      <c r="AJ18" s="3" t="n">
        <v>54145227.7472501</v>
      </c>
      <c r="AK18" s="3" t="n">
        <v>9011628.93868981</v>
      </c>
      <c r="AL18" s="3" t="n">
        <v>3739353.69313274</v>
      </c>
      <c r="AM18" s="3" t="n">
        <v>3337249.63</v>
      </c>
      <c r="AN18" s="3" t="n">
        <v>2324586.07224954</v>
      </c>
      <c r="AO18" s="3" t="n">
        <v>5412629.31912143</v>
      </c>
      <c r="AP18" s="3"/>
    </row>
    <row r="19">
      <c r="A19" t="str">
        <f>N19</f>
      </c>
      <c r="B19" t="str">
        <f>O19</f>
      </c>
      <c r="N19" t="s">
        <v>47</v>
      </c>
      <c r="O19" t="s">
        <v>48</v>
      </c>
      <c r="P19" s="3" t="n">
        <v>11743325542.1783</v>
      </c>
      <c r="Q19" s="3" t="n">
        <v>13776624739.4714</v>
      </c>
      <c r="R19" s="3" t="n">
        <v>18534359240.0867</v>
      </c>
      <c r="S19" s="3" t="n">
        <v>17501412204.4078</v>
      </c>
      <c r="T19" s="3" t="n">
        <v>10312675557.524</v>
      </c>
      <c r="U19" s="3" t="n">
        <v>8392797501.7447</v>
      </c>
      <c r="V19" s="3" t="n">
        <v>8178931081.96761</v>
      </c>
      <c r="W19" s="3" t="n">
        <v>6660785955.72658</v>
      </c>
      <c r="X19" s="3" t="n">
        <v>6340028627.67122</v>
      </c>
      <c r="Y19" s="3" t="n">
        <v>9060841478.57936</v>
      </c>
      <c r="Z19" s="3" t="n">
        <v>11959334098.3848</v>
      </c>
      <c r="AA19" s="3" t="n">
        <v>7633771383.17578</v>
      </c>
      <c r="AB19" s="3" t="n">
        <v>6841691996.92265</v>
      </c>
      <c r="AC19" s="3" t="n">
        <v>5985014623.56172</v>
      </c>
      <c r="AD19" s="3" t="n">
        <v>6175400746.88332</v>
      </c>
      <c r="AE19" s="3" t="n">
        <v>6840331105.35439</v>
      </c>
      <c r="AF19" s="3" t="n">
        <v>6695574697.21706</v>
      </c>
      <c r="AG19" s="3" t="n">
        <v>7646468275.99136</v>
      </c>
      <c r="AH19" s="3" t="n">
        <v>7139373985.32292</v>
      </c>
      <c r="AI19" s="3" t="n">
        <v>8582719497.01314</v>
      </c>
      <c r="AJ19" s="3" t="n">
        <v>9027323666.24631</v>
      </c>
      <c r="AK19" s="3" t="n">
        <v>9329431563.13618</v>
      </c>
      <c r="AL19" s="3" t="n">
        <v>10171249006.9438</v>
      </c>
      <c r="AM19" s="3" t="n">
        <v>10336144903.3116</v>
      </c>
      <c r="AN19" s="3" t="n">
        <v>10846495241.0115</v>
      </c>
      <c r="AO19" s="3" t="n">
        <v>4294101664.86344</v>
      </c>
      <c r="AP19" s="3"/>
    </row>
    <row r="20">
      <c r="A20" t="str">
        <f>N20</f>
      </c>
      <c r="B20" t="str">
        <f>O20</f>
      </c>
      <c r="N20" t="s">
        <v>47</v>
      </c>
      <c r="O20" t="s">
        <v>49</v>
      </c>
      <c r="P20" s="3" t="n">
        <v>4762913927.06616</v>
      </c>
      <c r="Q20" s="3" t="n">
        <v>4769834044.84287</v>
      </c>
      <c r="R20" s="3" t="n">
        <v>9204819404.64877</v>
      </c>
      <c r="S20" s="3" t="n">
        <v>7737825675.05681</v>
      </c>
      <c r="T20" s="3" t="n">
        <v>9538496901.80799</v>
      </c>
      <c r="U20" s="3" t="n">
        <v>8862907840.29145</v>
      </c>
      <c r="V20" s="3" t="n">
        <v>8651397716.18697</v>
      </c>
      <c r="W20" s="3" t="n">
        <v>8397581486.88064</v>
      </c>
      <c r="X20" s="3" t="n">
        <v>8321919941.85215</v>
      </c>
      <c r="Y20" s="3" t="n">
        <v>8270726918.43498</v>
      </c>
      <c r="Z20" s="3" t="n">
        <v>9198584990.90289</v>
      </c>
      <c r="AA20" s="3" t="n">
        <v>6539643137.23821</v>
      </c>
      <c r="AB20" s="3" t="n">
        <v>2345100421.29012</v>
      </c>
      <c r="AC20" s="3" t="n">
        <v>1839762732.27861</v>
      </c>
      <c r="AD20" s="3" t="n">
        <v>2198065666.88699</v>
      </c>
      <c r="AE20" s="3" t="n">
        <v>1902181600.07046</v>
      </c>
      <c r="AF20" s="3" t="n">
        <v>2240622704.76529</v>
      </c>
      <c r="AG20" s="3" t="n">
        <v>2325600363.15044</v>
      </c>
      <c r="AH20" s="3" t="n">
        <v>2390376006.85741</v>
      </c>
      <c r="AI20" s="3" t="n">
        <v>1204438353.67925</v>
      </c>
      <c r="AJ20" s="3" t="n">
        <v>1228693261.5536</v>
      </c>
      <c r="AK20" s="3" t="n">
        <v>864155629.417043</v>
      </c>
      <c r="AL20" s="3" t="n">
        <v>818300778.112329</v>
      </c>
      <c r="AM20" s="3" t="n">
        <v>969688898.8689</v>
      </c>
      <c r="AN20" s="3" t="n">
        <v>1100644892.58633</v>
      </c>
      <c r="AO20" s="3" t="n">
        <v>443720421.115653</v>
      </c>
      <c r="AP20" s="3"/>
    </row>
    <row r="21">
      <c r="A21" t="str">
        <f>N21</f>
      </c>
      <c r="B21" t="str">
        <f>O21</f>
      </c>
      <c r="N21" t="s">
        <v>50</v>
      </c>
      <c r="O21" t="s">
        <v>50</v>
      </c>
      <c r="P21" s="3" t="n">
        <v>53945491.7824976</v>
      </c>
      <c r="Q21" s="3" t="n">
        <v>189798577.113869</v>
      </c>
      <c r="R21" s="3" t="n">
        <v>232221771.702262</v>
      </c>
      <c r="S21" s="3" t="n">
        <v>423331723.285052</v>
      </c>
      <c r="T21" s="3" t="n">
        <v>36626054.8972269</v>
      </c>
      <c r="U21" s="3" t="n">
        <v>58483352.9690747</v>
      </c>
      <c r="V21" s="3" t="n">
        <v>36872274.7662296</v>
      </c>
      <c r="W21" s="3" t="n">
        <v>26396257.0142538</v>
      </c>
      <c r="X21" s="3" t="n">
        <v>14357815.4122567</v>
      </c>
      <c r="Y21" s="3" t="n">
        <v>20906490.7628494</v>
      </c>
      <c r="Z21" s="3" t="n">
        <v>676121675.464352</v>
      </c>
      <c r="AA21" s="3" t="n">
        <v>49414552.1658019</v>
      </c>
      <c r="AB21" s="3" t="n">
        <v>30273264.5876963</v>
      </c>
      <c r="AC21" s="3" t="n">
        <v>239924524.323699</v>
      </c>
      <c r="AD21" s="3" t="n">
        <v>-9106005.28586109</v>
      </c>
      <c r="AE21" s="3" t="n">
        <v>52267711.5193012</v>
      </c>
      <c r="AF21" s="3" t="n">
        <v>92586166.4933361</v>
      </c>
      <c r="AG21" s="3" t="n">
        <v>94264549.3275635</v>
      </c>
      <c r="AH21" s="3" t="n">
        <v>166775367.223627</v>
      </c>
      <c r="AI21" s="3" t="n">
        <v>464204014.764464</v>
      </c>
      <c r="AJ21" s="3" t="n">
        <v>309419563.063658</v>
      </c>
      <c r="AK21" s="3" t="n">
        <v>302408745.984982</v>
      </c>
      <c r="AL21" s="3" t="n">
        <v>251837540.122996</v>
      </c>
      <c r="AM21" s="3" t="n">
        <v>162939666.0588</v>
      </c>
      <c r="AN21" s="3" t="n">
        <v>216301229.802509</v>
      </c>
      <c r="AO21" s="3" t="n">
        <v>108784617.11678</v>
      </c>
      <c r="AP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M1</f>
      </c>
      <c r="M1" t="s">
        <v>51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</row>
    <row r="2">
      <c r="A2" t="str">
        <f>M2</f>
      </c>
      <c r="M2" t="s">
        <v>52</v>
      </c>
      <c r="N2" s="4" t="n">
        <v>2532297149.7498</v>
      </c>
      <c r="O2" s="4" t="n">
        <v>2446884702.0458</v>
      </c>
      <c r="P2" s="4" t="n">
        <v>2887451998.4201</v>
      </c>
      <c r="Q2" s="4" t="n">
        <v>4185737711.8928</v>
      </c>
      <c r="R2" s="4" t="n">
        <v>3752658345.2539</v>
      </c>
      <c r="S2" s="4" t="n">
        <v>3278699303.378</v>
      </c>
      <c r="T2" s="4" t="n">
        <v>3112856929.3864</v>
      </c>
      <c r="U2" s="4" t="n">
        <v>2756837687.1649</v>
      </c>
      <c r="V2" s="4" t="n">
        <v>2938232338.2847</v>
      </c>
      <c r="W2" s="4" t="n">
        <v>3809613419.7507</v>
      </c>
      <c r="X2" s="4" t="n">
        <v>3025857539.5043</v>
      </c>
      <c r="Y2" s="4" t="n">
        <v>2749721143.4571</v>
      </c>
      <c r="Z2" s="4" t="n">
        <v>2785700636.1092</v>
      </c>
      <c r="AA2" s="4" t="n">
        <v>2209647121.6758</v>
      </c>
      <c r="AB2" s="4" t="n">
        <v>2761217357.0117</v>
      </c>
      <c r="AC2" s="4" t="n">
        <v>2526400268.9574</v>
      </c>
      <c r="AD2" s="4" t="n">
        <v>2610661843.5685</v>
      </c>
      <c r="AE2" s="4" t="n">
        <v>2848600912.8211</v>
      </c>
      <c r="AF2" s="4" t="n">
        <v>2886572755.1107</v>
      </c>
      <c r="AG2" s="4" t="n">
        <v>3213920453.7379</v>
      </c>
      <c r="AH2" s="4" t="n">
        <v>3606774401.4154</v>
      </c>
      <c r="AI2" s="4" t="n">
        <v>3472572771.4108</v>
      </c>
      <c r="AJ2" s="4" t="n">
        <v>3571478892.5631</v>
      </c>
      <c r="AK2" s="4" t="n">
        <v>4416774365.8427</v>
      </c>
      <c r="AL2" s="4" t="n">
        <v>4245073381.67</v>
      </c>
      <c r="AM2" s="4" t="n">
        <v>1701514326.42</v>
      </c>
      <c r="AN2" s="4"/>
      <c r="AO2" s="4"/>
    </row>
    <row r="3">
      <c r="A3" t="str">
        <f>M3</f>
      </c>
      <c r="M3" t="s">
        <v>53</v>
      </c>
      <c r="N3" s="4" t="n">
        <v>976026.7189</v>
      </c>
      <c r="O3" s="4" t="n">
        <v>2850354.2637</v>
      </c>
      <c r="P3" s="4" t="n">
        <v>12842352.7784</v>
      </c>
      <c r="Q3" s="4" t="n">
        <v>3332610.662</v>
      </c>
      <c r="R3" s="4" t="n">
        <v>123508499.1343</v>
      </c>
      <c r="S3" s="4" t="n">
        <v>206916578.7924</v>
      </c>
      <c r="T3" s="4" t="n">
        <v>116601888.4731</v>
      </c>
      <c r="U3" s="4" t="n">
        <v>48379992.0542</v>
      </c>
      <c r="V3" s="4" t="n">
        <v>-9610194.2706</v>
      </c>
      <c r="W3" s="4" t="n">
        <v>79793370.5065</v>
      </c>
      <c r="X3" s="4" t="n">
        <v>148048509.7792</v>
      </c>
      <c r="Y3" s="4" t="n">
        <v>178505713.229</v>
      </c>
      <c r="Z3" s="4" t="n">
        <v>73255682.6543</v>
      </c>
      <c r="AA3" s="4" t="n">
        <v>58059517.31</v>
      </c>
      <c r="AB3" s="4" t="n">
        <v>78300166.12</v>
      </c>
      <c r="AC3" s="4" t="n">
        <v>67035634.4182</v>
      </c>
      <c r="AD3" s="4" t="n">
        <v>95444431.3399</v>
      </c>
      <c r="AE3" s="4" t="n">
        <v>132658734.6171</v>
      </c>
      <c r="AF3" s="4" t="n">
        <v>263053600.6117</v>
      </c>
      <c r="AG3" s="4" t="n">
        <v>464769375.9104</v>
      </c>
      <c r="AH3" s="4" t="n">
        <v>804984489.4439</v>
      </c>
      <c r="AI3" s="4" t="n">
        <v>927101796.9714</v>
      </c>
      <c r="AJ3" s="4" t="n">
        <v>1283281779.1018</v>
      </c>
      <c r="AK3" s="4" t="n">
        <v>1439232458.5436</v>
      </c>
      <c r="AL3" s="4" t="n">
        <v>1763641711.37</v>
      </c>
      <c r="AM3" s="4" t="n">
        <v>715199569.79</v>
      </c>
      <c r="AN3" s="4"/>
      <c r="AO3" s="4"/>
    </row>
    <row r="4">
      <c r="A4" t="str">
        <f>M4</f>
      </c>
      <c r="M4" t="s">
        <v>54</v>
      </c>
      <c r="N4" s="4" t="n">
        <v>8252465186.1124</v>
      </c>
      <c r="O4" s="4" t="n">
        <v>10174772109.1714</v>
      </c>
      <c r="P4" s="4" t="n">
        <v>16339753501.4227</v>
      </c>
      <c r="Q4" s="4" t="n">
        <v>15061285323.8654</v>
      </c>
      <c r="R4" s="4" t="n">
        <v>12624137041.6814</v>
      </c>
      <c r="S4" s="4" t="n">
        <v>11465382372.9632</v>
      </c>
      <c r="T4" s="4" t="n">
        <v>10808110228.6765</v>
      </c>
      <c r="U4" s="4" t="n">
        <v>10357268251.2394</v>
      </c>
      <c r="V4" s="4" t="n">
        <v>10452379608.8537</v>
      </c>
      <c r="W4" s="4" t="n">
        <v>11753820345.2367</v>
      </c>
      <c r="X4" s="4" t="n">
        <v>15638549948.893</v>
      </c>
      <c r="Y4" s="4" t="n">
        <v>11663636739.2977</v>
      </c>
      <c r="Z4" s="4" t="n">
        <v>7372150692.222</v>
      </c>
      <c r="AA4" s="4" t="n">
        <v>6651333605.4891</v>
      </c>
      <c r="AB4" s="4" t="n">
        <v>6272765652.3511</v>
      </c>
      <c r="AC4" s="4" t="n">
        <v>7017368134.746</v>
      </c>
      <c r="AD4" s="4" t="n">
        <v>7789028357.9704</v>
      </c>
      <c r="AE4" s="4" t="n">
        <v>8995020524.8713</v>
      </c>
      <c r="AF4" s="4" t="n">
        <v>10693807738.9534</v>
      </c>
      <c r="AG4" s="4" t="n">
        <v>12417395790.3721</v>
      </c>
      <c r="AH4" s="4" t="n">
        <v>13200987908.1846</v>
      </c>
      <c r="AI4" s="4" t="n">
        <v>13810270875.4222</v>
      </c>
      <c r="AJ4" s="4" t="n">
        <v>16332502276.468</v>
      </c>
      <c r="AK4" s="4" t="n">
        <v>18579756370.5838</v>
      </c>
      <c r="AL4" s="4" t="n">
        <v>20957956908.46</v>
      </c>
      <c r="AM4" s="4" t="n">
        <v>8056681523.69</v>
      </c>
      <c r="AN4" s="4"/>
      <c r="AO4" s="4"/>
    </row>
    <row r="5">
      <c r="A5" t="str">
        <f>M5</f>
      </c>
      <c r="M5" t="s">
        <v>55</v>
      </c>
      <c r="N5" s="4" t="n">
        <v>11395675.4789</v>
      </c>
      <c r="O5" s="4" t="n">
        <v>100407770.7061</v>
      </c>
      <c r="P5" s="4" t="n">
        <v>12038389.0912</v>
      </c>
      <c r="Q5" s="4" t="n">
        <v>42541938.4625</v>
      </c>
      <c r="R5" s="4" t="n">
        <v>49482536.184</v>
      </c>
      <c r="S5" s="4" t="n">
        <v>10245938.124</v>
      </c>
      <c r="T5" s="4" t="n">
        <v>9965628.6925</v>
      </c>
      <c r="U5" s="4" t="n">
        <v>3913626.8184</v>
      </c>
      <c r="V5" s="4" t="n">
        <v>3380813.3</v>
      </c>
      <c r="W5" s="4" t="n">
        <v>8150815.1891</v>
      </c>
      <c r="X5" s="4" t="n">
        <v>644290.7801</v>
      </c>
      <c r="Y5" s="4" t="n">
        <v>71099.6668</v>
      </c>
      <c r="Z5" s="4" t="n">
        <v>-291335.5171</v>
      </c>
      <c r="AA5" s="4" t="n">
        <v>-6330</v>
      </c>
      <c r="AB5" s="4"/>
      <c r="AC5" s="4"/>
      <c r="AD5" s="4" t="n">
        <v>-1799284.7</v>
      </c>
      <c r="AE5" s="4"/>
      <c r="AF5" s="4" t="n">
        <v>0</v>
      </c>
      <c r="AG5" s="4"/>
      <c r="AH5" s="4" t="n">
        <v>0</v>
      </c>
      <c r="AI5" s="4" t="n">
        <v>0</v>
      </c>
      <c r="AJ5" s="4" t="n">
        <v>0</v>
      </c>
      <c r="AK5" s="4"/>
      <c r="AL5" s="4"/>
      <c r="AM5" s="4"/>
      <c r="AN5" s="4"/>
      <c r="AO5" s="4"/>
    </row>
    <row r="6">
      <c r="A6" t="str">
        <f>M6</f>
      </c>
      <c r="M6" t="s">
        <v>37</v>
      </c>
      <c r="N6" s="4" t="str">
        <f>Sum(N2:N5)</f>
      </c>
      <c r="O6" s="4" t="str">
        <f>Sum(O2:O5)</f>
      </c>
      <c r="P6" s="4" t="str">
        <f>Sum(P2:P5)</f>
      </c>
      <c r="Q6" s="4" t="str">
        <f>Sum(Q2:Q5)</f>
      </c>
      <c r="R6" s="4" t="str">
        <f>Sum(R2:R5)</f>
      </c>
      <c r="S6" s="4" t="str">
        <f>Sum(S2:S5)</f>
      </c>
      <c r="T6" s="4" t="str">
        <f>Sum(T2:T5)</f>
      </c>
      <c r="U6" s="4" t="str">
        <f>Sum(U2:U5)</f>
      </c>
      <c r="V6" s="4" t="str">
        <f>Sum(V2:V5)</f>
      </c>
      <c r="W6" s="4" t="str">
        <f>Sum(W2:W5)</f>
      </c>
      <c r="X6" s="4" t="str">
        <f>Sum(X2:X5)</f>
      </c>
      <c r="Y6" s="4" t="str">
        <f>Sum(Y2:Y5)</f>
      </c>
      <c r="Z6" s="4" t="str">
        <f>Sum(Z2:Z5)</f>
      </c>
      <c r="AA6" s="4" t="str">
        <f>Sum(AA2:AA5)</f>
      </c>
      <c r="AB6" s="4" t="str">
        <f>Sum(AB2:AB5)</f>
      </c>
      <c r="AC6" s="4" t="str">
        <f>Sum(AC2:AC5)</f>
      </c>
      <c r="AD6" s="4" t="str">
        <f>Sum(AD2:AD5)</f>
      </c>
      <c r="AE6" s="4" t="str">
        <f>Sum(AE2:AE5)</f>
      </c>
      <c r="AF6" s="4" t="str">
        <f>Sum(AF2:AF5)</f>
      </c>
      <c r="AG6" s="4" t="str">
        <f>Sum(AG2:AG5)</f>
      </c>
      <c r="AH6" s="4" t="str">
        <f>Sum(AH2:AH5)</f>
      </c>
      <c r="AI6" s="4" t="str">
        <f>Sum(AI2:AI5)</f>
      </c>
      <c r="AJ6" s="4" t="str">
        <f>Sum(AJ2:AJ5)</f>
      </c>
      <c r="AK6" s="4" t="str">
        <f>Sum(AK2:AK5)</f>
      </c>
      <c r="AL6" s="4" t="str">
        <f>Sum(AL2:AL5)</f>
      </c>
      <c r="AM6" s="4" t="str">
        <f>Sum(AM2:AM5)</f>
      </c>
      <c r="AN6" s="4" t="str">
        <f>Sum(AN2:AN5)</f>
      </c>
      <c r="AO6" s="4"/>
    </row>
    <row r="9">
      <c r="A9" t="str">
        <f>M9</f>
      </c>
      <c r="M9" t="s">
        <v>51</v>
      </c>
      <c r="N9" t="s">
        <v>2</v>
      </c>
      <c r="O9" t="s">
        <v>3</v>
      </c>
      <c r="P9" t="s">
        <v>4</v>
      </c>
      <c r="Q9" t="s">
        <v>5</v>
      </c>
      <c r="R9" t="s">
        <v>6</v>
      </c>
      <c r="S9" t="s">
        <v>7</v>
      </c>
      <c r="T9" t="s">
        <v>8</v>
      </c>
      <c r="U9" t="s">
        <v>9</v>
      </c>
      <c r="V9" t="s">
        <v>10</v>
      </c>
      <c r="W9" t="s">
        <v>11</v>
      </c>
      <c r="X9" t="s">
        <v>12</v>
      </c>
      <c r="Y9" t="s">
        <v>13</v>
      </c>
      <c r="Z9" t="s">
        <v>14</v>
      </c>
      <c r="AA9" t="s">
        <v>15</v>
      </c>
      <c r="AB9" t="s">
        <v>16</v>
      </c>
      <c r="AC9" t="s">
        <v>17</v>
      </c>
      <c r="AD9" t="s">
        <v>18</v>
      </c>
      <c r="AE9" t="s">
        <v>19</v>
      </c>
      <c r="AF9" t="s">
        <v>20</v>
      </c>
      <c r="AG9" t="s">
        <v>21</v>
      </c>
      <c r="AH9" t="s">
        <v>22</v>
      </c>
      <c r="AI9" t="s">
        <v>23</v>
      </c>
      <c r="AJ9" t="s">
        <v>24</v>
      </c>
      <c r="AK9" t="s">
        <v>25</v>
      </c>
      <c r="AL9" t="s">
        <v>26</v>
      </c>
      <c r="AM9" t="s">
        <v>27</v>
      </c>
    </row>
    <row r="10">
      <c r="A10" t="str">
        <f>M10</f>
      </c>
      <c r="M10" t="s">
        <v>52</v>
      </c>
      <c r="N10" s="4" t="n">
        <v>4257230587.21858</v>
      </c>
      <c r="O10" s="4" t="n">
        <v>4016286344.09099</v>
      </c>
      <c r="P10" s="4" t="n">
        <v>4666021519.15391</v>
      </c>
      <c r="Q10" s="4" t="n">
        <v>6636615172.98198</v>
      </c>
      <c r="R10" s="4" t="n">
        <v>5808127351.65471</v>
      </c>
      <c r="S10" s="4" t="n">
        <v>4924705600.83236</v>
      </c>
      <c r="T10" s="4" t="n">
        <v>4528500121.77381</v>
      </c>
      <c r="U10" s="4" t="n">
        <v>3903121973.47228</v>
      </c>
      <c r="V10" s="4" t="n">
        <v>4075332591.62879</v>
      </c>
      <c r="W10" s="4" t="n">
        <v>5230452253.76759</v>
      </c>
      <c r="X10" s="4" t="n">
        <v>4118715763.95972</v>
      </c>
      <c r="Y10" s="4" t="n">
        <v>3669200483.12859</v>
      </c>
      <c r="Z10" s="4" t="n">
        <v>3650960669.74611</v>
      </c>
      <c r="AA10" s="4" t="n">
        <v>2844370178.74852</v>
      </c>
      <c r="AB10" s="4" t="n">
        <v>3490698040.35704</v>
      </c>
      <c r="AC10" s="4" t="n">
        <v>3161107839.55011</v>
      </c>
      <c r="AD10" s="4" t="n">
        <v>3240629361.20305</v>
      </c>
      <c r="AE10" s="4" t="n">
        <v>3477287134.9487</v>
      </c>
      <c r="AF10" s="4" t="n">
        <v>3447113442.53696</v>
      </c>
      <c r="AG10" s="4" t="n">
        <v>3768353375.74713</v>
      </c>
      <c r="AH10" s="4" t="n">
        <v>4174447246.75727</v>
      </c>
      <c r="AI10" s="4" t="n">
        <v>3885398333.68923</v>
      </c>
      <c r="AJ10" s="4" t="n">
        <v>3734861890.00733</v>
      </c>
      <c r="AK10" s="4" t="n">
        <v>4416774365.8427</v>
      </c>
      <c r="AL10" s="4" t="n">
        <v>4134653378.16847</v>
      </c>
      <c r="AM10" s="4" t="n">
        <v>1621672812.56903</v>
      </c>
      <c r="AN10" s="4"/>
      <c r="AO10" s="4"/>
    </row>
    <row r="11">
      <c r="A11" t="str">
        <f>M11</f>
      </c>
      <c r="M11" t="s">
        <v>53</v>
      </c>
      <c r="N11" s="4" t="n">
        <v>1640870.14908745</v>
      </c>
      <c r="O11" s="4" t="n">
        <v>4678536.30191422</v>
      </c>
      <c r="P11" s="4" t="n">
        <v>20752793.2770372</v>
      </c>
      <c r="Q11" s="4" t="n">
        <v>5283956.14045039</v>
      </c>
      <c r="R11" s="4" t="n">
        <v>191158647.013792</v>
      </c>
      <c r="S11" s="4" t="n">
        <v>310794964.76976</v>
      </c>
      <c r="T11" s="4" t="n">
        <v>169629275.655009</v>
      </c>
      <c r="U11" s="4" t="n">
        <v>68496237.8968912</v>
      </c>
      <c r="V11" s="4" t="n">
        <v>-13329353.6431923</v>
      </c>
      <c r="W11" s="4" t="n">
        <v>109553219.347056</v>
      </c>
      <c r="X11" s="4" t="n">
        <v>201519642.976394</v>
      </c>
      <c r="Y11" s="4" t="n">
        <v>238196244.291736</v>
      </c>
      <c r="Z11" s="4" t="n">
        <v>96009460.865761</v>
      </c>
      <c r="AA11" s="4" t="n">
        <v>74737164.1422332</v>
      </c>
      <c r="AB11" s="4" t="n">
        <v>98986135.8580315</v>
      </c>
      <c r="AC11" s="4" t="n">
        <v>83876997.6762381</v>
      </c>
      <c r="AD11" s="4" t="n">
        <v>118475714.242879</v>
      </c>
      <c r="AE11" s="4" t="n">
        <v>161936517.378202</v>
      </c>
      <c r="AF11" s="4" t="n">
        <v>314135717.234525</v>
      </c>
      <c r="AG11" s="4" t="n">
        <v>544946669.298826</v>
      </c>
      <c r="AH11" s="4" t="n">
        <v>931681583.500952</v>
      </c>
      <c r="AI11" s="4" t="n">
        <v>1037317290.15704</v>
      </c>
      <c r="AJ11" s="4" t="n">
        <v>1341987550.56017</v>
      </c>
      <c r="AK11" s="4" t="n">
        <v>1439232458.5436</v>
      </c>
      <c r="AL11" s="4" t="n">
        <v>1717767045.27217</v>
      </c>
      <c r="AM11" s="4" t="n">
        <v>681639689.940065</v>
      </c>
      <c r="AN11" s="4"/>
      <c r="AO11" s="4"/>
    </row>
    <row r="12">
      <c r="A12" t="str">
        <f>M12</f>
      </c>
      <c r="M12" t="s">
        <v>54</v>
      </c>
      <c r="N12" s="4" t="n">
        <v>13873824884.1553</v>
      </c>
      <c r="O12" s="4" t="n">
        <v>16700745336.3604</v>
      </c>
      <c r="P12" s="4" t="n">
        <v>26404470618.7411</v>
      </c>
      <c r="Q12" s="4" t="n">
        <v>23880128566.3395</v>
      </c>
      <c r="R12" s="4" t="n">
        <v>19538841241.8521</v>
      </c>
      <c r="S12" s="4" t="n">
        <v>17221351384.5697</v>
      </c>
      <c r="T12" s="4" t="n">
        <v>15723346622.4078</v>
      </c>
      <c r="U12" s="4" t="n">
        <v>14663787238.8246</v>
      </c>
      <c r="V12" s="4" t="n">
        <v>14497465950.8734</v>
      </c>
      <c r="W12" s="4" t="n">
        <v>16137541881.9125</v>
      </c>
      <c r="X12" s="4" t="n">
        <v>21286772876.4682</v>
      </c>
      <c r="Y12" s="4" t="n">
        <v>15563840595.5092</v>
      </c>
      <c r="Z12" s="4" t="n">
        <v>9661997373.24862</v>
      </c>
      <c r="AA12" s="4" t="n">
        <v>8561934967.25077</v>
      </c>
      <c r="AB12" s="4" t="n">
        <v>7929955501.21343</v>
      </c>
      <c r="AC12" s="4" t="n">
        <v>8780341617.40693</v>
      </c>
      <c r="AD12" s="4" t="n">
        <v>9668565101.32303</v>
      </c>
      <c r="AE12" s="4" t="n">
        <v>10980221556.8197</v>
      </c>
      <c r="AF12" s="4" t="n">
        <v>12770427609.554</v>
      </c>
      <c r="AG12" s="4" t="n">
        <v>14559518823.8759</v>
      </c>
      <c r="AH12" s="4" t="n">
        <v>15278700992.8239</v>
      </c>
      <c r="AI12" s="4" t="n">
        <v>15452060181.1211</v>
      </c>
      <c r="AJ12" s="4" t="n">
        <v>17079658638.8507</v>
      </c>
      <c r="AK12" s="4" t="n">
        <v>18579756370.5838</v>
      </c>
      <c r="AL12" s="4" t="n">
        <v>20412812580.6353</v>
      </c>
      <c r="AM12" s="4" t="n">
        <v>7678631430.61791</v>
      </c>
      <c r="AN12" s="4"/>
      <c r="AO12" s="4"/>
    </row>
    <row r="13">
      <c r="A13" t="str">
        <f>M13</f>
      </c>
      <c r="M13" t="s">
        <v>55</v>
      </c>
      <c r="N13" s="4" t="n">
        <v>19158106.3918913</v>
      </c>
      <c r="O13" s="4" t="n">
        <v>164808075.341827</v>
      </c>
      <c r="P13" s="4" t="n">
        <v>19453616.0553393</v>
      </c>
      <c r="Q13" s="4" t="n">
        <v>67451544.6789954</v>
      </c>
      <c r="R13" s="4" t="n">
        <v>76585941.3242399</v>
      </c>
      <c r="S13" s="4" t="n">
        <v>15389709.2097034</v>
      </c>
      <c r="T13" s="4" t="n">
        <v>14497727.2554684</v>
      </c>
      <c r="U13" s="4" t="n">
        <v>5540900.32285377</v>
      </c>
      <c r="V13" s="4" t="n">
        <v>4689193.03901796</v>
      </c>
      <c r="W13" s="4" t="n">
        <v>11190754.803321</v>
      </c>
      <c r="X13" s="4" t="n">
        <v>876991.25220763</v>
      </c>
      <c r="Y13" s="4" t="n">
        <v>94874.6866181675</v>
      </c>
      <c r="Z13" s="4" t="n">
        <v>-381826.568456349</v>
      </c>
      <c r="AA13" s="4" t="n">
        <v>-8148.29800417326</v>
      </c>
      <c r="AB13" s="4"/>
      <c r="AC13" s="4"/>
      <c r="AD13" s="4" t="n">
        <v>-2233462.30855135</v>
      </c>
      <c r="AE13" s="4"/>
      <c r="AF13" s="4" t="n">
        <v>0</v>
      </c>
      <c r="AG13" s="4"/>
      <c r="AH13" s="4" t="n">
        <v>0</v>
      </c>
      <c r="AI13" s="4" t="n">
        <v>0</v>
      </c>
      <c r="AJ13" s="4" t="n">
        <v>0</v>
      </c>
      <c r="AK13" s="4"/>
      <c r="AL13" s="4"/>
      <c r="AM13" s="4"/>
      <c r="AN13" s="4"/>
      <c r="AO13" s="4"/>
    </row>
    <row r="14">
      <c r="A14" t="str">
        <f>M14</f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../output/FedAcqTrends/Customer//GSA/GSA_Contracts.xlsx</dc:creator>
  <cp:lastModifiedBy>../output/FedAcqTrends/Customer//GSA/GSA_Contracts.xlsx</cp:lastModifiedBy>
  <dcterms:created xsi:type="dcterms:W3CDTF">2025-11-16T16:54:45Z</dcterms:created>
</coreProperties>
</file>