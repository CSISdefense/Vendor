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YQ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<sst xmlns="http://schemas.openxmlformats.org/spreadsheetml/2006/main" count="31" uniqueCount="31">
  <si>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Vehicle.AwardTask</t>
  </si>
  <si>
    <t xml:space="preserve">Vehicle.sum7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</si>
  <si>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</si>
  <si>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</si>
  <si>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</si>
  <si>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</si>
  <si>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</si>
  <si>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</si>
  <si>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</si>
  <si>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</si>
  <si>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</si>
  <si>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</si>
  <si>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</si>
  <si>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</si>
  <si>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</si>
  <si>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</si>
  <si>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</si>
  <si>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</si>
  <si>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</si>
  <si>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</si>
  <si>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</si>
  <si>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Award</t>
  </si>
  <si>
    <t xml:space="preserve">Definitive</t>
  </si>
  <si>
    <t xml:space="preserve">Pur. Order</t>
  </si>
  <si>
    <t xml:space="preserve">Task Order</t>
  </si>
  <si>
    <t xml:space="preserve">BOA or BPA</t>
  </si>
  <si>
    <t xml:space="preserve">FSS or GWAC</t>
  </si>
  <si>
    <t xml:space="preserve">Multi-Awd.</t>
  </si>
  <si>
    <t xml:space="preserve">Single-Awd.</t>
  </si>
  <si>
    <t xml:space="preserve">Grand Total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</si>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</sst>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,,,&quot;B&quot;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</row>
    <row r="2">
      <c r="A2" t="str">
        <f>M2</f>
      </c>
      <c r="B2" t="str">
        <f>N2</f>
      </c>
      <c r="M2" t="s">
        <v>21</v>
      </c>
      <c r="N2" t="s">
        <v>22</v>
      </c>
      <c r="O2" s="1" t="n">
        <v>177352.12</v>
      </c>
      <c r="P2" s="1" t="n">
        <v>462392.65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A3" t="str">
        <f>M3</f>
      </c>
      <c r="B3" t="str">
        <f>N3</f>
      </c>
      <c r="M3" t="s">
        <v>21</v>
      </c>
      <c r="N3" t="s">
        <v>23</v>
      </c>
      <c r="O3" s="1" t="n">
        <v>376191.7</v>
      </c>
      <c r="P3" s="1" t="n">
        <v>481815.93</v>
      </c>
      <c r="Q3" s="1" t="n">
        <v>573532.07</v>
      </c>
      <c r="R3" s="1" t="n">
        <v>433708.52</v>
      </c>
      <c r="S3" s="1" t="n">
        <v>218175.51</v>
      </c>
      <c r="T3" s="1" t="n">
        <v>173174.6</v>
      </c>
      <c r="U3" s="1" t="n">
        <v>246377.61</v>
      </c>
      <c r="V3" s="1" t="n">
        <v>186217.3</v>
      </c>
      <c r="W3" s="1" t="n">
        <v>652888.78</v>
      </c>
      <c r="X3" s="1" t="n">
        <v>314507.62</v>
      </c>
      <c r="Y3" s="1" t="n">
        <v>164509.82</v>
      </c>
      <c r="Z3" s="1" t="n">
        <v>142924.01</v>
      </c>
      <c r="AA3" s="1" t="n">
        <v>175088.25</v>
      </c>
      <c r="AB3" s="1" t="n">
        <v>173576</v>
      </c>
      <c r="AC3" s="1" t="n">
        <v>656698.16</v>
      </c>
      <c r="AD3" s="1" t="n">
        <v>220099.19</v>
      </c>
      <c r="AE3" s="1" t="n">
        <v>1859403.63</v>
      </c>
      <c r="AF3" s="1" t="n">
        <v>1218291.5</v>
      </c>
      <c r="AG3" s="1" t="n">
        <v>65034.4</v>
      </c>
      <c r="AH3" s="1"/>
    </row>
    <row r="4">
      <c r="A4" t="str">
        <f>M4</f>
      </c>
      <c r="B4" t="str">
        <f>N4</f>
      </c>
      <c r="M4" t="s">
        <v>24</v>
      </c>
      <c r="N4" t="s">
        <v>25</v>
      </c>
      <c r="O4" s="1"/>
      <c r="P4" s="1"/>
      <c r="Q4" s="1"/>
      <c r="R4" s="1"/>
      <c r="S4" s="1"/>
      <c r="T4" s="1"/>
      <c r="U4" s="1"/>
      <c r="V4" s="1" t="n">
        <v>61668.08</v>
      </c>
      <c r="W4" s="1" t="n">
        <v>31701.65</v>
      </c>
      <c r="X4" s="1" t="n">
        <v>37039.96</v>
      </c>
      <c r="Y4" s="1" t="n">
        <v>219110.03</v>
      </c>
      <c r="Z4" s="1" t="n">
        <v>555760.52</v>
      </c>
      <c r="AA4" s="1" t="n">
        <v>1138159.0513</v>
      </c>
      <c r="AB4" s="1" t="n">
        <v>1509294.1722</v>
      </c>
      <c r="AC4" s="1" t="n">
        <v>1372637.1015</v>
      </c>
      <c r="AD4" s="1" t="n">
        <v>1167668.225</v>
      </c>
      <c r="AE4" s="1" t="n">
        <v>4083123.5396</v>
      </c>
      <c r="AF4" s="1" t="n">
        <v>4766347.32</v>
      </c>
      <c r="AG4" s="1" t="n">
        <v>174542.44</v>
      </c>
      <c r="AH4" s="1"/>
    </row>
    <row r="5">
      <c r="A5" t="str">
        <f>M5</f>
      </c>
      <c r="B5" t="str">
        <f>N5</f>
      </c>
      <c r="M5" t="s">
        <v>24</v>
      </c>
      <c r="N5" t="s">
        <v>26</v>
      </c>
      <c r="O5" s="1" t="n">
        <v>9437.44</v>
      </c>
      <c r="P5" s="1" t="n">
        <v>342517.4231</v>
      </c>
      <c r="Q5" s="1" t="n">
        <v>1068018.2099</v>
      </c>
      <c r="R5" s="1" t="n">
        <v>1180237.08</v>
      </c>
      <c r="S5" s="1" t="n">
        <v>1241222.77</v>
      </c>
      <c r="T5" s="1" t="n">
        <v>1588829.06</v>
      </c>
      <c r="U5" s="1" t="n">
        <v>1979312.93</v>
      </c>
      <c r="V5" s="1" t="n">
        <v>2214439.85</v>
      </c>
      <c r="W5" s="1" t="n">
        <v>2791248.3402</v>
      </c>
      <c r="X5" s="1" t="n">
        <v>3093673.71</v>
      </c>
      <c r="Y5" s="1" t="n">
        <v>2328738.79</v>
      </c>
      <c r="Z5" s="1" t="n">
        <v>1816283.013</v>
      </c>
      <c r="AA5" s="1" t="n">
        <v>2765648.9113</v>
      </c>
      <c r="AB5" s="1" t="n">
        <v>3842787.1226</v>
      </c>
      <c r="AC5" s="1" t="n">
        <v>3886794.2363</v>
      </c>
      <c r="AD5" s="1" t="n">
        <v>5648223.9304</v>
      </c>
      <c r="AE5" s="1" t="n">
        <v>6542237.0633</v>
      </c>
      <c r="AF5" s="1" t="n">
        <v>3443989.51</v>
      </c>
      <c r="AG5" s="1" t="n">
        <v>258504.52</v>
      </c>
      <c r="AH5" s="1"/>
    </row>
    <row r="6">
      <c r="A6" t="str">
        <f>M6</f>
      </c>
      <c r="B6" t="str">
        <f>N6</f>
      </c>
      <c r="M6" t="s">
        <v>24</v>
      </c>
      <c r="N6" t="s">
        <v>27</v>
      </c>
      <c r="O6" s="1"/>
      <c r="P6" s="1"/>
      <c r="Q6" s="1"/>
      <c r="R6" s="1"/>
      <c r="S6" s="1"/>
      <c r="T6" s="1"/>
      <c r="U6" s="1"/>
      <c r="V6" s="1"/>
      <c r="W6" s="1"/>
      <c r="X6" s="1" t="n">
        <v>6920.76</v>
      </c>
      <c r="Y6" s="1" t="n">
        <v>26000</v>
      </c>
      <c r="Z6" s="1"/>
      <c r="AA6" s="1" t="n">
        <v>4934.2002</v>
      </c>
      <c r="AB6" s="1"/>
      <c r="AC6" s="1" t="n">
        <v>76309.7</v>
      </c>
      <c r="AD6" s="1" t="n">
        <v>105220.86</v>
      </c>
      <c r="AE6" s="1" t="n">
        <v>164696.36</v>
      </c>
      <c r="AF6" s="1" t="n">
        <v>86370.74</v>
      </c>
      <c r="AG6" s="1"/>
      <c r="AH6" s="1"/>
    </row>
    <row r="7">
      <c r="A7" t="str">
        <f>M7</f>
      </c>
      <c r="B7" t="str">
        <f>N7</f>
      </c>
      <c r="M7" t="s">
        <v>24</v>
      </c>
      <c r="N7" t="s">
        <v>28</v>
      </c>
      <c r="O7" s="1" t="n">
        <v>351867.48</v>
      </c>
      <c r="P7" s="1" t="n">
        <v>9000</v>
      </c>
      <c r="Q7" s="1"/>
      <c r="R7" s="1"/>
      <c r="S7" s="1"/>
      <c r="T7" s="1"/>
      <c r="U7" s="1"/>
      <c r="V7" s="1"/>
      <c r="W7" s="1"/>
      <c r="X7" s="1" t="n">
        <v>258026.85</v>
      </c>
      <c r="Y7" s="1" t="n">
        <v>0</v>
      </c>
      <c r="Z7" s="1"/>
      <c r="AA7" s="1"/>
      <c r="AB7" s="1"/>
      <c r="AC7" s="1"/>
      <c r="AD7" s="1" t="n">
        <v>2099896</v>
      </c>
      <c r="AE7" s="1" t="n">
        <v>70000</v>
      </c>
      <c r="AF7" s="1"/>
      <c r="AG7" s="1"/>
      <c r="AH7" s="1"/>
    </row>
    <row r="8">
      <c r="A8" t="str">
        <f>M8</f>
      </c>
      <c r="B8" t="str">
        <f>N8</f>
      </c>
      <c r="M8" t="s">
        <v>29</v>
      </c>
      <c r="N8" t="s">
        <v>30</v>
      </c>
      <c r="O8" s="1" t="str">
        <f>Sum(O2:O7)</f>
      </c>
      <c r="P8" s="1" t="str">
        <f>Sum(P2:P7)</f>
      </c>
      <c r="Q8" s="1" t="str">
        <f>Sum(Q2:Q7)</f>
      </c>
      <c r="R8" s="1" t="str">
        <f>Sum(R2:R7)</f>
      </c>
      <c r="S8" s="1" t="str">
        <f>Sum(S2:S7)</f>
      </c>
      <c r="T8" s="1" t="str">
        <f>Sum(T2:T7)</f>
      </c>
      <c r="U8" s="1" t="str">
        <f>Sum(U2:U7)</f>
      </c>
      <c r="V8" s="1" t="str">
        <f>Sum(V2:V7)</f>
      </c>
      <c r="W8" s="1" t="str">
        <f>Sum(W2:W7)</f>
      </c>
      <c r="X8" s="1" t="str">
        <f>Sum(X2:X7)</f>
      </c>
      <c r="Y8" s="1" t="str">
        <f>Sum(Y2:Y7)</f>
      </c>
      <c r="Z8" s="1" t="str">
        <f>Sum(Z2:Z7)</f>
      </c>
      <c r="AA8" s="1" t="str">
        <f>Sum(AA2:AA7)</f>
      </c>
      <c r="AB8" s="1" t="str">
        <f>Sum(AB2:AB7)</f>
      </c>
      <c r="AC8" s="1" t="str">
        <f>Sum(AC2:AC7)</f>
      </c>
      <c r="AD8" s="1" t="str">
        <f>Sum(AD2:AD7)</f>
      </c>
      <c r="AE8" s="1" t="str">
        <f>Sum(AE2:AE7)</f>
      </c>
      <c r="AF8" s="1" t="str">
        <f>Sum(AF2:AF7)</f>
      </c>
      <c r="AG8" s="1" t="str">
        <f>Sum(AG2:AG7)</f>
      </c>
      <c r="AH8" s="1"/>
    </row>
    <row r="11">
      <c r="A11" t="str">
        <f>M11</f>
      </c>
      <c r="B11" t="str">
        <f>N11</f>
      </c>
      <c r="M11" t="s">
        <v>0</v>
      </c>
      <c r="N11" t="s">
        <v>1</v>
      </c>
      <c r="O11" t="s">
        <v>2</v>
      </c>
      <c r="P11" t="s">
        <v>3</v>
      </c>
      <c r="Q11" t="s">
        <v>4</v>
      </c>
      <c r="R11" t="s">
        <v>5</v>
      </c>
      <c r="S11" t="s">
        <v>6</v>
      </c>
      <c r="T11" t="s">
        <v>7</v>
      </c>
      <c r="U11" t="s">
        <v>8</v>
      </c>
      <c r="V11" t="s">
        <v>9</v>
      </c>
      <c r="W11" t="s">
        <v>10</v>
      </c>
      <c r="X11" t="s">
        <v>11</v>
      </c>
      <c r="Y11" t="s">
        <v>12</v>
      </c>
      <c r="Z11" t="s">
        <v>13</v>
      </c>
      <c r="AA11" t="s">
        <v>14</v>
      </c>
      <c r="AB11" t="s">
        <v>15</v>
      </c>
      <c r="AC11" t="s">
        <v>16</v>
      </c>
      <c r="AD11" t="s">
        <v>17</v>
      </c>
      <c r="AE11" t="s">
        <v>18</v>
      </c>
      <c r="AF11" t="s">
        <v>19</v>
      </c>
      <c r="AG11" t="s">
        <v>20</v>
      </c>
    </row>
    <row r="12">
      <c r="A12" t="str">
        <f>M12</f>
      </c>
      <c r="B12" t="str">
        <f>N12</f>
      </c>
      <c r="M12" t="s">
        <v>21</v>
      </c>
      <c r="N12" t="s">
        <v>22</v>
      </c>
      <c r="O12" s="1" t="n">
        <v>251094.563831856</v>
      </c>
      <c r="P12" s="1" t="n">
        <v>641339.28829287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>
      <c r="A13" t="str">
        <f>M13</f>
      </c>
      <c r="B13" t="str">
        <f>N13</f>
      </c>
      <c r="M13" t="s">
        <v>21</v>
      </c>
      <c r="N13" t="s">
        <v>23</v>
      </c>
      <c r="O13" s="1" t="n">
        <v>532611.004755197</v>
      </c>
      <c r="P13" s="1" t="n">
        <v>668279.406332188</v>
      </c>
      <c r="Q13" s="1" t="n">
        <v>787437.405744911</v>
      </c>
      <c r="R13" s="1" t="n">
        <v>590352.3529995</v>
      </c>
      <c r="S13" s="1" t="n">
        <v>291131.22565307</v>
      </c>
      <c r="T13" s="1" t="n">
        <v>226963.962101142</v>
      </c>
      <c r="U13" s="1" t="n">
        <v>317149.792707106</v>
      </c>
      <c r="V13" s="1" t="n">
        <v>235413.689016524</v>
      </c>
      <c r="W13" s="1" t="n">
        <v>816914.036216447</v>
      </c>
      <c r="X13" s="1" t="n">
        <v>390400.093449463</v>
      </c>
      <c r="Y13" s="1" t="n">
        <v>200817.137312577</v>
      </c>
      <c r="Z13" s="1" t="n">
        <v>170678.281106894</v>
      </c>
      <c r="AA13" s="1" t="n">
        <v>205292.697015507</v>
      </c>
      <c r="AB13" s="1" t="n">
        <v>200895.252838324</v>
      </c>
      <c r="AC13" s="1" t="n">
        <v>734767.592952176</v>
      </c>
      <c r="AD13" s="1" t="n">
        <v>230167.978442829</v>
      </c>
      <c r="AE13" s="1" t="n">
        <v>1859403.63</v>
      </c>
      <c r="AF13" s="1" t="n">
        <v>1186602.11807394</v>
      </c>
      <c r="AG13" s="1" t="n">
        <v>61982.7389779534</v>
      </c>
      <c r="AH13" s="1"/>
    </row>
    <row r="14">
      <c r="A14" t="str">
        <f>M14</f>
      </c>
      <c r="B14" t="str">
        <f>N14</f>
      </c>
      <c r="M14" t="s">
        <v>24</v>
      </c>
      <c r="N14" t="s">
        <v>25</v>
      </c>
      <c r="O14" s="1"/>
      <c r="P14" s="1"/>
      <c r="Q14" s="1"/>
      <c r="R14" s="1"/>
      <c r="S14" s="1"/>
      <c r="T14" s="1"/>
      <c r="U14" s="1"/>
      <c r="V14" s="1" t="n">
        <v>77960.0510122641</v>
      </c>
      <c r="W14" s="1" t="n">
        <v>39666.0559187755</v>
      </c>
      <c r="X14" s="1" t="n">
        <v>45977.9125394939</v>
      </c>
      <c r="Y14" s="1" t="n">
        <v>267467.613672381</v>
      </c>
      <c r="Z14" s="1" t="n">
        <v>663683.101675315</v>
      </c>
      <c r="AA14" s="1" t="n">
        <v>1334502.69377864</v>
      </c>
      <c r="AB14" s="1" t="n">
        <v>1746843.07929395</v>
      </c>
      <c r="AC14" s="1" t="n">
        <v>1535818.61576406</v>
      </c>
      <c r="AD14" s="1" t="n">
        <v>1221085.0700549</v>
      </c>
      <c r="AE14" s="1" t="n">
        <v>4083123.5396</v>
      </c>
      <c r="AF14" s="1" t="n">
        <v>4642368.28820365</v>
      </c>
      <c r="AG14" s="1" t="n">
        <v>166352.245874416</v>
      </c>
      <c r="AH14" s="1"/>
    </row>
    <row r="15">
      <c r="A15" t="str">
        <f>M15</f>
      </c>
      <c r="B15" t="str">
        <f>N15</f>
      </c>
      <c r="M15" t="s">
        <v>24</v>
      </c>
      <c r="N15" t="s">
        <v>26</v>
      </c>
      <c r="O15" s="1" t="n">
        <v>13361.4973448826</v>
      </c>
      <c r="P15" s="1" t="n">
        <v>475072.171581581</v>
      </c>
      <c r="Q15" s="1" t="n">
        <v>1466347.79898529</v>
      </c>
      <c r="R15" s="1" t="n">
        <v>1606506.9168465</v>
      </c>
      <c r="S15" s="1" t="n">
        <v>1656275.29111126</v>
      </c>
      <c r="T15" s="1" t="n">
        <v>2082331.58072277</v>
      </c>
      <c r="U15" s="1" t="n">
        <v>2547872.29022959</v>
      </c>
      <c r="V15" s="1" t="n">
        <v>2799468.43925724</v>
      </c>
      <c r="W15" s="1" t="n">
        <v>3492493.69498315</v>
      </c>
      <c r="X15" s="1" t="n">
        <v>3840194.73196277</v>
      </c>
      <c r="Y15" s="1" t="n">
        <v>2842691.44149908</v>
      </c>
      <c r="Z15" s="1" t="n">
        <v>2168985.20173406</v>
      </c>
      <c r="AA15" s="1" t="n">
        <v>3242750.5786298</v>
      </c>
      <c r="AB15" s="1" t="n">
        <v>4447606.18172202</v>
      </c>
      <c r="AC15" s="1" t="n">
        <v>4348863.17529281</v>
      </c>
      <c r="AD15" s="1" t="n">
        <v>5906610.94142409</v>
      </c>
      <c r="AE15" s="1" t="n">
        <v>6542237.0633</v>
      </c>
      <c r="AF15" s="1" t="n">
        <v>3354406.76323396</v>
      </c>
      <c r="AG15" s="1" t="n">
        <v>246374.506227184</v>
      </c>
      <c r="AH15" s="1"/>
    </row>
    <row r="16">
      <c r="A16" t="str">
        <f>M16</f>
      </c>
      <c r="B16" t="str">
        <f>N16</f>
      </c>
      <c r="M16" t="s">
        <v>24</v>
      </c>
      <c r="N16" t="s">
        <v>27</v>
      </c>
      <c r="O16" s="1"/>
      <c r="P16" s="1"/>
      <c r="Q16" s="1"/>
      <c r="R16" s="1"/>
      <c r="S16" s="1"/>
      <c r="T16" s="1"/>
      <c r="U16" s="1"/>
      <c r="V16" s="1"/>
      <c r="W16" s="1"/>
      <c r="X16" s="1" t="n">
        <v>8590.77866139239</v>
      </c>
      <c r="Y16" s="1" t="n">
        <v>31738.2000060969</v>
      </c>
      <c r="Z16" s="1"/>
      <c r="AA16" s="1" t="n">
        <v>5785.39831583476</v>
      </c>
      <c r="AB16" s="1"/>
      <c r="AC16" s="1" t="n">
        <v>85381.5314297556</v>
      </c>
      <c r="AD16" s="1" t="n">
        <v>110034.356038366</v>
      </c>
      <c r="AE16" s="1" t="n">
        <v>164696.36</v>
      </c>
      <c r="AF16" s="1" t="n">
        <v>84124.1222019638</v>
      </c>
      <c r="AG16" s="1"/>
      <c r="AH16" s="1"/>
    </row>
    <row r="17">
      <c r="A17" t="str">
        <f>M17</f>
      </c>
      <c r="B17" t="str">
        <f>N17</f>
      </c>
      <c r="M17" t="s">
        <v>24</v>
      </c>
      <c r="N17" t="s">
        <v>28</v>
      </c>
      <c r="O17" s="1" t="n">
        <v>498172.85193554</v>
      </c>
      <c r="P17" s="1" t="n">
        <v>12483.0132888917</v>
      </c>
      <c r="Q17" s="1"/>
      <c r="R17" s="1"/>
      <c r="S17" s="1"/>
      <c r="T17" s="1"/>
      <c r="U17" s="1"/>
      <c r="V17" s="1"/>
      <c r="W17" s="1"/>
      <c r="X17" s="1" t="n">
        <v>320290.193135768</v>
      </c>
      <c r="Y17" s="1" t="n">
        <v>0</v>
      </c>
      <c r="Z17" s="1"/>
      <c r="AA17" s="1"/>
      <c r="AB17" s="1"/>
      <c r="AC17" s="1"/>
      <c r="AD17" s="1" t="n">
        <v>2195959.09126328</v>
      </c>
      <c r="AE17" s="1" t="n">
        <v>70000</v>
      </c>
      <c r="AF17" s="1"/>
      <c r="AG17" s="1"/>
      <c r="AH17" s="1"/>
    </row>
    <row r="18">
      <c r="A18" t="str">
        <f>M18</f>
      </c>
      <c r="B18" t="str">
        <f>N18</f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../output/FedAcqTrends/Customer//THE_INSTITUTE_OF_MUSEUM_AND_LIBRARY_SERVICES/THE_INSTITUTE_OF_MUSEUM_AND_LIBRARY_SERVICES_Contracts.xlsx</dc:creator>
  <cp:lastModifiedBy>../output/FedAcqTrends/Customer//THE_INSTITUTE_OF_MUSEUM_AND_LIBRARY_SERVICES/THE_INSTITUTE_OF_MUSEUM_AND_LIBRARY_SERVICES_Contracts.xlsx</cp:lastModifiedBy>
  <dcterms:created xsi:type="dcterms:W3CDTF">2025-11-16T16:55:28Z</dcterms:created>
</coreProperties>
</file>