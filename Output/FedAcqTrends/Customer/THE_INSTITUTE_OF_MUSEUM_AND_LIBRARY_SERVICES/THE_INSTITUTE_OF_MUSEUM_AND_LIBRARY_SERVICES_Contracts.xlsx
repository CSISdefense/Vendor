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<sst xmlns="http://schemas.openxmlformats.org/spreadsheetml/2006/main" count="46" uniqueCount="46">
  <si>
    <t xml:space="preserve">Vehicle.AwardTask</t>
  </si>
  <si>
    <t xml:space="preserve">Vehicle.sum7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</si>
  <si>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</si>
  <si>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</si>
  <si>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</si>
  <si>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</si>
  <si>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</si>
  <si>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</si>
  <si>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</si>
  <si>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</si>
  <si>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</si>
  <si>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</si>
  <si>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</si>
  <si>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</si>
  <si>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</si>
  <si>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</si>
  <si>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</si>
  <si>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</si>
  <si>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</si>
  <si>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</si>
  <si>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</si>
  <si>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</si>
  <si>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</si>
  <si>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</si>
  <si>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</si>
  <si>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</si>
  <si>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</si>
  <si>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</si>
  <si>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</si>
  <si>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</si>
  <si>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</si>
  <si>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</si>
  <si>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</si>
  <si>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</si>
  <si>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</si>
  <si>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</si>
  <si>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</si>
  <si>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UCA</t>
  </si>
  <si>
    <t xml:space="preserve">Fixed-Price</t>
  </si>
  <si>
    <t xml:space="preserve">FFP</t>
  </si>
  <si>
    <t xml:space="preserve">Other FP</t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</si>
  <si>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</si>
  <si>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</si>
  <si>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</si>
  <si>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</si>
  <si>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Unlabeled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</si>
</sst>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7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7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</row>
    <row r="2">
      <c r="A2" t="str">
        <f>M2</f>
      </c>
      <c r="B2" t="str">
        <f>N2</f>
      </c>
      <c r="M2" t="s">
        <v>21</v>
      </c>
      <c r="N2" t="s">
        <v>22</v>
      </c>
      <c r="O2" s="1" t="n">
        <v>177352.12</v>
      </c>
      <c r="P2" s="1" t="n">
        <v>462392.65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3">
      <c r="A3" t="str">
        <f>M3</f>
      </c>
      <c r="B3" t="str">
        <f>N3</f>
      </c>
      <c r="M3" t="s">
        <v>21</v>
      </c>
      <c r="N3" t="s">
        <v>23</v>
      </c>
      <c r="O3" s="1" t="n">
        <v>376191.7</v>
      </c>
      <c r="P3" s="1" t="n">
        <v>481815.93</v>
      </c>
      <c r="Q3" s="1" t="n">
        <v>573532.07</v>
      </c>
      <c r="R3" s="1" t="n">
        <v>433708.52</v>
      </c>
      <c r="S3" s="1" t="n">
        <v>218175.51</v>
      </c>
      <c r="T3" s="1" t="n">
        <v>173174.6</v>
      </c>
      <c r="U3" s="1" t="n">
        <v>246377.61</v>
      </c>
      <c r="V3" s="1" t="n">
        <v>186217.3</v>
      </c>
      <c r="W3" s="1" t="n">
        <v>652888.78</v>
      </c>
      <c r="X3" s="1" t="n">
        <v>314507.62</v>
      </c>
      <c r="Y3" s="1" t="n">
        <v>164509.82</v>
      </c>
      <c r="Z3" s="1" t="n">
        <v>142924.01</v>
      </c>
      <c r="AA3" s="1" t="n">
        <v>175088.25</v>
      </c>
      <c r="AB3" s="1" t="n">
        <v>173576</v>
      </c>
      <c r="AC3" s="1" t="n">
        <v>656698.16</v>
      </c>
      <c r="AD3" s="1" t="n">
        <v>220099.19</v>
      </c>
      <c r="AE3" s="1" t="n">
        <v>1859403.63</v>
      </c>
      <c r="AF3" s="1" t="n">
        <v>1218291.5</v>
      </c>
      <c r="AG3" s="1" t="n">
        <v>65034.4</v>
      </c>
      <c r="AH3" s="1"/>
    </row>
    <row r="4">
      <c r="A4" t="str">
        <f>M4</f>
      </c>
      <c r="B4" t="str">
        <f>N4</f>
      </c>
      <c r="M4" t="s">
        <v>24</v>
      </c>
      <c r="N4" t="s">
        <v>25</v>
      </c>
      <c r="O4" s="1"/>
      <c r="P4" s="1"/>
      <c r="Q4" s="1"/>
      <c r="R4" s="1"/>
      <c r="S4" s="1"/>
      <c r="T4" s="1"/>
      <c r="U4" s="1"/>
      <c r="V4" s="1" t="n">
        <v>61668.08</v>
      </c>
      <c r="W4" s="1" t="n">
        <v>31701.65</v>
      </c>
      <c r="X4" s="1" t="n">
        <v>37039.96</v>
      </c>
      <c r="Y4" s="1" t="n">
        <v>219110.03</v>
      </c>
      <c r="Z4" s="1" t="n">
        <v>555760.52</v>
      </c>
      <c r="AA4" s="1" t="n">
        <v>1138159.0513</v>
      </c>
      <c r="AB4" s="1" t="n">
        <v>1509294.1722</v>
      </c>
      <c r="AC4" s="1" t="n">
        <v>1372637.1015</v>
      </c>
      <c r="AD4" s="1" t="n">
        <v>1167668.225</v>
      </c>
      <c r="AE4" s="1" t="n">
        <v>4083123.5396</v>
      </c>
      <c r="AF4" s="1" t="n">
        <v>4766347.32</v>
      </c>
      <c r="AG4" s="1" t="n">
        <v>174542.44</v>
      </c>
      <c r="AH4" s="1"/>
    </row>
    <row r="5">
      <c r="A5" t="str">
        <f>M5</f>
      </c>
      <c r="B5" t="str">
        <f>N5</f>
      </c>
      <c r="M5" t="s">
        <v>24</v>
      </c>
      <c r="N5" t="s">
        <v>26</v>
      </c>
      <c r="O5" s="1" t="n">
        <v>9437.44</v>
      </c>
      <c r="P5" s="1" t="n">
        <v>342517.4231</v>
      </c>
      <c r="Q5" s="1" t="n">
        <v>1068018.2099</v>
      </c>
      <c r="R5" s="1" t="n">
        <v>1180237.08</v>
      </c>
      <c r="S5" s="1" t="n">
        <v>1241222.77</v>
      </c>
      <c r="T5" s="1" t="n">
        <v>1588829.06</v>
      </c>
      <c r="U5" s="1" t="n">
        <v>1979312.93</v>
      </c>
      <c r="V5" s="1" t="n">
        <v>2214439.85</v>
      </c>
      <c r="W5" s="1" t="n">
        <v>2791248.3402</v>
      </c>
      <c r="X5" s="1" t="n">
        <v>3093673.71</v>
      </c>
      <c r="Y5" s="1" t="n">
        <v>2328738.79</v>
      </c>
      <c r="Z5" s="1" t="n">
        <v>1816283.013</v>
      </c>
      <c r="AA5" s="1" t="n">
        <v>2765648.9113</v>
      </c>
      <c r="AB5" s="1" t="n">
        <v>3842787.1226</v>
      </c>
      <c r="AC5" s="1" t="n">
        <v>3886794.2363</v>
      </c>
      <c r="AD5" s="1" t="n">
        <v>5648223.9304</v>
      </c>
      <c r="AE5" s="1" t="n">
        <v>6542237.0633</v>
      </c>
      <c r="AF5" s="1" t="n">
        <v>3443989.51</v>
      </c>
      <c r="AG5" s="1" t="n">
        <v>258504.52</v>
      </c>
      <c r="AH5" s="1"/>
    </row>
    <row r="6">
      <c r="A6" t="str">
        <f>M6</f>
      </c>
      <c r="B6" t="str">
        <f>N6</f>
      </c>
      <c r="M6" t="s">
        <v>24</v>
      </c>
      <c r="N6" t="s">
        <v>27</v>
      </c>
      <c r="O6" s="1"/>
      <c r="P6" s="1"/>
      <c r="Q6" s="1"/>
      <c r="R6" s="1"/>
      <c r="S6" s="1"/>
      <c r="T6" s="1"/>
      <c r="U6" s="1"/>
      <c r="V6" s="1"/>
      <c r="W6" s="1"/>
      <c r="X6" s="1" t="n">
        <v>6920.76</v>
      </c>
      <c r="Y6" s="1" t="n">
        <v>26000</v>
      </c>
      <c r="Z6" s="1"/>
      <c r="AA6" s="1" t="n">
        <v>4934.2002</v>
      </c>
      <c r="AB6" s="1"/>
      <c r="AC6" s="1" t="n">
        <v>76309.7</v>
      </c>
      <c r="AD6" s="1" t="n">
        <v>105220.86</v>
      </c>
      <c r="AE6" s="1" t="n">
        <v>164696.36</v>
      </c>
      <c r="AF6" s="1" t="n">
        <v>86370.74</v>
      </c>
      <c r="AG6" s="1"/>
      <c r="AH6" s="1"/>
    </row>
    <row r="7">
      <c r="A7" t="str">
        <f>M7</f>
      </c>
      <c r="B7" t="str">
        <f>N7</f>
      </c>
      <c r="M7" t="s">
        <v>24</v>
      </c>
      <c r="N7" t="s">
        <v>28</v>
      </c>
      <c r="O7" s="1" t="n">
        <v>351867.48</v>
      </c>
      <c r="P7" s="1" t="n">
        <v>9000</v>
      </c>
      <c r="Q7" s="1"/>
      <c r="R7" s="1"/>
      <c r="S7" s="1"/>
      <c r="T7" s="1"/>
      <c r="U7" s="1"/>
      <c r="V7" s="1"/>
      <c r="W7" s="1"/>
      <c r="X7" s="1" t="n">
        <v>258026.85</v>
      </c>
      <c r="Y7" s="1" t="n">
        <v>0</v>
      </c>
      <c r="Z7" s="1"/>
      <c r="AA7" s="1"/>
      <c r="AB7" s="1"/>
      <c r="AC7" s="1"/>
      <c r="AD7" s="1" t="n">
        <v>2099896</v>
      </c>
      <c r="AE7" s="1" t="n">
        <v>70000</v>
      </c>
      <c r="AF7" s="1"/>
      <c r="AG7" s="1"/>
      <c r="AH7" s="1"/>
    </row>
    <row r="8">
      <c r="A8" t="str">
        <f>M8</f>
      </c>
      <c r="B8" t="str">
        <f>N8</f>
      </c>
      <c r="M8" t="s">
        <v>29</v>
      </c>
      <c r="N8" t="s">
        <v>30</v>
      </c>
      <c r="O8" s="1" t="str">
        <f>Sum(O2:O7)</f>
      </c>
      <c r="P8" s="1" t="str">
        <f>Sum(P2:P7)</f>
      </c>
      <c r="Q8" s="1" t="str">
        <f>Sum(Q2:Q7)</f>
      </c>
      <c r="R8" s="1" t="str">
        <f>Sum(R2:R7)</f>
      </c>
      <c r="S8" s="1" t="str">
        <f>Sum(S2:S7)</f>
      </c>
      <c r="T8" s="1" t="str">
        <f>Sum(T2:T7)</f>
      </c>
      <c r="U8" s="1" t="str">
        <f>Sum(U2:U7)</f>
      </c>
      <c r="V8" s="1" t="str">
        <f>Sum(V2:V7)</f>
      </c>
      <c r="W8" s="1" t="str">
        <f>Sum(W2:W7)</f>
      </c>
      <c r="X8" s="1" t="str">
        <f>Sum(X2:X7)</f>
      </c>
      <c r="Y8" s="1" t="str">
        <f>Sum(Y2:Y7)</f>
      </c>
      <c r="Z8" s="1" t="str">
        <f>Sum(Z2:Z7)</f>
      </c>
      <c r="AA8" s="1" t="str">
        <f>Sum(AA2:AA7)</f>
      </c>
      <c r="AB8" s="1" t="str">
        <f>Sum(AB2:AB7)</f>
      </c>
      <c r="AC8" s="1" t="str">
        <f>Sum(AC2:AC7)</f>
      </c>
      <c r="AD8" s="1" t="str">
        <f>Sum(AD2:AD7)</f>
      </c>
      <c r="AE8" s="1" t="str">
        <f>Sum(AE2:AE7)</f>
      </c>
      <c r="AF8" s="1" t="str">
        <f>Sum(AF2:AF7)</f>
      </c>
      <c r="AG8" s="1" t="str">
        <f>Sum(AG2:AG7)</f>
      </c>
      <c r="AH8" s="1"/>
    </row>
    <row r="11">
      <c r="A11" t="str">
        <f>M11</f>
      </c>
      <c r="B11" t="str">
        <f>N11</f>
      </c>
      <c r="M11" t="s">
        <v>0</v>
      </c>
      <c r="N11" t="s">
        <v>1</v>
      </c>
      <c r="O11" t="s">
        <v>2</v>
      </c>
      <c r="P11" t="s">
        <v>3</v>
      </c>
      <c r="Q11" t="s">
        <v>4</v>
      </c>
      <c r="R11" t="s">
        <v>5</v>
      </c>
      <c r="S11" t="s">
        <v>6</v>
      </c>
      <c r="T11" t="s">
        <v>7</v>
      </c>
      <c r="U11" t="s">
        <v>8</v>
      </c>
      <c r="V11" t="s">
        <v>9</v>
      </c>
      <c r="W11" t="s">
        <v>10</v>
      </c>
      <c r="X11" t="s">
        <v>11</v>
      </c>
      <c r="Y11" t="s">
        <v>12</v>
      </c>
      <c r="Z11" t="s">
        <v>13</v>
      </c>
      <c r="AA11" t="s">
        <v>14</v>
      </c>
      <c r="AB11" t="s">
        <v>15</v>
      </c>
      <c r="AC11" t="s">
        <v>16</v>
      </c>
      <c r="AD11" t="s">
        <v>17</v>
      </c>
      <c r="AE11" t="s">
        <v>18</v>
      </c>
      <c r="AF11" t="s">
        <v>19</v>
      </c>
      <c r="AG11" t="s">
        <v>20</v>
      </c>
    </row>
    <row r="12">
      <c r="A12" t="str">
        <f>M12</f>
      </c>
      <c r="B12" t="str">
        <f>N12</f>
      </c>
      <c r="M12" t="s">
        <v>21</v>
      </c>
      <c r="N12" t="s">
        <v>22</v>
      </c>
      <c r="O12" s="1" t="n">
        <v>251094.563831856</v>
      </c>
      <c r="P12" s="1" t="n">
        <v>641339.28829287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</row>
    <row r="13">
      <c r="A13" t="str">
        <f>M13</f>
      </c>
      <c r="B13" t="str">
        <f>N13</f>
      </c>
      <c r="M13" t="s">
        <v>21</v>
      </c>
      <c r="N13" t="s">
        <v>23</v>
      </c>
      <c r="O13" s="1" t="n">
        <v>532611.004755197</v>
      </c>
      <c r="P13" s="1" t="n">
        <v>668279.406332188</v>
      </c>
      <c r="Q13" s="1" t="n">
        <v>787437.405744911</v>
      </c>
      <c r="R13" s="1" t="n">
        <v>590352.3529995</v>
      </c>
      <c r="S13" s="1" t="n">
        <v>291131.22565307</v>
      </c>
      <c r="T13" s="1" t="n">
        <v>226963.962101142</v>
      </c>
      <c r="U13" s="1" t="n">
        <v>317149.792707106</v>
      </c>
      <c r="V13" s="1" t="n">
        <v>235413.689016524</v>
      </c>
      <c r="W13" s="1" t="n">
        <v>816914.036216447</v>
      </c>
      <c r="X13" s="1" t="n">
        <v>390400.093449463</v>
      </c>
      <c r="Y13" s="1" t="n">
        <v>200817.137312577</v>
      </c>
      <c r="Z13" s="1" t="n">
        <v>170678.281106894</v>
      </c>
      <c r="AA13" s="1" t="n">
        <v>205292.697015507</v>
      </c>
      <c r="AB13" s="1" t="n">
        <v>200895.252838324</v>
      </c>
      <c r="AC13" s="1" t="n">
        <v>734767.592952176</v>
      </c>
      <c r="AD13" s="1" t="n">
        <v>230167.978442829</v>
      </c>
      <c r="AE13" s="1" t="n">
        <v>1859403.63</v>
      </c>
      <c r="AF13" s="1" t="n">
        <v>1186602.11807394</v>
      </c>
      <c r="AG13" s="1" t="n">
        <v>61982.7389779534</v>
      </c>
      <c r="AH13" s="1"/>
    </row>
    <row r="14">
      <c r="A14" t="str">
        <f>M14</f>
      </c>
      <c r="B14" t="str">
        <f>N14</f>
      </c>
      <c r="M14" t="s">
        <v>24</v>
      </c>
      <c r="N14" t="s">
        <v>25</v>
      </c>
      <c r="O14" s="1"/>
      <c r="P14" s="1"/>
      <c r="Q14" s="1"/>
      <c r="R14" s="1"/>
      <c r="S14" s="1"/>
      <c r="T14" s="1"/>
      <c r="U14" s="1"/>
      <c r="V14" s="1" t="n">
        <v>77960.0510122641</v>
      </c>
      <c r="W14" s="1" t="n">
        <v>39666.0559187755</v>
      </c>
      <c r="X14" s="1" t="n">
        <v>45977.9125394939</v>
      </c>
      <c r="Y14" s="1" t="n">
        <v>267467.613672381</v>
      </c>
      <c r="Z14" s="1" t="n">
        <v>663683.101675315</v>
      </c>
      <c r="AA14" s="1" t="n">
        <v>1334502.69377864</v>
      </c>
      <c r="AB14" s="1" t="n">
        <v>1746843.07929395</v>
      </c>
      <c r="AC14" s="1" t="n">
        <v>1535818.61576406</v>
      </c>
      <c r="AD14" s="1" t="n">
        <v>1221085.0700549</v>
      </c>
      <c r="AE14" s="1" t="n">
        <v>4083123.5396</v>
      </c>
      <c r="AF14" s="1" t="n">
        <v>4642368.28820365</v>
      </c>
      <c r="AG14" s="1" t="n">
        <v>166352.245874416</v>
      </c>
      <c r="AH14" s="1"/>
    </row>
    <row r="15">
      <c r="A15" t="str">
        <f>M15</f>
      </c>
      <c r="B15" t="str">
        <f>N15</f>
      </c>
      <c r="M15" t="s">
        <v>24</v>
      </c>
      <c r="N15" t="s">
        <v>26</v>
      </c>
      <c r="O15" s="1" t="n">
        <v>13361.4973448826</v>
      </c>
      <c r="P15" s="1" t="n">
        <v>475072.171581581</v>
      </c>
      <c r="Q15" s="1" t="n">
        <v>1466347.79898529</v>
      </c>
      <c r="R15" s="1" t="n">
        <v>1606506.9168465</v>
      </c>
      <c r="S15" s="1" t="n">
        <v>1656275.29111126</v>
      </c>
      <c r="T15" s="1" t="n">
        <v>2082331.58072277</v>
      </c>
      <c r="U15" s="1" t="n">
        <v>2547872.29022959</v>
      </c>
      <c r="V15" s="1" t="n">
        <v>2799468.43925724</v>
      </c>
      <c r="W15" s="1" t="n">
        <v>3492493.69498315</v>
      </c>
      <c r="X15" s="1" t="n">
        <v>3840194.73196277</v>
      </c>
      <c r="Y15" s="1" t="n">
        <v>2842691.44149908</v>
      </c>
      <c r="Z15" s="1" t="n">
        <v>2168985.20173406</v>
      </c>
      <c r="AA15" s="1" t="n">
        <v>3242750.5786298</v>
      </c>
      <c r="AB15" s="1" t="n">
        <v>4447606.18172202</v>
      </c>
      <c r="AC15" s="1" t="n">
        <v>4348863.17529281</v>
      </c>
      <c r="AD15" s="1" t="n">
        <v>5906610.94142409</v>
      </c>
      <c r="AE15" s="1" t="n">
        <v>6542237.0633</v>
      </c>
      <c r="AF15" s="1" t="n">
        <v>3354406.76323396</v>
      </c>
      <c r="AG15" s="1" t="n">
        <v>246374.506227184</v>
      </c>
      <c r="AH15" s="1"/>
    </row>
    <row r="16">
      <c r="A16" t="str">
        <f>M16</f>
      </c>
      <c r="B16" t="str">
        <f>N16</f>
      </c>
      <c r="M16" t="s">
        <v>24</v>
      </c>
      <c r="N16" t="s">
        <v>27</v>
      </c>
      <c r="O16" s="1"/>
      <c r="P16" s="1"/>
      <c r="Q16" s="1"/>
      <c r="R16" s="1"/>
      <c r="S16" s="1"/>
      <c r="T16" s="1"/>
      <c r="U16" s="1"/>
      <c r="V16" s="1"/>
      <c r="W16" s="1"/>
      <c r="X16" s="1" t="n">
        <v>8590.77866139239</v>
      </c>
      <c r="Y16" s="1" t="n">
        <v>31738.2000060969</v>
      </c>
      <c r="Z16" s="1"/>
      <c r="AA16" s="1" t="n">
        <v>5785.39831583476</v>
      </c>
      <c r="AB16" s="1"/>
      <c r="AC16" s="1" t="n">
        <v>85381.5314297556</v>
      </c>
      <c r="AD16" s="1" t="n">
        <v>110034.356038366</v>
      </c>
      <c r="AE16" s="1" t="n">
        <v>164696.36</v>
      </c>
      <c r="AF16" s="1" t="n">
        <v>84124.1222019638</v>
      </c>
      <c r="AG16" s="1"/>
      <c r="AH16" s="1"/>
    </row>
    <row r="17">
      <c r="A17" t="str">
        <f>M17</f>
      </c>
      <c r="B17" t="str">
        <f>N17</f>
      </c>
      <c r="M17" t="s">
        <v>24</v>
      </c>
      <c r="N17" t="s">
        <v>28</v>
      </c>
      <c r="O17" s="1" t="n">
        <v>498172.85193554</v>
      </c>
      <c r="P17" s="1" t="n">
        <v>12483.0132888917</v>
      </c>
      <c r="Q17" s="1"/>
      <c r="R17" s="1"/>
      <c r="S17" s="1"/>
      <c r="T17" s="1"/>
      <c r="U17" s="1"/>
      <c r="V17" s="1"/>
      <c r="W17" s="1"/>
      <c r="X17" s="1" t="n">
        <v>320290.193135768</v>
      </c>
      <c r="Y17" s="1" t="n">
        <v>0</v>
      </c>
      <c r="Z17" s="1"/>
      <c r="AA17" s="1"/>
      <c r="AB17" s="1"/>
      <c r="AC17" s="1"/>
      <c r="AD17" s="1" t="n">
        <v>2195959.09126328</v>
      </c>
      <c r="AE17" s="1" t="n">
        <v>70000</v>
      </c>
      <c r="AF17" s="1"/>
      <c r="AG17" s="1"/>
      <c r="AH17" s="1"/>
    </row>
    <row r="18">
      <c r="A18" t="str">
        <f>M18</f>
      </c>
      <c r="B18" t="str">
        <f>N18</f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</row>
    <row r="2">
      <c r="A2" t="str">
        <f>N2</f>
      </c>
      <c r="B2" t="str">
        <f>O2</f>
      </c>
      <c r="N2" t="s">
        <v>21</v>
      </c>
      <c r="O2" t="s">
        <v>22</v>
      </c>
      <c r="P2" s="2" t="n">
        <v>177352.12</v>
      </c>
      <c r="Q2" s="2" t="n">
        <v>462392.65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>
      <c r="A3" t="str">
        <f>N3</f>
      </c>
      <c r="B3" t="str">
        <f>O3</f>
      </c>
      <c r="N3" t="s">
        <v>21</v>
      </c>
      <c r="O3" t="s">
        <v>23</v>
      </c>
      <c r="P3" s="2" t="n">
        <v>376191.7</v>
      </c>
      <c r="Q3" s="2" t="n">
        <v>481815.93</v>
      </c>
      <c r="R3" s="2" t="n">
        <v>573532.07</v>
      </c>
      <c r="S3" s="2" t="n">
        <v>433708.52</v>
      </c>
      <c r="T3" s="2" t="n">
        <v>218175.51</v>
      </c>
      <c r="U3" s="2" t="n">
        <v>173174.6</v>
      </c>
      <c r="V3" s="2" t="n">
        <v>246377.61</v>
      </c>
      <c r="W3" s="2" t="n">
        <v>186217.3</v>
      </c>
      <c r="X3" s="2" t="n">
        <v>652888.78</v>
      </c>
      <c r="Y3" s="2" t="n">
        <v>314507.62</v>
      </c>
      <c r="Z3" s="2" t="n">
        <v>164509.82</v>
      </c>
      <c r="AA3" s="2" t="n">
        <v>142924.01</v>
      </c>
      <c r="AB3" s="2" t="n">
        <v>175088.25</v>
      </c>
      <c r="AC3" s="2" t="n">
        <v>173576</v>
      </c>
      <c r="AD3" s="2" t="n">
        <v>656698.16</v>
      </c>
      <c r="AE3" s="2" t="n">
        <v>220099.19</v>
      </c>
      <c r="AF3" s="2" t="n">
        <v>1859403.63</v>
      </c>
      <c r="AG3" s="2" t="n">
        <v>1218291.5</v>
      </c>
      <c r="AH3" s="2" t="n">
        <v>65034.4</v>
      </c>
      <c r="AI3" s="2"/>
    </row>
    <row r="4">
      <c r="A4" t="str">
        <f>N4</f>
      </c>
      <c r="B4" t="str">
        <f>O4</f>
      </c>
      <c r="N4" t="s">
        <v>24</v>
      </c>
      <c r="O4" t="s">
        <v>25</v>
      </c>
      <c r="P4" s="2"/>
      <c r="Q4" s="2"/>
      <c r="R4" s="2"/>
      <c r="S4" s="2"/>
      <c r="T4" s="2"/>
      <c r="U4" s="2"/>
      <c r="V4" s="2"/>
      <c r="W4" s="2" t="n">
        <v>61668.08</v>
      </c>
      <c r="X4" s="2" t="n">
        <v>31701.65</v>
      </c>
      <c r="Y4" s="2" t="n">
        <v>37039.96</v>
      </c>
      <c r="Z4" s="2" t="n">
        <v>219110.03</v>
      </c>
      <c r="AA4" s="2" t="n">
        <v>555760.52</v>
      </c>
      <c r="AB4" s="2" t="n">
        <v>1138159.0513</v>
      </c>
      <c r="AC4" s="2" t="n">
        <v>1509294.1722</v>
      </c>
      <c r="AD4" s="2" t="n">
        <v>1372637.1015</v>
      </c>
      <c r="AE4" s="2" t="n">
        <v>1167668.225</v>
      </c>
      <c r="AF4" s="2" t="n">
        <v>4083123.5396</v>
      </c>
      <c r="AG4" s="2" t="n">
        <v>4766347.32</v>
      </c>
      <c r="AH4" s="2" t="n">
        <v>174542.44</v>
      </c>
      <c r="AI4" s="2"/>
    </row>
    <row r="5">
      <c r="A5" t="str">
        <f>N5</f>
      </c>
      <c r="B5" t="str">
        <f>O5</f>
      </c>
      <c r="N5" t="s">
        <v>24</v>
      </c>
      <c r="O5" t="s">
        <v>26</v>
      </c>
      <c r="P5" s="2" t="n">
        <v>9437.44</v>
      </c>
      <c r="Q5" s="2" t="n">
        <v>342517.4231</v>
      </c>
      <c r="R5" s="2" t="n">
        <v>1068018.2099</v>
      </c>
      <c r="S5" s="2" t="n">
        <v>1180237.08</v>
      </c>
      <c r="T5" s="2" t="n">
        <v>1241222.77</v>
      </c>
      <c r="U5" s="2" t="n">
        <v>1588829.06</v>
      </c>
      <c r="V5" s="2" t="n">
        <v>1979312.93</v>
      </c>
      <c r="W5" s="2" t="n">
        <v>2214439.85</v>
      </c>
      <c r="X5" s="2" t="n">
        <v>2791248.3402</v>
      </c>
      <c r="Y5" s="2" t="n">
        <v>3093673.71</v>
      </c>
      <c r="Z5" s="2" t="n">
        <v>2328738.79</v>
      </c>
      <c r="AA5" s="2" t="n">
        <v>1816283.013</v>
      </c>
      <c r="AB5" s="2" t="n">
        <v>2765648.9113</v>
      </c>
      <c r="AC5" s="2" t="n">
        <v>3842787.1226</v>
      </c>
      <c r="AD5" s="2" t="n">
        <v>3886794.2363</v>
      </c>
      <c r="AE5" s="2" t="n">
        <v>5648223.9304</v>
      </c>
      <c r="AF5" s="2" t="n">
        <v>6542237.0633</v>
      </c>
      <c r="AG5" s="2" t="n">
        <v>3443989.51</v>
      </c>
      <c r="AH5" s="2" t="n">
        <v>258504.52</v>
      </c>
      <c r="AI5" s="2"/>
    </row>
    <row r="6">
      <c r="A6" t="str">
        <f>N6</f>
      </c>
      <c r="B6" t="str">
        <f>O6</f>
      </c>
      <c r="N6" t="s">
        <v>24</v>
      </c>
      <c r="O6" t="s">
        <v>27</v>
      </c>
      <c r="P6" s="2"/>
      <c r="Q6" s="2"/>
      <c r="R6" s="2"/>
      <c r="S6" s="2"/>
      <c r="T6" s="2"/>
      <c r="U6" s="2"/>
      <c r="V6" s="2"/>
      <c r="W6" s="2"/>
      <c r="X6" s="2"/>
      <c r="Y6" s="2" t="n">
        <v>6920.76</v>
      </c>
      <c r="Z6" s="2" t="n">
        <v>26000</v>
      </c>
      <c r="AA6" s="2"/>
      <c r="AB6" s="2" t="n">
        <v>4934.2002</v>
      </c>
      <c r="AC6" s="2"/>
      <c r="AD6" s="2" t="n">
        <v>76309.7</v>
      </c>
      <c r="AE6" s="2" t="n">
        <v>105220.86</v>
      </c>
      <c r="AF6" s="2" t="n">
        <v>164696.36</v>
      </c>
      <c r="AG6" s="2" t="n">
        <v>86370.74</v>
      </c>
      <c r="AH6" s="2"/>
      <c r="AI6" s="2"/>
    </row>
    <row r="7">
      <c r="A7" t="str">
        <f>N7</f>
      </c>
      <c r="B7" t="str">
        <f>O7</f>
      </c>
      <c r="N7" t="s">
        <v>24</v>
      </c>
      <c r="O7" t="s">
        <v>28</v>
      </c>
      <c r="P7" s="2" t="n">
        <v>351867.48</v>
      </c>
      <c r="Q7" s="2" t="n">
        <v>9000</v>
      </c>
      <c r="R7" s="2"/>
      <c r="S7" s="2"/>
      <c r="T7" s="2"/>
      <c r="U7" s="2"/>
      <c r="V7" s="2"/>
      <c r="W7" s="2"/>
      <c r="X7" s="2"/>
      <c r="Y7" s="2" t="n">
        <v>258026.85</v>
      </c>
      <c r="Z7" s="2" t="n">
        <v>0</v>
      </c>
      <c r="AA7" s="2"/>
      <c r="AB7" s="2"/>
      <c r="AC7" s="2"/>
      <c r="AD7" s="2"/>
      <c r="AE7" s="2" t="n">
        <v>2099896</v>
      </c>
      <c r="AF7" s="2" t="n">
        <v>70000</v>
      </c>
      <c r="AG7" s="2"/>
      <c r="AH7" s="2"/>
      <c r="AI7" s="2"/>
    </row>
    <row r="8">
      <c r="A8" t="str">
        <f>N8</f>
      </c>
      <c r="B8" t="str">
        <f>O8</f>
      </c>
      <c r="N8" t="s">
        <v>29</v>
      </c>
      <c r="O8" t="s">
        <v>30</v>
      </c>
      <c r="P8" s="2" t="str">
        <f>Sum(P2:P7)</f>
      </c>
      <c r="Q8" s="2" t="str">
        <f>Sum(Q2:Q7)</f>
      </c>
      <c r="R8" s="2" t="str">
        <f>Sum(R2:R7)</f>
      </c>
      <c r="S8" s="2" t="str">
        <f>Sum(S2:S7)</f>
      </c>
      <c r="T8" s="2" t="str">
        <f>Sum(T2:T7)</f>
      </c>
      <c r="U8" s="2" t="str">
        <f>Sum(U2:U7)</f>
      </c>
      <c r="V8" s="2" t="str">
        <f>Sum(V2:V7)</f>
      </c>
      <c r="W8" s="2" t="str">
        <f>Sum(W2:W7)</f>
      </c>
      <c r="X8" s="2" t="str">
        <f>Sum(X2:X7)</f>
      </c>
      <c r="Y8" s="2" t="str">
        <f>Sum(Y2:Y7)</f>
      </c>
      <c r="Z8" s="2" t="str">
        <f>Sum(Z2:Z7)</f>
      </c>
      <c r="AA8" s="2" t="str">
        <f>Sum(AA2:AA7)</f>
      </c>
      <c r="AB8" s="2" t="str">
        <f>Sum(AB2:AB7)</f>
      </c>
      <c r="AC8" s="2" t="str">
        <f>Sum(AC2:AC7)</f>
      </c>
      <c r="AD8" s="2" t="str">
        <f>Sum(AD2:AD7)</f>
      </c>
      <c r="AE8" s="2" t="str">
        <f>Sum(AE2:AE7)</f>
      </c>
      <c r="AF8" s="2" t="str">
        <f>Sum(AF2:AF7)</f>
      </c>
      <c r="AG8" s="2" t="str">
        <f>Sum(AG2:AG7)</f>
      </c>
      <c r="AH8" s="2" t="str">
        <f>Sum(AH2:AH7)</f>
      </c>
      <c r="AI8" s="2"/>
    </row>
    <row r="11">
      <c r="A11" t="str">
        <f>N11</f>
      </c>
      <c r="B11" t="str">
        <f>O11</f>
      </c>
      <c r="N11" t="s">
        <v>0</v>
      </c>
      <c r="O11" t="s">
        <v>1</v>
      </c>
      <c r="P11" t="s">
        <v>2</v>
      </c>
      <c r="Q11" t="s">
        <v>3</v>
      </c>
      <c r="R11" t="s">
        <v>4</v>
      </c>
      <c r="S11" t="s">
        <v>5</v>
      </c>
      <c r="T11" t="s">
        <v>6</v>
      </c>
      <c r="U11" t="s">
        <v>7</v>
      </c>
      <c r="V11" t="s">
        <v>8</v>
      </c>
      <c r="W11" t="s">
        <v>9</v>
      </c>
      <c r="X11" t="s">
        <v>10</v>
      </c>
      <c r="Y11" t="s">
        <v>11</v>
      </c>
      <c r="Z11" t="s">
        <v>12</v>
      </c>
      <c r="AA11" t="s">
        <v>13</v>
      </c>
      <c r="AB11" t="s">
        <v>14</v>
      </c>
      <c r="AC11" t="s">
        <v>15</v>
      </c>
      <c r="AD11" t="s">
        <v>16</v>
      </c>
      <c r="AE11" t="s">
        <v>17</v>
      </c>
      <c r="AF11" t="s">
        <v>18</v>
      </c>
      <c r="AG11" t="s">
        <v>19</v>
      </c>
      <c r="AH11" t="s">
        <v>20</v>
      </c>
    </row>
    <row r="12">
      <c r="A12" t="str">
        <f>N12</f>
      </c>
      <c r="B12" t="str">
        <f>O12</f>
      </c>
      <c r="N12" t="s">
        <v>21</v>
      </c>
      <c r="O12" t="s">
        <v>22</v>
      </c>
      <c r="P12" s="2" t="n">
        <v>251094.563831856</v>
      </c>
      <c r="Q12" s="2" t="n">
        <v>641339.28829287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</row>
    <row r="13">
      <c r="A13" t="str">
        <f>N13</f>
      </c>
      <c r="B13" t="str">
        <f>O13</f>
      </c>
      <c r="N13" t="s">
        <v>21</v>
      </c>
      <c r="O13" t="s">
        <v>23</v>
      </c>
      <c r="P13" s="2" t="n">
        <v>532611.004755197</v>
      </c>
      <c r="Q13" s="2" t="n">
        <v>668279.406332188</v>
      </c>
      <c r="R13" s="2" t="n">
        <v>787437.405744911</v>
      </c>
      <c r="S13" s="2" t="n">
        <v>590352.3529995</v>
      </c>
      <c r="T13" s="2" t="n">
        <v>291131.22565307</v>
      </c>
      <c r="U13" s="2" t="n">
        <v>226963.962101142</v>
      </c>
      <c r="V13" s="2" t="n">
        <v>317149.792707106</v>
      </c>
      <c r="W13" s="2" t="n">
        <v>235413.689016524</v>
      </c>
      <c r="X13" s="2" t="n">
        <v>816914.036216447</v>
      </c>
      <c r="Y13" s="2" t="n">
        <v>390400.093449463</v>
      </c>
      <c r="Z13" s="2" t="n">
        <v>200817.137312577</v>
      </c>
      <c r="AA13" s="2" t="n">
        <v>170678.281106894</v>
      </c>
      <c r="AB13" s="2" t="n">
        <v>205292.697015507</v>
      </c>
      <c r="AC13" s="2" t="n">
        <v>200895.252838324</v>
      </c>
      <c r="AD13" s="2" t="n">
        <v>734767.592952176</v>
      </c>
      <c r="AE13" s="2" t="n">
        <v>230167.978442829</v>
      </c>
      <c r="AF13" s="2" t="n">
        <v>1859403.63</v>
      </c>
      <c r="AG13" s="2" t="n">
        <v>1186602.11807394</v>
      </c>
      <c r="AH13" s="2" t="n">
        <v>61982.7389779534</v>
      </c>
      <c r="AI13" s="2"/>
    </row>
    <row r="14">
      <c r="A14" t="str">
        <f>N14</f>
      </c>
      <c r="B14" t="str">
        <f>O14</f>
      </c>
      <c r="N14" t="s">
        <v>24</v>
      </c>
      <c r="O14" t="s">
        <v>25</v>
      </c>
      <c r="P14" s="2"/>
      <c r="Q14" s="2"/>
      <c r="R14" s="2"/>
      <c r="S14" s="2"/>
      <c r="T14" s="2"/>
      <c r="U14" s="2"/>
      <c r="V14" s="2"/>
      <c r="W14" s="2" t="n">
        <v>77960.0510122641</v>
      </c>
      <c r="X14" s="2" t="n">
        <v>39666.0559187755</v>
      </c>
      <c r="Y14" s="2" t="n">
        <v>45977.9125394939</v>
      </c>
      <c r="Z14" s="2" t="n">
        <v>267467.613672381</v>
      </c>
      <c r="AA14" s="2" t="n">
        <v>663683.101675315</v>
      </c>
      <c r="AB14" s="2" t="n">
        <v>1334502.69377864</v>
      </c>
      <c r="AC14" s="2" t="n">
        <v>1746843.07929395</v>
      </c>
      <c r="AD14" s="2" t="n">
        <v>1535818.61576406</v>
      </c>
      <c r="AE14" s="2" t="n">
        <v>1221085.0700549</v>
      </c>
      <c r="AF14" s="2" t="n">
        <v>4083123.5396</v>
      </c>
      <c r="AG14" s="2" t="n">
        <v>4642368.28820365</v>
      </c>
      <c r="AH14" s="2" t="n">
        <v>166352.245874416</v>
      </c>
      <c r="AI14" s="2"/>
    </row>
    <row r="15">
      <c r="A15" t="str">
        <f>N15</f>
      </c>
      <c r="B15" t="str">
        <f>O15</f>
      </c>
      <c r="N15" t="s">
        <v>24</v>
      </c>
      <c r="O15" t="s">
        <v>26</v>
      </c>
      <c r="P15" s="2" t="n">
        <v>13361.4973448826</v>
      </c>
      <c r="Q15" s="2" t="n">
        <v>475072.171581581</v>
      </c>
      <c r="R15" s="2" t="n">
        <v>1466347.79898529</v>
      </c>
      <c r="S15" s="2" t="n">
        <v>1606506.9168465</v>
      </c>
      <c r="T15" s="2" t="n">
        <v>1656275.29111126</v>
      </c>
      <c r="U15" s="2" t="n">
        <v>2082331.58072277</v>
      </c>
      <c r="V15" s="2" t="n">
        <v>2547872.29022959</v>
      </c>
      <c r="W15" s="2" t="n">
        <v>2799468.43925724</v>
      </c>
      <c r="X15" s="2" t="n">
        <v>3492493.69498315</v>
      </c>
      <c r="Y15" s="2" t="n">
        <v>3840194.73196277</v>
      </c>
      <c r="Z15" s="2" t="n">
        <v>2842691.44149908</v>
      </c>
      <c r="AA15" s="2" t="n">
        <v>2168985.20173406</v>
      </c>
      <c r="AB15" s="2" t="n">
        <v>3242750.5786298</v>
      </c>
      <c r="AC15" s="2" t="n">
        <v>4447606.18172202</v>
      </c>
      <c r="AD15" s="2" t="n">
        <v>4348863.17529281</v>
      </c>
      <c r="AE15" s="2" t="n">
        <v>5906610.94142409</v>
      </c>
      <c r="AF15" s="2" t="n">
        <v>6542237.0633</v>
      </c>
      <c r="AG15" s="2" t="n">
        <v>3354406.76323396</v>
      </c>
      <c r="AH15" s="2" t="n">
        <v>246374.506227184</v>
      </c>
      <c r="AI15" s="2"/>
    </row>
    <row r="16">
      <c r="A16" t="str">
        <f>N16</f>
      </c>
      <c r="B16" t="str">
        <f>O16</f>
      </c>
      <c r="N16" t="s">
        <v>24</v>
      </c>
      <c r="O16" t="s">
        <v>27</v>
      </c>
      <c r="P16" s="2"/>
      <c r="Q16" s="2"/>
      <c r="R16" s="2"/>
      <c r="S16" s="2"/>
      <c r="T16" s="2"/>
      <c r="U16" s="2"/>
      <c r="V16" s="2"/>
      <c r="W16" s="2"/>
      <c r="X16" s="2"/>
      <c r="Y16" s="2" t="n">
        <v>8590.77866139239</v>
      </c>
      <c r="Z16" s="2" t="n">
        <v>31738.2000060969</v>
      </c>
      <c r="AA16" s="2"/>
      <c r="AB16" s="2" t="n">
        <v>5785.39831583476</v>
      </c>
      <c r="AC16" s="2"/>
      <c r="AD16" s="2" t="n">
        <v>85381.5314297556</v>
      </c>
      <c r="AE16" s="2" t="n">
        <v>110034.356038366</v>
      </c>
      <c r="AF16" s="2" t="n">
        <v>164696.36</v>
      </c>
      <c r="AG16" s="2" t="n">
        <v>84124.1222019638</v>
      </c>
      <c r="AH16" s="2"/>
      <c r="AI16" s="2"/>
    </row>
    <row r="17">
      <c r="A17" t="str">
        <f>N17</f>
      </c>
      <c r="B17" t="str">
        <f>O17</f>
      </c>
      <c r="N17" t="s">
        <v>24</v>
      </c>
      <c r="O17" t="s">
        <v>28</v>
      </c>
      <c r="P17" s="2" t="n">
        <v>498172.85193554</v>
      </c>
      <c r="Q17" s="2" t="n">
        <v>12483.0132888917</v>
      </c>
      <c r="R17" s="2"/>
      <c r="S17" s="2"/>
      <c r="T17" s="2"/>
      <c r="U17" s="2"/>
      <c r="V17" s="2"/>
      <c r="W17" s="2"/>
      <c r="X17" s="2"/>
      <c r="Y17" s="2" t="n">
        <v>320290.193135768</v>
      </c>
      <c r="Z17" s="2" t="n">
        <v>0</v>
      </c>
      <c r="AA17" s="2"/>
      <c r="AB17" s="2"/>
      <c r="AC17" s="2"/>
      <c r="AD17" s="2"/>
      <c r="AE17" s="2" t="n">
        <v>2195959.09126328</v>
      </c>
      <c r="AF17" s="2" t="n">
        <v>70000</v>
      </c>
      <c r="AG17" s="2"/>
      <c r="AH17" s="2"/>
      <c r="AI17" s="2"/>
    </row>
    <row r="18">
      <c r="A18" t="str">
        <f>N18</f>
      </c>
      <c r="B18" t="str">
        <f>O18</f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31</v>
      </c>
      <c r="O1" t="s">
        <v>32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</row>
    <row r="2">
      <c r="A2" t="str">
        <f>N2</f>
      </c>
      <c r="B2" t="str">
        <f>O2</f>
      </c>
      <c r="N2" t="s">
        <v>33</v>
      </c>
      <c r="O2" t="s">
        <v>34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 t="n">
        <v>2099896</v>
      </c>
      <c r="AF2" s="3" t="n">
        <v>70000</v>
      </c>
      <c r="AG2" s="3"/>
      <c r="AH2" s="3"/>
      <c r="AI2" s="3"/>
    </row>
    <row r="3">
      <c r="A3" t="str">
        <f>N3</f>
      </c>
      <c r="B3" t="str">
        <f>O3</f>
      </c>
      <c r="N3" t="s">
        <v>33</v>
      </c>
      <c r="O3" t="s">
        <v>35</v>
      </c>
      <c r="P3" s="3"/>
      <c r="Q3" s="3"/>
      <c r="R3" s="3" t="n">
        <v>587151.83</v>
      </c>
      <c r="S3" s="3" t="n">
        <v>205834</v>
      </c>
      <c r="T3" s="3" t="n">
        <v>654230.56</v>
      </c>
      <c r="U3" s="3" t="n">
        <v>811374.95</v>
      </c>
      <c r="V3" s="3" t="n">
        <v>598755.3</v>
      </c>
      <c r="W3" s="3" t="n">
        <v>400843.12</v>
      </c>
      <c r="X3" s="3" t="n">
        <v>-4686.2531</v>
      </c>
      <c r="Y3" s="3" t="n">
        <v>69186.4</v>
      </c>
      <c r="Z3" s="3" t="n">
        <v>-48383.74</v>
      </c>
      <c r="AA3" s="3" t="n">
        <v>7413.09</v>
      </c>
      <c r="AB3" s="3" t="n">
        <v>-11964.79</v>
      </c>
      <c r="AC3" s="3" t="n">
        <v>290000</v>
      </c>
      <c r="AD3" s="3" t="n">
        <v>130396.11</v>
      </c>
      <c r="AE3" s="3"/>
      <c r="AF3" s="3"/>
      <c r="AG3" s="3" t="n">
        <v>22906.32</v>
      </c>
      <c r="AH3" s="3" t="n">
        <v>6000</v>
      </c>
      <c r="AI3" s="3"/>
    </row>
    <row r="4">
      <c r="A4" t="str">
        <f>N4</f>
      </c>
      <c r="B4" t="str">
        <f>O4</f>
      </c>
      <c r="N4" t="s">
        <v>36</v>
      </c>
      <c r="O4" t="s">
        <v>37</v>
      </c>
      <c r="P4" s="3"/>
      <c r="Q4" s="3"/>
      <c r="R4" s="3"/>
      <c r="S4" s="3"/>
      <c r="T4" s="3"/>
      <c r="U4" s="3"/>
      <c r="V4" s="3" t="n">
        <v>136281.6</v>
      </c>
      <c r="W4" s="3"/>
      <c r="X4" s="3"/>
      <c r="Y4" s="3" t="n">
        <v>353204</v>
      </c>
      <c r="Z4" s="3"/>
      <c r="AA4" s="3" t="n">
        <v>256482.18</v>
      </c>
      <c r="AB4" s="3"/>
      <c r="AC4" s="3"/>
      <c r="AD4" s="3"/>
      <c r="AE4" s="3"/>
      <c r="AF4" s="3"/>
      <c r="AG4" s="3"/>
      <c r="AH4" s="3"/>
      <c r="AI4" s="3"/>
    </row>
    <row r="5">
      <c r="A5" t="str">
        <f>N5</f>
      </c>
      <c r="B5" t="str">
        <f>O5</f>
      </c>
      <c r="N5" t="s">
        <v>36</v>
      </c>
      <c r="O5"/>
      <c r="P5" s="3"/>
      <c r="Q5" s="3"/>
      <c r="R5" s="3"/>
      <c r="S5" s="3"/>
      <c r="T5" s="3"/>
      <c r="U5" s="3"/>
      <c r="V5" s="3"/>
      <c r="W5" s="3"/>
      <c r="X5" s="3"/>
      <c r="Y5" s="3" t="n">
        <v>0</v>
      </c>
      <c r="Z5" s="3"/>
      <c r="AA5" s="3" t="n">
        <v>0</v>
      </c>
      <c r="AB5" s="3"/>
      <c r="AC5" s="3"/>
      <c r="AD5" s="3" t="n">
        <v>0</v>
      </c>
      <c r="AE5" s="3"/>
      <c r="AF5" s="3"/>
      <c r="AG5" s="3" t="n">
        <v>0</v>
      </c>
      <c r="AH5" s="3"/>
      <c r="AI5" s="3"/>
    </row>
    <row r="6">
      <c r="A6" t="str">
        <f>N6</f>
      </c>
      <c r="B6" t="str">
        <f>O6</f>
      </c>
      <c r="N6" t="s">
        <v>38</v>
      </c>
      <c r="O6" t="s">
        <v>39</v>
      </c>
      <c r="P6" s="3" t="n">
        <v>914848.74</v>
      </c>
      <c r="Q6" s="3" t="n">
        <v>1295726.0031</v>
      </c>
      <c r="R6" s="3" t="n">
        <v>1054398.4499</v>
      </c>
      <c r="S6" s="3" t="n">
        <v>1408111.6</v>
      </c>
      <c r="T6" s="3" t="n">
        <v>805167.72</v>
      </c>
      <c r="U6" s="3" t="n">
        <v>950628.71</v>
      </c>
      <c r="V6" s="3" t="n">
        <v>1490653.64</v>
      </c>
      <c r="W6" s="3" t="n">
        <v>2056807.93</v>
      </c>
      <c r="X6" s="3" t="n">
        <v>3475850.8433</v>
      </c>
      <c r="Y6" s="3" t="n">
        <v>3282278.5</v>
      </c>
      <c r="Z6" s="3" t="n">
        <v>2782068.2</v>
      </c>
      <c r="AA6" s="3" t="n">
        <v>2246072.273</v>
      </c>
      <c r="AB6" s="3" t="n">
        <v>4095795.2028</v>
      </c>
      <c r="AC6" s="3" t="n">
        <v>5235657.2948</v>
      </c>
      <c r="AD6" s="3" t="n">
        <v>5785869.4478</v>
      </c>
      <c r="AE6" s="3" t="n">
        <v>7035991.3454</v>
      </c>
      <c r="AF6" s="3" t="n">
        <v>12484764.2329</v>
      </c>
      <c r="AG6" s="3" t="n">
        <v>9405722.01</v>
      </c>
      <c r="AH6" s="3" t="n">
        <v>492081.36</v>
      </c>
      <c r="AI6" s="3"/>
    </row>
    <row r="7">
      <c r="A7" t="str">
        <f>N7</f>
      </c>
      <c r="B7" t="str">
        <f>O7</f>
      </c>
      <c r="N7" t="s">
        <v>38</v>
      </c>
      <c r="O7" t="s">
        <v>40</v>
      </c>
      <c r="P7" s="3"/>
      <c r="Q7" s="3"/>
      <c r="R7" s="3"/>
      <c r="S7" s="3"/>
      <c r="T7" s="3"/>
      <c r="U7" s="3"/>
      <c r="V7" s="3"/>
      <c r="W7" s="3" t="n">
        <v>4674.18</v>
      </c>
      <c r="X7" s="3" t="n">
        <v>4674.18</v>
      </c>
      <c r="Y7" s="3" t="n">
        <v>5500</v>
      </c>
      <c r="Z7" s="3" t="n">
        <v>4674.18</v>
      </c>
      <c r="AA7" s="3" t="n">
        <v>5000</v>
      </c>
      <c r="AB7" s="3"/>
      <c r="AC7" s="3"/>
      <c r="AD7" s="3" t="n">
        <v>76173.64</v>
      </c>
      <c r="AE7" s="3" t="n">
        <v>105220.86</v>
      </c>
      <c r="AF7" s="3" t="n">
        <v>164696.36</v>
      </c>
      <c r="AG7" s="3" t="n">
        <v>86370.74</v>
      </c>
      <c r="AH7" s="3"/>
      <c r="AI7" s="3"/>
    </row>
    <row r="8">
      <c r="A8" t="str">
        <f>N8</f>
      </c>
      <c r="B8" t="str">
        <f>O8</f>
      </c>
      <c r="N8" t="s">
        <v>29</v>
      </c>
      <c r="O8" t="s">
        <v>30</v>
      </c>
      <c r="P8" s="3" t="str">
        <f>Sum(P2:P7)</f>
      </c>
      <c r="Q8" s="3" t="str">
        <f>Sum(Q2:Q7)</f>
      </c>
      <c r="R8" s="3" t="str">
        <f>Sum(R2:R7)</f>
      </c>
      <c r="S8" s="3" t="str">
        <f>Sum(S2:S7)</f>
      </c>
      <c r="T8" s="3" t="str">
        <f>Sum(T2:T7)</f>
      </c>
      <c r="U8" s="3" t="str">
        <f>Sum(U2:U7)</f>
      </c>
      <c r="V8" s="3" t="str">
        <f>Sum(V2:V7)</f>
      </c>
      <c r="W8" s="3" t="str">
        <f>Sum(W2:W7)</f>
      </c>
      <c r="X8" s="3" t="str">
        <f>Sum(X2:X7)</f>
      </c>
      <c r="Y8" s="3" t="str">
        <f>Sum(Y2:Y7)</f>
      </c>
      <c r="Z8" s="3" t="str">
        <f>Sum(Z2:Z7)</f>
      </c>
      <c r="AA8" s="3" t="str">
        <f>Sum(AA2:AA7)</f>
      </c>
      <c r="AB8" s="3" t="str">
        <f>Sum(AB2:AB7)</f>
      </c>
      <c r="AC8" s="3" t="str">
        <f>Sum(AC2:AC7)</f>
      </c>
      <c r="AD8" s="3" t="str">
        <f>Sum(AD2:AD7)</f>
      </c>
      <c r="AE8" s="3" t="str">
        <f>Sum(AE2:AE7)</f>
      </c>
      <c r="AF8" s="3" t="str">
        <f>Sum(AF2:AF7)</f>
      </c>
      <c r="AG8" s="3" t="str">
        <f>Sum(AG2:AG7)</f>
      </c>
      <c r="AH8" s="3" t="str">
        <f>Sum(AH2:AH7)</f>
      </c>
      <c r="AI8" s="3"/>
    </row>
    <row r="11">
      <c r="A11" t="str">
        <f>N11</f>
      </c>
      <c r="B11" t="str">
        <f>O11</f>
      </c>
      <c r="N11" t="s">
        <v>31</v>
      </c>
      <c r="O11" t="s">
        <v>32</v>
      </c>
      <c r="P11" t="s">
        <v>2</v>
      </c>
      <c r="Q11" t="s">
        <v>3</v>
      </c>
      <c r="R11" t="s">
        <v>4</v>
      </c>
      <c r="S11" t="s">
        <v>5</v>
      </c>
      <c r="T11" t="s">
        <v>6</v>
      </c>
      <c r="U11" t="s">
        <v>7</v>
      </c>
      <c r="V11" t="s">
        <v>8</v>
      </c>
      <c r="W11" t="s">
        <v>9</v>
      </c>
      <c r="X11" t="s">
        <v>10</v>
      </c>
      <c r="Y11" t="s">
        <v>11</v>
      </c>
      <c r="Z11" t="s">
        <v>12</v>
      </c>
      <c r="AA11" t="s">
        <v>13</v>
      </c>
      <c r="AB11" t="s">
        <v>14</v>
      </c>
      <c r="AC11" t="s">
        <v>15</v>
      </c>
      <c r="AD11" t="s">
        <v>16</v>
      </c>
      <c r="AE11" t="s">
        <v>17</v>
      </c>
      <c r="AF11" t="s">
        <v>18</v>
      </c>
      <c r="AG11" t="s">
        <v>19</v>
      </c>
      <c r="AH11" t="s">
        <v>20</v>
      </c>
    </row>
    <row r="12">
      <c r="A12" t="str">
        <f>N12</f>
      </c>
      <c r="B12" t="str">
        <f>O12</f>
      </c>
      <c r="N12" t="s">
        <v>33</v>
      </c>
      <c r="O12" t="s">
        <v>34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 t="n">
        <v>2195959.09126328</v>
      </c>
      <c r="AF12" s="3" t="n">
        <v>70000</v>
      </c>
      <c r="AG12" s="3"/>
      <c r="AH12" s="3"/>
      <c r="AI12" s="3"/>
    </row>
    <row r="13">
      <c r="A13" t="str">
        <f>N13</f>
      </c>
      <c r="B13" t="str">
        <f>O13</f>
      </c>
      <c r="N13" t="s">
        <v>33</v>
      </c>
      <c r="O13" t="s">
        <v>35</v>
      </c>
      <c r="P13" s="3"/>
      <c r="Q13" s="3"/>
      <c r="R13" s="3" t="n">
        <v>806136.810786496</v>
      </c>
      <c r="S13" s="3" t="n">
        <v>280175.695481608</v>
      </c>
      <c r="T13" s="3" t="n">
        <v>872998.737541598</v>
      </c>
      <c r="U13" s="3" t="n">
        <v>1063394.24720263</v>
      </c>
      <c r="V13" s="3" t="n">
        <v>770748.280565271</v>
      </c>
      <c r="W13" s="3" t="n">
        <v>506741.090092559</v>
      </c>
      <c r="X13" s="3" t="n">
        <v>-5863.58052385712</v>
      </c>
      <c r="Y13" s="3" t="n">
        <v>85881.4709336198</v>
      </c>
      <c r="Z13" s="3" t="n">
        <v>-59062.0314293458</v>
      </c>
      <c r="AA13" s="3" t="n">
        <v>8852.63056144806</v>
      </c>
      <c r="AB13" s="3" t="n">
        <v>-14028.8340783815</v>
      </c>
      <c r="AC13" s="3" t="n">
        <v>335643.310844321</v>
      </c>
      <c r="AD13" s="3" t="n">
        <v>145897.829034616</v>
      </c>
      <c r="AE13" s="3"/>
      <c r="AF13" s="3"/>
      <c r="AG13" s="3" t="n">
        <v>22310.4961573478</v>
      </c>
      <c r="AH13" s="3" t="n">
        <v>5718.45721445451</v>
      </c>
      <c r="AI13" s="3"/>
    </row>
    <row r="14">
      <c r="A14" t="str">
        <f>N14</f>
      </c>
      <c r="B14" t="str">
        <f>O14</f>
      </c>
      <c r="N14" t="s">
        <v>36</v>
      </c>
      <c r="O14" t="s">
        <v>37</v>
      </c>
      <c r="P14" s="3"/>
      <c r="Q14" s="3"/>
      <c r="R14" s="3"/>
      <c r="S14" s="3"/>
      <c r="T14" s="3"/>
      <c r="U14" s="3"/>
      <c r="V14" s="3" t="n">
        <v>175428.608101981</v>
      </c>
      <c r="W14" s="3"/>
      <c r="X14" s="3"/>
      <c r="Y14" s="3" t="n">
        <v>438434.129534681</v>
      </c>
      <c r="Z14" s="3"/>
      <c r="AA14" s="3" t="n">
        <v>306288.199001337</v>
      </c>
      <c r="AB14" s="3"/>
      <c r="AC14" s="3"/>
      <c r="AD14" s="3"/>
      <c r="AE14" s="3"/>
      <c r="AF14" s="3"/>
      <c r="AG14" s="3"/>
      <c r="AH14" s="3"/>
      <c r="AI14" s="3"/>
    </row>
    <row r="15">
      <c r="A15" t="str">
        <f>N15</f>
      </c>
      <c r="B15" t="str">
        <f>O15</f>
      </c>
      <c r="N15" t="s">
        <v>36</v>
      </c>
      <c r="O15"/>
      <c r="P15" s="3"/>
      <c r="Q15" s="3"/>
      <c r="R15" s="3"/>
      <c r="S15" s="3"/>
      <c r="T15" s="3"/>
      <c r="U15" s="3"/>
      <c r="V15" s="3"/>
      <c r="W15" s="3"/>
      <c r="X15" s="3"/>
      <c r="Y15" s="3" t="n">
        <v>0</v>
      </c>
      <c r="Z15" s="3"/>
      <c r="AA15" s="3" t="n">
        <v>0</v>
      </c>
      <c r="AB15" s="3"/>
      <c r="AC15" s="3"/>
      <c r="AD15" s="3" t="n">
        <v>0</v>
      </c>
      <c r="AE15" s="3"/>
      <c r="AF15" s="3"/>
      <c r="AG15" s="3" t="n">
        <v>0</v>
      </c>
      <c r="AH15" s="3"/>
      <c r="AI15" s="3"/>
    </row>
    <row r="16">
      <c r="A16" t="str">
        <f>N16</f>
      </c>
      <c r="B16" t="str">
        <f>O16</f>
      </c>
      <c r="N16" t="s">
        <v>38</v>
      </c>
      <c r="O16" t="s">
        <v>39</v>
      </c>
      <c r="P16" s="3" t="n">
        <v>1295239.91786748</v>
      </c>
      <c r="Q16" s="3" t="n">
        <v>1797173.87949553</v>
      </c>
      <c r="R16" s="3" t="n">
        <v>1447648.39394371</v>
      </c>
      <c r="S16" s="3" t="n">
        <v>1916683.57436439</v>
      </c>
      <c r="T16" s="3" t="n">
        <v>1074407.77922274</v>
      </c>
      <c r="U16" s="3" t="n">
        <v>1245901.29562128</v>
      </c>
      <c r="V16" s="3" t="n">
        <v>1918845.19426945</v>
      </c>
      <c r="W16" s="3" t="n">
        <v>2600192.04660222</v>
      </c>
      <c r="X16" s="3" t="n">
        <v>4349088.89334343</v>
      </c>
      <c r="Y16" s="3" t="n">
        <v>4074310.92806961</v>
      </c>
      <c r="Z16" s="3" t="n">
        <v>3396070.65239239</v>
      </c>
      <c r="AA16" s="3" t="n">
        <v>2682234.80993498</v>
      </c>
      <c r="AB16" s="3" t="n">
        <v>4802360.20181816</v>
      </c>
      <c r="AC16" s="3" t="n">
        <v>6059701.20300998</v>
      </c>
      <c r="AD16" s="3" t="n">
        <v>6473703.79002667</v>
      </c>
      <c r="AE16" s="3" t="n">
        <v>7357863.98992181</v>
      </c>
      <c r="AF16" s="3" t="n">
        <v>12484764.2329</v>
      </c>
      <c r="AG16" s="3" t="n">
        <v>9161066.6733542</v>
      </c>
      <c r="AH16" s="3" t="n">
        <v>468991.033865098</v>
      </c>
      <c r="AI16" s="3"/>
    </row>
    <row r="17">
      <c r="A17" t="str">
        <f>N17</f>
      </c>
      <c r="B17" t="str">
        <f>O17</f>
      </c>
      <c r="N17" t="s">
        <v>38</v>
      </c>
      <c r="O17" t="s">
        <v>40</v>
      </c>
      <c r="P17" s="3"/>
      <c r="Q17" s="3"/>
      <c r="R17" s="3"/>
      <c r="S17" s="3"/>
      <c r="T17" s="3"/>
      <c r="U17" s="3"/>
      <c r="V17" s="3"/>
      <c r="W17" s="3" t="n">
        <v>5909.04259124826</v>
      </c>
      <c r="X17" s="3" t="n">
        <v>5848.47429879587</v>
      </c>
      <c r="Y17" s="3" t="n">
        <v>6827.18121097368</v>
      </c>
      <c r="Z17" s="3" t="n">
        <v>5705.77152709608</v>
      </c>
      <c r="AA17" s="3" t="n">
        <v>5970.94501850649</v>
      </c>
      <c r="AB17" s="3"/>
      <c r="AC17" s="3"/>
      <c r="AD17" s="3" t="n">
        <v>85229.2963775102</v>
      </c>
      <c r="AE17" s="3" t="n">
        <v>110034.356038366</v>
      </c>
      <c r="AF17" s="3" t="n">
        <v>164696.36</v>
      </c>
      <c r="AG17" s="3" t="n">
        <v>84124.1222019638</v>
      </c>
      <c r="AH17" s="3"/>
      <c r="AI17" s="3"/>
    </row>
    <row r="18">
      <c r="A18" t="str">
        <f>N18</f>
      </c>
      <c r="B18" t="str">
        <f>O18</f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41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</row>
    <row r="2">
      <c r="A2" t="str">
        <f>M2</f>
      </c>
      <c r="M2" t="s">
        <v>42</v>
      </c>
      <c r="N2" s="4" t="n">
        <v>56417.02</v>
      </c>
      <c r="O2" s="4" t="n">
        <v>31239.05</v>
      </c>
      <c r="P2" s="4" t="n">
        <v>41049</v>
      </c>
      <c r="Q2" s="4" t="n">
        <v>48882.27</v>
      </c>
      <c r="R2" s="4" t="n">
        <v>51177.79</v>
      </c>
      <c r="S2" s="4" t="n">
        <v>129514.72</v>
      </c>
      <c r="T2" s="4" t="n">
        <v>67168.63</v>
      </c>
      <c r="U2" s="4" t="n">
        <v>276336.74</v>
      </c>
      <c r="V2" s="4" t="n">
        <v>496603.1896</v>
      </c>
      <c r="W2" s="4" t="n">
        <v>503924.32</v>
      </c>
      <c r="X2" s="4" t="n">
        <v>36222.08</v>
      </c>
      <c r="Y2" s="4" t="n">
        <v>726.5502</v>
      </c>
      <c r="Z2" s="4" t="n">
        <v>324531.934</v>
      </c>
      <c r="AA2" s="4" t="n">
        <v>394555.3438</v>
      </c>
      <c r="AB2" s="4" t="n">
        <v>113757.32</v>
      </c>
      <c r="AC2" s="4" t="n">
        <v>55844.69</v>
      </c>
      <c r="AD2" s="4" t="n">
        <v>173592.8498</v>
      </c>
      <c r="AE2" s="4" t="n">
        <v>403986.47</v>
      </c>
      <c r="AF2" s="4" t="n">
        <v>119314.68</v>
      </c>
      <c r="AG2" s="4"/>
      <c r="AH2" s="4"/>
    </row>
    <row r="3">
      <c r="A3" t="str">
        <f>M3</f>
      </c>
      <c r="M3" t="s">
        <v>43</v>
      </c>
      <c r="N3" s="4"/>
      <c r="O3" s="4" t="n">
        <v>3321.2</v>
      </c>
      <c r="P3" s="4" t="n">
        <v>58017</v>
      </c>
      <c r="Q3" s="4" t="n">
        <v>132005</v>
      </c>
      <c r="R3" s="4" t="n">
        <v>0</v>
      </c>
      <c r="S3" s="4" t="n">
        <v>7000</v>
      </c>
      <c r="T3" s="4" t="n">
        <v>16076.17</v>
      </c>
      <c r="U3" s="4" t="n">
        <v>3500</v>
      </c>
      <c r="V3" s="4"/>
      <c r="W3" s="4" t="n">
        <v>258026.85</v>
      </c>
      <c r="X3" s="4" t="n">
        <v>0</v>
      </c>
      <c r="Y3" s="4" t="n">
        <v>152669.5</v>
      </c>
      <c r="Z3" s="4"/>
      <c r="AA3" s="4"/>
      <c r="AB3" s="4" t="n">
        <v>225301.2031</v>
      </c>
      <c r="AC3" s="4" t="n">
        <v>650991.125</v>
      </c>
      <c r="AD3" s="4" t="n">
        <v>2661094.49</v>
      </c>
      <c r="AE3" s="4" t="n">
        <v>2600737.8</v>
      </c>
      <c r="AF3" s="4" t="n">
        <v>85548.44</v>
      </c>
      <c r="AG3" s="4"/>
      <c r="AH3" s="4"/>
    </row>
    <row r="4">
      <c r="A4" t="str">
        <f>M4</f>
      </c>
      <c r="M4" t="s">
        <v>44</v>
      </c>
      <c r="N4" s="4" t="n">
        <v>858431.72</v>
      </c>
      <c r="O4" s="4" t="n">
        <v>1222725.2731</v>
      </c>
      <c r="P4" s="4" t="n">
        <v>1431558.8899</v>
      </c>
      <c r="Q4" s="4" t="n">
        <v>1394773.56</v>
      </c>
      <c r="R4" s="4" t="n">
        <v>1408220.49</v>
      </c>
      <c r="S4" s="4" t="n">
        <v>1625488.94</v>
      </c>
      <c r="T4" s="4" t="n">
        <v>2142445.74</v>
      </c>
      <c r="U4" s="4" t="n">
        <v>2182488.49</v>
      </c>
      <c r="V4" s="4" t="n">
        <v>2979235.5806</v>
      </c>
      <c r="W4" s="4" t="n">
        <v>2948217.73</v>
      </c>
      <c r="X4" s="4" t="n">
        <v>2702136.56</v>
      </c>
      <c r="Y4" s="4" t="n">
        <v>2361571.4928</v>
      </c>
      <c r="Z4" s="4" t="n">
        <v>3759298.4788</v>
      </c>
      <c r="AA4" s="4" t="n">
        <v>5131101.951</v>
      </c>
      <c r="AB4" s="4" t="n">
        <v>5653380.6747</v>
      </c>
      <c r="AC4" s="4" t="n">
        <v>8534272.3904</v>
      </c>
      <c r="AD4" s="4" t="n">
        <v>9884773.2531</v>
      </c>
      <c r="AE4" s="4" t="n">
        <v>6510274.8</v>
      </c>
      <c r="AF4" s="4" t="n">
        <v>293218.24</v>
      </c>
      <c r="AG4" s="4"/>
      <c r="AH4" s="4"/>
    </row>
    <row r="5">
      <c r="A5" t="str">
        <f>M5</f>
      </c>
      <c r="M5" t="s">
        <v>45</v>
      </c>
      <c r="N5" s="4"/>
      <c r="O5" s="4" t="n">
        <v>38440.48</v>
      </c>
      <c r="P5" s="4" t="n">
        <v>110925.39</v>
      </c>
      <c r="Q5" s="4" t="n">
        <v>38284.77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t="str">
        <f>M6</f>
      </c>
      <c r="M6" t="s">
        <v>29</v>
      </c>
      <c r="N6" s="4" t="str">
        <f>Sum(N2:N5)</f>
      </c>
      <c r="O6" s="4" t="str">
        <f>Sum(O2:O5)</f>
      </c>
      <c r="P6" s="4" t="str">
        <f>Sum(P2:P5)</f>
      </c>
      <c r="Q6" s="4" t="str">
        <f>Sum(Q2:Q5)</f>
      </c>
      <c r="R6" s="4" t="str">
        <f>Sum(R2:R5)</f>
      </c>
      <c r="S6" s="4" t="str">
        <f>Sum(S2:S5)</f>
      </c>
      <c r="T6" s="4" t="str">
        <f>Sum(T2:T5)</f>
      </c>
      <c r="U6" s="4" t="str">
        <f>Sum(U2:U5)</f>
      </c>
      <c r="V6" s="4" t="str">
        <f>Sum(V2:V5)</f>
      </c>
      <c r="W6" s="4" t="str">
        <f>Sum(W2:W5)</f>
      </c>
      <c r="X6" s="4" t="str">
        <f>Sum(X2:X5)</f>
      </c>
      <c r="Y6" s="4" t="str">
        <f>Sum(Y2:Y5)</f>
      </c>
      <c r="Z6" s="4" t="str">
        <f>Sum(Z2:Z5)</f>
      </c>
      <c r="AA6" s="4" t="str">
        <f>Sum(AA2:AA5)</f>
      </c>
      <c r="AB6" s="4" t="str">
        <f>Sum(AB2:AB5)</f>
      </c>
      <c r="AC6" s="4" t="str">
        <f>Sum(AC2:AC5)</f>
      </c>
      <c r="AD6" s="4" t="str">
        <f>Sum(AD2:AD5)</f>
      </c>
      <c r="AE6" s="4" t="str">
        <f>Sum(AE2:AE5)</f>
      </c>
      <c r="AF6" s="4" t="str">
        <f>Sum(AF2:AF5)</f>
      </c>
      <c r="AG6" s="4" t="str">
        <f>Sum(AG2:AG5)</f>
      </c>
      <c r="AH6" s="4"/>
    </row>
    <row r="9">
      <c r="A9" t="str">
        <f>M9</f>
      </c>
      <c r="M9" t="s">
        <v>41</v>
      </c>
      <c r="N9" t="s">
        <v>2</v>
      </c>
      <c r="O9" t="s">
        <v>3</v>
      </c>
      <c r="P9" t="s">
        <v>4</v>
      </c>
      <c r="Q9" t="s">
        <v>5</v>
      </c>
      <c r="R9" t="s">
        <v>6</v>
      </c>
      <c r="S9" t="s">
        <v>7</v>
      </c>
      <c r="T9" t="s">
        <v>8</v>
      </c>
      <c r="U9" t="s">
        <v>9</v>
      </c>
      <c r="V9" t="s">
        <v>10</v>
      </c>
      <c r="W9" t="s">
        <v>11</v>
      </c>
      <c r="X9" t="s">
        <v>12</v>
      </c>
      <c r="Y9" t="s">
        <v>13</v>
      </c>
      <c r="Z9" t="s">
        <v>14</v>
      </c>
      <c r="AA9" t="s">
        <v>15</v>
      </c>
      <c r="AB9" t="s">
        <v>16</v>
      </c>
      <c r="AC9" t="s">
        <v>17</v>
      </c>
      <c r="AD9" t="s">
        <v>18</v>
      </c>
      <c r="AE9" t="s">
        <v>19</v>
      </c>
      <c r="AF9" t="s">
        <v>20</v>
      </c>
    </row>
    <row r="10">
      <c r="A10" t="str">
        <f>M10</f>
      </c>
      <c r="M10" t="s">
        <v>42</v>
      </c>
      <c r="N10" s="4" t="n">
        <v>79875.0363378406</v>
      </c>
      <c r="O10" s="4" t="n">
        <v>43328.6084758168</v>
      </c>
      <c r="P10" s="4" t="n">
        <v>56358.6933655216</v>
      </c>
      <c r="Q10" s="4" t="n">
        <v>66537.2289999211</v>
      </c>
      <c r="R10" s="4" t="n">
        <v>68291.1328082397</v>
      </c>
      <c r="S10" s="4" t="n">
        <v>169742.987722333</v>
      </c>
      <c r="T10" s="4" t="n">
        <v>86462.877373152</v>
      </c>
      <c r="U10" s="4" t="n">
        <v>349341.609905202</v>
      </c>
      <c r="V10" s="4" t="n">
        <v>621364.81502117</v>
      </c>
      <c r="W10" s="4" t="n">
        <v>625524.11804667</v>
      </c>
      <c r="X10" s="4" t="n">
        <v>44216.2930644939</v>
      </c>
      <c r="Y10" s="4" t="n">
        <v>867.63825947698</v>
      </c>
      <c r="Z10" s="4" t="n">
        <v>380516.887903778</v>
      </c>
      <c r="AA10" s="4" t="n">
        <v>456654.696221901</v>
      </c>
      <c r="AB10" s="4" t="n">
        <v>127280.990397614</v>
      </c>
      <c r="AC10" s="4" t="n">
        <v>58399.3944006176</v>
      </c>
      <c r="AD10" s="4" t="n">
        <v>173592.8498</v>
      </c>
      <c r="AE10" s="4" t="n">
        <v>393478.244718292</v>
      </c>
      <c r="AF10" s="4" t="n">
        <v>113715.982106055</v>
      </c>
      <c r="AG10" s="4"/>
      <c r="AH10" s="4"/>
    </row>
    <row r="11">
      <c r="A11" t="str">
        <f>M11</f>
      </c>
      <c r="M11" t="s">
        <v>43</v>
      </c>
      <c r="N11" s="4"/>
      <c r="O11" s="4" t="n">
        <v>4606.50930389633</v>
      </c>
      <c r="P11" s="4" t="n">
        <v>79655.1027549384</v>
      </c>
      <c r="Q11" s="4" t="n">
        <v>179681.649688825</v>
      </c>
      <c r="R11" s="4" t="n">
        <v>0</v>
      </c>
      <c r="S11" s="4" t="n">
        <v>9174.25381498206</v>
      </c>
      <c r="T11" s="4" t="n">
        <v>20694.0638113349</v>
      </c>
      <c r="U11" s="4" t="n">
        <v>4424.65824366389</v>
      </c>
      <c r="V11" s="4"/>
      <c r="W11" s="4" t="n">
        <v>320290.193135768</v>
      </c>
      <c r="X11" s="4" t="n">
        <v>0</v>
      </c>
      <c r="Y11" s="4" t="n">
        <v>182316.238100575</v>
      </c>
      <c r="Z11" s="4"/>
      <c r="AA11" s="4"/>
      <c r="AB11" s="4" t="n">
        <v>252085.406621234</v>
      </c>
      <c r="AC11" s="4" t="n">
        <v>680771.752160801</v>
      </c>
      <c r="AD11" s="4" t="n">
        <v>2661094.49</v>
      </c>
      <c r="AE11" s="4" t="n">
        <v>2533089.15151667</v>
      </c>
      <c r="AF11" s="4" t="n">
        <v>81534.1823172215</v>
      </c>
      <c r="AG11" s="4"/>
      <c r="AH11" s="4"/>
    </row>
    <row r="12">
      <c r="A12" t="str">
        <f>M12</f>
      </c>
      <c r="M12" t="s">
        <v>44</v>
      </c>
      <c r="N12" s="4" t="n">
        <v>1215364.88152963</v>
      </c>
      <c r="O12" s="4" t="n">
        <v>1695921.75919678</v>
      </c>
      <c r="P12" s="4" t="n">
        <v>1965475.12754417</v>
      </c>
      <c r="Q12" s="4" t="n">
        <v>1898528.19365294</v>
      </c>
      <c r="R12" s="4" t="n">
        <v>1879115.38395609</v>
      </c>
      <c r="S12" s="4" t="n">
        <v>2130378.30128659</v>
      </c>
      <c r="T12" s="4" t="n">
        <v>2757865.14175221</v>
      </c>
      <c r="U12" s="4" t="n">
        <v>2759075.91113716</v>
      </c>
      <c r="V12" s="4" t="n">
        <v>3727708.9720972</v>
      </c>
      <c r="W12" s="4" t="n">
        <v>3659639.39856645</v>
      </c>
      <c r="X12" s="4" t="n">
        <v>3298498.09942564</v>
      </c>
      <c r="Y12" s="4" t="n">
        <v>2820162.70815622</v>
      </c>
      <c r="Z12" s="4" t="n">
        <v>4407814.479836</v>
      </c>
      <c r="AA12" s="4" t="n">
        <v>5938689.8176324</v>
      </c>
      <c r="AB12" s="4" t="n">
        <v>6325464.51841995</v>
      </c>
      <c r="AC12" s="4" t="n">
        <v>8924686.29066204</v>
      </c>
      <c r="AD12" s="4" t="n">
        <v>9884773.2531</v>
      </c>
      <c r="AE12" s="4" t="n">
        <v>6340933.89547856</v>
      </c>
      <c r="AF12" s="4" t="n">
        <v>279459.326656276</v>
      </c>
      <c r="AG12" s="4"/>
      <c r="AH12" s="4"/>
    </row>
    <row r="13">
      <c r="A13" t="str">
        <f>M13</f>
      </c>
      <c r="M13" t="s">
        <v>45</v>
      </c>
      <c r="N13" s="4"/>
      <c r="O13" s="4" t="n">
        <v>53317.0025190416</v>
      </c>
      <c r="P13" s="4" t="n">
        <v>152296.281065578</v>
      </c>
      <c r="Q13" s="4" t="n">
        <v>52112.1975043161</v>
      </c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t="str">
        <f>M14</f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../output/FedAcqTrends/Customer//THE_INSTITUTE_OF_MUSEUM_AND_LIBRARY_SERVICES/THE_INSTITUTE_OF_MUSEUM_AND_LIBRARY_SERVICES_Contracts.xlsx</dc:creator>
  <cp:lastModifiedBy>../output/FedAcqTrends/Customer//THE_INSTITUTE_OF_MUSEUM_AND_LIBRARY_SERVICES/THE_INSTITUTE_OF_MUSEUM_AND_LIBRARY_SERVICES_Contracts.xlsx</cp:lastModifiedBy>
  <dcterms:created xsi:type="dcterms:W3CDTF">2025-11-16T16:55:28Z</dcterms:created>
</coreProperties>
</file>