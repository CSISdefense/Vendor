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FYQ" sheetId="1" state="visible" r:id="rId1"/>
    <sheet name="Veh" sheetId="2" state="visible" r:id="rId2"/>
    <sheet name="Price" sheetId="3" state="visible" r:id="rId3"/>
    <sheet name="PSR" sheetId="4" state="visible" r:id="rId4"/>
  </sheets>
</workbook>
</file>

<file path=xl/sharedStrings.xml><?xml version="1.0" encoding="utf-8"?>
<sst xmlns="http://schemas.openxmlformats.org/spreadsheetml/2006/main" count="56" uniqueCount="56">
  <si>
    <t xml:space="preserve">Vehicle.AwardTask</t>
  </si>
  <si>
    <t xml:space="preserve">Vehicle.sum7</t>
  </si>
  <si>
    <t xml:space="preserve">2000</t>
  </si>
  <si>
    <t xml:space="preserve">2001</t>
  </si>
  <si>
    <t xml:space="preserve">2002</t>
  </si>
  <si>
    <t xml:space="preserve">2003</t>
  </si>
  <si>
    <t xml:space="preserve">2004</t>
  </si>
  <si>
    <t xml:space="preserve">2005</t>
  </si>
  <si>
    <t xml:space="preserve">2006</t>
  </si>
  <si>
    <t xml:space="preserve">2007</t>
  </si>
  <si>
    <t xml:space="preserve">2008</t>
  </si>
  <si>
    <t xml:space="preserve">2009</t>
  </si>
  <si>
    <t xml:space="preserve">2010</t>
  </si>
  <si>
    <t xml:space="preserve">2011</t>
  </si>
  <si>
    <t xml:space="preserve">2012</t>
  </si>
  <si>
    <t xml:space="preserve">2013</t>
  </si>
  <si>
    <t xml:space="preserve">2014</t>
  </si>
  <si>
    <t xml:space="preserve">2015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</si>
  <si>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</si>
  <si>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</si>
  <si>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</si>
  <si>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</si>
  <si>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</si>
  <si>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</si>
  <si>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</si>
  <si>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</si>
  <si>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</si>
  <si>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</si>
  <si>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Award</t>
  </si>
  <si>
    <t xml:space="preserve">Definitive</t>
  </si>
  <si>
    <t xml:space="preserve">Pur. Order</t>
  </si>
  <si>
    <t xml:space="preserve">Task Order</t>
  </si>
  <si>
    <t xml:space="preserve">BOA or BPA</t>
  </si>
  <si>
    <t xml:space="preserve">FSS or GWAC</t>
  </si>
  <si>
    <t xml:space="preserve">Multi-Awd.</t>
  </si>
  <si>
    <t xml:space="preserve">Single-Awd.</t>
  </si>
  <si>
    <t xml:space="preserve">Unlbd. IDV</t>
  </si>
  <si>
    <t xml:space="preserve">Grand Total</t>
  </si>
  <si>
    <t xml:space="preserve"/>
  </si>
  <si>
    <t xml:space="preserve">PricingUCA.sum</t>
  </si>
  <si>
    <t xml:space="preserve">PricingUCA</t>
  </si>
  <si>
    <t xml:space="preserve">Cost or Effort-Based</t>
  </si>
  <si>
    <t xml:space="preserve">Other CB</t>
  </si>
  <si>
    <t xml:space="preserve">T&amp;M/LH/FPLOE</t>
  </si>
  <si>
    <t xml:space="preserve">Crosscutting</t>
  </si>
  <si>
    <t xml:space="preserve">Combination/Other</t>
  </si>
  <si>
    <t xml:space="preserve">UCA</t>
  </si>
  <si>
    <t xml:space="preserve">Fixed-Price</t>
  </si>
  <si>
    <t xml:space="preserve">FFP</t>
  </si>
  <si>
    <t xml:space="preserve">Other FP</t>
  </si>
  <si>
    <t xml:space="preserve">Incentive</t>
  </si>
  <si>
    <t xml:space="preserve">SimpleArea</t>
  </si>
  <si>
    <t xml:space="preserve">Products (All)</t>
  </si>
  <si>
    <t xml:space="preserve">R&amp;D</t>
  </si>
  <si>
    <t xml:space="preserve">Services (Non-R&amp;D)</t>
  </si>
  <si>
    <t xml:space="preserve">Unlabeled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</si>
</sst>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6" formatCode="0.00,,,&quot;B&quot;"/>
    <numFmt numFmtId="167" formatCode="0.00,,,&quot;B&quot;"/>
    <numFmt numFmtId="168" formatCode="0.00,,,&quot;B&quot;"/>
    <numFmt numFmtId="169" formatCode="0.00,,,&quot;B&quot;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6" fontId="1" fillId="0" borderId="0" xfId="0" applyFont="1" applyNumberFormat="1"/>
    <xf numFmtId="167" fontId="1" fillId="0" borderId="0" xfId="0" applyFont="1" applyNumberFormat="1"/>
    <xf numFmtId="168" fontId="1" fillId="0" borderId="0" xfId="0" applyFont="1" applyNumberFormat="1"/>
    <xf numFmtId="169" fontId="1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0</v>
      </c>
      <c r="N1" t="s">
        <v>1</v>
      </c>
      <c r="O1" t="s">
        <v>2</v>
      </c>
      <c r="P1" t="s">
        <v>3</v>
      </c>
      <c r="Q1" t="s">
        <v>4</v>
      </c>
      <c r="R1" t="s">
        <v>5</v>
      </c>
      <c r="S1" t="s">
        <v>6</v>
      </c>
      <c r="T1" t="s">
        <v>7</v>
      </c>
      <c r="U1" t="s">
        <v>8</v>
      </c>
      <c r="V1" t="s">
        <v>9</v>
      </c>
      <c r="W1" t="s">
        <v>10</v>
      </c>
      <c r="X1" t="s">
        <v>11</v>
      </c>
      <c r="Y1" t="s">
        <v>12</v>
      </c>
      <c r="Z1" t="s">
        <v>13</v>
      </c>
      <c r="AA1" t="s">
        <v>14</v>
      </c>
      <c r="AB1" t="s">
        <v>15</v>
      </c>
      <c r="AC1" t="s">
        <v>16</v>
      </c>
      <c r="AD1" t="s">
        <v>17</v>
      </c>
      <c r="AE1" t="s">
        <v>18</v>
      </c>
      <c r="AF1" t="s">
        <v>19</v>
      </c>
      <c r="AG1" t="s">
        <v>20</v>
      </c>
      <c r="AH1" t="s">
        <v>21</v>
      </c>
      <c r="AI1" t="s">
        <v>22</v>
      </c>
      <c r="AJ1" t="s">
        <v>23</v>
      </c>
      <c r="AK1" t="s">
        <v>24</v>
      </c>
      <c r="AL1" t="s">
        <v>25</v>
      </c>
      <c r="AM1" t="s">
        <v>26</v>
      </c>
      <c r="AN1" t="s">
        <v>27</v>
      </c>
    </row>
    <row r="2">
      <c r="A2" t="str">
        <f>M2</f>
      </c>
      <c r="B2" t="str">
        <f>N2</f>
      </c>
      <c r="M2" t="s">
        <v>28</v>
      </c>
      <c r="N2" t="s">
        <v>29</v>
      </c>
      <c r="O2" s="1" t="n">
        <v>40538073.64</v>
      </c>
      <c r="P2" s="1" t="n">
        <v>42991765.35</v>
      </c>
      <c r="Q2" s="1" t="n">
        <v>584283612.79</v>
      </c>
      <c r="R2" s="1" t="n">
        <v>942775090.3</v>
      </c>
      <c r="S2" s="1" t="n">
        <v>2084077555.55</v>
      </c>
      <c r="T2" s="1" t="n">
        <v>3076876388.6</v>
      </c>
      <c r="U2" s="1" t="n">
        <v>2282848429.44</v>
      </c>
      <c r="V2" s="1" t="n">
        <v>1410504330.98</v>
      </c>
      <c r="W2" s="1" t="n">
        <v>1752779776.92</v>
      </c>
      <c r="X2" s="1" t="n">
        <v>1990943058.07</v>
      </c>
      <c r="Y2" s="1" t="n">
        <v>2619796558.2268</v>
      </c>
      <c r="Z2" s="1" t="n">
        <v>3318141684.5801</v>
      </c>
      <c r="AA2" s="1" t="n">
        <v>2399947663.6752</v>
      </c>
      <c r="AB2" s="1" t="n">
        <v>2713980553.4551</v>
      </c>
      <c r="AC2" s="1" t="n">
        <v>2933079874.5166</v>
      </c>
      <c r="AD2" s="1" t="n">
        <v>3599709983.3424</v>
      </c>
      <c r="AE2" s="1" t="n">
        <v>2689118100.46</v>
      </c>
      <c r="AF2" s="1" t="n">
        <v>3337454192.5915</v>
      </c>
      <c r="AG2" s="1" t="n">
        <v>3877804727.3</v>
      </c>
      <c r="AH2" s="1" t="n">
        <v>3881279423.17</v>
      </c>
      <c r="AI2" s="1" t="n">
        <v>3701555863.77</v>
      </c>
      <c r="AJ2" s="1" t="n">
        <v>3821534566.45</v>
      </c>
      <c r="AK2" s="1" t="n">
        <v>3539708367.92</v>
      </c>
      <c r="AL2" s="1" t="n">
        <v>3669174299.83</v>
      </c>
      <c r="AM2" s="1" t="n">
        <v>3431334415.1</v>
      </c>
      <c r="AN2" s="1" t="n">
        <v>854753526.5</v>
      </c>
      <c r="AO2" s="1"/>
    </row>
    <row r="3">
      <c r="A3" t="str">
        <f>M3</f>
      </c>
      <c r="B3" t="str">
        <f>N3</f>
      </c>
      <c r="M3" t="s">
        <v>28</v>
      </c>
      <c r="N3" t="s">
        <v>30</v>
      </c>
      <c r="O3" s="1" t="n">
        <v>30566166.8516</v>
      </c>
      <c r="P3" s="1" t="n">
        <v>35319422.08</v>
      </c>
      <c r="Q3" s="1" t="n">
        <v>167780025.52</v>
      </c>
      <c r="R3" s="1" t="n">
        <v>908079823.49</v>
      </c>
      <c r="S3" s="1" t="n">
        <v>414847165.22</v>
      </c>
      <c r="T3" s="1" t="n">
        <v>1571868109.33</v>
      </c>
      <c r="U3" s="1" t="n">
        <v>1611690783.2</v>
      </c>
      <c r="V3" s="1" t="n">
        <v>851665373.9</v>
      </c>
      <c r="W3" s="1" t="n">
        <v>775039408.92</v>
      </c>
      <c r="X3" s="1" t="n">
        <v>562814571.36</v>
      </c>
      <c r="Y3" s="1" t="n">
        <v>386517335.9349</v>
      </c>
      <c r="Z3" s="1" t="n">
        <v>435781409.0911</v>
      </c>
      <c r="AA3" s="1" t="n">
        <v>355362185.2324</v>
      </c>
      <c r="AB3" s="1" t="n">
        <v>327538601.595</v>
      </c>
      <c r="AC3" s="1" t="n">
        <v>369384602.246</v>
      </c>
      <c r="AD3" s="1" t="n">
        <v>384616760.0177</v>
      </c>
      <c r="AE3" s="1" t="n">
        <v>516655296.44</v>
      </c>
      <c r="AF3" s="1" t="n">
        <v>654733669.8346</v>
      </c>
      <c r="AG3" s="1" t="n">
        <v>697582711.8</v>
      </c>
      <c r="AH3" s="1" t="n">
        <v>603454649.54</v>
      </c>
      <c r="AI3" s="1" t="n">
        <v>668137933.76</v>
      </c>
      <c r="AJ3" s="1" t="n">
        <v>551592751.2</v>
      </c>
      <c r="AK3" s="1" t="n">
        <v>507944727.37</v>
      </c>
      <c r="AL3" s="1" t="n">
        <v>612042829.2</v>
      </c>
      <c r="AM3" s="1" t="n">
        <v>614642129.73</v>
      </c>
      <c r="AN3" s="1" t="n">
        <v>175505025.98</v>
      </c>
      <c r="AO3" s="1"/>
    </row>
    <row r="4">
      <c r="A4" t="str">
        <f>M4</f>
      </c>
      <c r="B4" t="str">
        <f>N4</f>
      </c>
      <c r="M4" t="s">
        <v>31</v>
      </c>
      <c r="N4" t="s">
        <v>32</v>
      </c>
      <c r="O4" s="1" t="n">
        <v>3065957.0978</v>
      </c>
      <c r="P4" s="1" t="n">
        <v>9131818.8125</v>
      </c>
      <c r="Q4" s="1" t="n">
        <v>4552597.58</v>
      </c>
      <c r="R4" s="1" t="n">
        <v>46491189.9463</v>
      </c>
      <c r="S4" s="1" t="n">
        <v>475253426.0085</v>
      </c>
      <c r="T4" s="1" t="n">
        <v>989438126.3886</v>
      </c>
      <c r="U4" s="1" t="n">
        <v>3005873996.9666</v>
      </c>
      <c r="V4" s="1" t="n">
        <v>1671262609.8339</v>
      </c>
      <c r="W4" s="1" t="n">
        <v>2117836130.1813</v>
      </c>
      <c r="X4" s="1" t="n">
        <v>2151240619.3109</v>
      </c>
      <c r="Y4" s="1" t="n">
        <v>2309978555.3373</v>
      </c>
      <c r="Z4" s="1" t="n">
        <v>1971827968.8029</v>
      </c>
      <c r="AA4" s="1" t="n">
        <v>1849210619.4294</v>
      </c>
      <c r="AB4" s="1" t="n">
        <v>1536602792.3008</v>
      </c>
      <c r="AC4" s="1" t="n">
        <v>1462195872.6604</v>
      </c>
      <c r="AD4" s="1" t="n">
        <v>1581528382.3566</v>
      </c>
      <c r="AE4" s="1" t="n">
        <v>1596563421.88</v>
      </c>
      <c r="AF4" s="1" t="n">
        <v>1639079231.7268</v>
      </c>
      <c r="AG4" s="1" t="n">
        <v>1691872446.5779</v>
      </c>
      <c r="AH4" s="1" t="n">
        <v>1728403195.72</v>
      </c>
      <c r="AI4" s="1" t="n">
        <v>1744793058.2722</v>
      </c>
      <c r="AJ4" s="1" t="n">
        <v>2390129994.0511</v>
      </c>
      <c r="AK4" s="1" t="n">
        <v>3091425097.5468</v>
      </c>
      <c r="AL4" s="1" t="n">
        <v>4282844377.6487</v>
      </c>
      <c r="AM4" s="1" t="n">
        <v>4791713072.94</v>
      </c>
      <c r="AN4" s="1" t="n">
        <v>1355215905.37</v>
      </c>
      <c r="AO4" s="1"/>
    </row>
    <row r="5">
      <c r="A5" t="str">
        <f>M5</f>
      </c>
      <c r="B5" t="str">
        <f>N5</f>
      </c>
      <c r="M5" t="s">
        <v>31</v>
      </c>
      <c r="N5" t="s">
        <v>33</v>
      </c>
      <c r="O5" s="1" t="n">
        <v>28124000</v>
      </c>
      <c r="P5" s="1" t="n">
        <v>41441896.9399</v>
      </c>
      <c r="Q5" s="1" t="n">
        <v>39931838.6748</v>
      </c>
      <c r="R5" s="1" t="n">
        <v>725863920.1078</v>
      </c>
      <c r="S5" s="1" t="n">
        <v>961520397.3342</v>
      </c>
      <c r="T5" s="1" t="n">
        <v>1389166331.4304</v>
      </c>
      <c r="U5" s="1" t="n">
        <v>1805995876.0811</v>
      </c>
      <c r="V5" s="1" t="n">
        <v>1858331227.46</v>
      </c>
      <c r="W5" s="1" t="n">
        <v>1765230047.9285</v>
      </c>
      <c r="X5" s="1" t="n">
        <v>1765220205.7913</v>
      </c>
      <c r="Y5" s="1" t="n">
        <v>1735420850.1778</v>
      </c>
      <c r="Z5" s="1" t="n">
        <v>1446031144.4112</v>
      </c>
      <c r="AA5" s="1" t="n">
        <v>1477293311.8655</v>
      </c>
      <c r="AB5" s="1" t="n">
        <v>1531224083.4038</v>
      </c>
      <c r="AC5" s="1" t="n">
        <v>1631082368.2499</v>
      </c>
      <c r="AD5" s="1" t="n">
        <v>1478719288.0256</v>
      </c>
      <c r="AE5" s="1" t="n">
        <v>1396423282.1994</v>
      </c>
      <c r="AF5" s="1" t="n">
        <v>1376234866.178</v>
      </c>
      <c r="AG5" s="1" t="n">
        <v>1766462573.0196</v>
      </c>
      <c r="AH5" s="1" t="n">
        <v>2020192628.1144</v>
      </c>
      <c r="AI5" s="1" t="n">
        <v>2677701765.8975</v>
      </c>
      <c r="AJ5" s="1" t="n">
        <v>3433398040.234</v>
      </c>
      <c r="AK5" s="1" t="n">
        <v>3843601014.7151</v>
      </c>
      <c r="AL5" s="1" t="n">
        <v>4218423224.383</v>
      </c>
      <c r="AM5" s="1" t="n">
        <v>4706430012.33</v>
      </c>
      <c r="AN5" s="1" t="n">
        <v>1734722106.53</v>
      </c>
      <c r="AO5" s="1"/>
    </row>
    <row r="6">
      <c r="A6" t="str">
        <f>M6</f>
      </c>
      <c r="B6" t="str">
        <f>N6</f>
      </c>
      <c r="M6" t="s">
        <v>31</v>
      </c>
      <c r="N6" t="s">
        <v>34</v>
      </c>
      <c r="O6" s="1" t="n">
        <v>1033000</v>
      </c>
      <c r="P6" s="1" t="n">
        <v>4252774.2</v>
      </c>
      <c r="Q6" s="1" t="n">
        <v>4231501</v>
      </c>
      <c r="R6" s="1" t="n">
        <v>87112347.7776</v>
      </c>
      <c r="S6" s="1" t="n">
        <v>128403204.595</v>
      </c>
      <c r="T6" s="1" t="n">
        <v>1433501037.2679</v>
      </c>
      <c r="U6" s="1" t="n">
        <v>1567393424.7993</v>
      </c>
      <c r="V6" s="1" t="n">
        <v>1756606154.4209</v>
      </c>
      <c r="W6" s="1" t="n">
        <v>2481183089.1022</v>
      </c>
      <c r="X6" s="1" t="n">
        <v>2938253820.691</v>
      </c>
      <c r="Y6" s="1" t="n">
        <v>3048011492.7021</v>
      </c>
      <c r="Z6" s="1" t="n">
        <v>3749074931.3254</v>
      </c>
      <c r="AA6" s="1" t="n">
        <v>3274520255.9294</v>
      </c>
      <c r="AB6" s="1" t="n">
        <v>3029359371.0799</v>
      </c>
      <c r="AC6" s="1" t="n">
        <v>3066593193.2292</v>
      </c>
      <c r="AD6" s="1" t="n">
        <v>2799392957.2917</v>
      </c>
      <c r="AE6" s="1" t="n">
        <v>3024686807.0308</v>
      </c>
      <c r="AF6" s="1" t="n">
        <v>4446476093.2538</v>
      </c>
      <c r="AG6" s="1" t="n">
        <v>4721851225.8631</v>
      </c>
      <c r="AH6" s="1" t="n">
        <v>4268853000.6529</v>
      </c>
      <c r="AI6" s="1" t="n">
        <v>4491915609.4725</v>
      </c>
      <c r="AJ6" s="1" t="n">
        <v>3482577325.7126</v>
      </c>
      <c r="AK6" s="1" t="n">
        <v>4482944641.9567</v>
      </c>
      <c r="AL6" s="1" t="n">
        <v>5335541286.6485</v>
      </c>
      <c r="AM6" s="1" t="n">
        <v>3781352803.09</v>
      </c>
      <c r="AN6" s="1" t="n">
        <v>1322596357.6</v>
      </c>
      <c r="AO6" s="1"/>
    </row>
    <row r="7">
      <c r="A7" t="str">
        <f>M7</f>
      </c>
      <c r="B7" t="str">
        <f>N7</f>
      </c>
      <c r="M7" t="s">
        <v>31</v>
      </c>
      <c r="N7" t="s">
        <v>35</v>
      </c>
      <c r="O7" s="1" t="n">
        <v>51964000</v>
      </c>
      <c r="P7" s="1" t="n">
        <v>91754497</v>
      </c>
      <c r="Q7" s="1" t="n">
        <v>120855749.84</v>
      </c>
      <c r="R7" s="1" t="n">
        <v>1126741208.0046</v>
      </c>
      <c r="S7" s="1" t="n">
        <v>3388682739.2425</v>
      </c>
      <c r="T7" s="1" t="n">
        <v>4116089788.7747</v>
      </c>
      <c r="U7" s="1" t="n">
        <v>6061119800.5137</v>
      </c>
      <c r="V7" s="1" t="n">
        <v>4758892419.9963</v>
      </c>
      <c r="W7" s="1" t="n">
        <v>5070729812.298</v>
      </c>
      <c r="X7" s="1" t="n">
        <v>4848586838.8814</v>
      </c>
      <c r="Y7" s="1" t="n">
        <v>3468899309.7501</v>
      </c>
      <c r="Z7" s="1" t="n">
        <v>3336965599.6226</v>
      </c>
      <c r="AA7" s="1" t="n">
        <v>3061995525.5284</v>
      </c>
      <c r="AB7" s="1" t="n">
        <v>3152447681.0543</v>
      </c>
      <c r="AC7" s="1" t="n">
        <v>3357440014.5675</v>
      </c>
      <c r="AD7" s="1" t="n">
        <v>3597910499.9899</v>
      </c>
      <c r="AE7" s="1" t="n">
        <v>4327016482.3</v>
      </c>
      <c r="AF7" s="1" t="n">
        <v>4848122658.9023</v>
      </c>
      <c r="AG7" s="1" t="n">
        <v>5468177578.9752</v>
      </c>
      <c r="AH7" s="1" t="n">
        <v>5143152009.9581</v>
      </c>
      <c r="AI7" s="1" t="n">
        <v>6374905794.0086</v>
      </c>
      <c r="AJ7" s="1" t="n">
        <v>6127550769.2196</v>
      </c>
      <c r="AK7" s="1" t="n">
        <v>5716914821.4468</v>
      </c>
      <c r="AL7" s="1" t="n">
        <v>5957437392.0784</v>
      </c>
      <c r="AM7" s="1" t="n">
        <v>6299487196.31</v>
      </c>
      <c r="AN7" s="1" t="n">
        <v>3110564298.95</v>
      </c>
      <c r="AO7" s="1"/>
    </row>
    <row r="8">
      <c r="A8" t="str">
        <f>M8</f>
      </c>
      <c r="B8" t="str">
        <f>N8</f>
      </c>
      <c r="M8" t="s">
        <v>31</v>
      </c>
      <c r="N8" t="s">
        <v>36</v>
      </c>
      <c r="O8" s="1" t="n">
        <v>84388000</v>
      </c>
      <c r="P8" s="1" t="n">
        <v>100070500</v>
      </c>
      <c r="Q8" s="1" t="n">
        <v>95104365.1299</v>
      </c>
      <c r="R8" s="1" t="n">
        <v>275462273.5077</v>
      </c>
      <c r="S8" s="1" t="n">
        <v>415762797.8604</v>
      </c>
      <c r="T8" s="1" t="n">
        <v>241194212.1923</v>
      </c>
      <c r="U8" s="1" t="n">
        <v>160667562.54</v>
      </c>
      <c r="V8" s="1" t="n">
        <v>161557194.3732</v>
      </c>
      <c r="W8" s="1" t="n">
        <v>69313170.4813</v>
      </c>
      <c r="X8" s="1" t="n">
        <v>43364301.2746</v>
      </c>
      <c r="Y8" s="1" t="n">
        <v>18656494.2613</v>
      </c>
      <c r="Z8" s="1" t="n">
        <v>1364781.9962</v>
      </c>
      <c r="AA8" s="1" t="n">
        <v>-9908.8507</v>
      </c>
      <c r="AB8" s="1" t="n">
        <v>27701.42</v>
      </c>
      <c r="AC8" s="1" t="n">
        <v>138637.93</v>
      </c>
      <c r="AD8" s="1" t="n">
        <v>0</v>
      </c>
      <c r="AE8" s="1" t="n">
        <v>-283885.15</v>
      </c>
      <c r="AF8" s="1" t="n">
        <v>-100827.77</v>
      </c>
      <c r="AG8" s="1" t="n">
        <v>0</v>
      </c>
      <c r="AH8" s="1" t="n">
        <v>0</v>
      </c>
      <c r="AI8" s="1"/>
      <c r="AJ8" s="1" t="n">
        <v>0</v>
      </c>
      <c r="AK8" s="1"/>
      <c r="AL8" s="1" t="n">
        <v>-16555.4199</v>
      </c>
      <c r="AM8" s="1" t="n">
        <v>0</v>
      </c>
      <c r="AN8" s="1" t="n">
        <v>-34.9</v>
      </c>
      <c r="AO8" s="1"/>
    </row>
    <row r="9">
      <c r="A9" t="str">
        <f>M9</f>
      </c>
      <c r="B9" t="str">
        <f>N9</f>
      </c>
      <c r="M9"/>
      <c r="N9"/>
      <c r="O9" s="1"/>
      <c r="P9" s="1"/>
      <c r="Q9" s="1"/>
      <c r="R9" s="1" t="n">
        <v>0</v>
      </c>
      <c r="S9" s="1" t="n">
        <v>0</v>
      </c>
      <c r="T9" s="1" t="n">
        <v>10000</v>
      </c>
      <c r="U9" s="1" t="n">
        <v>0</v>
      </c>
      <c r="V9" s="1"/>
      <c r="W9" s="1" t="n">
        <v>0</v>
      </c>
      <c r="X9" s="1"/>
      <c r="Y9" s="1"/>
      <c r="Z9" s="1"/>
      <c r="AA9" s="1"/>
      <c r="AB9" s="1"/>
      <c r="AC9" s="1"/>
      <c r="AD9" s="1" t="n">
        <v>-8375.61</v>
      </c>
      <c r="AE9" s="1"/>
      <c r="AF9" s="1"/>
      <c r="AG9" s="1" t="n">
        <v>0</v>
      </c>
      <c r="AH9" s="1"/>
      <c r="AI9" s="1" t="n">
        <v>0</v>
      </c>
      <c r="AJ9" s="1" t="n">
        <v>0</v>
      </c>
      <c r="AK9" s="1" t="n">
        <v>0</v>
      </c>
      <c r="AL9" s="1" t="n">
        <v>0</v>
      </c>
      <c r="AM9" s="1" t="n">
        <v>0</v>
      </c>
      <c r="AN9" s="1" t="n">
        <v>250</v>
      </c>
      <c r="AO9" s="1"/>
    </row>
    <row r="10">
      <c r="A10" t="str">
        <f>M10</f>
      </c>
      <c r="B10" t="str">
        <f>N10</f>
      </c>
      <c r="M10" t="s">
        <v>37</v>
      </c>
      <c r="N10" t="s">
        <v>38</v>
      </c>
      <c r="O10" s="1" t="str">
        <f>Sum(O2:O9)</f>
      </c>
      <c r="P10" s="1" t="str">
        <f>Sum(P2:P9)</f>
      </c>
      <c r="Q10" s="1" t="str">
        <f>Sum(Q2:Q9)</f>
      </c>
      <c r="R10" s="1" t="str">
        <f>Sum(R2:R9)</f>
      </c>
      <c r="S10" s="1" t="str">
        <f>Sum(S2:S9)</f>
      </c>
      <c r="T10" s="1" t="str">
        <f>Sum(T2:T9)</f>
      </c>
      <c r="U10" s="1" t="str">
        <f>Sum(U2:U9)</f>
      </c>
      <c r="V10" s="1" t="str">
        <f>Sum(V2:V9)</f>
      </c>
      <c r="W10" s="1" t="str">
        <f>Sum(W2:W9)</f>
      </c>
      <c r="X10" s="1" t="str">
        <f>Sum(X2:X9)</f>
      </c>
      <c r="Y10" s="1" t="str">
        <f>Sum(Y2:Y9)</f>
      </c>
      <c r="Z10" s="1" t="str">
        <f>Sum(Z2:Z9)</f>
      </c>
      <c r="AA10" s="1" t="str">
        <f>Sum(AA2:AA9)</f>
      </c>
      <c r="AB10" s="1" t="str">
        <f>Sum(AB2:AB9)</f>
      </c>
      <c r="AC10" s="1" t="str">
        <f>Sum(AC2:AC9)</f>
      </c>
      <c r="AD10" s="1" t="str">
        <f>Sum(AD2:AD9)</f>
      </c>
      <c r="AE10" s="1" t="str">
        <f>Sum(AE2:AE9)</f>
      </c>
      <c r="AF10" s="1" t="str">
        <f>Sum(AF2:AF9)</f>
      </c>
      <c r="AG10" s="1" t="str">
        <f>Sum(AG2:AG9)</f>
      </c>
      <c r="AH10" s="1" t="str">
        <f>Sum(AH2:AH9)</f>
      </c>
      <c r="AI10" s="1" t="str">
        <f>Sum(AI2:AI9)</f>
      </c>
      <c r="AJ10" s="1" t="str">
        <f>Sum(AJ2:AJ9)</f>
      </c>
      <c r="AK10" s="1" t="str">
        <f>Sum(AK2:AK9)</f>
      </c>
      <c r="AL10" s="1" t="str">
        <f>Sum(AL2:AL9)</f>
      </c>
      <c r="AM10" s="1" t="str">
        <f>Sum(AM2:AM9)</f>
      </c>
      <c r="AN10" s="1" t="str">
        <f>Sum(AN2:AN9)</f>
      </c>
      <c r="AO10" s="1"/>
    </row>
    <row r="13">
      <c r="A13" t="str">
        <f>M13</f>
      </c>
      <c r="B13" t="str">
        <f>N13</f>
      </c>
      <c r="M13" t="s">
        <v>0</v>
      </c>
      <c r="N13" t="s">
        <v>1</v>
      </c>
      <c r="O13" t="s">
        <v>2</v>
      </c>
      <c r="P13" t="s">
        <v>3</v>
      </c>
      <c r="Q13" t="s">
        <v>4</v>
      </c>
      <c r="R13" t="s">
        <v>5</v>
      </c>
      <c r="S13" t="s">
        <v>6</v>
      </c>
      <c r="T13" t="s">
        <v>7</v>
      </c>
      <c r="U13" t="s">
        <v>8</v>
      </c>
      <c r="V13" t="s">
        <v>9</v>
      </c>
      <c r="W13" t="s">
        <v>10</v>
      </c>
      <c r="X13" t="s">
        <v>11</v>
      </c>
      <c r="Y13" t="s">
        <v>12</v>
      </c>
      <c r="Z13" t="s">
        <v>13</v>
      </c>
      <c r="AA13" t="s">
        <v>14</v>
      </c>
      <c r="AB13" t="s">
        <v>15</v>
      </c>
      <c r="AC13" t="s">
        <v>16</v>
      </c>
      <c r="AD13" t="s">
        <v>17</v>
      </c>
      <c r="AE13" t="s">
        <v>18</v>
      </c>
      <c r="AF13" t="s">
        <v>19</v>
      </c>
      <c r="AG13" t="s">
        <v>20</v>
      </c>
      <c r="AH13" t="s">
        <v>21</v>
      </c>
      <c r="AI13" t="s">
        <v>22</v>
      </c>
      <c r="AJ13" t="s">
        <v>23</v>
      </c>
      <c r="AK13" t="s">
        <v>24</v>
      </c>
      <c r="AL13" t="s">
        <v>25</v>
      </c>
      <c r="AM13" t="s">
        <v>26</v>
      </c>
      <c r="AN13" t="s">
        <v>27</v>
      </c>
    </row>
    <row r="14">
      <c r="A14" t="str">
        <f>M14</f>
      </c>
      <c r="B14" t="str">
        <f>N14</f>
      </c>
      <c r="M14" t="s">
        <v>28</v>
      </c>
      <c r="N14" t="s">
        <v>29</v>
      </c>
      <c r="O14" s="1" t="n">
        <v>68151530.7412398</v>
      </c>
      <c r="P14" s="1" t="n">
        <v>70566152.9287444</v>
      </c>
      <c r="Q14" s="1" t="n">
        <v>944181898.801727</v>
      </c>
      <c r="R14" s="1" t="n">
        <v>1494798742.69644</v>
      </c>
      <c r="S14" s="1" t="n">
        <v>3225603489.50197</v>
      </c>
      <c r="T14" s="1" t="n">
        <v>4621561473.59888</v>
      </c>
      <c r="U14" s="1" t="n">
        <v>3321026190.80151</v>
      </c>
      <c r="V14" s="1" t="n">
        <v>1996987517.09518</v>
      </c>
      <c r="W14" s="1" t="n">
        <v>2431108138.64366</v>
      </c>
      <c r="X14" s="1" t="n">
        <v>2733488009.89016</v>
      </c>
      <c r="Y14" s="1" t="n">
        <v>3565996495.82439</v>
      </c>
      <c r="Z14" s="1" t="n">
        <v>4427695186.88118</v>
      </c>
      <c r="AA14" s="1" t="n">
        <v>3145389858.46136</v>
      </c>
      <c r="AB14" s="1" t="n">
        <v>3493573827.34332</v>
      </c>
      <c r="AC14" s="1" t="n">
        <v>3707964584.6013</v>
      </c>
      <c r="AD14" s="1" t="n">
        <v>4504065166.6596</v>
      </c>
      <c r="AE14" s="1" t="n">
        <v>3338017558.09995</v>
      </c>
      <c r="AF14" s="1" t="n">
        <v>4074030333.67907</v>
      </c>
      <c r="AG14" s="1" t="n">
        <v>4630831763.84257</v>
      </c>
      <c r="AH14" s="1" t="n">
        <v>4550838338.11442</v>
      </c>
      <c r="AI14" s="1" t="n">
        <v>4284146432.38267</v>
      </c>
      <c r="AJ14" s="1" t="n">
        <v>4275845321.0437</v>
      </c>
      <c r="AK14" s="1" t="n">
        <v>3701637972.04939</v>
      </c>
      <c r="AL14" s="1" t="n">
        <v>3669174299.83</v>
      </c>
      <c r="AM14" s="1" t="n">
        <v>3342080844.18029</v>
      </c>
      <c r="AN14" s="1" t="n">
        <v>814645245.032394</v>
      </c>
      <c r="AO14" s="1"/>
    </row>
    <row r="15">
      <c r="A15" t="str">
        <f>M15</f>
      </c>
      <c r="B15" t="str">
        <f>N15</f>
      </c>
      <c r="M15" t="s">
        <v>28</v>
      </c>
      <c r="N15" t="s">
        <v>30</v>
      </c>
      <c r="O15" s="1" t="n">
        <v>51387026.3872924</v>
      </c>
      <c r="P15" s="1" t="n">
        <v>57972863.397482</v>
      </c>
      <c r="Q15" s="1" t="n">
        <v>271126657.686038</v>
      </c>
      <c r="R15" s="1" t="n">
        <v>1439788335.93166</v>
      </c>
      <c r="S15" s="1" t="n">
        <v>642074216.566518</v>
      </c>
      <c r="T15" s="1" t="n">
        <v>2360993481.10752</v>
      </c>
      <c r="U15" s="1" t="n">
        <v>2344644188.13543</v>
      </c>
      <c r="V15" s="1" t="n">
        <v>1205785110.3788</v>
      </c>
      <c r="W15" s="1" t="n">
        <v>1074980804.55146</v>
      </c>
      <c r="X15" s="1" t="n">
        <v>772722693.583905</v>
      </c>
      <c r="Y15" s="1" t="n">
        <v>526116984.615073</v>
      </c>
      <c r="Z15" s="1" t="n">
        <v>581502368.187492</v>
      </c>
      <c r="AA15" s="1" t="n">
        <v>465740411.938387</v>
      </c>
      <c r="AB15" s="1" t="n">
        <v>421624349.710307</v>
      </c>
      <c r="AC15" s="1" t="n">
        <v>466971607.260078</v>
      </c>
      <c r="AD15" s="1" t="n">
        <v>481244033.359789</v>
      </c>
      <c r="AE15" s="1" t="n">
        <v>641327151.3464</v>
      </c>
      <c r="AF15" s="1" t="n">
        <v>799233390.920629</v>
      </c>
      <c r="AG15" s="1" t="n">
        <v>833045603.603692</v>
      </c>
      <c r="AH15" s="1" t="n">
        <v>707556518.102239</v>
      </c>
      <c r="AI15" s="1" t="n">
        <v>773296648.923759</v>
      </c>
      <c r="AJ15" s="1" t="n">
        <v>617167068.184099</v>
      </c>
      <c r="AK15" s="1" t="n">
        <v>531181468.952461</v>
      </c>
      <c r="AL15" s="1" t="n">
        <v>612042829.2</v>
      </c>
      <c r="AM15" s="1" t="n">
        <v>598654470.621438</v>
      </c>
      <c r="AN15" s="1" t="n">
        <v>167269663.664726</v>
      </c>
      <c r="AO15" s="1"/>
    </row>
    <row r="16">
      <c r="A16" t="str">
        <f>M16</f>
      </c>
      <c r="B16" t="str">
        <f>N16</f>
      </c>
      <c r="M16" t="s">
        <v>31</v>
      </c>
      <c r="N16" t="s">
        <v>32</v>
      </c>
      <c r="O16" s="1" t="n">
        <v>5154405.49192409</v>
      </c>
      <c r="P16" s="1" t="n">
        <v>14988854.6700597</v>
      </c>
      <c r="Q16" s="1" t="n">
        <v>7356838.58569808</v>
      </c>
      <c r="R16" s="1" t="n">
        <v>73713203.7038407</v>
      </c>
      <c r="S16" s="1" t="n">
        <v>735567208.258821</v>
      </c>
      <c r="T16" s="1" t="n">
        <v>1486166016.40862</v>
      </c>
      <c r="U16" s="1" t="n">
        <v>4372864243.38916</v>
      </c>
      <c r="V16" s="1" t="n">
        <v>2366168253.66808</v>
      </c>
      <c r="W16" s="1" t="n">
        <v>2937441839.63867</v>
      </c>
      <c r="X16" s="1" t="n">
        <v>2953570377.33435</v>
      </c>
      <c r="Y16" s="1" t="n">
        <v>3144280577.01463</v>
      </c>
      <c r="Z16" s="1" t="n">
        <v>2631187585.32794</v>
      </c>
      <c r="AA16" s="1" t="n">
        <v>2423589654.2865</v>
      </c>
      <c r="AB16" s="1" t="n">
        <v>1977993280.52317</v>
      </c>
      <c r="AC16" s="1" t="n">
        <v>1848490577.66233</v>
      </c>
      <c r="AD16" s="1" t="n">
        <v>1978855777.27618</v>
      </c>
      <c r="AE16" s="1" t="n">
        <v>1981823235.634</v>
      </c>
      <c r="AF16" s="1" t="n">
        <v>2000824018.55326</v>
      </c>
      <c r="AG16" s="1" t="n">
        <v>2020415471.36854</v>
      </c>
      <c r="AH16" s="1" t="n">
        <v>2026569764.55919</v>
      </c>
      <c r="AI16" s="1" t="n">
        <v>2019407306.26438</v>
      </c>
      <c r="AJ16" s="1" t="n">
        <v>2674272854.01824</v>
      </c>
      <c r="AK16" s="1" t="n">
        <v>3232847268.58728</v>
      </c>
      <c r="AL16" s="1" t="n">
        <v>4282844377.6487</v>
      </c>
      <c r="AM16" s="1" t="n">
        <v>4667074244.17982</v>
      </c>
      <c r="AN16" s="1" t="n">
        <v>1291624028.53443</v>
      </c>
      <c r="AO16" s="1"/>
    </row>
    <row r="17">
      <c r="A17" t="str">
        <f>M17</f>
      </c>
      <c r="B17" t="str">
        <f>N17</f>
      </c>
      <c r="M17" t="s">
        <v>31</v>
      </c>
      <c r="N17" t="s">
        <v>33</v>
      </c>
      <c r="O17" s="1" t="n">
        <v>47281320.4590801</v>
      </c>
      <c r="P17" s="1" t="n">
        <v>68022218.0529334</v>
      </c>
      <c r="Q17" s="1" t="n">
        <v>64528455.7658266</v>
      </c>
      <c r="R17" s="1" t="n">
        <v>1150879447.61097</v>
      </c>
      <c r="S17" s="1" t="n">
        <v>1488180485.70655</v>
      </c>
      <c r="T17" s="1" t="n">
        <v>2086569880.26764</v>
      </c>
      <c r="U17" s="1" t="n">
        <v>2627313985.28116</v>
      </c>
      <c r="V17" s="1" t="n">
        <v>2631019403.73865</v>
      </c>
      <c r="W17" s="1" t="n">
        <v>2448376682.91581</v>
      </c>
      <c r="X17" s="1" t="n">
        <v>2423579241.9015</v>
      </c>
      <c r="Y17" s="1" t="n">
        <v>2362208107.756</v>
      </c>
      <c r="Z17" s="1" t="n">
        <v>1929569544.28544</v>
      </c>
      <c r="AA17" s="1" t="n">
        <v>1936151971.74708</v>
      </c>
      <c r="AB17" s="1" t="n">
        <v>1971069532.81852</v>
      </c>
      <c r="AC17" s="1" t="n">
        <v>2061994870.50621</v>
      </c>
      <c r="AD17" s="1" t="n">
        <v>1850217952.91398</v>
      </c>
      <c r="AE17" s="1" t="n">
        <v>1733388144.50872</v>
      </c>
      <c r="AF17" s="1" t="n">
        <v>1679969901.46621</v>
      </c>
      <c r="AG17" s="1" t="n">
        <v>2109490180.14991</v>
      </c>
      <c r="AH17" s="1" t="n">
        <v>2368695746.95304</v>
      </c>
      <c r="AI17" s="1" t="n">
        <v>3099147193.65352</v>
      </c>
      <c r="AJ17" s="1" t="n">
        <v>3841566441.52841</v>
      </c>
      <c r="AK17" s="1" t="n">
        <v>4019432672.59539</v>
      </c>
      <c r="AL17" s="1" t="n">
        <v>4218423224.383</v>
      </c>
      <c r="AM17" s="1" t="n">
        <v>4584009509.3806</v>
      </c>
      <c r="AN17" s="1" t="n">
        <v>1653322357.5267</v>
      </c>
      <c r="AO17" s="1"/>
    </row>
    <row r="18">
      <c r="A18" t="str">
        <f>M18</f>
      </c>
      <c r="B18" t="str">
        <f>N18</f>
      </c>
      <c r="M18" t="s">
        <v>31</v>
      </c>
      <c r="N18" t="s">
        <v>34</v>
      </c>
      <c r="O18" s="1" t="n">
        <v>1736652.1132922</v>
      </c>
      <c r="P18" s="1" t="n">
        <v>6980451.07302435</v>
      </c>
      <c r="Q18" s="1" t="n">
        <v>6837957.73405916</v>
      </c>
      <c r="R18" s="1" t="n">
        <v>138119291.94041</v>
      </c>
      <c r="S18" s="1" t="n">
        <v>198734362.692929</v>
      </c>
      <c r="T18" s="1" t="n">
        <v>2153161950.4597</v>
      </c>
      <c r="U18" s="1" t="n">
        <v>2280201588.47141</v>
      </c>
      <c r="V18" s="1" t="n">
        <v>2486997370.92891</v>
      </c>
      <c r="W18" s="1" t="n">
        <v>3441404608.15956</v>
      </c>
      <c r="X18" s="1" t="n">
        <v>4034109140.54901</v>
      </c>
      <c r="Y18" s="1" t="n">
        <v>4148871128.20888</v>
      </c>
      <c r="Z18" s="1" t="n">
        <v>5002728215.56353</v>
      </c>
      <c r="AA18" s="1" t="n">
        <v>4291611421.45662</v>
      </c>
      <c r="AB18" s="1" t="n">
        <v>3899545484.5646</v>
      </c>
      <c r="AC18" s="1" t="n">
        <v>3876750529.2529</v>
      </c>
      <c r="AD18" s="1" t="n">
        <v>3502684484.32681</v>
      </c>
      <c r="AE18" s="1" t="n">
        <v>3754560897.82557</v>
      </c>
      <c r="AF18" s="1" t="n">
        <v>5427813368.0776</v>
      </c>
      <c r="AG18" s="1" t="n">
        <v>5638782811.03921</v>
      </c>
      <c r="AH18" s="1" t="n">
        <v>5005272173.69969</v>
      </c>
      <c r="AI18" s="1" t="n">
        <v>5198901473.09185</v>
      </c>
      <c r="AJ18" s="1" t="n">
        <v>3896592247.01296</v>
      </c>
      <c r="AK18" s="1" t="n">
        <v>4688024093.63835</v>
      </c>
      <c r="AL18" s="1" t="n">
        <v>5335541286.6485</v>
      </c>
      <c r="AM18" s="1" t="n">
        <v>3682994788.46519</v>
      </c>
      <c r="AN18" s="1" t="n">
        <v>1260535113.8215</v>
      </c>
      <c r="AO18" s="1"/>
    </row>
    <row r="19">
      <c r="A19" t="str">
        <f>M19</f>
      </c>
      <c r="B19" t="str">
        <f>N19</f>
      </c>
      <c r="M19" t="s">
        <v>31</v>
      </c>
      <c r="N19" t="s">
        <v>35</v>
      </c>
      <c r="O19" s="1" t="n">
        <v>87360494.1095022</v>
      </c>
      <c r="P19" s="1" t="n">
        <v>150604698.701958</v>
      </c>
      <c r="Q19" s="1" t="n">
        <v>195298668.090577</v>
      </c>
      <c r="R19" s="1" t="n">
        <v>1786482649.35978</v>
      </c>
      <c r="S19" s="1" t="n">
        <v>5244788918.43881</v>
      </c>
      <c r="T19" s="1" t="n">
        <v>6182491457.94589</v>
      </c>
      <c r="U19" s="1" t="n">
        <v>8817553256.49431</v>
      </c>
      <c r="V19" s="1" t="n">
        <v>6737624656.08922</v>
      </c>
      <c r="W19" s="1" t="n">
        <v>7033109736.81056</v>
      </c>
      <c r="X19" s="1" t="n">
        <v>6656922675.54923</v>
      </c>
      <c r="Y19" s="1" t="n">
        <v>4721772285.74922</v>
      </c>
      <c r="Z19" s="1" t="n">
        <v>4452813631.46697</v>
      </c>
      <c r="AA19" s="1" t="n">
        <v>4013074875.93385</v>
      </c>
      <c r="AB19" s="1" t="n">
        <v>4057991018.60907</v>
      </c>
      <c r="AC19" s="1" t="n">
        <v>4244435610.87518</v>
      </c>
      <c r="AD19" s="1" t="n">
        <v>4501813599.08235</v>
      </c>
      <c r="AE19" s="1" t="n">
        <v>5371150114.09672</v>
      </c>
      <c r="AF19" s="1" t="n">
        <v>5918103330.8589</v>
      </c>
      <c r="AG19" s="1" t="n">
        <v>6530037535.09817</v>
      </c>
      <c r="AH19" s="1" t="n">
        <v>6030396370.31626</v>
      </c>
      <c r="AI19" s="1" t="n">
        <v>7378256851.79894</v>
      </c>
      <c r="AJ19" s="1" t="n">
        <v>6856004788.24509</v>
      </c>
      <c r="AK19" s="1" t="n">
        <v>5978444206.82447</v>
      </c>
      <c r="AL19" s="1" t="n">
        <v>5957437392.0784</v>
      </c>
      <c r="AM19" s="1" t="n">
        <v>6135629157.65326</v>
      </c>
      <c r="AN19" s="1" t="n">
        <v>2964604809.39255</v>
      </c>
      <c r="AO19" s="1"/>
    </row>
    <row r="20">
      <c r="A20" t="str">
        <f>M20</f>
      </c>
      <c r="B20" t="str">
        <f>N20</f>
      </c>
      <c r="M20" t="s">
        <v>31</v>
      </c>
      <c r="N20" t="s">
        <v>36</v>
      </c>
      <c r="O20" s="1" t="n">
        <v>141870860.151502</v>
      </c>
      <c r="P20" s="1" t="n">
        <v>164254483.368311</v>
      </c>
      <c r="Q20" s="1" t="n">
        <v>153685330.355064</v>
      </c>
      <c r="R20" s="1" t="n">
        <v>436753860.317403</v>
      </c>
      <c r="S20" s="1" t="n">
        <v>643491374.882969</v>
      </c>
      <c r="T20" s="1" t="n">
        <v>362281007.730103</v>
      </c>
      <c r="U20" s="1" t="n">
        <v>233734827.212541</v>
      </c>
      <c r="V20" s="1" t="n">
        <v>228732158.685427</v>
      </c>
      <c r="W20" s="1" t="n">
        <v>96137469.8014757</v>
      </c>
      <c r="X20" s="1" t="n">
        <v>59537512.6932514</v>
      </c>
      <c r="Y20" s="1" t="n">
        <v>25394717.3688912</v>
      </c>
      <c r="Z20" s="1" t="n">
        <v>1821151.49084766</v>
      </c>
      <c r="AA20" s="1" t="n">
        <v>-12986.6159052232</v>
      </c>
      <c r="AB20" s="1" t="n">
        <v>35658.6769824274</v>
      </c>
      <c r="AC20" s="1" t="n">
        <v>175264.417102571</v>
      </c>
      <c r="AD20" s="1" t="n">
        <v>0</v>
      </c>
      <c r="AE20" s="1" t="n">
        <v>-352388.247664444</v>
      </c>
      <c r="AF20" s="1" t="n">
        <v>-123080.458862644</v>
      </c>
      <c r="AG20" s="1" t="n">
        <v>0</v>
      </c>
      <c r="AH20" s="1" t="n">
        <v>0</v>
      </c>
      <c r="AI20" s="1"/>
      <c r="AJ20" s="1" t="n">
        <v>0</v>
      </c>
      <c r="AK20" s="1"/>
      <c r="AL20" s="1" t="n">
        <v>-16555.4199</v>
      </c>
      <c r="AM20" s="1" t="n">
        <v>0</v>
      </c>
      <c r="AN20" s="1" t="n">
        <v>-33.2623594640771</v>
      </c>
      <c r="AO20" s="1"/>
    </row>
    <row r="21">
      <c r="A21" t="str">
        <f>M21</f>
      </c>
      <c r="B21" t="str">
        <f>N21</f>
      </c>
      <c r="M21"/>
      <c r="N21"/>
      <c r="O21" s="1"/>
      <c r="P21" s="1"/>
      <c r="Q21" s="1"/>
      <c r="R21" s="1" t="n">
        <v>0</v>
      </c>
      <c r="S21" s="1" t="n">
        <v>0</v>
      </c>
      <c r="T21" s="1" t="n">
        <v>15020.3027028386</v>
      </c>
      <c r="U21" s="1" t="n">
        <v>0</v>
      </c>
      <c r="V21" s="1"/>
      <c r="W21" s="1" t="n">
        <v>0</v>
      </c>
      <c r="X21" s="1"/>
      <c r="Y21" s="1"/>
      <c r="Z21" s="1"/>
      <c r="AA21" s="1"/>
      <c r="AB21" s="1"/>
      <c r="AC21" s="1"/>
      <c r="AD21" s="1" t="n">
        <v>-10479.814603147</v>
      </c>
      <c r="AE21" s="1"/>
      <c r="AF21" s="1"/>
      <c r="AG21" s="1" t="n">
        <v>0</v>
      </c>
      <c r="AH21" s="1"/>
      <c r="AI21" s="1" t="n">
        <v>0</v>
      </c>
      <c r="AJ21" s="1" t="n">
        <v>0</v>
      </c>
      <c r="AK21" s="1" t="n">
        <v>0</v>
      </c>
      <c r="AL21" s="1" t="n">
        <v>0</v>
      </c>
      <c r="AM21" s="1" t="n">
        <v>0</v>
      </c>
      <c r="AN21" s="1" t="n">
        <v>238.269050602271</v>
      </c>
      <c r="AO21" s="1"/>
    </row>
    <row r="22">
      <c r="A22" t="str">
        <f>M22</f>
      </c>
      <c r="B22" t="str">
        <f>N22</f>
      </c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0</v>
      </c>
      <c r="O1" t="s">
        <v>1</v>
      </c>
      <c r="P1" t="s">
        <v>2</v>
      </c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F1" t="s">
        <v>18</v>
      </c>
      <c r="AG1" t="s">
        <v>19</v>
      </c>
      <c r="AH1" t="s">
        <v>20</v>
      </c>
      <c r="AI1" t="s">
        <v>21</v>
      </c>
      <c r="AJ1" t="s">
        <v>22</v>
      </c>
      <c r="AK1" t="s">
        <v>23</v>
      </c>
      <c r="AL1" t="s">
        <v>24</v>
      </c>
      <c r="AM1" t="s">
        <v>25</v>
      </c>
      <c r="AN1" t="s">
        <v>26</v>
      </c>
      <c r="AO1" t="s">
        <v>27</v>
      </c>
    </row>
    <row r="2">
      <c r="A2" t="str">
        <f>N2</f>
      </c>
      <c r="B2" t="str">
        <f>O2</f>
      </c>
      <c r="N2" t="s">
        <v>28</v>
      </c>
      <c r="O2" t="s">
        <v>29</v>
      </c>
      <c r="P2" s="2" t="n">
        <v>40538073.64</v>
      </c>
      <c r="Q2" s="2" t="n">
        <v>42991765.35</v>
      </c>
      <c r="R2" s="2" t="n">
        <v>584283612.79</v>
      </c>
      <c r="S2" s="2" t="n">
        <v>942775090.3</v>
      </c>
      <c r="T2" s="2" t="n">
        <v>2084077555.55</v>
      </c>
      <c r="U2" s="2" t="n">
        <v>3076876388.6</v>
      </c>
      <c r="V2" s="2" t="n">
        <v>2282848429.44</v>
      </c>
      <c r="W2" s="2" t="n">
        <v>1410504330.98</v>
      </c>
      <c r="X2" s="2" t="n">
        <v>1752779776.92</v>
      </c>
      <c r="Y2" s="2" t="n">
        <v>1990943058.07</v>
      </c>
      <c r="Z2" s="2" t="n">
        <v>2619796558.2268</v>
      </c>
      <c r="AA2" s="2" t="n">
        <v>3318141684.5801</v>
      </c>
      <c r="AB2" s="2" t="n">
        <v>2399947663.6752</v>
      </c>
      <c r="AC2" s="2" t="n">
        <v>2713980553.4551</v>
      </c>
      <c r="AD2" s="2" t="n">
        <v>2933079874.5166</v>
      </c>
      <c r="AE2" s="2" t="n">
        <v>3599709983.3424</v>
      </c>
      <c r="AF2" s="2" t="n">
        <v>2689118100.46</v>
      </c>
      <c r="AG2" s="2" t="n">
        <v>3337454192.5915</v>
      </c>
      <c r="AH2" s="2" t="n">
        <v>3877804727.3</v>
      </c>
      <c r="AI2" s="2" t="n">
        <v>3881279423.17</v>
      </c>
      <c r="AJ2" s="2" t="n">
        <v>3701555863.77</v>
      </c>
      <c r="AK2" s="2" t="n">
        <v>3821534566.45</v>
      </c>
      <c r="AL2" s="2" t="n">
        <v>3539708367.92</v>
      </c>
      <c r="AM2" s="2" t="n">
        <v>3669174299.83</v>
      </c>
      <c r="AN2" s="2" t="n">
        <v>3431334415.1</v>
      </c>
      <c r="AO2" s="2" t="n">
        <v>854753526.5</v>
      </c>
      <c r="AP2" s="2"/>
    </row>
    <row r="3">
      <c r="A3" t="str">
        <f>N3</f>
      </c>
      <c r="B3" t="str">
        <f>O3</f>
      </c>
      <c r="N3" t="s">
        <v>28</v>
      </c>
      <c r="O3" t="s">
        <v>30</v>
      </c>
      <c r="P3" s="2" t="n">
        <v>30566166.8516</v>
      </c>
      <c r="Q3" s="2" t="n">
        <v>35319422.08</v>
      </c>
      <c r="R3" s="2" t="n">
        <v>167780025.52</v>
      </c>
      <c r="S3" s="2" t="n">
        <v>908079823.49</v>
      </c>
      <c r="T3" s="2" t="n">
        <v>414847165.22</v>
      </c>
      <c r="U3" s="2" t="n">
        <v>1571868109.33</v>
      </c>
      <c r="V3" s="2" t="n">
        <v>1611690783.2</v>
      </c>
      <c r="W3" s="2" t="n">
        <v>851665373.9</v>
      </c>
      <c r="X3" s="2" t="n">
        <v>775039408.92</v>
      </c>
      <c r="Y3" s="2" t="n">
        <v>562814571.36</v>
      </c>
      <c r="Z3" s="2" t="n">
        <v>386517335.9349</v>
      </c>
      <c r="AA3" s="2" t="n">
        <v>435781409.0911</v>
      </c>
      <c r="AB3" s="2" t="n">
        <v>355362185.2324</v>
      </c>
      <c r="AC3" s="2" t="n">
        <v>327538601.595</v>
      </c>
      <c r="AD3" s="2" t="n">
        <v>369384602.246</v>
      </c>
      <c r="AE3" s="2" t="n">
        <v>384616760.0177</v>
      </c>
      <c r="AF3" s="2" t="n">
        <v>516655296.44</v>
      </c>
      <c r="AG3" s="2" t="n">
        <v>654733669.8346</v>
      </c>
      <c r="AH3" s="2" t="n">
        <v>697582711.8</v>
      </c>
      <c r="AI3" s="2" t="n">
        <v>603454649.54</v>
      </c>
      <c r="AJ3" s="2" t="n">
        <v>668137933.76</v>
      </c>
      <c r="AK3" s="2" t="n">
        <v>551592751.2</v>
      </c>
      <c r="AL3" s="2" t="n">
        <v>507944727.37</v>
      </c>
      <c r="AM3" s="2" t="n">
        <v>612042829.2</v>
      </c>
      <c r="AN3" s="2" t="n">
        <v>614642129.73</v>
      </c>
      <c r="AO3" s="2" t="n">
        <v>175505025.98</v>
      </c>
      <c r="AP3" s="2"/>
    </row>
    <row r="4">
      <c r="A4" t="str">
        <f>N4</f>
      </c>
      <c r="B4" t="str">
        <f>O4</f>
      </c>
      <c r="N4" t="s">
        <v>31</v>
      </c>
      <c r="O4" t="s">
        <v>32</v>
      </c>
      <c r="P4" s="2" t="n">
        <v>3065957.0978</v>
      </c>
      <c r="Q4" s="2" t="n">
        <v>9131818.8125</v>
      </c>
      <c r="R4" s="2" t="n">
        <v>4552597.58</v>
      </c>
      <c r="S4" s="2" t="n">
        <v>46491189.9463</v>
      </c>
      <c r="T4" s="2" t="n">
        <v>475253426.0085</v>
      </c>
      <c r="U4" s="2" t="n">
        <v>989438126.3886</v>
      </c>
      <c r="V4" s="2" t="n">
        <v>3005873996.9666</v>
      </c>
      <c r="W4" s="2" t="n">
        <v>1671262609.8339</v>
      </c>
      <c r="X4" s="2" t="n">
        <v>2117836130.1813</v>
      </c>
      <c r="Y4" s="2" t="n">
        <v>2151240619.3109</v>
      </c>
      <c r="Z4" s="2" t="n">
        <v>2309978555.3373</v>
      </c>
      <c r="AA4" s="2" t="n">
        <v>1971827968.8029</v>
      </c>
      <c r="AB4" s="2" t="n">
        <v>1849210619.4294</v>
      </c>
      <c r="AC4" s="2" t="n">
        <v>1536602792.3008</v>
      </c>
      <c r="AD4" s="2" t="n">
        <v>1462195872.6604</v>
      </c>
      <c r="AE4" s="2" t="n">
        <v>1581528382.3566</v>
      </c>
      <c r="AF4" s="2" t="n">
        <v>1596563421.88</v>
      </c>
      <c r="AG4" s="2" t="n">
        <v>1639079231.7268</v>
      </c>
      <c r="AH4" s="2" t="n">
        <v>1691872446.5779</v>
      </c>
      <c r="AI4" s="2" t="n">
        <v>1728403195.72</v>
      </c>
      <c r="AJ4" s="2" t="n">
        <v>1744793058.2722</v>
      </c>
      <c r="AK4" s="2" t="n">
        <v>2390129994.0511</v>
      </c>
      <c r="AL4" s="2" t="n">
        <v>3091425097.5468</v>
      </c>
      <c r="AM4" s="2" t="n">
        <v>4282844377.6487</v>
      </c>
      <c r="AN4" s="2" t="n">
        <v>4791713072.94</v>
      </c>
      <c r="AO4" s="2" t="n">
        <v>1355215905.37</v>
      </c>
      <c r="AP4" s="2"/>
    </row>
    <row r="5">
      <c r="A5" t="str">
        <f>N5</f>
      </c>
      <c r="B5" t="str">
        <f>O5</f>
      </c>
      <c r="N5" t="s">
        <v>31</v>
      </c>
      <c r="O5" t="s">
        <v>33</v>
      </c>
      <c r="P5" s="2" t="n">
        <v>28124000</v>
      </c>
      <c r="Q5" s="2" t="n">
        <v>41441896.9399</v>
      </c>
      <c r="R5" s="2" t="n">
        <v>39931838.6748</v>
      </c>
      <c r="S5" s="2" t="n">
        <v>725863920.1078</v>
      </c>
      <c r="T5" s="2" t="n">
        <v>961520397.3342</v>
      </c>
      <c r="U5" s="2" t="n">
        <v>1389166331.4304</v>
      </c>
      <c r="V5" s="2" t="n">
        <v>1805995876.0811</v>
      </c>
      <c r="W5" s="2" t="n">
        <v>1858331227.46</v>
      </c>
      <c r="X5" s="2" t="n">
        <v>1765230047.9285</v>
      </c>
      <c r="Y5" s="2" t="n">
        <v>1765220205.7913</v>
      </c>
      <c r="Z5" s="2" t="n">
        <v>1735420850.1778</v>
      </c>
      <c r="AA5" s="2" t="n">
        <v>1446031144.4112</v>
      </c>
      <c r="AB5" s="2" t="n">
        <v>1477293311.8655</v>
      </c>
      <c r="AC5" s="2" t="n">
        <v>1531224083.4038</v>
      </c>
      <c r="AD5" s="2" t="n">
        <v>1631082368.2499</v>
      </c>
      <c r="AE5" s="2" t="n">
        <v>1478719288.0256</v>
      </c>
      <c r="AF5" s="2" t="n">
        <v>1396423282.1994</v>
      </c>
      <c r="AG5" s="2" t="n">
        <v>1376234866.178</v>
      </c>
      <c r="AH5" s="2" t="n">
        <v>1766462573.0196</v>
      </c>
      <c r="AI5" s="2" t="n">
        <v>2020192628.1144</v>
      </c>
      <c r="AJ5" s="2" t="n">
        <v>2677701765.8975</v>
      </c>
      <c r="AK5" s="2" t="n">
        <v>3433398040.234</v>
      </c>
      <c r="AL5" s="2" t="n">
        <v>3843601014.7151</v>
      </c>
      <c r="AM5" s="2" t="n">
        <v>4218423224.383</v>
      </c>
      <c r="AN5" s="2" t="n">
        <v>4706430012.33</v>
      </c>
      <c r="AO5" s="2" t="n">
        <v>1734722106.53</v>
      </c>
      <c r="AP5" s="2"/>
    </row>
    <row r="6">
      <c r="A6" t="str">
        <f>N6</f>
      </c>
      <c r="B6" t="str">
        <f>O6</f>
      </c>
      <c r="N6" t="s">
        <v>31</v>
      </c>
      <c r="O6" t="s">
        <v>34</v>
      </c>
      <c r="P6" s="2" t="n">
        <v>1033000</v>
      </c>
      <c r="Q6" s="2" t="n">
        <v>4252774.2</v>
      </c>
      <c r="R6" s="2" t="n">
        <v>4231501</v>
      </c>
      <c r="S6" s="2" t="n">
        <v>87112347.7776</v>
      </c>
      <c r="T6" s="2" t="n">
        <v>128403204.595</v>
      </c>
      <c r="U6" s="2" t="n">
        <v>1433501037.2679</v>
      </c>
      <c r="V6" s="2" t="n">
        <v>1567393424.7993</v>
      </c>
      <c r="W6" s="2" t="n">
        <v>1756606154.4209</v>
      </c>
      <c r="X6" s="2" t="n">
        <v>2481183089.1022</v>
      </c>
      <c r="Y6" s="2" t="n">
        <v>2938253820.691</v>
      </c>
      <c r="Z6" s="2" t="n">
        <v>3048011492.7021</v>
      </c>
      <c r="AA6" s="2" t="n">
        <v>3749074931.3254</v>
      </c>
      <c r="AB6" s="2" t="n">
        <v>3274520255.9294</v>
      </c>
      <c r="AC6" s="2" t="n">
        <v>3029359371.0799</v>
      </c>
      <c r="AD6" s="2" t="n">
        <v>3066593193.2292</v>
      </c>
      <c r="AE6" s="2" t="n">
        <v>2799392957.2917</v>
      </c>
      <c r="AF6" s="2" t="n">
        <v>3024686807.0308</v>
      </c>
      <c r="AG6" s="2" t="n">
        <v>4446476093.2538</v>
      </c>
      <c r="AH6" s="2" t="n">
        <v>4721851225.8631</v>
      </c>
      <c r="AI6" s="2" t="n">
        <v>4268853000.6529</v>
      </c>
      <c r="AJ6" s="2" t="n">
        <v>4491915609.4725</v>
      </c>
      <c r="AK6" s="2" t="n">
        <v>3482577325.7126</v>
      </c>
      <c r="AL6" s="2" t="n">
        <v>4482944641.9567</v>
      </c>
      <c r="AM6" s="2" t="n">
        <v>5335541286.6485</v>
      </c>
      <c r="AN6" s="2" t="n">
        <v>3781352803.09</v>
      </c>
      <c r="AO6" s="2" t="n">
        <v>1322596357.6</v>
      </c>
      <c r="AP6" s="2"/>
    </row>
    <row r="7">
      <c r="A7" t="str">
        <f>N7</f>
      </c>
      <c r="B7" t="str">
        <f>O7</f>
      </c>
      <c r="N7" t="s">
        <v>31</v>
      </c>
      <c r="O7" t="s">
        <v>35</v>
      </c>
      <c r="P7" s="2" t="n">
        <v>51964000</v>
      </c>
      <c r="Q7" s="2" t="n">
        <v>91754497</v>
      </c>
      <c r="R7" s="2" t="n">
        <v>120855749.84</v>
      </c>
      <c r="S7" s="2" t="n">
        <v>1126741208.0046</v>
      </c>
      <c r="T7" s="2" t="n">
        <v>3388682739.2425</v>
      </c>
      <c r="U7" s="2" t="n">
        <v>4116089788.7747</v>
      </c>
      <c r="V7" s="2" t="n">
        <v>6061119800.5137</v>
      </c>
      <c r="W7" s="2" t="n">
        <v>4758892419.9963</v>
      </c>
      <c r="X7" s="2" t="n">
        <v>5070729812.298</v>
      </c>
      <c r="Y7" s="2" t="n">
        <v>4848586838.8814</v>
      </c>
      <c r="Z7" s="2" t="n">
        <v>3468899309.7501</v>
      </c>
      <c r="AA7" s="2" t="n">
        <v>3336965599.6226</v>
      </c>
      <c r="AB7" s="2" t="n">
        <v>3061995525.5284</v>
      </c>
      <c r="AC7" s="2" t="n">
        <v>3152447681.0543</v>
      </c>
      <c r="AD7" s="2" t="n">
        <v>3357440014.5675</v>
      </c>
      <c r="AE7" s="2" t="n">
        <v>3597910499.9899</v>
      </c>
      <c r="AF7" s="2" t="n">
        <v>4327016482.3</v>
      </c>
      <c r="AG7" s="2" t="n">
        <v>4848122658.9023</v>
      </c>
      <c r="AH7" s="2" t="n">
        <v>5468177578.9752</v>
      </c>
      <c r="AI7" s="2" t="n">
        <v>5143152009.9581</v>
      </c>
      <c r="AJ7" s="2" t="n">
        <v>6374905794.0086</v>
      </c>
      <c r="AK7" s="2" t="n">
        <v>6127550769.2196</v>
      </c>
      <c r="AL7" s="2" t="n">
        <v>5716914821.4468</v>
      </c>
      <c r="AM7" s="2" t="n">
        <v>5957437392.0784</v>
      </c>
      <c r="AN7" s="2" t="n">
        <v>6299487196.31</v>
      </c>
      <c r="AO7" s="2" t="n">
        <v>3110564298.95</v>
      </c>
      <c r="AP7" s="2"/>
    </row>
    <row r="8">
      <c r="A8" t="str">
        <f>N8</f>
      </c>
      <c r="B8" t="str">
        <f>O8</f>
      </c>
      <c r="N8" t="s">
        <v>31</v>
      </c>
      <c r="O8" t="s">
        <v>36</v>
      </c>
      <c r="P8" s="2" t="n">
        <v>84388000</v>
      </c>
      <c r="Q8" s="2" t="n">
        <v>100070500</v>
      </c>
      <c r="R8" s="2" t="n">
        <v>95104365.1299</v>
      </c>
      <c r="S8" s="2" t="n">
        <v>275462273.5077</v>
      </c>
      <c r="T8" s="2" t="n">
        <v>415762797.8604</v>
      </c>
      <c r="U8" s="2" t="n">
        <v>241194212.1923</v>
      </c>
      <c r="V8" s="2" t="n">
        <v>160667562.54</v>
      </c>
      <c r="W8" s="2" t="n">
        <v>161557194.3732</v>
      </c>
      <c r="X8" s="2" t="n">
        <v>69313170.4813</v>
      </c>
      <c r="Y8" s="2" t="n">
        <v>43364301.2746</v>
      </c>
      <c r="Z8" s="2" t="n">
        <v>18656494.2613</v>
      </c>
      <c r="AA8" s="2" t="n">
        <v>1364781.9962</v>
      </c>
      <c r="AB8" s="2" t="n">
        <v>-9908.8507</v>
      </c>
      <c r="AC8" s="2" t="n">
        <v>27701.42</v>
      </c>
      <c r="AD8" s="2" t="n">
        <v>138637.93</v>
      </c>
      <c r="AE8" s="2" t="n">
        <v>0</v>
      </c>
      <c r="AF8" s="2" t="n">
        <v>-283885.15</v>
      </c>
      <c r="AG8" s="2" t="n">
        <v>-100827.77</v>
      </c>
      <c r="AH8" s="2" t="n">
        <v>0</v>
      </c>
      <c r="AI8" s="2" t="n">
        <v>0</v>
      </c>
      <c r="AJ8" s="2"/>
      <c r="AK8" s="2" t="n">
        <v>0</v>
      </c>
      <c r="AL8" s="2"/>
      <c r="AM8" s="2" t="n">
        <v>-16555.4199</v>
      </c>
      <c r="AN8" s="2" t="n">
        <v>0</v>
      </c>
      <c r="AO8" s="2" t="n">
        <v>-34.9</v>
      </c>
      <c r="AP8" s="2"/>
    </row>
    <row r="9">
      <c r="A9" t="str">
        <f>N9</f>
      </c>
      <c r="B9" t="str">
        <f>O9</f>
      </c>
      <c r="N9"/>
      <c r="O9"/>
      <c r="P9" s="2"/>
      <c r="Q9" s="2"/>
      <c r="R9" s="2"/>
      <c r="S9" s="2" t="n">
        <v>0</v>
      </c>
      <c r="T9" s="2" t="n">
        <v>0</v>
      </c>
      <c r="U9" s="2" t="n">
        <v>10000</v>
      </c>
      <c r="V9" s="2" t="n">
        <v>0</v>
      </c>
      <c r="W9" s="2"/>
      <c r="X9" s="2" t="n">
        <v>0</v>
      </c>
      <c r="Y9" s="2"/>
      <c r="Z9" s="2"/>
      <c r="AA9" s="2"/>
      <c r="AB9" s="2"/>
      <c r="AC9" s="2"/>
      <c r="AD9" s="2"/>
      <c r="AE9" s="2" t="n">
        <v>-8375.61</v>
      </c>
      <c r="AF9" s="2"/>
      <c r="AG9" s="2"/>
      <c r="AH9" s="2" t="n">
        <v>0</v>
      </c>
      <c r="AI9" s="2"/>
      <c r="AJ9" s="2" t="n">
        <v>0</v>
      </c>
      <c r="AK9" s="2" t="n">
        <v>0</v>
      </c>
      <c r="AL9" s="2" t="n">
        <v>0</v>
      </c>
      <c r="AM9" s="2" t="n">
        <v>0</v>
      </c>
      <c r="AN9" s="2" t="n">
        <v>0</v>
      </c>
      <c r="AO9" s="2" t="n">
        <v>250</v>
      </c>
      <c r="AP9" s="2"/>
    </row>
    <row r="10">
      <c r="A10" t="str">
        <f>N10</f>
      </c>
      <c r="B10" t="str">
        <f>O10</f>
      </c>
      <c r="N10" t="s">
        <v>37</v>
      </c>
      <c r="O10" t="s">
        <v>38</v>
      </c>
      <c r="P10" s="2" t="str">
        <f>Sum(P2:P9)</f>
      </c>
      <c r="Q10" s="2" t="str">
        <f>Sum(Q2:Q9)</f>
      </c>
      <c r="R10" s="2" t="str">
        <f>Sum(R2:R9)</f>
      </c>
      <c r="S10" s="2" t="str">
        <f>Sum(S2:S9)</f>
      </c>
      <c r="T10" s="2" t="str">
        <f>Sum(T2:T9)</f>
      </c>
      <c r="U10" s="2" t="str">
        <f>Sum(U2:U9)</f>
      </c>
      <c r="V10" s="2" t="str">
        <f>Sum(V2:V9)</f>
      </c>
      <c r="W10" s="2" t="str">
        <f>Sum(W2:W9)</f>
      </c>
      <c r="X10" s="2" t="str">
        <f>Sum(X2:X9)</f>
      </c>
      <c r="Y10" s="2" t="str">
        <f>Sum(Y2:Y9)</f>
      </c>
      <c r="Z10" s="2" t="str">
        <f>Sum(Z2:Z9)</f>
      </c>
      <c r="AA10" s="2" t="str">
        <f>Sum(AA2:AA9)</f>
      </c>
      <c r="AB10" s="2" t="str">
        <f>Sum(AB2:AB9)</f>
      </c>
      <c r="AC10" s="2" t="str">
        <f>Sum(AC2:AC9)</f>
      </c>
      <c r="AD10" s="2" t="str">
        <f>Sum(AD2:AD9)</f>
      </c>
      <c r="AE10" s="2" t="str">
        <f>Sum(AE2:AE9)</f>
      </c>
      <c r="AF10" s="2" t="str">
        <f>Sum(AF2:AF9)</f>
      </c>
      <c r="AG10" s="2" t="str">
        <f>Sum(AG2:AG9)</f>
      </c>
      <c r="AH10" s="2" t="str">
        <f>Sum(AH2:AH9)</f>
      </c>
      <c r="AI10" s="2" t="str">
        <f>Sum(AI2:AI9)</f>
      </c>
      <c r="AJ10" s="2" t="str">
        <f>Sum(AJ2:AJ9)</f>
      </c>
      <c r="AK10" s="2" t="str">
        <f>Sum(AK2:AK9)</f>
      </c>
      <c r="AL10" s="2" t="str">
        <f>Sum(AL2:AL9)</f>
      </c>
      <c r="AM10" s="2" t="str">
        <f>Sum(AM2:AM9)</f>
      </c>
      <c r="AN10" s="2" t="str">
        <f>Sum(AN2:AN9)</f>
      </c>
      <c r="AO10" s="2" t="str">
        <f>Sum(AO2:AO9)</f>
      </c>
      <c r="AP10" s="2"/>
    </row>
    <row r="13">
      <c r="A13" t="str">
        <f>N13</f>
      </c>
      <c r="B13" t="str">
        <f>O13</f>
      </c>
      <c r="N13" t="s">
        <v>0</v>
      </c>
      <c r="O13" t="s">
        <v>1</v>
      </c>
      <c r="P13" t="s">
        <v>2</v>
      </c>
      <c r="Q13" t="s">
        <v>3</v>
      </c>
      <c r="R13" t="s">
        <v>4</v>
      </c>
      <c r="S13" t="s">
        <v>5</v>
      </c>
      <c r="T13" t="s">
        <v>6</v>
      </c>
      <c r="U13" t="s">
        <v>7</v>
      </c>
      <c r="V13" t="s">
        <v>8</v>
      </c>
      <c r="W13" t="s">
        <v>9</v>
      </c>
      <c r="X13" t="s">
        <v>10</v>
      </c>
      <c r="Y13" t="s">
        <v>11</v>
      </c>
      <c r="Z13" t="s">
        <v>12</v>
      </c>
      <c r="AA13" t="s">
        <v>13</v>
      </c>
      <c r="AB13" t="s">
        <v>14</v>
      </c>
      <c r="AC13" t="s">
        <v>15</v>
      </c>
      <c r="AD13" t="s">
        <v>16</v>
      </c>
      <c r="AE13" t="s">
        <v>17</v>
      </c>
      <c r="AF13" t="s">
        <v>18</v>
      </c>
      <c r="AG13" t="s">
        <v>19</v>
      </c>
      <c r="AH13" t="s">
        <v>20</v>
      </c>
      <c r="AI13" t="s">
        <v>21</v>
      </c>
      <c r="AJ13" t="s">
        <v>22</v>
      </c>
      <c r="AK13" t="s">
        <v>23</v>
      </c>
      <c r="AL13" t="s">
        <v>24</v>
      </c>
      <c r="AM13" t="s">
        <v>25</v>
      </c>
      <c r="AN13" t="s">
        <v>26</v>
      </c>
      <c r="AO13" t="s">
        <v>27</v>
      </c>
    </row>
    <row r="14">
      <c r="A14" t="str">
        <f>N14</f>
      </c>
      <c r="B14" t="str">
        <f>O14</f>
      </c>
      <c r="N14" t="s">
        <v>28</v>
      </c>
      <c r="O14" t="s">
        <v>29</v>
      </c>
      <c r="P14" s="2" t="n">
        <v>68151530.7412398</v>
      </c>
      <c r="Q14" s="2" t="n">
        <v>70566152.9287444</v>
      </c>
      <c r="R14" s="2" t="n">
        <v>944181898.801727</v>
      </c>
      <c r="S14" s="2" t="n">
        <v>1494798742.69644</v>
      </c>
      <c r="T14" s="2" t="n">
        <v>3225603489.50197</v>
      </c>
      <c r="U14" s="2" t="n">
        <v>4621561473.59888</v>
      </c>
      <c r="V14" s="2" t="n">
        <v>3321026190.80151</v>
      </c>
      <c r="W14" s="2" t="n">
        <v>1996987517.09518</v>
      </c>
      <c r="X14" s="2" t="n">
        <v>2431108138.64366</v>
      </c>
      <c r="Y14" s="2" t="n">
        <v>2733488009.89016</v>
      </c>
      <c r="Z14" s="2" t="n">
        <v>3565996495.82439</v>
      </c>
      <c r="AA14" s="2" t="n">
        <v>4427695186.88118</v>
      </c>
      <c r="AB14" s="2" t="n">
        <v>3145389858.46136</v>
      </c>
      <c r="AC14" s="2" t="n">
        <v>3493573827.34332</v>
      </c>
      <c r="AD14" s="2" t="n">
        <v>3707964584.6013</v>
      </c>
      <c r="AE14" s="2" t="n">
        <v>4504065166.6596</v>
      </c>
      <c r="AF14" s="2" t="n">
        <v>3338017558.09995</v>
      </c>
      <c r="AG14" s="2" t="n">
        <v>4074030333.67907</v>
      </c>
      <c r="AH14" s="2" t="n">
        <v>4630831763.84257</v>
      </c>
      <c r="AI14" s="2" t="n">
        <v>4550838338.11442</v>
      </c>
      <c r="AJ14" s="2" t="n">
        <v>4284146432.38267</v>
      </c>
      <c r="AK14" s="2" t="n">
        <v>4275845321.0437</v>
      </c>
      <c r="AL14" s="2" t="n">
        <v>3701637972.04939</v>
      </c>
      <c r="AM14" s="2" t="n">
        <v>3669174299.83</v>
      </c>
      <c r="AN14" s="2" t="n">
        <v>3342080844.18029</v>
      </c>
      <c r="AO14" s="2" t="n">
        <v>814645245.032394</v>
      </c>
      <c r="AP14" s="2"/>
    </row>
    <row r="15">
      <c r="A15" t="str">
        <f>N15</f>
      </c>
      <c r="B15" t="str">
        <f>O15</f>
      </c>
      <c r="N15" t="s">
        <v>28</v>
      </c>
      <c r="O15" t="s">
        <v>30</v>
      </c>
      <c r="P15" s="2" t="n">
        <v>51387026.3872924</v>
      </c>
      <c r="Q15" s="2" t="n">
        <v>57972863.397482</v>
      </c>
      <c r="R15" s="2" t="n">
        <v>271126657.686038</v>
      </c>
      <c r="S15" s="2" t="n">
        <v>1439788335.93166</v>
      </c>
      <c r="T15" s="2" t="n">
        <v>642074216.566518</v>
      </c>
      <c r="U15" s="2" t="n">
        <v>2360993481.10752</v>
      </c>
      <c r="V15" s="2" t="n">
        <v>2344644188.13543</v>
      </c>
      <c r="W15" s="2" t="n">
        <v>1205785110.3788</v>
      </c>
      <c r="X15" s="2" t="n">
        <v>1074980804.55146</v>
      </c>
      <c r="Y15" s="2" t="n">
        <v>772722693.583905</v>
      </c>
      <c r="Z15" s="2" t="n">
        <v>526116984.615073</v>
      </c>
      <c r="AA15" s="2" t="n">
        <v>581502368.187492</v>
      </c>
      <c r="AB15" s="2" t="n">
        <v>465740411.938387</v>
      </c>
      <c r="AC15" s="2" t="n">
        <v>421624349.710307</v>
      </c>
      <c r="AD15" s="2" t="n">
        <v>466971607.260078</v>
      </c>
      <c r="AE15" s="2" t="n">
        <v>481244033.359789</v>
      </c>
      <c r="AF15" s="2" t="n">
        <v>641327151.3464</v>
      </c>
      <c r="AG15" s="2" t="n">
        <v>799233390.920629</v>
      </c>
      <c r="AH15" s="2" t="n">
        <v>833045603.603692</v>
      </c>
      <c r="AI15" s="2" t="n">
        <v>707556518.102239</v>
      </c>
      <c r="AJ15" s="2" t="n">
        <v>773296648.923759</v>
      </c>
      <c r="AK15" s="2" t="n">
        <v>617167068.184099</v>
      </c>
      <c r="AL15" s="2" t="n">
        <v>531181468.952461</v>
      </c>
      <c r="AM15" s="2" t="n">
        <v>612042829.2</v>
      </c>
      <c r="AN15" s="2" t="n">
        <v>598654470.621438</v>
      </c>
      <c r="AO15" s="2" t="n">
        <v>167269663.664726</v>
      </c>
      <c r="AP15" s="2"/>
    </row>
    <row r="16">
      <c r="A16" t="str">
        <f>N16</f>
      </c>
      <c r="B16" t="str">
        <f>O16</f>
      </c>
      <c r="N16" t="s">
        <v>31</v>
      </c>
      <c r="O16" t="s">
        <v>32</v>
      </c>
      <c r="P16" s="2" t="n">
        <v>5154405.49192409</v>
      </c>
      <c r="Q16" s="2" t="n">
        <v>14988854.6700597</v>
      </c>
      <c r="R16" s="2" t="n">
        <v>7356838.58569808</v>
      </c>
      <c r="S16" s="2" t="n">
        <v>73713203.7038407</v>
      </c>
      <c r="T16" s="2" t="n">
        <v>735567208.258821</v>
      </c>
      <c r="U16" s="2" t="n">
        <v>1486166016.40862</v>
      </c>
      <c r="V16" s="2" t="n">
        <v>4372864243.38916</v>
      </c>
      <c r="W16" s="2" t="n">
        <v>2366168253.66808</v>
      </c>
      <c r="X16" s="2" t="n">
        <v>2937441839.63867</v>
      </c>
      <c r="Y16" s="2" t="n">
        <v>2953570377.33435</v>
      </c>
      <c r="Z16" s="2" t="n">
        <v>3144280577.01463</v>
      </c>
      <c r="AA16" s="2" t="n">
        <v>2631187585.32794</v>
      </c>
      <c r="AB16" s="2" t="n">
        <v>2423589654.2865</v>
      </c>
      <c r="AC16" s="2" t="n">
        <v>1977993280.52317</v>
      </c>
      <c r="AD16" s="2" t="n">
        <v>1848490577.66233</v>
      </c>
      <c r="AE16" s="2" t="n">
        <v>1978855777.27618</v>
      </c>
      <c r="AF16" s="2" t="n">
        <v>1981823235.634</v>
      </c>
      <c r="AG16" s="2" t="n">
        <v>2000824018.55326</v>
      </c>
      <c r="AH16" s="2" t="n">
        <v>2020415471.36854</v>
      </c>
      <c r="AI16" s="2" t="n">
        <v>2026569764.55919</v>
      </c>
      <c r="AJ16" s="2" t="n">
        <v>2019407306.26438</v>
      </c>
      <c r="AK16" s="2" t="n">
        <v>2674272854.01824</v>
      </c>
      <c r="AL16" s="2" t="n">
        <v>3232847268.58728</v>
      </c>
      <c r="AM16" s="2" t="n">
        <v>4282844377.6487</v>
      </c>
      <c r="AN16" s="2" t="n">
        <v>4667074244.17982</v>
      </c>
      <c r="AO16" s="2" t="n">
        <v>1291624028.53443</v>
      </c>
      <c r="AP16" s="2"/>
    </row>
    <row r="17">
      <c r="A17" t="str">
        <f>N17</f>
      </c>
      <c r="B17" t="str">
        <f>O17</f>
      </c>
      <c r="N17" t="s">
        <v>31</v>
      </c>
      <c r="O17" t="s">
        <v>33</v>
      </c>
      <c r="P17" s="2" t="n">
        <v>47281320.4590801</v>
      </c>
      <c r="Q17" s="2" t="n">
        <v>68022218.0529334</v>
      </c>
      <c r="R17" s="2" t="n">
        <v>64528455.7658266</v>
      </c>
      <c r="S17" s="2" t="n">
        <v>1150879447.61097</v>
      </c>
      <c r="T17" s="2" t="n">
        <v>1488180485.70655</v>
      </c>
      <c r="U17" s="2" t="n">
        <v>2086569880.26764</v>
      </c>
      <c r="V17" s="2" t="n">
        <v>2627313985.28116</v>
      </c>
      <c r="W17" s="2" t="n">
        <v>2631019403.73865</v>
      </c>
      <c r="X17" s="2" t="n">
        <v>2448376682.91581</v>
      </c>
      <c r="Y17" s="2" t="n">
        <v>2423579241.9015</v>
      </c>
      <c r="Z17" s="2" t="n">
        <v>2362208107.756</v>
      </c>
      <c r="AA17" s="2" t="n">
        <v>1929569544.28544</v>
      </c>
      <c r="AB17" s="2" t="n">
        <v>1936151971.74708</v>
      </c>
      <c r="AC17" s="2" t="n">
        <v>1971069532.81852</v>
      </c>
      <c r="AD17" s="2" t="n">
        <v>2061994870.50621</v>
      </c>
      <c r="AE17" s="2" t="n">
        <v>1850217952.91398</v>
      </c>
      <c r="AF17" s="2" t="n">
        <v>1733388144.50872</v>
      </c>
      <c r="AG17" s="2" t="n">
        <v>1679969901.46621</v>
      </c>
      <c r="AH17" s="2" t="n">
        <v>2109490180.14991</v>
      </c>
      <c r="AI17" s="2" t="n">
        <v>2368695746.95304</v>
      </c>
      <c r="AJ17" s="2" t="n">
        <v>3099147193.65352</v>
      </c>
      <c r="AK17" s="2" t="n">
        <v>3841566441.52841</v>
      </c>
      <c r="AL17" s="2" t="n">
        <v>4019432672.59539</v>
      </c>
      <c r="AM17" s="2" t="n">
        <v>4218423224.383</v>
      </c>
      <c r="AN17" s="2" t="n">
        <v>4584009509.3806</v>
      </c>
      <c r="AO17" s="2" t="n">
        <v>1653322357.5267</v>
      </c>
      <c r="AP17" s="2"/>
    </row>
    <row r="18">
      <c r="A18" t="str">
        <f>N18</f>
      </c>
      <c r="B18" t="str">
        <f>O18</f>
      </c>
      <c r="N18" t="s">
        <v>31</v>
      </c>
      <c r="O18" t="s">
        <v>34</v>
      </c>
      <c r="P18" s="2" t="n">
        <v>1736652.1132922</v>
      </c>
      <c r="Q18" s="2" t="n">
        <v>6980451.07302435</v>
      </c>
      <c r="R18" s="2" t="n">
        <v>6837957.73405916</v>
      </c>
      <c r="S18" s="2" t="n">
        <v>138119291.94041</v>
      </c>
      <c r="T18" s="2" t="n">
        <v>198734362.692929</v>
      </c>
      <c r="U18" s="2" t="n">
        <v>2153161950.4597</v>
      </c>
      <c r="V18" s="2" t="n">
        <v>2280201588.47141</v>
      </c>
      <c r="W18" s="2" t="n">
        <v>2486997370.92891</v>
      </c>
      <c r="X18" s="2" t="n">
        <v>3441404608.15956</v>
      </c>
      <c r="Y18" s="2" t="n">
        <v>4034109140.54901</v>
      </c>
      <c r="Z18" s="2" t="n">
        <v>4148871128.20888</v>
      </c>
      <c r="AA18" s="2" t="n">
        <v>5002728215.56353</v>
      </c>
      <c r="AB18" s="2" t="n">
        <v>4291611421.45662</v>
      </c>
      <c r="AC18" s="2" t="n">
        <v>3899545484.5646</v>
      </c>
      <c r="AD18" s="2" t="n">
        <v>3876750529.2529</v>
      </c>
      <c r="AE18" s="2" t="n">
        <v>3502684484.32681</v>
      </c>
      <c r="AF18" s="2" t="n">
        <v>3754560897.82557</v>
      </c>
      <c r="AG18" s="2" t="n">
        <v>5427813368.0776</v>
      </c>
      <c r="AH18" s="2" t="n">
        <v>5638782811.03921</v>
      </c>
      <c r="AI18" s="2" t="n">
        <v>5005272173.69969</v>
      </c>
      <c r="AJ18" s="2" t="n">
        <v>5198901473.09185</v>
      </c>
      <c r="AK18" s="2" t="n">
        <v>3896592247.01296</v>
      </c>
      <c r="AL18" s="2" t="n">
        <v>4688024093.63835</v>
      </c>
      <c r="AM18" s="2" t="n">
        <v>5335541286.6485</v>
      </c>
      <c r="AN18" s="2" t="n">
        <v>3682994788.46519</v>
      </c>
      <c r="AO18" s="2" t="n">
        <v>1260535113.8215</v>
      </c>
      <c r="AP18" s="2"/>
    </row>
    <row r="19">
      <c r="A19" t="str">
        <f>N19</f>
      </c>
      <c r="B19" t="str">
        <f>O19</f>
      </c>
      <c r="N19" t="s">
        <v>31</v>
      </c>
      <c r="O19" t="s">
        <v>35</v>
      </c>
      <c r="P19" s="2" t="n">
        <v>87360494.1095022</v>
      </c>
      <c r="Q19" s="2" t="n">
        <v>150604698.701958</v>
      </c>
      <c r="R19" s="2" t="n">
        <v>195298668.090577</v>
      </c>
      <c r="S19" s="2" t="n">
        <v>1786482649.35978</v>
      </c>
      <c r="T19" s="2" t="n">
        <v>5244788918.43881</v>
      </c>
      <c r="U19" s="2" t="n">
        <v>6182491457.94589</v>
      </c>
      <c r="V19" s="2" t="n">
        <v>8817553256.49431</v>
      </c>
      <c r="W19" s="2" t="n">
        <v>6737624656.08922</v>
      </c>
      <c r="X19" s="2" t="n">
        <v>7033109736.81056</v>
      </c>
      <c r="Y19" s="2" t="n">
        <v>6656922675.54923</v>
      </c>
      <c r="Z19" s="2" t="n">
        <v>4721772285.74922</v>
      </c>
      <c r="AA19" s="2" t="n">
        <v>4452813631.46697</v>
      </c>
      <c r="AB19" s="2" t="n">
        <v>4013074875.93385</v>
      </c>
      <c r="AC19" s="2" t="n">
        <v>4057991018.60907</v>
      </c>
      <c r="AD19" s="2" t="n">
        <v>4244435610.87518</v>
      </c>
      <c r="AE19" s="2" t="n">
        <v>4501813599.08235</v>
      </c>
      <c r="AF19" s="2" t="n">
        <v>5371150114.09672</v>
      </c>
      <c r="AG19" s="2" t="n">
        <v>5918103330.8589</v>
      </c>
      <c r="AH19" s="2" t="n">
        <v>6530037535.09817</v>
      </c>
      <c r="AI19" s="2" t="n">
        <v>6030396370.31626</v>
      </c>
      <c r="AJ19" s="2" t="n">
        <v>7378256851.79894</v>
      </c>
      <c r="AK19" s="2" t="n">
        <v>6856004788.24509</v>
      </c>
      <c r="AL19" s="2" t="n">
        <v>5978444206.82447</v>
      </c>
      <c r="AM19" s="2" t="n">
        <v>5957437392.0784</v>
      </c>
      <c r="AN19" s="2" t="n">
        <v>6135629157.65326</v>
      </c>
      <c r="AO19" s="2" t="n">
        <v>2964604809.39255</v>
      </c>
      <c r="AP19" s="2"/>
    </row>
    <row r="20">
      <c r="A20" t="str">
        <f>N20</f>
      </c>
      <c r="B20" t="str">
        <f>O20</f>
      </c>
      <c r="N20" t="s">
        <v>31</v>
      </c>
      <c r="O20" t="s">
        <v>36</v>
      </c>
      <c r="P20" s="2" t="n">
        <v>141870860.151502</v>
      </c>
      <c r="Q20" s="2" t="n">
        <v>164254483.368311</v>
      </c>
      <c r="R20" s="2" t="n">
        <v>153685330.355064</v>
      </c>
      <c r="S20" s="2" t="n">
        <v>436753860.317403</v>
      </c>
      <c r="T20" s="2" t="n">
        <v>643491374.882969</v>
      </c>
      <c r="U20" s="2" t="n">
        <v>362281007.730103</v>
      </c>
      <c r="V20" s="2" t="n">
        <v>233734827.212541</v>
      </c>
      <c r="W20" s="2" t="n">
        <v>228732158.685427</v>
      </c>
      <c r="X20" s="2" t="n">
        <v>96137469.8014757</v>
      </c>
      <c r="Y20" s="2" t="n">
        <v>59537512.6932514</v>
      </c>
      <c r="Z20" s="2" t="n">
        <v>25394717.3688912</v>
      </c>
      <c r="AA20" s="2" t="n">
        <v>1821151.49084766</v>
      </c>
      <c r="AB20" s="2" t="n">
        <v>-12986.6159052232</v>
      </c>
      <c r="AC20" s="2" t="n">
        <v>35658.6769824274</v>
      </c>
      <c r="AD20" s="2" t="n">
        <v>175264.417102571</v>
      </c>
      <c r="AE20" s="2" t="n">
        <v>0</v>
      </c>
      <c r="AF20" s="2" t="n">
        <v>-352388.247664444</v>
      </c>
      <c r="AG20" s="2" t="n">
        <v>-123080.458862644</v>
      </c>
      <c r="AH20" s="2" t="n">
        <v>0</v>
      </c>
      <c r="AI20" s="2" t="n">
        <v>0</v>
      </c>
      <c r="AJ20" s="2"/>
      <c r="AK20" s="2" t="n">
        <v>0</v>
      </c>
      <c r="AL20" s="2"/>
      <c r="AM20" s="2" t="n">
        <v>-16555.4199</v>
      </c>
      <c r="AN20" s="2" t="n">
        <v>0</v>
      </c>
      <c r="AO20" s="2" t="n">
        <v>-33.2623594640771</v>
      </c>
      <c r="AP20" s="2"/>
    </row>
    <row r="21">
      <c r="A21" t="str">
        <f>N21</f>
      </c>
      <c r="B21" t="str">
        <f>O21</f>
      </c>
      <c r="N21"/>
      <c r="O21"/>
      <c r="P21" s="2"/>
      <c r="Q21" s="2"/>
      <c r="R21" s="2"/>
      <c r="S21" s="2" t="n">
        <v>0</v>
      </c>
      <c r="T21" s="2" t="n">
        <v>0</v>
      </c>
      <c r="U21" s="2" t="n">
        <v>15020.3027028386</v>
      </c>
      <c r="V21" s="2" t="n">
        <v>0</v>
      </c>
      <c r="W21" s="2"/>
      <c r="X21" s="2" t="n">
        <v>0</v>
      </c>
      <c r="Y21" s="2"/>
      <c r="Z21" s="2"/>
      <c r="AA21" s="2"/>
      <c r="AB21" s="2"/>
      <c r="AC21" s="2"/>
      <c r="AD21" s="2"/>
      <c r="AE21" s="2" t="n">
        <v>-10479.814603147</v>
      </c>
      <c r="AF21" s="2"/>
      <c r="AG21" s="2"/>
      <c r="AH21" s="2" t="n">
        <v>0</v>
      </c>
      <c r="AI21" s="2"/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0</v>
      </c>
      <c r="AO21" s="2" t="n">
        <v>238.269050602271</v>
      </c>
      <c r="AP21" s="2"/>
    </row>
    <row r="22">
      <c r="A22" t="str">
        <f>N22</f>
      </c>
      <c r="B22" t="str">
        <f>O22</f>
      </c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39</v>
      </c>
      <c r="O1" t="s">
        <v>40</v>
      </c>
      <c r="P1" t="s">
        <v>2</v>
      </c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F1" t="s">
        <v>18</v>
      </c>
      <c r="AG1" t="s">
        <v>19</v>
      </c>
      <c r="AH1" t="s">
        <v>20</v>
      </c>
      <c r="AI1" t="s">
        <v>21</v>
      </c>
      <c r="AJ1" t="s">
        <v>22</v>
      </c>
      <c r="AK1" t="s">
        <v>23</v>
      </c>
      <c r="AL1" t="s">
        <v>24</v>
      </c>
      <c r="AM1" t="s">
        <v>25</v>
      </c>
      <c r="AN1" t="s">
        <v>26</v>
      </c>
      <c r="AO1" t="s">
        <v>27</v>
      </c>
    </row>
    <row r="2">
      <c r="A2" t="str">
        <f>N2</f>
      </c>
      <c r="B2" t="str">
        <f>O2</f>
      </c>
      <c r="N2" t="s">
        <v>41</v>
      </c>
      <c r="O2" t="s">
        <v>42</v>
      </c>
      <c r="P2" s="3" t="n">
        <v>102647000</v>
      </c>
      <c r="Q2" s="3" t="n">
        <v>101958751.15</v>
      </c>
      <c r="R2" s="3" t="n">
        <v>423431376.27</v>
      </c>
      <c r="S2" s="3" t="n">
        <v>778831083.4701</v>
      </c>
      <c r="T2" s="3" t="n">
        <v>1400334981.9564</v>
      </c>
      <c r="U2" s="3" t="n">
        <v>1202633531.0565</v>
      </c>
      <c r="V2" s="3" t="n">
        <v>4169353045.3998</v>
      </c>
      <c r="W2" s="3" t="n">
        <v>1599996454.4231</v>
      </c>
      <c r="X2" s="3" t="n">
        <v>2255665724.8119</v>
      </c>
      <c r="Y2" s="3" t="n">
        <v>1935107244.8135</v>
      </c>
      <c r="Z2" s="3" t="n">
        <v>2090532765.0367</v>
      </c>
      <c r="AA2" s="3" t="n">
        <v>1704866987.154</v>
      </c>
      <c r="AB2" s="3" t="n">
        <v>1598192435.0256</v>
      </c>
      <c r="AC2" s="3" t="n">
        <v>1309251785.2755</v>
      </c>
      <c r="AD2" s="3" t="n">
        <v>1260025946.1272</v>
      </c>
      <c r="AE2" s="3" t="n">
        <v>1301727968.3925</v>
      </c>
      <c r="AF2" s="3" t="n">
        <v>1282142130.06</v>
      </c>
      <c r="AG2" s="3" t="n">
        <v>1172943657.5764</v>
      </c>
      <c r="AH2" s="3" t="n">
        <v>1307714731.3871</v>
      </c>
      <c r="AI2" s="3" t="n">
        <v>1055431403.3097</v>
      </c>
      <c r="AJ2" s="3" t="n">
        <v>999091818.0211</v>
      </c>
      <c r="AK2" s="3" t="n">
        <v>1090459924.5722</v>
      </c>
      <c r="AL2" s="3" t="n">
        <v>1042069127.6361</v>
      </c>
      <c r="AM2" s="3" t="n">
        <v>990798570.7281</v>
      </c>
      <c r="AN2" s="3" t="n">
        <v>808346267.86</v>
      </c>
      <c r="AO2" s="3" t="n">
        <v>204906496.04</v>
      </c>
      <c r="AP2" s="3"/>
    </row>
    <row r="3">
      <c r="A3" t="str">
        <f>N3</f>
      </c>
      <c r="B3" t="str">
        <f>O3</f>
      </c>
      <c r="N3" t="s">
        <v>41</v>
      </c>
      <c r="O3" t="s">
        <v>43</v>
      </c>
      <c r="P3" s="3" t="n">
        <v>41237000</v>
      </c>
      <c r="Q3" s="3" t="n">
        <v>72767495</v>
      </c>
      <c r="R3" s="3" t="n">
        <v>70327202.375</v>
      </c>
      <c r="S3" s="3" t="n">
        <v>298856758.9325</v>
      </c>
      <c r="T3" s="3" t="n">
        <v>557416244.1112</v>
      </c>
      <c r="U3" s="3" t="n">
        <v>955072431.2427</v>
      </c>
      <c r="V3" s="3" t="n">
        <v>1917103756.3896</v>
      </c>
      <c r="W3" s="3" t="n">
        <v>1686544174.0336</v>
      </c>
      <c r="X3" s="3" t="n">
        <v>2393933711.6653</v>
      </c>
      <c r="Y3" s="3" t="n">
        <v>2497554108.5904</v>
      </c>
      <c r="Z3" s="3" t="n">
        <v>2444591677.0782</v>
      </c>
      <c r="AA3" s="3" t="n">
        <v>2538595059.0037</v>
      </c>
      <c r="AB3" s="3" t="n">
        <v>2590148783.8952</v>
      </c>
      <c r="AC3" s="3" t="n">
        <v>2335380148.7431</v>
      </c>
      <c r="AD3" s="3" t="n">
        <v>2343736599.6978</v>
      </c>
      <c r="AE3" s="3" t="n">
        <v>2226967693.6032</v>
      </c>
      <c r="AF3" s="3" t="n">
        <v>2669609252.285</v>
      </c>
      <c r="AG3" s="3" t="n">
        <v>3406253794.8336</v>
      </c>
      <c r="AH3" s="3" t="n">
        <v>4564592994.0789</v>
      </c>
      <c r="AI3" s="3" t="n">
        <v>3872854012.9087</v>
      </c>
      <c r="AJ3" s="3" t="n">
        <v>3949349979.6796</v>
      </c>
      <c r="AK3" s="3" t="n">
        <v>3769326232.077</v>
      </c>
      <c r="AL3" s="3" t="n">
        <v>4007383734.5959</v>
      </c>
      <c r="AM3" s="3" t="n">
        <v>4343010962.0098</v>
      </c>
      <c r="AN3" s="3" t="n">
        <v>4904922500.57</v>
      </c>
      <c r="AO3" s="3" t="n">
        <v>1977701341.31</v>
      </c>
      <c r="AP3" s="3"/>
    </row>
    <row r="4">
      <c r="A4" t="str">
        <f>N4</f>
      </c>
      <c r="B4" t="str">
        <f>O4</f>
      </c>
      <c r="N4" t="s">
        <v>44</v>
      </c>
      <c r="O4" t="s">
        <v>45</v>
      </c>
      <c r="P4" s="3" t="n">
        <v>0</v>
      </c>
      <c r="Q4" s="3"/>
      <c r="R4" s="3" t="n">
        <v>113290885.25</v>
      </c>
      <c r="S4" s="3" t="n">
        <v>1409514.39</v>
      </c>
      <c r="T4" s="3" t="n">
        <v>274643203.3999</v>
      </c>
      <c r="U4" s="3" t="n">
        <v>290874721.9258</v>
      </c>
      <c r="V4" s="3" t="n">
        <v>974043586.3043</v>
      </c>
      <c r="W4" s="3" t="n">
        <v>1688176839.3828</v>
      </c>
      <c r="X4" s="3" t="n">
        <v>1017899348.1477</v>
      </c>
      <c r="Y4" s="3" t="n">
        <v>643825823.1472</v>
      </c>
      <c r="Z4" s="3" t="n">
        <v>108775334.9921</v>
      </c>
      <c r="AA4" s="3" t="n">
        <v>74337224.0891</v>
      </c>
      <c r="AB4" s="3" t="n">
        <v>39836939.8112</v>
      </c>
      <c r="AC4" s="3" t="n">
        <v>590402.518399999</v>
      </c>
      <c r="AD4" s="3" t="n">
        <v>4779544.92</v>
      </c>
      <c r="AE4" s="3" t="n">
        <v>-2910916.73</v>
      </c>
      <c r="AF4" s="3" t="n">
        <v>-15497252.77</v>
      </c>
      <c r="AG4" s="3" t="n">
        <v>-7329067.5684</v>
      </c>
      <c r="AH4" s="3" t="n">
        <v>-2966297.9287</v>
      </c>
      <c r="AI4" s="3" t="n">
        <v>-21574.6596</v>
      </c>
      <c r="AJ4" s="3" t="n">
        <v>-2286812.3105</v>
      </c>
      <c r="AK4" s="3" t="n">
        <v>-2532.8301</v>
      </c>
      <c r="AL4" s="3" t="n">
        <v>-61573.3192</v>
      </c>
      <c r="AM4" s="3" t="n">
        <v>-30000</v>
      </c>
      <c r="AN4" s="3" t="n">
        <v>-578159</v>
      </c>
      <c r="AO4" s="3" t="n">
        <v>11572.69</v>
      </c>
      <c r="AP4" s="3"/>
    </row>
    <row r="5">
      <c r="A5" t="str">
        <f>N5</f>
      </c>
      <c r="B5" t="str">
        <f>O5</f>
      </c>
      <c r="N5" t="s">
        <v>44</v>
      </c>
      <c r="O5" t="s">
        <v>46</v>
      </c>
      <c r="P5" s="3"/>
      <c r="Q5" s="3"/>
      <c r="R5" s="3"/>
      <c r="S5" s="3" t="n">
        <v>137860009</v>
      </c>
      <c r="T5" s="3" t="n">
        <v>155827888.27</v>
      </c>
      <c r="U5" s="3" t="n">
        <v>219844154.28</v>
      </c>
      <c r="V5" s="3" t="n">
        <v>142329546.68</v>
      </c>
      <c r="W5" s="3" t="n">
        <v>46387725.08</v>
      </c>
      <c r="X5" s="3" t="n">
        <v>61606583.7995</v>
      </c>
      <c r="Y5" s="3" t="n">
        <v>166253862.9748</v>
      </c>
      <c r="Z5" s="3" t="n">
        <v>181858490.893</v>
      </c>
      <c r="AA5" s="3" t="n">
        <v>53673184.2047</v>
      </c>
      <c r="AB5" s="3" t="n">
        <v>5804196.4177</v>
      </c>
      <c r="AC5" s="3" t="n">
        <v>44683185.34</v>
      </c>
      <c r="AD5" s="3" t="n">
        <v>3778179.5301</v>
      </c>
      <c r="AE5" s="3" t="n">
        <v>2833442.3198</v>
      </c>
      <c r="AF5" s="3" t="n">
        <v>32313447.45</v>
      </c>
      <c r="AG5" s="3" t="n">
        <v>82306018.4364</v>
      </c>
      <c r="AH5" s="3" t="n">
        <v>33265342.5953</v>
      </c>
      <c r="AI5" s="3" t="n">
        <v>48630098.2144</v>
      </c>
      <c r="AJ5" s="3" t="n">
        <v>23428919.3788</v>
      </c>
      <c r="AK5" s="3" t="n">
        <v>128257873.122</v>
      </c>
      <c r="AL5" s="3" t="n">
        <v>41822446.9846</v>
      </c>
      <c r="AM5" s="3" t="n">
        <v>3683308.7476</v>
      </c>
      <c r="AN5" s="3" t="n">
        <v>130960181.42</v>
      </c>
      <c r="AO5" s="3" t="n">
        <v>15630923.26</v>
      </c>
      <c r="AP5" s="3"/>
    </row>
    <row r="6">
      <c r="A6" t="str">
        <f>N6</f>
      </c>
      <c r="B6" t="str">
        <f>O6</f>
      </c>
      <c r="N6" t="s">
        <v>44</v>
      </c>
      <c r="O6"/>
      <c r="P6" s="3" t="n">
        <v>3041398.4494</v>
      </c>
      <c r="Q6" s="3" t="n">
        <v>5092804.2499</v>
      </c>
      <c r="R6" s="3" t="n">
        <v>196917263.3199</v>
      </c>
      <c r="S6" s="3" t="n">
        <v>145286855.654</v>
      </c>
      <c r="T6" s="3" t="n">
        <v>284772411.9897</v>
      </c>
      <c r="U6" s="3" t="n">
        <v>907876561.2904</v>
      </c>
      <c r="V6" s="3" t="n">
        <v>1312937182.9257</v>
      </c>
      <c r="W6" s="3" t="n">
        <v>1272853110.7718</v>
      </c>
      <c r="X6" s="3" t="n">
        <v>1598908410.2137</v>
      </c>
      <c r="Y6" s="3" t="n">
        <v>1589349111.3923</v>
      </c>
      <c r="Z6" s="3" t="n">
        <v>652776036.4223</v>
      </c>
      <c r="AA6" s="3" t="n">
        <v>270539790.8969</v>
      </c>
      <c r="AB6" s="3" t="n">
        <v>116121162.6112</v>
      </c>
      <c r="AC6" s="3" t="n">
        <v>-2558269.2546</v>
      </c>
      <c r="AD6" s="3" t="n">
        <v>35187554.7421</v>
      </c>
      <c r="AE6" s="3" t="n">
        <v>113999213.9351</v>
      </c>
      <c r="AF6" s="3" t="n">
        <v>5313069.63</v>
      </c>
      <c r="AG6" s="3" t="n">
        <v>4994834.6098</v>
      </c>
      <c r="AH6" s="3" t="n">
        <v>-2961770.0622</v>
      </c>
      <c r="AI6" s="3" t="n">
        <v>-76150.0198</v>
      </c>
      <c r="AJ6" s="3" t="n">
        <v>-428.23</v>
      </c>
      <c r="AK6" s="3" t="n">
        <v>147003.5</v>
      </c>
      <c r="AL6" s="3" t="n">
        <v>-150002.17</v>
      </c>
      <c r="AM6" s="3" t="n">
        <v>9999.98</v>
      </c>
      <c r="AN6" s="3" t="n">
        <v>-1544099.25</v>
      </c>
      <c r="AO6" s="3" t="n">
        <v>26500</v>
      </c>
      <c r="AP6" s="3"/>
    </row>
    <row r="7">
      <c r="A7" t="str">
        <f>N7</f>
      </c>
      <c r="B7" t="str">
        <f>O7</f>
      </c>
      <c r="N7" t="s">
        <v>47</v>
      </c>
      <c r="O7" t="s">
        <v>48</v>
      </c>
      <c r="P7" s="3" t="n">
        <v>82562799.14</v>
      </c>
      <c r="Q7" s="3" t="n">
        <v>138147623.9825</v>
      </c>
      <c r="R7" s="3" t="n">
        <v>127633165.3198</v>
      </c>
      <c r="S7" s="3" t="n">
        <v>2429011988.7024</v>
      </c>
      <c r="T7" s="3" t="n">
        <v>4319238775.1062</v>
      </c>
      <c r="U7" s="3" t="n">
        <v>8262850907.2194</v>
      </c>
      <c r="V7" s="3" t="n">
        <v>7069657359.8445</v>
      </c>
      <c r="W7" s="3" t="n">
        <v>5098305601.3417</v>
      </c>
      <c r="X7" s="3" t="n">
        <v>6066032262.2893</v>
      </c>
      <c r="Y7" s="3" t="n">
        <v>6503812044.5538</v>
      </c>
      <c r="Z7" s="3" t="n">
        <v>7263284329.8585</v>
      </c>
      <c r="AA7" s="3" t="n">
        <v>7728096718.521</v>
      </c>
      <c r="AB7" s="3" t="n">
        <v>7153090905.2215</v>
      </c>
      <c r="AC7" s="3" t="n">
        <v>7272343850.9965</v>
      </c>
      <c r="AD7" s="3" t="n">
        <v>7936189282.6319</v>
      </c>
      <c r="AE7" s="3" t="n">
        <v>8851198573.8936</v>
      </c>
      <c r="AF7" s="3" t="n">
        <v>8574338484.2052</v>
      </c>
      <c r="AG7" s="3" t="n">
        <v>11005188826.359</v>
      </c>
      <c r="AH7" s="3" t="n">
        <v>11392333015.4514</v>
      </c>
      <c r="AI7" s="3" t="n">
        <v>12055118835.4189</v>
      </c>
      <c r="AJ7" s="3" t="n">
        <v>13661545688.4886</v>
      </c>
      <c r="AK7" s="3" t="n">
        <v>13863353818.5422</v>
      </c>
      <c r="AL7" s="3" t="n">
        <v>15330309272.5679</v>
      </c>
      <c r="AM7" s="3" t="n">
        <v>18033725131.3617</v>
      </c>
      <c r="AN7" s="3" t="n">
        <v>16906934680.96</v>
      </c>
      <c r="AO7" s="3" t="n">
        <v>6149363335.79</v>
      </c>
      <c r="AP7" s="3"/>
    </row>
    <row r="8">
      <c r="A8" t="str">
        <f>N8</f>
      </c>
      <c r="B8" t="str">
        <f>O8</f>
      </c>
      <c r="N8" t="s">
        <v>47</v>
      </c>
      <c r="O8" t="s">
        <v>49</v>
      </c>
      <c r="P8" s="3" t="n">
        <v>10191000</v>
      </c>
      <c r="Q8" s="3" t="n">
        <v>6996000</v>
      </c>
      <c r="R8" s="3" t="n">
        <v>11371000</v>
      </c>
      <c r="S8" s="3" t="n">
        <v>230676486.61</v>
      </c>
      <c r="T8" s="3" t="n">
        <v>175742900.8734</v>
      </c>
      <c r="U8" s="3" t="n">
        <v>299211034.9397</v>
      </c>
      <c r="V8" s="3" t="n">
        <v>248185051.9771</v>
      </c>
      <c r="W8" s="3" t="n">
        <v>211721196.2934</v>
      </c>
      <c r="X8" s="3" t="n">
        <v>141907072.3144</v>
      </c>
      <c r="Y8" s="3" t="n">
        <v>374055307.5209</v>
      </c>
      <c r="Z8" s="3" t="n">
        <v>344182622.1707</v>
      </c>
      <c r="AA8" s="3" t="n">
        <v>497463945.0351</v>
      </c>
      <c r="AB8" s="3" t="n">
        <v>510514199.2144</v>
      </c>
      <c r="AC8" s="3" t="n">
        <v>384847399.94</v>
      </c>
      <c r="AD8" s="3" t="n">
        <v>284076810.0805</v>
      </c>
      <c r="AE8" s="3" t="n">
        <v>167106409.231</v>
      </c>
      <c r="AF8" s="3" t="n">
        <v>636639716.2</v>
      </c>
      <c r="AG8" s="3" t="n">
        <v>380996396.7854</v>
      </c>
      <c r="AH8" s="3" t="n">
        <v>367309488.1875</v>
      </c>
      <c r="AI8" s="3" t="n">
        <v>371352288.11</v>
      </c>
      <c r="AJ8" s="3" t="n">
        <v>324737676.2005</v>
      </c>
      <c r="AK8" s="3" t="n">
        <v>368913496.4868</v>
      </c>
      <c r="AL8" s="3" t="n">
        <v>278934692.0776</v>
      </c>
      <c r="AM8" s="3" t="n">
        <v>349436065.1422</v>
      </c>
      <c r="AN8" s="3" t="n">
        <v>276648303.24</v>
      </c>
      <c r="AO8" s="3" t="n">
        <v>101388453.13</v>
      </c>
      <c r="AP8" s="3"/>
    </row>
    <row r="9">
      <c r="A9" t="str">
        <f>N9</f>
      </c>
      <c r="B9" t="str">
        <f>O9</f>
      </c>
      <c r="N9" t="s">
        <v>50</v>
      </c>
      <c r="O9" t="s">
        <v>50</v>
      </c>
      <c r="P9" s="3"/>
      <c r="Q9" s="3"/>
      <c r="R9" s="3" t="n">
        <v>73768798</v>
      </c>
      <c r="S9" s="3" t="n">
        <v>90593156.375</v>
      </c>
      <c r="T9" s="3" t="n">
        <v>700570880.1038</v>
      </c>
      <c r="U9" s="3" t="n">
        <v>679780652.0294</v>
      </c>
      <c r="V9" s="3" t="n">
        <v>661980344.0197</v>
      </c>
      <c r="W9" s="3" t="n">
        <v>864834209.6379</v>
      </c>
      <c r="X9" s="3" t="n">
        <v>496158322.5895</v>
      </c>
      <c r="Y9" s="3" t="n">
        <v>590465912.3863</v>
      </c>
      <c r="Z9" s="3" t="n">
        <v>501279339.9388</v>
      </c>
      <c r="AA9" s="3" t="n">
        <v>1391614610.925</v>
      </c>
      <c r="AB9" s="3" t="n">
        <v>404611030.6128</v>
      </c>
      <c r="AC9" s="3" t="n">
        <v>946642280.75</v>
      </c>
      <c r="AD9" s="3" t="n">
        <v>952140645.67</v>
      </c>
      <c r="AE9" s="3" t="n">
        <v>780947110.7687</v>
      </c>
      <c r="AF9" s="3" t="n">
        <v>365320658.1</v>
      </c>
      <c r="AG9" s="3" t="n">
        <v>256645423.6848</v>
      </c>
      <c r="AH9" s="3" t="n">
        <v>564463759.8265</v>
      </c>
      <c r="AI9" s="3" t="n">
        <v>242045993.8731</v>
      </c>
      <c r="AJ9" s="3" t="n">
        <v>703143183.9527</v>
      </c>
      <c r="AK9" s="3" t="n">
        <v>586327631.3972</v>
      </c>
      <c r="AL9" s="3" t="n">
        <v>482230972.5825</v>
      </c>
      <c r="AM9" s="3" t="n">
        <v>354812816.3993</v>
      </c>
      <c r="AN9" s="3" t="n">
        <v>599269953.7</v>
      </c>
      <c r="AO9" s="3" t="n">
        <v>104328813.81</v>
      </c>
      <c r="AP9" s="3"/>
    </row>
    <row r="10">
      <c r="A10" t="str">
        <f>N10</f>
      </c>
      <c r="B10" t="str">
        <f>O10</f>
      </c>
      <c r="N10" t="s">
        <v>37</v>
      </c>
      <c r="O10" t="s">
        <v>38</v>
      </c>
      <c r="P10" s="3" t="str">
        <f>Sum(P2:P9)</f>
      </c>
      <c r="Q10" s="3" t="str">
        <f>Sum(Q2:Q9)</f>
      </c>
      <c r="R10" s="3" t="str">
        <f>Sum(R2:R9)</f>
      </c>
      <c r="S10" s="3" t="str">
        <f>Sum(S2:S9)</f>
      </c>
      <c r="T10" s="3" t="str">
        <f>Sum(T2:T9)</f>
      </c>
      <c r="U10" s="3" t="str">
        <f>Sum(U2:U9)</f>
      </c>
      <c r="V10" s="3" t="str">
        <f>Sum(V2:V9)</f>
      </c>
      <c r="W10" s="3" t="str">
        <f>Sum(W2:W9)</f>
      </c>
      <c r="X10" s="3" t="str">
        <f>Sum(X2:X9)</f>
      </c>
      <c r="Y10" s="3" t="str">
        <f>Sum(Y2:Y9)</f>
      </c>
      <c r="Z10" s="3" t="str">
        <f>Sum(Z2:Z9)</f>
      </c>
      <c r="AA10" s="3" t="str">
        <f>Sum(AA2:AA9)</f>
      </c>
      <c r="AB10" s="3" t="str">
        <f>Sum(AB2:AB9)</f>
      </c>
      <c r="AC10" s="3" t="str">
        <f>Sum(AC2:AC9)</f>
      </c>
      <c r="AD10" s="3" t="str">
        <f>Sum(AD2:AD9)</f>
      </c>
      <c r="AE10" s="3" t="str">
        <f>Sum(AE2:AE9)</f>
      </c>
      <c r="AF10" s="3" t="str">
        <f>Sum(AF2:AF9)</f>
      </c>
      <c r="AG10" s="3" t="str">
        <f>Sum(AG2:AG9)</f>
      </c>
      <c r="AH10" s="3" t="str">
        <f>Sum(AH2:AH9)</f>
      </c>
      <c r="AI10" s="3" t="str">
        <f>Sum(AI2:AI9)</f>
      </c>
      <c r="AJ10" s="3" t="str">
        <f>Sum(AJ2:AJ9)</f>
      </c>
      <c r="AK10" s="3" t="str">
        <f>Sum(AK2:AK9)</f>
      </c>
      <c r="AL10" s="3" t="str">
        <f>Sum(AL2:AL9)</f>
      </c>
      <c r="AM10" s="3" t="str">
        <f>Sum(AM2:AM9)</f>
      </c>
      <c r="AN10" s="3" t="str">
        <f>Sum(AN2:AN9)</f>
      </c>
      <c r="AO10" s="3" t="str">
        <f>Sum(AO2:AO9)</f>
      </c>
      <c r="AP10" s="3"/>
    </row>
    <row r="13">
      <c r="A13" t="str">
        <f>N13</f>
      </c>
      <c r="B13" t="str">
        <f>O13</f>
      </c>
      <c r="N13" t="s">
        <v>39</v>
      </c>
      <c r="O13" t="s">
        <v>40</v>
      </c>
      <c r="P13" t="s">
        <v>2</v>
      </c>
      <c r="Q13" t="s">
        <v>3</v>
      </c>
      <c r="R13" t="s">
        <v>4</v>
      </c>
      <c r="S13" t="s">
        <v>5</v>
      </c>
      <c r="T13" t="s">
        <v>6</v>
      </c>
      <c r="U13" t="s">
        <v>7</v>
      </c>
      <c r="V13" t="s">
        <v>8</v>
      </c>
      <c r="W13" t="s">
        <v>9</v>
      </c>
      <c r="X13" t="s">
        <v>10</v>
      </c>
      <c r="Y13" t="s">
        <v>11</v>
      </c>
      <c r="Z13" t="s">
        <v>12</v>
      </c>
      <c r="AA13" t="s">
        <v>13</v>
      </c>
      <c r="AB13" t="s">
        <v>14</v>
      </c>
      <c r="AC13" t="s">
        <v>15</v>
      </c>
      <c r="AD13" t="s">
        <v>16</v>
      </c>
      <c r="AE13" t="s">
        <v>17</v>
      </c>
      <c r="AF13" t="s">
        <v>18</v>
      </c>
      <c r="AG13" t="s">
        <v>19</v>
      </c>
      <c r="AH13" t="s">
        <v>20</v>
      </c>
      <c r="AI13" t="s">
        <v>21</v>
      </c>
      <c r="AJ13" t="s">
        <v>22</v>
      </c>
      <c r="AK13" t="s">
        <v>23</v>
      </c>
      <c r="AL13" t="s">
        <v>24</v>
      </c>
      <c r="AM13" t="s">
        <v>25</v>
      </c>
      <c r="AN13" t="s">
        <v>26</v>
      </c>
      <c r="AO13" t="s">
        <v>27</v>
      </c>
    </row>
    <row r="14">
      <c r="A14" t="str">
        <f>N14</f>
      </c>
      <c r="B14" t="str">
        <f>O14</f>
      </c>
      <c r="N14" t="s">
        <v>41</v>
      </c>
      <c r="O14" t="s">
        <v>42</v>
      </c>
      <c r="P14" s="3" t="n">
        <v>172567405.104651</v>
      </c>
      <c r="Q14" s="3" t="n">
        <v>167353835.49619</v>
      </c>
      <c r="R14" s="3" t="n">
        <v>684250306.02823</v>
      </c>
      <c r="S14" s="3" t="n">
        <v>1234860505.24898</v>
      </c>
      <c r="T14" s="3" t="n">
        <v>2167349958.85419</v>
      </c>
      <c r="U14" s="3" t="n">
        <v>1806391967.70523</v>
      </c>
      <c r="V14" s="3" t="n">
        <v>6065462114.74382</v>
      </c>
      <c r="W14" s="3" t="n">
        <v>2265269858.94436</v>
      </c>
      <c r="X14" s="3" t="n">
        <v>3128611690.90271</v>
      </c>
      <c r="Y14" s="3" t="n">
        <v>2656827592.38577</v>
      </c>
      <c r="Z14" s="3" t="n">
        <v>2845576879.28742</v>
      </c>
      <c r="AA14" s="3" t="n">
        <v>2274957512.62642</v>
      </c>
      <c r="AB14" s="3" t="n">
        <v>2094603292.01558</v>
      </c>
      <c r="AC14" s="3" t="n">
        <v>1685335499.0396</v>
      </c>
      <c r="AD14" s="3" t="n">
        <v>1592909768.50346</v>
      </c>
      <c r="AE14" s="3" t="n">
        <v>1628761101.87612</v>
      </c>
      <c r="AF14" s="3" t="n">
        <v>1591530301.84425</v>
      </c>
      <c r="AG14" s="3" t="n">
        <v>1431812323.07856</v>
      </c>
      <c r="AH14" s="3" t="n">
        <v>1561658552.20067</v>
      </c>
      <c r="AI14" s="3" t="n">
        <v>1237503711.98701</v>
      </c>
      <c r="AJ14" s="3" t="n">
        <v>1156339605.64853</v>
      </c>
      <c r="AK14" s="3" t="n">
        <v>1220095719.4531</v>
      </c>
      <c r="AL14" s="3" t="n">
        <v>1089740241.68687</v>
      </c>
      <c r="AM14" s="3" t="n">
        <v>990798570.7281</v>
      </c>
      <c r="AN14" s="3" t="n">
        <v>787320106.542517</v>
      </c>
      <c r="AO14" s="3" t="n">
        <v>195291505.094756</v>
      </c>
      <c r="AP14" s="3"/>
    </row>
    <row r="15">
      <c r="A15" t="str">
        <f>N15</f>
      </c>
      <c r="B15" t="str">
        <f>O15</f>
      </c>
      <c r="N15" t="s">
        <v>41</v>
      </c>
      <c r="O15" t="s">
        <v>43</v>
      </c>
      <c r="P15" s="3" t="n">
        <v>69326547.1402036</v>
      </c>
      <c r="Q15" s="3" t="n">
        <v>119439668.006367</v>
      </c>
      <c r="R15" s="3" t="n">
        <v>113646301.252174</v>
      </c>
      <c r="S15" s="3" t="n">
        <v>473846532.534584</v>
      </c>
      <c r="T15" s="3" t="n">
        <v>862733623.958472</v>
      </c>
      <c r="U15" s="3" t="n">
        <v>1434547702.04013</v>
      </c>
      <c r="V15" s="3" t="n">
        <v>2788950726.35883</v>
      </c>
      <c r="W15" s="3" t="n">
        <v>2387803843.34917</v>
      </c>
      <c r="X15" s="3" t="n">
        <v>3320389592.82708</v>
      </c>
      <c r="Y15" s="3" t="n">
        <v>3429045437.64391</v>
      </c>
      <c r="Z15" s="3" t="n">
        <v>3327512331.75246</v>
      </c>
      <c r="AA15" s="3" t="n">
        <v>3387475940.65243</v>
      </c>
      <c r="AB15" s="3" t="n">
        <v>3394668908.86024</v>
      </c>
      <c r="AC15" s="3" t="n">
        <v>3006220127.1705</v>
      </c>
      <c r="AD15" s="3" t="n">
        <v>2962923847.66562</v>
      </c>
      <c r="AE15" s="3" t="n">
        <v>2786448814.61284</v>
      </c>
      <c r="AF15" s="3" t="n">
        <v>3313801114.15302</v>
      </c>
      <c r="AG15" s="3" t="n">
        <v>4158014008.15213</v>
      </c>
      <c r="AH15" s="3" t="n">
        <v>5450986759.90101</v>
      </c>
      <c r="AI15" s="3" t="n">
        <v>4540959461.62782</v>
      </c>
      <c r="AJ15" s="3" t="n">
        <v>4570941044.35384</v>
      </c>
      <c r="AK15" s="3" t="n">
        <v>4217430368.00151</v>
      </c>
      <c r="AL15" s="3" t="n">
        <v>4190707894.1845</v>
      </c>
      <c r="AM15" s="3" t="n">
        <v>4343010962.0098</v>
      </c>
      <c r="AN15" s="3" t="n">
        <v>4777338944.05805</v>
      </c>
      <c r="AO15" s="3" t="n">
        <v>1884900083.87509</v>
      </c>
      <c r="AP15" s="3"/>
    </row>
    <row r="16">
      <c r="A16" t="str">
        <f>N16</f>
      </c>
      <c r="B16" t="str">
        <f>O16</f>
      </c>
      <c r="N16" t="s">
        <v>44</v>
      </c>
      <c r="O16" t="s">
        <v>45</v>
      </c>
      <c r="P16" s="3" t="n">
        <v>0</v>
      </c>
      <c r="Q16" s="3"/>
      <c r="R16" s="3" t="n">
        <v>183074111.289031</v>
      </c>
      <c r="S16" s="3" t="n">
        <v>2234828.17870601</v>
      </c>
      <c r="T16" s="3" t="n">
        <v>425075387.85951</v>
      </c>
      <c r="U16" s="3" t="n">
        <v>436902637.192952</v>
      </c>
      <c r="V16" s="3" t="n">
        <v>1417012281.40334</v>
      </c>
      <c r="W16" s="3" t="n">
        <v>2390115365.72478</v>
      </c>
      <c r="X16" s="3" t="n">
        <v>1411827898.85354</v>
      </c>
      <c r="Y16" s="3" t="n">
        <v>883948016.944568</v>
      </c>
      <c r="Z16" s="3" t="n">
        <v>148062055.504224</v>
      </c>
      <c r="AA16" s="3" t="n">
        <v>99194850.7910287</v>
      </c>
      <c r="AB16" s="3" t="n">
        <v>52210599.5771589</v>
      </c>
      <c r="AC16" s="3" t="n">
        <v>759996.155187613</v>
      </c>
      <c r="AD16" s="3" t="n">
        <v>6042243.66606854</v>
      </c>
      <c r="AE16" s="3" t="n">
        <v>-3642226.37582205</v>
      </c>
      <c r="AF16" s="3" t="n">
        <v>-19236827.8060098</v>
      </c>
      <c r="AG16" s="3" t="n">
        <v>-8946592.78246452</v>
      </c>
      <c r="AH16" s="3" t="n">
        <v>-3542320.36815548</v>
      </c>
      <c r="AI16" s="3" t="n">
        <v>-25296.5008015987</v>
      </c>
      <c r="AJ16" s="3" t="n">
        <v>-2646735.36267507</v>
      </c>
      <c r="AK16" s="3" t="n">
        <v>-2833.93739969337</v>
      </c>
      <c r="AL16" s="3" t="n">
        <v>-64390.0888789234</v>
      </c>
      <c r="AM16" s="3" t="n">
        <v>-30000</v>
      </c>
      <c r="AN16" s="3" t="n">
        <v>-563120.315608795</v>
      </c>
      <c r="AO16" s="3" t="n">
        <v>11029.6554368576</v>
      </c>
      <c r="AP16" s="3"/>
    </row>
    <row r="17">
      <c r="A17" t="str">
        <f>N17</f>
      </c>
      <c r="B17" t="str">
        <f>O17</f>
      </c>
      <c r="N17" t="s">
        <v>44</v>
      </c>
      <c r="O17" t="s">
        <v>46</v>
      </c>
      <c r="P17" s="3"/>
      <c r="Q17" s="3"/>
      <c r="R17" s="3"/>
      <c r="S17" s="3" t="n">
        <v>218581261.046838</v>
      </c>
      <c r="T17" s="3" t="n">
        <v>241180554.354555</v>
      </c>
      <c r="U17" s="3" t="n">
        <v>330212574.473515</v>
      </c>
      <c r="V17" s="3" t="n">
        <v>207057177.407585</v>
      </c>
      <c r="W17" s="3" t="n">
        <v>65675592.6916161</v>
      </c>
      <c r="X17" s="3" t="n">
        <v>85448422.6947085</v>
      </c>
      <c r="Y17" s="3" t="n">
        <v>228260139.935935</v>
      </c>
      <c r="Z17" s="3" t="n">
        <v>247540878.402897</v>
      </c>
      <c r="AA17" s="3" t="n">
        <v>71620961.9595586</v>
      </c>
      <c r="AB17" s="3" t="n">
        <v>7607024.44685563</v>
      </c>
      <c r="AC17" s="3" t="n">
        <v>57518469.1826266</v>
      </c>
      <c r="AD17" s="3" t="n">
        <v>4776329.48682833</v>
      </c>
      <c r="AE17" s="3" t="n">
        <v>3545288.06859617</v>
      </c>
      <c r="AF17" s="3" t="n">
        <v>40110865.6895319</v>
      </c>
      <c r="AG17" s="3" t="n">
        <v>100470956.724614</v>
      </c>
      <c r="AH17" s="3" t="n">
        <v>39725106.3316637</v>
      </c>
      <c r="AI17" s="3" t="n">
        <v>57019268.9604424</v>
      </c>
      <c r="AJ17" s="3" t="n">
        <v>27116414.0338107</v>
      </c>
      <c r="AK17" s="3" t="n">
        <v>143505394.79358</v>
      </c>
      <c r="AL17" s="3" t="n">
        <v>43735681.516946</v>
      </c>
      <c r="AM17" s="3" t="n">
        <v>3683308.7476</v>
      </c>
      <c r="AN17" s="3" t="n">
        <v>127553732.958261</v>
      </c>
      <c r="AO17" s="3" t="n">
        <v>14897460.9807886</v>
      </c>
      <c r="AP17" s="3"/>
    </row>
    <row r="18">
      <c r="A18" t="str">
        <f>N18</f>
      </c>
      <c r="B18" t="str">
        <f>O18</f>
      </c>
      <c r="N18" t="s">
        <v>44</v>
      </c>
      <c r="O18"/>
      <c r="P18" s="3" t="n">
        <v>5113118.14570583</v>
      </c>
      <c r="Q18" s="3" t="n">
        <v>8359266.02708355</v>
      </c>
      <c r="R18" s="3" t="n">
        <v>318211415.686319</v>
      </c>
      <c r="S18" s="3" t="n">
        <v>230356753.584581</v>
      </c>
      <c r="T18" s="3" t="n">
        <v>440752736.567644</v>
      </c>
      <c r="U18" s="3" t="n">
        <v>1363658076.7394</v>
      </c>
      <c r="V18" s="3" t="n">
        <v>1910025525.6294</v>
      </c>
      <c r="W18" s="3" t="n">
        <v>1802101360.11493</v>
      </c>
      <c r="X18" s="3" t="n">
        <v>2217688325.82425</v>
      </c>
      <c r="Y18" s="3" t="n">
        <v>2182115014.24451</v>
      </c>
      <c r="Z18" s="3" t="n">
        <v>888541154.514538</v>
      </c>
      <c r="AA18" s="3" t="n">
        <v>361005600.086553</v>
      </c>
      <c r="AB18" s="3" t="n">
        <v>152189288.440851</v>
      </c>
      <c r="AC18" s="3" t="n">
        <v>-3293134.32249526</v>
      </c>
      <c r="AD18" s="3" t="n">
        <v>44483686.9040021</v>
      </c>
      <c r="AE18" s="3" t="n">
        <v>142639237.851851</v>
      </c>
      <c r="AF18" s="3" t="n">
        <v>6595143.4819147</v>
      </c>
      <c r="AG18" s="3" t="n">
        <v>6097194.60935413</v>
      </c>
      <c r="AH18" s="3" t="n">
        <v>-3536913.23977095</v>
      </c>
      <c r="AI18" s="3" t="n">
        <v>-89286.6479762422</v>
      </c>
      <c r="AJ18" s="3" t="n">
        <v>-495.629431044357</v>
      </c>
      <c r="AK18" s="3" t="n">
        <v>164479.53478436</v>
      </c>
      <c r="AL18" s="3" t="n">
        <v>-156864.258477905</v>
      </c>
      <c r="AM18" s="3" t="n">
        <v>9999.98</v>
      </c>
      <c r="AN18" s="3" t="n">
        <v>-1503935.17525681</v>
      </c>
      <c r="AO18" s="3" t="n">
        <v>25256.5193638408</v>
      </c>
      <c r="AP18" s="3"/>
    </row>
    <row r="19">
      <c r="A19" t="str">
        <f>N19</f>
      </c>
      <c r="B19" t="str">
        <f>O19</f>
      </c>
      <c r="N19" t="s">
        <v>47</v>
      </c>
      <c r="O19" t="s">
        <v>48</v>
      </c>
      <c r="P19" s="3" t="n">
        <v>138802381.031752</v>
      </c>
      <c r="Q19" s="3" t="n">
        <v>226753804.625792</v>
      </c>
      <c r="R19" s="3" t="n">
        <v>206250734.649709</v>
      </c>
      <c r="S19" s="3" t="n">
        <v>3851272805.21545</v>
      </c>
      <c r="T19" s="3" t="n">
        <v>6685044722.96281</v>
      </c>
      <c r="U19" s="3" t="n">
        <v>12411052181.486</v>
      </c>
      <c r="V19" s="3" t="n">
        <v>10284746437.5003</v>
      </c>
      <c r="W19" s="3" t="n">
        <v>7218164751.85298</v>
      </c>
      <c r="X19" s="3" t="n">
        <v>8413595704.55587</v>
      </c>
      <c r="Y19" s="3" t="n">
        <v>8929483025.79828</v>
      </c>
      <c r="Z19" s="3" t="n">
        <v>9886586951.61524</v>
      </c>
      <c r="AA19" s="3" t="n">
        <v>10312295223.3662</v>
      </c>
      <c r="AB19" s="3" t="n">
        <v>9374895932.30597</v>
      </c>
      <c r="AC19" s="3" t="n">
        <v>9361330945.77196</v>
      </c>
      <c r="AD19" s="3" t="n">
        <v>10032835809.3355</v>
      </c>
      <c r="AE19" s="3" t="n">
        <v>11074885300.2998</v>
      </c>
      <c r="AF19" s="3" t="n">
        <v>10643375017.4353</v>
      </c>
      <c r="AG19" s="3" t="n">
        <v>13434034002.9171</v>
      </c>
      <c r="AH19" s="3" t="n">
        <v>13604598813.5553</v>
      </c>
      <c r="AI19" s="3" t="n">
        <v>14134745527.2732</v>
      </c>
      <c r="AJ19" s="3" t="n">
        <v>15811746297.0182</v>
      </c>
      <c r="AK19" s="3" t="n">
        <v>15511453717.9373</v>
      </c>
      <c r="AL19" s="3" t="n">
        <v>16031618717.7713</v>
      </c>
      <c r="AM19" s="3" t="n">
        <v>18033725131.3617</v>
      </c>
      <c r="AN19" s="3" t="n">
        <v>16467162828.0793</v>
      </c>
      <c r="AO19" s="3" t="n">
        <v>5860811855.3084</v>
      </c>
      <c r="AP19" s="3"/>
    </row>
    <row r="20">
      <c r="A20" t="str">
        <f>N20</f>
      </c>
      <c r="B20" t="str">
        <f>O20</f>
      </c>
      <c r="N20" t="s">
        <v>47</v>
      </c>
      <c r="O20" t="s">
        <v>49</v>
      </c>
      <c r="P20" s="3" t="n">
        <v>17132838.0315206</v>
      </c>
      <c r="Q20" s="3" t="n">
        <v>11483148.0370809</v>
      </c>
      <c r="R20" s="3" t="n">
        <v>18375138.6077864</v>
      </c>
      <c r="S20" s="3" t="n">
        <v>365744625.310939</v>
      </c>
      <c r="T20" s="3" t="n">
        <v>272003751.877091</v>
      </c>
      <c r="U20" s="3" t="n">
        <v>449424031.682391</v>
      </c>
      <c r="V20" s="3" t="n">
        <v>361052905.287966</v>
      </c>
      <c r="W20" s="3" t="n">
        <v>299754192.040388</v>
      </c>
      <c r="X20" s="3" t="n">
        <v>196825318.832041</v>
      </c>
      <c r="Y20" s="3" t="n">
        <v>513563506.499946</v>
      </c>
      <c r="Z20" s="3" t="n">
        <v>468492112.767373</v>
      </c>
      <c r="AA20" s="3" t="n">
        <v>663810929.266442</v>
      </c>
      <c r="AB20" s="3" t="n">
        <v>669083834.249317</v>
      </c>
      <c r="AC20" s="3" t="n">
        <v>495395150.212065</v>
      </c>
      <c r="AD20" s="3" t="n">
        <v>359126514.158979</v>
      </c>
      <c r="AE20" s="3" t="n">
        <v>209088554.474062</v>
      </c>
      <c r="AF20" s="3" t="n">
        <v>790264492.472773</v>
      </c>
      <c r="AG20" s="3" t="n">
        <v>465082301.64528</v>
      </c>
      <c r="AH20" s="3" t="n">
        <v>438636951.748664</v>
      </c>
      <c r="AI20" s="3" t="n">
        <v>435414214.083364</v>
      </c>
      <c r="AJ20" s="3" t="n">
        <v>375848375.158024</v>
      </c>
      <c r="AK20" s="3" t="n">
        <v>412770582.182196</v>
      </c>
      <c r="AL20" s="3" t="n">
        <v>291695004.38904</v>
      </c>
      <c r="AM20" s="3" t="n">
        <v>349436065.1422</v>
      </c>
      <c r="AN20" s="3" t="n">
        <v>269452313.002386</v>
      </c>
      <c r="AO20" s="3" t="n">
        <v>96630921.877272</v>
      </c>
      <c r="AP20" s="3"/>
    </row>
    <row r="21">
      <c r="A21" t="str">
        <f>N21</f>
      </c>
      <c r="B21" t="str">
        <f>O21</f>
      </c>
      <c r="N21" t="s">
        <v>50</v>
      </c>
      <c r="O21" t="s">
        <v>50</v>
      </c>
      <c r="P21" s="3"/>
      <c r="Q21" s="3"/>
      <c r="R21" s="3" t="n">
        <v>119207799.505742</v>
      </c>
      <c r="S21" s="3" t="n">
        <v>143638220.440424</v>
      </c>
      <c r="T21" s="3" t="n">
        <v>1084299319.61429</v>
      </c>
      <c r="U21" s="3" t="n">
        <v>1021051116.50146</v>
      </c>
      <c r="V21" s="3" t="n">
        <v>963031111.45426</v>
      </c>
      <c r="W21" s="3" t="n">
        <v>1224429505.86605</v>
      </c>
      <c r="X21" s="3" t="n">
        <v>688172326.030992</v>
      </c>
      <c r="Y21" s="3" t="n">
        <v>810686918.048489</v>
      </c>
      <c r="Z21" s="3" t="n">
        <v>682327932.692921</v>
      </c>
      <c r="AA21" s="3" t="n">
        <v>1856956664.45476</v>
      </c>
      <c r="AB21" s="3" t="n">
        <v>530286327.311901</v>
      </c>
      <c r="AC21" s="3" t="n">
        <v>1218566099.03653</v>
      </c>
      <c r="AD21" s="3" t="n">
        <v>1203684844.85464</v>
      </c>
      <c r="AE21" s="3" t="n">
        <v>977144462.99664</v>
      </c>
      <c r="AF21" s="3" t="n">
        <v>453474605.992883</v>
      </c>
      <c r="AG21" s="3" t="n">
        <v>313287068.752218</v>
      </c>
      <c r="AH21" s="3" t="n">
        <v>674076414.972697</v>
      </c>
      <c r="AI21" s="3" t="n">
        <v>283801310.961802</v>
      </c>
      <c r="AJ21" s="3" t="n">
        <v>813811400.894833</v>
      </c>
      <c r="AK21" s="3" t="n">
        <v>656031292.067381</v>
      </c>
      <c r="AL21" s="3" t="n">
        <v>504291397.446003</v>
      </c>
      <c r="AM21" s="3" t="n">
        <v>354812816.3993</v>
      </c>
      <c r="AN21" s="3" t="n">
        <v>583682145.330977</v>
      </c>
      <c r="AO21" s="3" t="n">
        <v>99433309.6678794</v>
      </c>
      <c r="AP21" s="3"/>
    </row>
    <row r="22">
      <c r="A22" t="str">
        <f>N22</f>
      </c>
      <c r="B22" t="str">
        <f>O22</f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51</v>
      </c>
      <c r="N1" t="s">
        <v>2</v>
      </c>
      <c r="O1" t="s">
        <v>3</v>
      </c>
      <c r="P1" t="s">
        <v>4</v>
      </c>
      <c r="Q1" t="s">
        <v>5</v>
      </c>
      <c r="R1" t="s">
        <v>6</v>
      </c>
      <c r="S1" t="s">
        <v>7</v>
      </c>
      <c r="T1" t="s">
        <v>8</v>
      </c>
      <c r="U1" t="s">
        <v>9</v>
      </c>
      <c r="V1" t="s">
        <v>10</v>
      </c>
      <c r="W1" t="s">
        <v>11</v>
      </c>
      <c r="X1" t="s">
        <v>12</v>
      </c>
      <c r="Y1" t="s">
        <v>13</v>
      </c>
      <c r="Z1" t="s">
        <v>14</v>
      </c>
      <c r="AA1" t="s">
        <v>15</v>
      </c>
      <c r="AB1" t="s">
        <v>16</v>
      </c>
      <c r="AC1" t="s">
        <v>17</v>
      </c>
      <c r="AD1" t="s">
        <v>18</v>
      </c>
      <c r="AE1" t="s">
        <v>19</v>
      </c>
      <c r="AF1" t="s">
        <v>20</v>
      </c>
      <c r="AG1" t="s">
        <v>21</v>
      </c>
      <c r="AH1" t="s">
        <v>22</v>
      </c>
      <c r="AI1" t="s">
        <v>23</v>
      </c>
      <c r="AJ1" t="s">
        <v>24</v>
      </c>
      <c r="AK1" t="s">
        <v>25</v>
      </c>
      <c r="AL1" t="s">
        <v>26</v>
      </c>
      <c r="AM1" t="s">
        <v>27</v>
      </c>
    </row>
    <row r="2">
      <c r="A2" t="str">
        <f>M2</f>
      </c>
      <c r="M2" t="s">
        <v>52</v>
      </c>
      <c r="N2" s="4" t="n">
        <v>28548000</v>
      </c>
      <c r="O2" s="4" t="n">
        <v>36184409.1125</v>
      </c>
      <c r="P2" s="4" t="n">
        <v>510709107.11</v>
      </c>
      <c r="Q2" s="4" t="n">
        <v>1390728560.9687</v>
      </c>
      <c r="R2" s="4" t="n">
        <v>2430276607.8415</v>
      </c>
      <c r="S2" s="4" t="n">
        <v>4117016523.5272</v>
      </c>
      <c r="T2" s="4" t="n">
        <v>2897599534.4641</v>
      </c>
      <c r="U2" s="4" t="n">
        <v>3403257954.9192</v>
      </c>
      <c r="V2" s="4" t="n">
        <v>3123442548.1677</v>
      </c>
      <c r="W2" s="4" t="n">
        <v>3193589856.7303</v>
      </c>
      <c r="X2" s="4" t="n">
        <v>3192315950.9439</v>
      </c>
      <c r="Y2" s="4" t="n">
        <v>4137249895.1032</v>
      </c>
      <c r="Z2" s="4" t="n">
        <v>2815086933.9855</v>
      </c>
      <c r="AA2" s="4" t="n">
        <v>2996292362.7339</v>
      </c>
      <c r="AB2" s="4" t="n">
        <v>3280965226.9914</v>
      </c>
      <c r="AC2" s="4" t="n">
        <v>3004788027.388</v>
      </c>
      <c r="AD2" s="4" t="n">
        <v>3292170528.1352</v>
      </c>
      <c r="AE2" s="4" t="n">
        <v>4574849974.8399</v>
      </c>
      <c r="AF2" s="4" t="n">
        <v>4088246888.177</v>
      </c>
      <c r="AG2" s="4" t="n">
        <v>4226101984.8415</v>
      </c>
      <c r="AH2" s="4" t="n">
        <v>5105219043.5687</v>
      </c>
      <c r="AI2" s="4" t="n">
        <v>4364814918.4978</v>
      </c>
      <c r="AJ2" s="4" t="n">
        <v>3787677558.7648</v>
      </c>
      <c r="AK2" s="4" t="n">
        <v>3860754045.0062</v>
      </c>
      <c r="AL2" s="4" t="n">
        <v>3857161421.82</v>
      </c>
      <c r="AM2" s="4" t="n">
        <v>1207351980.02</v>
      </c>
      <c r="AN2" s="4"/>
      <c r="AO2" s="4"/>
    </row>
    <row r="3">
      <c r="A3" t="str">
        <f>M3</f>
      </c>
      <c r="M3" t="s">
        <v>53</v>
      </c>
      <c r="N3" s="4"/>
      <c r="O3" s="4"/>
      <c r="P3" s="4" t="n">
        <v>1522105.75</v>
      </c>
      <c r="Q3" s="4" t="n">
        <v>263734060.5503</v>
      </c>
      <c r="R3" s="4" t="n">
        <v>752207217.2602</v>
      </c>
      <c r="S3" s="4" t="n">
        <v>987851870.7339</v>
      </c>
      <c r="T3" s="4" t="n">
        <v>1252250385.3529</v>
      </c>
      <c r="U3" s="4" t="n">
        <v>571691325.7034</v>
      </c>
      <c r="V3" s="4" t="n">
        <v>1014873768.4888</v>
      </c>
      <c r="W3" s="4" t="n">
        <v>651174491.148</v>
      </c>
      <c r="X3" s="4" t="n">
        <v>514946854.3601</v>
      </c>
      <c r="Y3" s="4" t="n">
        <v>457799269.4012</v>
      </c>
      <c r="Z3" s="4" t="n">
        <v>314202894.422</v>
      </c>
      <c r="AA3" s="4" t="n">
        <v>317695576.27</v>
      </c>
      <c r="AB3" s="4" t="n">
        <v>263834909.7026</v>
      </c>
      <c r="AC3" s="4" t="n">
        <v>311629087.3712</v>
      </c>
      <c r="AD3" s="4" t="n">
        <v>475201502.3</v>
      </c>
      <c r="AE3" s="4" t="n">
        <v>349230809.7777</v>
      </c>
      <c r="AF3" s="4" t="n">
        <v>465679723.5515</v>
      </c>
      <c r="AG3" s="4" t="n">
        <v>554806629.6183</v>
      </c>
      <c r="AH3" s="4" t="n">
        <v>479469857.1001</v>
      </c>
      <c r="AI3" s="4" t="n">
        <v>378673213.972</v>
      </c>
      <c r="AJ3" s="4" t="n">
        <v>395115480.4679</v>
      </c>
      <c r="AK3" s="4" t="n">
        <v>485296296.609</v>
      </c>
      <c r="AL3" s="4" t="n">
        <v>468967665.51</v>
      </c>
      <c r="AM3" s="4" t="n">
        <v>108388149.16</v>
      </c>
      <c r="AN3" s="4"/>
      <c r="AO3" s="4"/>
    </row>
    <row r="4">
      <c r="A4" t="str">
        <f>M4</f>
      </c>
      <c r="M4" t="s">
        <v>54</v>
      </c>
      <c r="N4" s="4" t="n">
        <v>210091799.14</v>
      </c>
      <c r="O4" s="4" t="n">
        <v>283688588.7</v>
      </c>
      <c r="P4" s="4" t="n">
        <v>306930260.0147</v>
      </c>
      <c r="Q4" s="4" t="n">
        <v>2291437452.146</v>
      </c>
      <c r="R4" s="4" t="n">
        <v>4675600964.6641</v>
      </c>
      <c r="S4" s="4" t="n">
        <v>7601956886.1269</v>
      </c>
      <c r="T4" s="4" t="n">
        <v>12263913535.7936</v>
      </c>
      <c r="U4" s="4" t="n">
        <v>8436409871.8317</v>
      </c>
      <c r="V4" s="4" t="n">
        <v>9839728917.7698</v>
      </c>
      <c r="W4" s="4" t="n">
        <v>10427722854.8909</v>
      </c>
      <c r="X4" s="4" t="n">
        <v>9864347970.4514</v>
      </c>
      <c r="Y4" s="4" t="n">
        <v>9662953894.3512</v>
      </c>
      <c r="Z4" s="4" t="n">
        <v>9289170561.7548</v>
      </c>
      <c r="AA4" s="4" t="n">
        <v>8977248914.175</v>
      </c>
      <c r="AB4" s="4" t="n">
        <v>9275119477.6756</v>
      </c>
      <c r="AC4" s="4" t="n">
        <v>10125454853.0947</v>
      </c>
      <c r="AD4" s="4" t="n">
        <v>9791416808.955</v>
      </c>
      <c r="AE4" s="4" t="n">
        <v>11378188439.9693</v>
      </c>
      <c r="AF4" s="4" t="n">
        <v>13669824651.8073</v>
      </c>
      <c r="AG4" s="4" t="n">
        <v>12864449181.8656</v>
      </c>
      <c r="AH4" s="4" t="n">
        <v>14074321124.512</v>
      </c>
      <c r="AI4" s="4" t="n">
        <v>15063295314.3975</v>
      </c>
      <c r="AJ4" s="4" t="n">
        <v>16999745631.7227</v>
      </c>
      <c r="AK4" s="4" t="n">
        <v>19729396512.7535</v>
      </c>
      <c r="AL4" s="4" t="n">
        <v>19298830542.17</v>
      </c>
      <c r="AM4" s="4" t="n">
        <v>7237617306.85</v>
      </c>
      <c r="AN4" s="4"/>
      <c r="AO4" s="4"/>
    </row>
    <row r="5">
      <c r="A5" t="str">
        <f>M5</f>
      </c>
      <c r="M5" t="s">
        <v>55</v>
      </c>
      <c r="N5" s="4" t="n">
        <v>1039398.4494</v>
      </c>
      <c r="O5" s="4" t="n">
        <v>5089676.5699</v>
      </c>
      <c r="P5" s="4" t="n">
        <v>197578217.66</v>
      </c>
      <c r="Q5" s="4" t="n">
        <v>166625779.469</v>
      </c>
      <c r="R5" s="4" t="n">
        <v>10462496.0448</v>
      </c>
      <c r="S5" s="4" t="n">
        <v>111318713.5959</v>
      </c>
      <c r="T5" s="4" t="n">
        <v>81826417.9301</v>
      </c>
      <c r="U5" s="4" t="n">
        <v>57460158.51</v>
      </c>
      <c r="V5" s="4" t="n">
        <v>54066201.405</v>
      </c>
      <c r="W5" s="4" t="n">
        <v>27936212.61</v>
      </c>
      <c r="X5" s="4" t="n">
        <v>15669820.6349</v>
      </c>
      <c r="Y5" s="4" t="n">
        <v>1184460.9739</v>
      </c>
      <c r="Z5" s="4" t="n">
        <v>-140737.3527</v>
      </c>
      <c r="AA5" s="4" t="n">
        <v>-56068.87</v>
      </c>
      <c r="AB5" s="4" t="n">
        <v>-5050.97</v>
      </c>
      <c r="AC5" s="4" t="n">
        <v>-2472.44</v>
      </c>
      <c r="AD5" s="4" t="n">
        <v>-8609334.23</v>
      </c>
      <c r="AE5" s="4" t="n">
        <v>-269339.8699</v>
      </c>
      <c r="AF5" s="4" t="n">
        <v>0</v>
      </c>
      <c r="AG5" s="4" t="n">
        <v>-22889.17</v>
      </c>
      <c r="AH5" s="4" t="n">
        <v>0</v>
      </c>
      <c r="AI5" s="4" t="n">
        <v>0</v>
      </c>
      <c r="AJ5" s="4"/>
      <c r="AK5" s="4"/>
      <c r="AL5" s="4" t="n">
        <v>0</v>
      </c>
      <c r="AM5" s="4" t="n">
        <v>0</v>
      </c>
      <c r="AN5" s="4"/>
      <c r="AO5" s="4"/>
    </row>
    <row r="6">
      <c r="A6" t="str">
        <f>M6</f>
      </c>
      <c r="M6" t="s">
        <v>37</v>
      </c>
      <c r="N6" s="4" t="str">
        <f>Sum(N2:N5)</f>
      </c>
      <c r="O6" s="4" t="str">
        <f>Sum(O2:O5)</f>
      </c>
      <c r="P6" s="4" t="str">
        <f>Sum(P2:P5)</f>
      </c>
      <c r="Q6" s="4" t="str">
        <f>Sum(Q2:Q5)</f>
      </c>
      <c r="R6" s="4" t="str">
        <f>Sum(R2:R5)</f>
      </c>
      <c r="S6" s="4" t="str">
        <f>Sum(S2:S5)</f>
      </c>
      <c r="T6" s="4" t="str">
        <f>Sum(T2:T5)</f>
      </c>
      <c r="U6" s="4" t="str">
        <f>Sum(U2:U5)</f>
      </c>
      <c r="V6" s="4" t="str">
        <f>Sum(V2:V5)</f>
      </c>
      <c r="W6" s="4" t="str">
        <f>Sum(W2:W5)</f>
      </c>
      <c r="X6" s="4" t="str">
        <f>Sum(X2:X5)</f>
      </c>
      <c r="Y6" s="4" t="str">
        <f>Sum(Y2:Y5)</f>
      </c>
      <c r="Z6" s="4" t="str">
        <f>Sum(Z2:Z5)</f>
      </c>
      <c r="AA6" s="4" t="str">
        <f>Sum(AA2:AA5)</f>
      </c>
      <c r="AB6" s="4" t="str">
        <f>Sum(AB2:AB5)</f>
      </c>
      <c r="AC6" s="4" t="str">
        <f>Sum(AC2:AC5)</f>
      </c>
      <c r="AD6" s="4" t="str">
        <f>Sum(AD2:AD5)</f>
      </c>
      <c r="AE6" s="4" t="str">
        <f>Sum(AE2:AE5)</f>
      </c>
      <c r="AF6" s="4" t="str">
        <f>Sum(AF2:AF5)</f>
      </c>
      <c r="AG6" s="4" t="str">
        <f>Sum(AG2:AG5)</f>
      </c>
      <c r="AH6" s="4" t="str">
        <f>Sum(AH2:AH5)</f>
      </c>
      <c r="AI6" s="4" t="str">
        <f>Sum(AI2:AI5)</f>
      </c>
      <c r="AJ6" s="4" t="str">
        <f>Sum(AJ2:AJ5)</f>
      </c>
      <c r="AK6" s="4" t="str">
        <f>Sum(AK2:AK5)</f>
      </c>
      <c r="AL6" s="4" t="str">
        <f>Sum(AL2:AL5)</f>
      </c>
      <c r="AM6" s="4" t="str">
        <f>Sum(AM2:AM5)</f>
      </c>
      <c r="AN6" s="4" t="str">
        <f>Sum(AN2:AN5)</f>
      </c>
      <c r="AO6" s="4"/>
    </row>
    <row r="9">
      <c r="A9" t="str">
        <f>M9</f>
      </c>
      <c r="M9" t="s">
        <v>51</v>
      </c>
      <c r="N9" t="s">
        <v>2</v>
      </c>
      <c r="O9" t="s">
        <v>3</v>
      </c>
      <c r="P9" t="s">
        <v>4</v>
      </c>
      <c r="Q9" t="s">
        <v>5</v>
      </c>
      <c r="R9" t="s">
        <v>6</v>
      </c>
      <c r="S9" t="s">
        <v>7</v>
      </c>
      <c r="T9" t="s">
        <v>8</v>
      </c>
      <c r="U9" t="s">
        <v>9</v>
      </c>
      <c r="V9" t="s">
        <v>10</v>
      </c>
      <c r="W9" t="s">
        <v>11</v>
      </c>
      <c r="X9" t="s">
        <v>12</v>
      </c>
      <c r="Y9" t="s">
        <v>13</v>
      </c>
      <c r="Z9" t="s">
        <v>14</v>
      </c>
      <c r="AA9" t="s">
        <v>15</v>
      </c>
      <c r="AB9" t="s">
        <v>16</v>
      </c>
      <c r="AC9" t="s">
        <v>17</v>
      </c>
      <c r="AD9" t="s">
        <v>18</v>
      </c>
      <c r="AE9" t="s">
        <v>19</v>
      </c>
      <c r="AF9" t="s">
        <v>20</v>
      </c>
      <c r="AG9" t="s">
        <v>21</v>
      </c>
      <c r="AH9" t="s">
        <v>22</v>
      </c>
      <c r="AI9" t="s">
        <v>23</v>
      </c>
      <c r="AJ9" t="s">
        <v>24</v>
      </c>
      <c r="AK9" t="s">
        <v>25</v>
      </c>
      <c r="AL9" t="s">
        <v>26</v>
      </c>
      <c r="AM9" t="s">
        <v>27</v>
      </c>
    </row>
    <row r="10">
      <c r="A10" t="str">
        <f>M10</f>
      </c>
      <c r="M10" t="s">
        <v>52</v>
      </c>
      <c r="N10" s="4" t="n">
        <v>47994137.9770239</v>
      </c>
      <c r="O10" s="4" t="n">
        <v>59392642.4346966</v>
      </c>
      <c r="P10" s="4" t="n">
        <v>825288068.895002</v>
      </c>
      <c r="Q10" s="4" t="n">
        <v>2205042672.16747</v>
      </c>
      <c r="R10" s="4" t="n">
        <v>3761428496.66636</v>
      </c>
      <c r="S10" s="4" t="n">
        <v>6183883441.59667</v>
      </c>
      <c r="T10" s="4" t="n">
        <v>4215349481.94967</v>
      </c>
      <c r="U10" s="4" t="n">
        <v>4818321719.5133</v>
      </c>
      <c r="V10" s="4" t="n">
        <v>4332219426.20745</v>
      </c>
      <c r="W10" s="4" t="n">
        <v>4384675667.39027</v>
      </c>
      <c r="X10" s="4" t="n">
        <v>4345294469.10005</v>
      </c>
      <c r="Y10" s="4" t="n">
        <v>5520705017.69162</v>
      </c>
      <c r="Z10" s="4" t="n">
        <v>3689474577.66038</v>
      </c>
      <c r="AA10" s="4" t="n">
        <v>3856979949.3182</v>
      </c>
      <c r="AB10" s="4" t="n">
        <v>4147757096.79488</v>
      </c>
      <c r="AC10" s="4" t="n">
        <v>3759680960.40552</v>
      </c>
      <c r="AD10" s="4" t="n">
        <v>4086589958.72835</v>
      </c>
      <c r="AE10" s="4" t="n">
        <v>5584519365.35985</v>
      </c>
      <c r="AF10" s="4" t="n">
        <v>4882139478.27702</v>
      </c>
      <c r="AG10" s="4" t="n">
        <v>4955146186.74126</v>
      </c>
      <c r="AH10" s="4" t="n">
        <v>5908733180.58233</v>
      </c>
      <c r="AI10" s="4" t="n">
        <v>4883711797.43579</v>
      </c>
      <c r="AJ10" s="4" t="n">
        <v>3960950908.97047</v>
      </c>
      <c r="AK10" s="4" t="n">
        <v>3860754045.0062</v>
      </c>
      <c r="AL10" s="4" t="n">
        <v>3756831524.21626</v>
      </c>
      <c r="AM10" s="4" t="n">
        <v>1150698440.08855</v>
      </c>
      <c r="AN10" s="4"/>
      <c r="AO10" s="4"/>
    </row>
    <row r="11">
      <c r="A11" t="str">
        <f>M11</f>
      </c>
      <c r="M11" t="s">
        <v>53</v>
      </c>
      <c r="N11" s="4"/>
      <c r="O11" s="4"/>
      <c r="P11" s="4" t="n">
        <v>2459669.69764828</v>
      </c>
      <c r="Q11" s="4" t="n">
        <v>418158419.938066</v>
      </c>
      <c r="R11" s="4" t="n">
        <v>1164218777.92487</v>
      </c>
      <c r="S11" s="4" t="n">
        <v>1483783412.39885</v>
      </c>
      <c r="T11" s="4" t="n">
        <v>1821740012.85685</v>
      </c>
      <c r="U11" s="4" t="n">
        <v>809398749.075853</v>
      </c>
      <c r="V11" s="4" t="n">
        <v>1407631415.39925</v>
      </c>
      <c r="W11" s="4" t="n">
        <v>894037454.604489</v>
      </c>
      <c r="X11" s="4" t="n">
        <v>700931785.110368</v>
      </c>
      <c r="Y11" s="4" t="n">
        <v>610882781.499405</v>
      </c>
      <c r="Z11" s="4" t="n">
        <v>411796728.975634</v>
      </c>
      <c r="AA11" s="4" t="n">
        <v>408953906.801819</v>
      </c>
      <c r="AB11" s="4" t="n">
        <v>333536945.194837</v>
      </c>
      <c r="AC11" s="4" t="n">
        <v>389919666.818068</v>
      </c>
      <c r="AD11" s="4" t="n">
        <v>589870321.441641</v>
      </c>
      <c r="AE11" s="4" t="n">
        <v>426306049.577532</v>
      </c>
      <c r="AF11" s="4" t="n">
        <v>556109605.111862</v>
      </c>
      <c r="AG11" s="4" t="n">
        <v>650516235.763533</v>
      </c>
      <c r="AH11" s="4" t="n">
        <v>554933966.507348</v>
      </c>
      <c r="AI11" s="4" t="n">
        <v>423690552.057692</v>
      </c>
      <c r="AJ11" s="4" t="n">
        <v>413190668.219922</v>
      </c>
      <c r="AK11" s="4" t="n">
        <v>485296296.609</v>
      </c>
      <c r="AL11" s="4" t="n">
        <v>456769192.924976</v>
      </c>
      <c r="AM11" s="4" t="n">
        <v>103302165.587562</v>
      </c>
      <c r="AN11" s="4"/>
      <c r="AO11" s="4"/>
    </row>
    <row r="12">
      <c r="A12" t="str">
        <f>M12</f>
      </c>
      <c r="M12" t="s">
        <v>54</v>
      </c>
      <c r="N12" s="4" t="n">
        <v>353200742.46064</v>
      </c>
      <c r="O12" s="4" t="n">
        <v>465642947.466075</v>
      </c>
      <c r="P12" s="4" t="n">
        <v>495988573.625365</v>
      </c>
      <c r="Q12" s="4" t="n">
        <v>3633144169.4598</v>
      </c>
      <c r="R12" s="4" t="n">
        <v>7236599591.49608</v>
      </c>
      <c r="S12" s="4" t="n">
        <v>11418369356.3554</v>
      </c>
      <c r="T12" s="4" t="n">
        <v>17841209923.9049</v>
      </c>
      <c r="U12" s="4" t="n">
        <v>11944242093.4937</v>
      </c>
      <c r="V12" s="4" t="n">
        <v>13647718537.7347</v>
      </c>
      <c r="W12" s="4" t="n">
        <v>14316861187.3477</v>
      </c>
      <c r="X12" s="4" t="n">
        <v>13427084704.6349</v>
      </c>
      <c r="Y12" s="4" t="n">
        <v>12894149351.0961</v>
      </c>
      <c r="Z12" s="4" t="n">
        <v>12174458352.0283</v>
      </c>
      <c r="AA12" s="4" t="n">
        <v>11555971470.8276</v>
      </c>
      <c r="AB12" s="4" t="n">
        <v>11725495387.9614</v>
      </c>
      <c r="AC12" s="4" t="n">
        <v>12669273000.1716</v>
      </c>
      <c r="AD12" s="4" t="n">
        <v>12154141248.529</v>
      </c>
      <c r="AE12" s="4" t="n">
        <v>13889354631.3387</v>
      </c>
      <c r="AF12" s="4" t="n">
        <v>16324354281.7132</v>
      </c>
      <c r="AG12" s="4" t="n">
        <v>15083693327.0172</v>
      </c>
      <c r="AH12" s="4" t="n">
        <v>16289488759.0254</v>
      </c>
      <c r="AI12" s="4" t="n">
        <v>16854046370.539</v>
      </c>
      <c r="AJ12" s="4" t="n">
        <v>17777426105.4569</v>
      </c>
      <c r="AK12" s="4" t="n">
        <v>19729396512.7535</v>
      </c>
      <c r="AL12" s="4" t="n">
        <v>18796842297.3394</v>
      </c>
      <c r="AM12" s="4" t="n">
        <v>6898000817.30287</v>
      </c>
      <c r="AN12" s="4"/>
      <c r="AO12" s="4"/>
    </row>
    <row r="13">
      <c r="A13" t="str">
        <f>M13</f>
      </c>
      <c r="M13" t="s">
        <v>55</v>
      </c>
      <c r="N13" s="4" t="n">
        <v>1747409.01616955</v>
      </c>
      <c r="O13" s="4" t="n">
        <v>8354132.29174155</v>
      </c>
      <c r="P13" s="4" t="n">
        <v>319279494.800975</v>
      </c>
      <c r="Q13" s="4" t="n">
        <v>264190269.995168</v>
      </c>
      <c r="R13" s="4" t="n">
        <v>16193189.9612542</v>
      </c>
      <c r="S13" s="4" t="n">
        <v>167204077.470101</v>
      </c>
      <c r="T13" s="4" t="n">
        <v>119038861.074098</v>
      </c>
      <c r="U13" s="4" t="n">
        <v>81351908.5014475</v>
      </c>
      <c r="V13" s="4" t="n">
        <v>74989901.1798342</v>
      </c>
      <c r="W13" s="4" t="n">
        <v>38355342.1589078</v>
      </c>
      <c r="X13" s="4" t="n">
        <v>21329337.6918058</v>
      </c>
      <c r="Y13" s="4" t="n">
        <v>1580532.91622756</v>
      </c>
      <c r="Z13" s="4" t="n">
        <v>-184451.456416922</v>
      </c>
      <c r="AA13" s="4" t="n">
        <v>-72174.7016614929</v>
      </c>
      <c r="AB13" s="4" t="n">
        <v>-6385.37601399972</v>
      </c>
      <c r="AC13" s="4" t="n">
        <v>-3093.59113155995</v>
      </c>
      <c r="AD13" s="4" t="n">
        <v>-10686815.4352816</v>
      </c>
      <c r="AE13" s="4" t="n">
        <v>-328783.179250089</v>
      </c>
      <c r="AF13" s="4" t="n">
        <v>0</v>
      </c>
      <c r="AG13" s="4" t="n">
        <v>-26837.7771880548</v>
      </c>
      <c r="AH13" s="4" t="n">
        <v>0</v>
      </c>
      <c r="AI13" s="4" t="n">
        <v>0</v>
      </c>
      <c r="AJ13" s="4"/>
      <c r="AK13" s="4"/>
      <c r="AL13" s="4" t="n">
        <v>0</v>
      </c>
      <c r="AM13" s="4" t="n">
        <v>0</v>
      </c>
      <c r="AN13" s="4"/>
      <c r="AO13" s="4"/>
    </row>
    <row r="14">
      <c r="A14" t="str">
        <f>M14</f>
      </c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../output/FedAcqTrends/Customer//DHS/DHS_Contracts.xlsx</dc:creator>
  <cp:lastModifiedBy>../output/FedAcqTrends/Customer//DHS/DHS_Contracts.xlsx</cp:lastModifiedBy>
  <dcterms:created xsi:type="dcterms:W3CDTF">2025-11-16T16:54:32Z</dcterms:created>
</coreProperties>
</file>