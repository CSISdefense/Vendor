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</sheets>
</workbook>
</file>

<file path=xl/sharedStrings.xml><?xml version="1.0" encoding="utf-8"?>
<sst xmlns="http://schemas.openxmlformats.org/spreadsheetml/2006/main" count="39" uniqueCount="39">
  <si>
    <t xml:space="preserve">Vehicle.AwardTask</t>
  </si>
  <si>
    <t xml:space="preserve">Vehicle.sum7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</si>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</sst>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</row>
    <row r="2">
      <c r="A2" t="str">
        <f>M2</f>
      </c>
      <c r="B2" t="str">
        <f>N2</f>
      </c>
      <c r="M2" t="s">
        <v>28</v>
      </c>
      <c r="N2" t="s">
        <v>29</v>
      </c>
      <c r="O2" s="1" t="n">
        <v>15993325053.8429</v>
      </c>
      <c r="P2" s="1" t="n">
        <v>17860545497.29</v>
      </c>
      <c r="Q2" s="1" t="n">
        <v>18688954983.14</v>
      </c>
      <c r="R2" s="1" t="n">
        <v>25139387785.01</v>
      </c>
      <c r="S2" s="1" t="n">
        <v>21092600362.66</v>
      </c>
      <c r="T2" s="1" t="n">
        <v>22578491210.63</v>
      </c>
      <c r="U2" s="1" t="n">
        <v>22114941451.91</v>
      </c>
      <c r="V2" s="1" t="n">
        <v>22394463691.47</v>
      </c>
      <c r="W2" s="1" t="n">
        <v>23037063198.68</v>
      </c>
      <c r="X2" s="1" t="n">
        <v>30129822561.07</v>
      </c>
      <c r="Y2" s="1" t="n">
        <v>24223561888.2535</v>
      </c>
      <c r="Z2" s="1" t="n">
        <v>23991753905.4552</v>
      </c>
      <c r="AA2" s="1" t="n">
        <v>24042173146.1448</v>
      </c>
      <c r="AB2" s="1" t="n">
        <v>23012108687.5095</v>
      </c>
      <c r="AC2" s="1" t="n">
        <v>24350206876.105</v>
      </c>
      <c r="AD2" s="1" t="n">
        <v>23868546268.6198</v>
      </c>
      <c r="AE2" s="1" t="n">
        <v>26884573517.27</v>
      </c>
      <c r="AF2" s="1" t="n">
        <v>27487828718.7235</v>
      </c>
      <c r="AG2" s="1" t="n">
        <v>30226290304.98</v>
      </c>
      <c r="AH2" s="1" t="n">
        <v>31454719271.06</v>
      </c>
      <c r="AI2" s="1" t="n">
        <v>33949846059.32</v>
      </c>
      <c r="AJ2" s="1" t="n">
        <v>35548084758.71</v>
      </c>
      <c r="AK2" s="1" t="n">
        <v>37849689473.28</v>
      </c>
      <c r="AL2" s="1" t="n">
        <v>39794765716.47</v>
      </c>
      <c r="AM2" s="1" t="n">
        <v>40835486505.42</v>
      </c>
      <c r="AN2" s="1" t="n">
        <v>19429580472.6</v>
      </c>
      <c r="AO2" s="1"/>
    </row>
    <row r="3">
      <c r="A3" t="str">
        <f>M3</f>
      </c>
      <c r="B3" t="str">
        <f>N3</f>
      </c>
      <c r="M3" t="s">
        <v>28</v>
      </c>
      <c r="N3" t="s">
        <v>30</v>
      </c>
      <c r="O3" s="1" t="n">
        <v>4298232603</v>
      </c>
      <c r="P3" s="1" t="n">
        <v>4741295779.1</v>
      </c>
      <c r="Q3" s="1" t="n">
        <v>4812261821.36</v>
      </c>
      <c r="R3" s="1" t="n">
        <v>4771614485.38</v>
      </c>
      <c r="S3" s="1" t="n">
        <v>43360971.82</v>
      </c>
      <c r="T3" s="1" t="n">
        <v>51020154.98</v>
      </c>
      <c r="U3" s="1" t="n">
        <v>57292904.4</v>
      </c>
      <c r="V3" s="1" t="n">
        <v>64316873.18</v>
      </c>
      <c r="W3" s="1" t="n">
        <v>70285958.02</v>
      </c>
      <c r="X3" s="1" t="n">
        <v>88002605.32</v>
      </c>
      <c r="Y3" s="1" t="n">
        <v>70045103.2618</v>
      </c>
      <c r="Z3" s="1" t="n">
        <v>51515053.317</v>
      </c>
      <c r="AA3" s="1" t="n">
        <v>50279712.7313</v>
      </c>
      <c r="AB3" s="1" t="n">
        <v>41345439.0309</v>
      </c>
      <c r="AC3" s="1" t="n">
        <v>48190502.9535</v>
      </c>
      <c r="AD3" s="1" t="n">
        <v>44186347.0378</v>
      </c>
      <c r="AE3" s="1" t="n">
        <v>45894443.21</v>
      </c>
      <c r="AF3" s="1" t="n">
        <v>45548985.1267</v>
      </c>
      <c r="AG3" s="1" t="n">
        <v>43955923.47</v>
      </c>
      <c r="AH3" s="1" t="n">
        <v>44488575.4</v>
      </c>
      <c r="AI3" s="1" t="n">
        <v>44782356.84</v>
      </c>
      <c r="AJ3" s="1" t="n">
        <v>53749359.01</v>
      </c>
      <c r="AK3" s="1" t="n">
        <v>47312927.5</v>
      </c>
      <c r="AL3" s="1" t="n">
        <v>64607686.03</v>
      </c>
      <c r="AM3" s="1" t="n">
        <v>70968899.48</v>
      </c>
      <c r="AN3" s="1" t="n">
        <v>20545468.45</v>
      </c>
      <c r="AO3" s="1"/>
    </row>
    <row r="4">
      <c r="A4" t="str">
        <f>M4</f>
      </c>
      <c r="B4" t="str">
        <f>N4</f>
      </c>
      <c r="M4" t="s">
        <v>31</v>
      </c>
      <c r="N4" t="s">
        <v>32</v>
      </c>
      <c r="O4" s="1" t="n">
        <v>1248000</v>
      </c>
      <c r="P4" s="1" t="n">
        <v>260296</v>
      </c>
      <c r="Q4" s="1" t="n">
        <v>5372537</v>
      </c>
      <c r="R4" s="1" t="n">
        <v>10895557.59</v>
      </c>
      <c r="S4" s="1" t="n">
        <v>10596680.2915</v>
      </c>
      <c r="T4" s="1" t="n">
        <v>11659793.7583</v>
      </c>
      <c r="U4" s="1" t="n">
        <v>17477102.8018</v>
      </c>
      <c r="V4" s="1" t="n">
        <v>20209913.5508</v>
      </c>
      <c r="W4" s="1" t="n">
        <v>35423745.0126</v>
      </c>
      <c r="X4" s="1" t="n">
        <v>64870943.32</v>
      </c>
      <c r="Y4" s="1" t="n">
        <v>63057720.7572</v>
      </c>
      <c r="Z4" s="1" t="n">
        <v>33879511.8135</v>
      </c>
      <c r="AA4" s="1" t="n">
        <v>35707599.7197</v>
      </c>
      <c r="AB4" s="1" t="n">
        <v>51699106.8523</v>
      </c>
      <c r="AC4" s="1" t="n">
        <v>92198242.5141</v>
      </c>
      <c r="AD4" s="1" t="n">
        <v>117995743.312</v>
      </c>
      <c r="AE4" s="1" t="n">
        <v>204031843.39</v>
      </c>
      <c r="AF4" s="1" t="n">
        <v>193997286.5474</v>
      </c>
      <c r="AG4" s="1" t="n">
        <v>218124524.9281</v>
      </c>
      <c r="AH4" s="1" t="n">
        <v>415663070.0352</v>
      </c>
      <c r="AI4" s="1" t="n">
        <v>544444319.8167</v>
      </c>
      <c r="AJ4" s="1" t="n">
        <v>579768919.3873</v>
      </c>
      <c r="AK4" s="1" t="n">
        <v>631571386.5459</v>
      </c>
      <c r="AL4" s="1" t="n">
        <v>800889798.236</v>
      </c>
      <c r="AM4" s="1" t="n">
        <v>980168604.37</v>
      </c>
      <c r="AN4" s="1" t="n">
        <v>287043209.8</v>
      </c>
      <c r="AO4" s="1"/>
    </row>
    <row r="5">
      <c r="A5" t="str">
        <f>M5</f>
      </c>
      <c r="B5" t="str">
        <f>N5</f>
      </c>
      <c r="M5" t="s">
        <v>31</v>
      </c>
      <c r="N5" t="s">
        <v>33</v>
      </c>
      <c r="O5" s="1" t="n">
        <v>106454281.6748</v>
      </c>
      <c r="P5" s="1" t="n">
        <v>157897866.7578</v>
      </c>
      <c r="Q5" s="1" t="n">
        <v>180713939.4736</v>
      </c>
      <c r="R5" s="1" t="n">
        <v>207256999.6678</v>
      </c>
      <c r="S5" s="1" t="n">
        <v>236561687.2139</v>
      </c>
      <c r="T5" s="1" t="n">
        <v>233524469.2074</v>
      </c>
      <c r="U5" s="1" t="n">
        <v>234621022.2297</v>
      </c>
      <c r="V5" s="1" t="n">
        <v>286334226.9621</v>
      </c>
      <c r="W5" s="1" t="n">
        <v>335063195.2258</v>
      </c>
      <c r="X5" s="1" t="n">
        <v>429009645.4513</v>
      </c>
      <c r="Y5" s="1" t="n">
        <v>505207564.7469</v>
      </c>
      <c r="Z5" s="1" t="n">
        <v>416034866.9633</v>
      </c>
      <c r="AA5" s="1" t="n">
        <v>506528650.5208</v>
      </c>
      <c r="AB5" s="1" t="n">
        <v>475619452.3506</v>
      </c>
      <c r="AC5" s="1" t="n">
        <v>461810875.0971</v>
      </c>
      <c r="AD5" s="1" t="n">
        <v>588527039.3611</v>
      </c>
      <c r="AE5" s="1" t="n">
        <v>549650639.37</v>
      </c>
      <c r="AF5" s="1" t="n">
        <v>600371589.5695</v>
      </c>
      <c r="AG5" s="1" t="n">
        <v>670006403.4789</v>
      </c>
      <c r="AH5" s="1" t="n">
        <v>516923123.7676</v>
      </c>
      <c r="AI5" s="1" t="n">
        <v>513643959.6873</v>
      </c>
      <c r="AJ5" s="1" t="n">
        <v>515748897.2062</v>
      </c>
      <c r="AK5" s="1" t="n">
        <v>723495152.8199</v>
      </c>
      <c r="AL5" s="1" t="n">
        <v>818722548.8353</v>
      </c>
      <c r="AM5" s="1" t="n">
        <v>903866444</v>
      </c>
      <c r="AN5" s="1" t="n">
        <v>417587627.71</v>
      </c>
      <c r="AO5" s="1"/>
    </row>
    <row r="6">
      <c r="A6" t="str">
        <f>M6</f>
      </c>
      <c r="B6" t="str">
        <f>N6</f>
      </c>
      <c r="M6" t="s">
        <v>31</v>
      </c>
      <c r="N6" t="s">
        <v>34</v>
      </c>
      <c r="O6" s="1" t="n">
        <v>29822448.957</v>
      </c>
      <c r="P6" s="1" t="n">
        <v>24288622.0606</v>
      </c>
      <c r="Q6" s="1" t="n">
        <v>28380344.1054</v>
      </c>
      <c r="R6" s="1" t="n">
        <v>77206451.5905</v>
      </c>
      <c r="S6" s="1" t="n">
        <v>95787883.5683</v>
      </c>
      <c r="T6" s="1" t="n">
        <v>190331776.2757</v>
      </c>
      <c r="U6" s="1" t="n">
        <v>191597921.3732</v>
      </c>
      <c r="V6" s="1" t="n">
        <v>298625092.7168</v>
      </c>
      <c r="W6" s="1" t="n">
        <v>351082871.2461</v>
      </c>
      <c r="X6" s="1" t="n">
        <v>530247790.8407</v>
      </c>
      <c r="Y6" s="1" t="n">
        <v>435574646.9299</v>
      </c>
      <c r="Z6" s="1" t="n">
        <v>240846722.2813</v>
      </c>
      <c r="AA6" s="1" t="n">
        <v>257743125.1621</v>
      </c>
      <c r="AB6" s="1" t="n">
        <v>143038665.6201</v>
      </c>
      <c r="AC6" s="1" t="n">
        <v>310960134.3748</v>
      </c>
      <c r="AD6" s="1" t="n">
        <v>275079967.38</v>
      </c>
      <c r="AE6" s="1" t="n">
        <v>297083973.8</v>
      </c>
      <c r="AF6" s="1" t="n">
        <v>297212888.9184</v>
      </c>
      <c r="AG6" s="1" t="n">
        <v>134721156.6489</v>
      </c>
      <c r="AH6" s="1" t="n">
        <v>202760873.4678</v>
      </c>
      <c r="AI6" s="1" t="n">
        <v>153908009.7938</v>
      </c>
      <c r="AJ6" s="1" t="n">
        <v>172774929.0624</v>
      </c>
      <c r="AK6" s="1" t="n">
        <v>193455404.4687</v>
      </c>
      <c r="AL6" s="1" t="n">
        <v>205925851.8971</v>
      </c>
      <c r="AM6" s="1" t="n">
        <v>183339978.13</v>
      </c>
      <c r="AN6" s="1" t="n">
        <v>92443587.05</v>
      </c>
      <c r="AO6" s="1"/>
    </row>
    <row r="7">
      <c r="A7" t="str">
        <f>M7</f>
      </c>
      <c r="B7" t="str">
        <f>N7</f>
      </c>
      <c r="M7" t="s">
        <v>31</v>
      </c>
      <c r="N7" t="s">
        <v>35</v>
      </c>
      <c r="O7" s="1" t="n">
        <v>35185827</v>
      </c>
      <c r="P7" s="1" t="n">
        <v>70363342.3535</v>
      </c>
      <c r="Q7" s="1" t="n">
        <v>67080375.2612</v>
      </c>
      <c r="R7" s="1" t="n">
        <v>105323563.6778</v>
      </c>
      <c r="S7" s="1" t="n">
        <v>219829463.0956</v>
      </c>
      <c r="T7" s="1" t="n">
        <v>114788295.9105</v>
      </c>
      <c r="U7" s="1" t="n">
        <v>304633833.3667</v>
      </c>
      <c r="V7" s="1" t="n">
        <v>363785873.5585</v>
      </c>
      <c r="W7" s="1" t="n">
        <v>372966569.6253</v>
      </c>
      <c r="X7" s="1" t="n">
        <v>412820153.0447</v>
      </c>
      <c r="Y7" s="1" t="n">
        <v>452419467.5971</v>
      </c>
      <c r="Z7" s="1" t="n">
        <v>385741284.7021</v>
      </c>
      <c r="AA7" s="1" t="n">
        <v>292665379.4281</v>
      </c>
      <c r="AB7" s="1" t="n">
        <v>260516165.1792</v>
      </c>
      <c r="AC7" s="1" t="n">
        <v>240223763.3979</v>
      </c>
      <c r="AD7" s="1" t="n">
        <v>279224102.4876</v>
      </c>
      <c r="AE7" s="1" t="n">
        <v>307583448.7</v>
      </c>
      <c r="AF7" s="1" t="n">
        <v>341117453.2867</v>
      </c>
      <c r="AG7" s="1" t="n">
        <v>670003463.2157</v>
      </c>
      <c r="AH7" s="1" t="n">
        <v>677013920.9939</v>
      </c>
      <c r="AI7" s="1" t="n">
        <v>772169146.0234</v>
      </c>
      <c r="AJ7" s="1" t="n">
        <v>1689861585.9792</v>
      </c>
      <c r="AK7" s="1" t="n">
        <v>3466842740.2332</v>
      </c>
      <c r="AL7" s="1" t="n">
        <v>4589251874.4351</v>
      </c>
      <c r="AM7" s="1" t="n">
        <v>4697359691.04</v>
      </c>
      <c r="AN7" s="1" t="n">
        <v>2371091297.64</v>
      </c>
      <c r="AO7" s="1"/>
    </row>
    <row r="8">
      <c r="A8" t="str">
        <f>M8</f>
      </c>
      <c r="B8" t="str">
        <f>N8</f>
      </c>
      <c r="M8" t="s">
        <v>31</v>
      </c>
      <c r="N8" t="s">
        <v>36</v>
      </c>
      <c r="O8" s="1" t="n">
        <v>180272304.0826</v>
      </c>
      <c r="P8" s="1" t="n">
        <v>207641811.2164</v>
      </c>
      <c r="Q8" s="1" t="n">
        <v>222862064.378</v>
      </c>
      <c r="R8" s="1" t="n">
        <v>203450332.9031</v>
      </c>
      <c r="S8" s="1" t="n">
        <v>139176374.9245</v>
      </c>
      <c r="T8" s="1" t="n">
        <v>57082496.7874</v>
      </c>
      <c r="U8" s="1" t="n">
        <v>41974558.313</v>
      </c>
      <c r="V8" s="1" t="n">
        <v>-2626711.3506</v>
      </c>
      <c r="W8" s="1" t="n">
        <v>-273585.3103</v>
      </c>
      <c r="X8" s="1" t="n">
        <v>126948.1373</v>
      </c>
      <c r="Y8" s="1" t="n">
        <v>-578160.4734</v>
      </c>
      <c r="Z8" s="1" t="n">
        <v>-378023.7162</v>
      </c>
      <c r="AA8" s="1" t="n">
        <v>-95670.7891</v>
      </c>
      <c r="AB8" s="1" t="n">
        <v>-62337.51</v>
      </c>
      <c r="AC8" s="1" t="n">
        <v>842304.13</v>
      </c>
      <c r="AD8" s="1" t="n">
        <v>0</v>
      </c>
      <c r="AE8" s="1" t="n">
        <v>-163.88</v>
      </c>
      <c r="AF8" s="1"/>
      <c r="AG8" s="1"/>
      <c r="AH8" s="1"/>
      <c r="AI8" s="1"/>
      <c r="AJ8" s="1"/>
      <c r="AK8" s="1"/>
      <c r="AL8" s="1"/>
      <c r="AM8" s="1"/>
      <c r="AN8" s="1"/>
      <c r="AO8" s="1"/>
    </row>
    <row r="9">
      <c r="A9" t="str">
        <f>M9</f>
      </c>
      <c r="B9" t="str">
        <f>N9</f>
      </c>
      <c r="M9" t="s">
        <v>37</v>
      </c>
      <c r="N9" t="s">
        <v>38</v>
      </c>
      <c r="O9" s="1" t="str">
        <f>Sum(O2:O8)</f>
      </c>
      <c r="P9" s="1" t="str">
        <f>Sum(P2:P8)</f>
      </c>
      <c r="Q9" s="1" t="str">
        <f>Sum(Q2:Q8)</f>
      </c>
      <c r="R9" s="1" t="str">
        <f>Sum(R2:R8)</f>
      </c>
      <c r="S9" s="1" t="str">
        <f>Sum(S2:S8)</f>
      </c>
      <c r="T9" s="1" t="str">
        <f>Sum(T2:T8)</f>
      </c>
      <c r="U9" s="1" t="str">
        <f>Sum(U2:U8)</f>
      </c>
      <c r="V9" s="1" t="str">
        <f>Sum(V2:V8)</f>
      </c>
      <c r="W9" s="1" t="str">
        <f>Sum(W2:W8)</f>
      </c>
      <c r="X9" s="1" t="str">
        <f>Sum(X2:X8)</f>
      </c>
      <c r="Y9" s="1" t="str">
        <f>Sum(Y2:Y8)</f>
      </c>
      <c r="Z9" s="1" t="str">
        <f>Sum(Z2:Z8)</f>
      </c>
      <c r="AA9" s="1" t="str">
        <f>Sum(AA2:AA8)</f>
      </c>
      <c r="AB9" s="1" t="str">
        <f>Sum(AB2:AB8)</f>
      </c>
      <c r="AC9" s="1" t="str">
        <f>Sum(AC2:AC8)</f>
      </c>
      <c r="AD9" s="1" t="str">
        <f>Sum(AD2:AD8)</f>
      </c>
      <c r="AE9" s="1" t="str">
        <f>Sum(AE2:AE8)</f>
      </c>
      <c r="AF9" s="1" t="str">
        <f>Sum(AF2:AF8)</f>
      </c>
      <c r="AG9" s="1" t="str">
        <f>Sum(AG2:AG8)</f>
      </c>
      <c r="AH9" s="1" t="str">
        <f>Sum(AH2:AH8)</f>
      </c>
      <c r="AI9" s="1" t="str">
        <f>Sum(AI2:AI8)</f>
      </c>
      <c r="AJ9" s="1" t="str">
        <f>Sum(AJ2:AJ8)</f>
      </c>
      <c r="AK9" s="1" t="str">
        <f>Sum(AK2:AK8)</f>
      </c>
      <c r="AL9" s="1" t="str">
        <f>Sum(AL2:AL8)</f>
      </c>
      <c r="AM9" s="1" t="str">
        <f>Sum(AM2:AM8)</f>
      </c>
      <c r="AN9" s="1" t="str">
        <f>Sum(AN2:AN8)</f>
      </c>
      <c r="AO9" s="1"/>
    </row>
    <row r="12">
      <c r="A12" t="str">
        <f>M12</f>
      </c>
      <c r="B12" t="str">
        <f>N12</f>
      </c>
      <c r="M12" t="s">
        <v>0</v>
      </c>
      <c r="N12" t="s">
        <v>1</v>
      </c>
      <c r="O12" t="s">
        <v>2</v>
      </c>
      <c r="P12" t="s">
        <v>3</v>
      </c>
      <c r="Q12" t="s">
        <v>4</v>
      </c>
      <c r="R12" t="s">
        <v>5</v>
      </c>
      <c r="S12" t="s">
        <v>6</v>
      </c>
      <c r="T12" t="s">
        <v>7</v>
      </c>
      <c r="U12" t="s">
        <v>8</v>
      </c>
      <c r="V12" t="s">
        <v>9</v>
      </c>
      <c r="W12" t="s">
        <v>10</v>
      </c>
      <c r="X12" t="s">
        <v>11</v>
      </c>
      <c r="Y12" t="s">
        <v>12</v>
      </c>
      <c r="Z12" t="s">
        <v>13</v>
      </c>
      <c r="AA12" t="s">
        <v>14</v>
      </c>
      <c r="AB12" t="s">
        <v>15</v>
      </c>
      <c r="AC12" t="s">
        <v>16</v>
      </c>
      <c r="AD12" t="s">
        <v>17</v>
      </c>
      <c r="AE12" t="s">
        <v>18</v>
      </c>
      <c r="AF12" t="s">
        <v>19</v>
      </c>
      <c r="AG12" t="s">
        <v>20</v>
      </c>
      <c r="AH12" t="s">
        <v>21</v>
      </c>
      <c r="AI12" t="s">
        <v>22</v>
      </c>
      <c r="AJ12" t="s">
        <v>23</v>
      </c>
      <c r="AK12" t="s">
        <v>24</v>
      </c>
      <c r="AL12" t="s">
        <v>25</v>
      </c>
      <c r="AM12" t="s">
        <v>26</v>
      </c>
      <c r="AN12" t="s">
        <v>27</v>
      </c>
    </row>
    <row r="13">
      <c r="A13" t="str">
        <f>M13</f>
      </c>
      <c r="B13" t="str">
        <f>N13</f>
      </c>
      <c r="M13" t="s">
        <v>28</v>
      </c>
      <c r="N13" t="s">
        <v>29</v>
      </c>
      <c r="O13" s="1" t="n">
        <v>26887552520.16</v>
      </c>
      <c r="P13" s="1" t="n">
        <v>29316078897.713</v>
      </c>
      <c r="Q13" s="1" t="n">
        <v>30200698113.6116</v>
      </c>
      <c r="R13" s="1" t="n">
        <v>39859268281.2965</v>
      </c>
      <c r="S13" s="1" t="n">
        <v>32645793411.7098</v>
      </c>
      <c r="T13" s="1" t="n">
        <v>33913577255.7043</v>
      </c>
      <c r="U13" s="1" t="n">
        <v>32172219067.4969</v>
      </c>
      <c r="V13" s="1" t="n">
        <v>31706010014.7548</v>
      </c>
      <c r="W13" s="1" t="n">
        <v>31952440671.7955</v>
      </c>
      <c r="X13" s="1" t="n">
        <v>41367083994.1757</v>
      </c>
      <c r="Y13" s="1" t="n">
        <v>32972459841.8298</v>
      </c>
      <c r="Z13" s="1" t="n">
        <v>32014357248.7214</v>
      </c>
      <c r="AA13" s="1" t="n">
        <v>31509856958.0683</v>
      </c>
      <c r="AB13" s="1" t="n">
        <v>29622356917.8913</v>
      </c>
      <c r="AC13" s="1" t="n">
        <v>30783241025.5084</v>
      </c>
      <c r="AD13" s="1" t="n">
        <v>29865041440.7753</v>
      </c>
      <c r="AE13" s="1" t="n">
        <v>33371973669.4811</v>
      </c>
      <c r="AF13" s="1" t="n">
        <v>33554392523.3916</v>
      </c>
      <c r="AG13" s="1" t="n">
        <v>36095903504.8903</v>
      </c>
      <c r="AH13" s="1" t="n">
        <v>36880968043.3813</v>
      </c>
      <c r="AI13" s="1" t="n">
        <v>39293237013.811</v>
      </c>
      <c r="AJ13" s="1" t="n">
        <v>39774103634.183</v>
      </c>
      <c r="AK13" s="1" t="n">
        <v>39581183877.8402</v>
      </c>
      <c r="AL13" s="1" t="n">
        <v>39794765716.47</v>
      </c>
      <c r="AM13" s="1" t="n">
        <v>39773301200.8302</v>
      </c>
      <c r="AN13" s="1" t="n">
        <v>18517870771.2273</v>
      </c>
      <c r="AO13" s="1"/>
    </row>
    <row r="14">
      <c r="A14" t="str">
        <f>M14</f>
      </c>
      <c r="B14" t="str">
        <f>N14</f>
      </c>
      <c r="M14" t="s">
        <v>28</v>
      </c>
      <c r="N14" t="s">
        <v>30</v>
      </c>
      <c r="O14" s="1" t="n">
        <v>7226074282.11168</v>
      </c>
      <c r="P14" s="1" t="n">
        <v>7782304362.3488</v>
      </c>
      <c r="Q14" s="1" t="n">
        <v>7776446925.02406</v>
      </c>
      <c r="R14" s="1" t="n">
        <v>7565540717.78508</v>
      </c>
      <c r="S14" s="1" t="n">
        <v>67111370.9940018</v>
      </c>
      <c r="T14" s="1" t="n">
        <v>76633817.1745337</v>
      </c>
      <c r="U14" s="1" t="n">
        <v>83348168.7201466</v>
      </c>
      <c r="V14" s="1" t="n">
        <v>91059623.184436</v>
      </c>
      <c r="W14" s="1" t="n">
        <v>97486727.5540157</v>
      </c>
      <c r="X14" s="1" t="n">
        <v>120824182.0409</v>
      </c>
      <c r="Y14" s="1" t="n">
        <v>95343507.4936885</v>
      </c>
      <c r="Z14" s="1" t="n">
        <v>68741173.6164221</v>
      </c>
      <c r="AA14" s="1" t="n">
        <v>65896978.0487616</v>
      </c>
      <c r="AB14" s="1" t="n">
        <v>53221952.3439415</v>
      </c>
      <c r="AC14" s="1" t="n">
        <v>60921858.902718</v>
      </c>
      <c r="AD14" s="1" t="n">
        <v>55287283.5466859</v>
      </c>
      <c r="AE14" s="1" t="n">
        <v>56969032.7948019</v>
      </c>
      <c r="AF14" s="1" t="n">
        <v>55601646.1548438</v>
      </c>
      <c r="AG14" s="1" t="n">
        <v>52491680.4554098</v>
      </c>
      <c r="AH14" s="1" t="n">
        <v>52163292.6837966</v>
      </c>
      <c r="AI14" s="1" t="n">
        <v>51830684.5420325</v>
      </c>
      <c r="AJ14" s="1" t="n">
        <v>60139177.4000099</v>
      </c>
      <c r="AK14" s="1" t="n">
        <v>49477332.8192945</v>
      </c>
      <c r="AL14" s="1" t="n">
        <v>64607686.03</v>
      </c>
      <c r="AM14" s="1" t="n">
        <v>69122904.0343339</v>
      </c>
      <c r="AN14" s="1" t="n">
        <v>19581397.0470417</v>
      </c>
      <c r="AO14" s="1"/>
    </row>
    <row r="15">
      <c r="A15" t="str">
        <f>M15</f>
      </c>
      <c r="B15" t="str">
        <f>N15</f>
      </c>
      <c r="M15" t="s">
        <v>31</v>
      </c>
      <c r="N15" t="s">
        <v>32</v>
      </c>
      <c r="O15" s="1" t="n">
        <v>2098104.3924382</v>
      </c>
      <c r="P15" s="1" t="n">
        <v>427246.641146371</v>
      </c>
      <c r="Q15" s="1" t="n">
        <v>8681832.03328298</v>
      </c>
      <c r="R15" s="1" t="n">
        <v>17275239.8255729</v>
      </c>
      <c r="S15" s="1" t="n">
        <v>16400871.855452</v>
      </c>
      <c r="T15" s="1" t="n">
        <v>17513363.1702334</v>
      </c>
      <c r="U15" s="1" t="n">
        <v>25425216.7579721</v>
      </c>
      <c r="V15" s="1" t="n">
        <v>28613130.9178466</v>
      </c>
      <c r="W15" s="1" t="n">
        <v>49132786.6371773</v>
      </c>
      <c r="X15" s="1" t="n">
        <v>89065302.5141663</v>
      </c>
      <c r="Y15" s="1" t="n">
        <v>85832470.6736183</v>
      </c>
      <c r="Z15" s="1" t="n">
        <v>45208482.8347229</v>
      </c>
      <c r="AA15" s="1" t="n">
        <v>46798654.7074729</v>
      </c>
      <c r="AB15" s="1" t="n">
        <v>66549720.2499426</v>
      </c>
      <c r="AC15" s="1" t="n">
        <v>116555918.226096</v>
      </c>
      <c r="AD15" s="1" t="n">
        <v>147639815.353184</v>
      </c>
      <c r="AE15" s="1" t="n">
        <v>253265885.024097</v>
      </c>
      <c r="AF15" s="1" t="n">
        <v>236812487.733903</v>
      </c>
      <c r="AG15" s="1" t="n">
        <v>260481909.106707</v>
      </c>
      <c r="AH15" s="1" t="n">
        <v>487369042.167432</v>
      </c>
      <c r="AI15" s="1" t="n">
        <v>630134807.150557</v>
      </c>
      <c r="AJ15" s="1" t="n">
        <v>648692868.831383</v>
      </c>
      <c r="AK15" s="1" t="n">
        <v>660463626.8021</v>
      </c>
      <c r="AL15" s="1" t="n">
        <v>800889798.236</v>
      </c>
      <c r="AM15" s="1" t="n">
        <v>954673115.600841</v>
      </c>
      <c r="AN15" s="1" t="n">
        <v>273574052.323498</v>
      </c>
      <c r="AO15" s="1"/>
    </row>
    <row r="16">
      <c r="A16" t="str">
        <f>M16</f>
      </c>
      <c r="B16" t="str">
        <f>N16</f>
      </c>
      <c r="M16" t="s">
        <v>31</v>
      </c>
      <c r="N16" t="s">
        <v>33</v>
      </c>
      <c r="O16" s="1" t="n">
        <v>178968105.749801</v>
      </c>
      <c r="P16" s="1" t="n">
        <v>259171609.308047</v>
      </c>
      <c r="Q16" s="1" t="n">
        <v>292027410.62233</v>
      </c>
      <c r="R16" s="1" t="n">
        <v>328612312.423189</v>
      </c>
      <c r="S16" s="1" t="n">
        <v>366135224.539786</v>
      </c>
      <c r="T16" s="1" t="n">
        <v>350760821.601486</v>
      </c>
      <c r="U16" s="1" t="n">
        <v>341320321.440962</v>
      </c>
      <c r="V16" s="1" t="n">
        <v>405391082.041647</v>
      </c>
      <c r="W16" s="1" t="n">
        <v>464733146.513574</v>
      </c>
      <c r="X16" s="1" t="n">
        <v>589013692.388145</v>
      </c>
      <c r="Y16" s="1" t="n">
        <v>687674926.47246</v>
      </c>
      <c r="Z16" s="1" t="n">
        <v>555152779.216317</v>
      </c>
      <c r="AA16" s="1" t="n">
        <v>663860343.491166</v>
      </c>
      <c r="AB16" s="1" t="n">
        <v>612241553.607326</v>
      </c>
      <c r="AC16" s="1" t="n">
        <v>583815798.71772</v>
      </c>
      <c r="AD16" s="1" t="n">
        <v>736382694.686516</v>
      </c>
      <c r="AE16" s="1" t="n">
        <v>682284457.764824</v>
      </c>
      <c r="AF16" s="1" t="n">
        <v>732873599.528274</v>
      </c>
      <c r="AG16" s="1" t="n">
        <v>800114279.443957</v>
      </c>
      <c r="AH16" s="1" t="n">
        <v>606097452.158734</v>
      </c>
      <c r="AI16" s="1" t="n">
        <v>594486755.947008</v>
      </c>
      <c r="AJ16" s="1" t="n">
        <v>577062033.747649</v>
      </c>
      <c r="AK16" s="1" t="n">
        <v>756592592.356846</v>
      </c>
      <c r="AL16" s="1" t="n">
        <v>818722548.8353</v>
      </c>
      <c r="AM16" s="1" t="n">
        <v>880355675.884107</v>
      </c>
      <c r="AN16" s="1" t="n">
        <v>397992830.390866</v>
      </c>
      <c r="AO16" s="1"/>
    </row>
    <row r="17">
      <c r="A17" t="str">
        <f>M17</f>
      </c>
      <c r="B17" t="str">
        <f>N17</f>
      </c>
      <c r="M17" t="s">
        <v>31</v>
      </c>
      <c r="N17" t="s">
        <v>34</v>
      </c>
      <c r="O17" s="1" t="n">
        <v>50136707.6522001</v>
      </c>
      <c r="P17" s="1" t="n">
        <v>39867044.4166065</v>
      </c>
      <c r="Q17" s="1" t="n">
        <v>45861644.2417904</v>
      </c>
      <c r="R17" s="1" t="n">
        <v>122413190.54029</v>
      </c>
      <c r="S17" s="1" t="n">
        <v>148254430.679465</v>
      </c>
      <c r="T17" s="1" t="n">
        <v>285884089.362997</v>
      </c>
      <c r="U17" s="1" t="n">
        <v>278731477.209643</v>
      </c>
      <c r="V17" s="1" t="n">
        <v>422792450.436862</v>
      </c>
      <c r="W17" s="1" t="n">
        <v>486952460.807478</v>
      </c>
      <c r="X17" s="1" t="n">
        <v>728009760.328784</v>
      </c>
      <c r="Y17" s="1" t="n">
        <v>592892474.701656</v>
      </c>
      <c r="Z17" s="1" t="n">
        <v>321383465.322388</v>
      </c>
      <c r="AA17" s="1" t="n">
        <v>337800121.329114</v>
      </c>
      <c r="AB17" s="1" t="n">
        <v>184126646.696978</v>
      </c>
      <c r="AC17" s="1" t="n">
        <v>393112092.003512</v>
      </c>
      <c r="AD17" s="1" t="n">
        <v>344188310.96268</v>
      </c>
      <c r="AE17" s="1" t="n">
        <v>368772022.547046</v>
      </c>
      <c r="AF17" s="1" t="n">
        <v>362807773.572386</v>
      </c>
      <c r="AG17" s="1" t="n">
        <v>160882523.836036</v>
      </c>
      <c r="AH17" s="1" t="n">
        <v>237739120.491665</v>
      </c>
      <c r="AI17" s="1" t="n">
        <v>178131703.35397</v>
      </c>
      <c r="AJ17" s="1" t="n">
        <v>193314716.687592</v>
      </c>
      <c r="AK17" s="1" t="n">
        <v>202305330.453059</v>
      </c>
      <c r="AL17" s="1" t="n">
        <v>205925851.8971</v>
      </c>
      <c r="AM17" s="1" t="n">
        <v>178571061.504318</v>
      </c>
      <c r="AN17" s="1" t="n">
        <v>88105782.8826877</v>
      </c>
      <c r="AO17" s="1"/>
    </row>
    <row r="18">
      <c r="A18" t="str">
        <f>M18</f>
      </c>
      <c r="B18" t="str">
        <f>N18</f>
      </c>
      <c r="M18" t="s">
        <v>31</v>
      </c>
      <c r="N18" t="s">
        <v>35</v>
      </c>
      <c r="O18" s="1" t="n">
        <v>59153476.1059861</v>
      </c>
      <c r="P18" s="1" t="n">
        <v>115493521.530738</v>
      </c>
      <c r="Q18" s="1" t="n">
        <v>108399542.10596</v>
      </c>
      <c r="R18" s="1" t="n">
        <v>166993731.783671</v>
      </c>
      <c r="S18" s="1" t="n">
        <v>340238145.825327</v>
      </c>
      <c r="T18" s="1" t="n">
        <v>172415495.131872</v>
      </c>
      <c r="U18" s="1" t="n">
        <v>443173066.668841</v>
      </c>
      <c r="V18" s="1" t="n">
        <v>515046875.387574</v>
      </c>
      <c r="W18" s="1" t="n">
        <v>517305182.771662</v>
      </c>
      <c r="X18" s="1" t="n">
        <v>566786143.890325</v>
      </c>
      <c r="Y18" s="1" t="n">
        <v>615821190.782069</v>
      </c>
      <c r="Z18" s="1" t="n">
        <v>514729325.029707</v>
      </c>
      <c r="AA18" s="1" t="n">
        <v>383569496.247346</v>
      </c>
      <c r="AB18" s="1" t="n">
        <v>335349660.155537</v>
      </c>
      <c r="AC18" s="1" t="n">
        <v>303688015.726424</v>
      </c>
      <c r="AD18" s="1" t="n">
        <v>349373577.184249</v>
      </c>
      <c r="AE18" s="1" t="n">
        <v>381805080.322023</v>
      </c>
      <c r="AF18" s="1" t="n">
        <v>416402075.307066</v>
      </c>
      <c r="AG18" s="1" t="n">
        <v>800110768.213976</v>
      </c>
      <c r="AH18" s="1" t="n">
        <v>793805488.134591</v>
      </c>
      <c r="AI18" s="1" t="n">
        <v>893701409.321124</v>
      </c>
      <c r="AJ18" s="1" t="n">
        <v>1890755305.2262</v>
      </c>
      <c r="AK18" s="1" t="n">
        <v>3625438990.02388</v>
      </c>
      <c r="AL18" s="1" t="n">
        <v>4589251874.4351</v>
      </c>
      <c r="AM18" s="1" t="n">
        <v>4575175119.20852</v>
      </c>
      <c r="AN18" s="1" t="n">
        <v>2259830689.51996</v>
      </c>
      <c r="AO18" s="1"/>
    </row>
    <row r="19">
      <c r="A19" t="str">
        <f>M19</f>
      </c>
      <c r="B19" t="str">
        <f>N19</f>
      </c>
      <c r="M19" t="s">
        <v>31</v>
      </c>
      <c r="N19" t="s">
        <v>36</v>
      </c>
      <c r="O19" s="1" t="n">
        <v>303069000.825848</v>
      </c>
      <c r="P19" s="1" t="n">
        <v>340820705.672603</v>
      </c>
      <c r="Q19" s="1" t="n">
        <v>360137307.480711</v>
      </c>
      <c r="R19" s="1" t="n">
        <v>322576725.831771</v>
      </c>
      <c r="S19" s="1" t="n">
        <v>215408394.67187</v>
      </c>
      <c r="T19" s="1" t="n">
        <v>85739638.0780559</v>
      </c>
      <c r="U19" s="1" t="n">
        <v>61063452.88066</v>
      </c>
      <c r="V19" s="1" t="n">
        <v>-3718889.52266875</v>
      </c>
      <c r="W19" s="1" t="n">
        <v>-379463.229346717</v>
      </c>
      <c r="X19" s="1" t="n">
        <v>174294.894964916</v>
      </c>
      <c r="Y19" s="1" t="n">
        <v>-786976.460326384</v>
      </c>
      <c r="Z19" s="1" t="n">
        <v>-504431.078553382</v>
      </c>
      <c r="AA19" s="1" t="n">
        <v>-125386.871697574</v>
      </c>
      <c r="AB19" s="1" t="n">
        <v>-80244.0139523114</v>
      </c>
      <c r="AC19" s="1" t="n">
        <v>1064830.83213618</v>
      </c>
      <c r="AD19" s="1" t="n">
        <v>0</v>
      </c>
      <c r="AE19" s="1" t="n">
        <v>-203.425173973521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>
      <c r="A20" t="str">
        <f>M20</f>
      </c>
      <c r="B20" t="str">
        <f>N20</f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../output/FedAcqTrends/Customer//Energy/Energy_Contracts.xlsx</dc:creator>
  <cp:lastModifiedBy>../output/FedAcqTrends/Customer//Energy/Energy_Contracts.xlsx</cp:lastModifiedBy>
  <dcterms:created xsi:type="dcterms:W3CDTF">2025-11-16T16:54:39Z</dcterms:created>
</coreProperties>
</file>