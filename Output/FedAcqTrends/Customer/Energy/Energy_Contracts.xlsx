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  <sheet name="PSR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<sst xmlns="http://schemas.openxmlformats.org/spreadsheetml/2006/main" count="56" uniqueCount="56">
  <si>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Vehicle.AwardTask</t>
  </si>
  <si>
    <t xml:space="preserve">Vehicle.sum7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</si>
  <si>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</si>
  <si>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</si>
  <si>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</si>
  <si>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</si>
  <si>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</si>
  <si>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</si>
  <si>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</si>
  <si>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</si>
  <si>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</si>
  <si>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</si>
  <si>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</si>
  <si>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</si>
  <si>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</si>
  <si>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</si>
  <si>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</si>
  <si>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</si>
  <si>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</si>
  <si>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</si>
  <si>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</si>
  <si>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</si>
  <si>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</si>
  <si>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</si>
  <si>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</si>
  <si>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</si>
  <si>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</si>
  <si>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</si>
  <si>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</si>
  <si>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</si>
  <si>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</si>
  <si>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</si>
  <si>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</si>
  <si>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</si>
  <si>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</si>
  <si>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</si>
  <si>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</si>
  <si>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</si>
  <si>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</si>
  <si>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</si>
  <si>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</si>
  <si>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</si>
  <si>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</si>
  <si>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</si>
  <si>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</si>
  <si>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</si>
  <si>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</si>
  <si>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</si>
  <si>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</si>
  <si>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</si>
  <si>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</si>
  <si>
    <t xml:space="preserve">SimpleArea</t>
  </si>
  <si>
    <t xml:space="preserve">Products (All)</t>
  </si>
  <si>
    <t xml:space="preserve">R&amp;D</t>
  </si>
  <si>
    <t xml:space="preserve">Services (Non-R&amp;D)</t>
  </si>
  <si>
    <t xml:space="preserve">Unlabeled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</si>
</sst>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,,,&quot;B&quot;"/>
    <numFmt numFmtId="167" formatCode="0.00,,,&quot;B&quot;"/>
    <numFmt numFmtId="168" formatCode="0.00,,,&quot;B&quot;"/>
    <numFmt numFmtId="169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</row>
    <row r="2">
      <c r="A2" t="str">
        <f>M2</f>
      </c>
      <c r="B2" t="str">
        <f>N2</f>
      </c>
      <c r="M2" t="s">
        <v>28</v>
      </c>
      <c r="N2" t="s">
        <v>29</v>
      </c>
      <c r="O2" s="1" t="n">
        <v>15993325053.8429</v>
      </c>
      <c r="P2" s="1" t="n">
        <v>17860545497.29</v>
      </c>
      <c r="Q2" s="1" t="n">
        <v>18688954983.14</v>
      </c>
      <c r="R2" s="1" t="n">
        <v>25139387785.01</v>
      </c>
      <c r="S2" s="1" t="n">
        <v>21092600362.66</v>
      </c>
      <c r="T2" s="1" t="n">
        <v>22578491210.63</v>
      </c>
      <c r="U2" s="1" t="n">
        <v>22114941451.91</v>
      </c>
      <c r="V2" s="1" t="n">
        <v>22394463691.47</v>
      </c>
      <c r="W2" s="1" t="n">
        <v>23037063198.68</v>
      </c>
      <c r="X2" s="1" t="n">
        <v>30129822561.07</v>
      </c>
      <c r="Y2" s="1" t="n">
        <v>24223561888.2535</v>
      </c>
      <c r="Z2" s="1" t="n">
        <v>23991753905.4552</v>
      </c>
      <c r="AA2" s="1" t="n">
        <v>24042173146.1448</v>
      </c>
      <c r="AB2" s="1" t="n">
        <v>23012108687.5095</v>
      </c>
      <c r="AC2" s="1" t="n">
        <v>24350206876.105</v>
      </c>
      <c r="AD2" s="1" t="n">
        <v>23868546268.6198</v>
      </c>
      <c r="AE2" s="1" t="n">
        <v>26884573517.27</v>
      </c>
      <c r="AF2" s="1" t="n">
        <v>27487828718.7235</v>
      </c>
      <c r="AG2" s="1" t="n">
        <v>30226290304.98</v>
      </c>
      <c r="AH2" s="1" t="n">
        <v>31454719271.06</v>
      </c>
      <c r="AI2" s="1" t="n">
        <v>33949846059.32</v>
      </c>
      <c r="AJ2" s="1" t="n">
        <v>35548084758.71</v>
      </c>
      <c r="AK2" s="1" t="n">
        <v>37849689473.28</v>
      </c>
      <c r="AL2" s="1" t="n">
        <v>39794765716.47</v>
      </c>
      <c r="AM2" s="1" t="n">
        <v>40835486505.42</v>
      </c>
      <c r="AN2" s="1" t="n">
        <v>19429580472.6</v>
      </c>
      <c r="AO2" s="1"/>
    </row>
    <row r="3">
      <c r="A3" t="str">
        <f>M3</f>
      </c>
      <c r="B3" t="str">
        <f>N3</f>
      </c>
      <c r="M3" t="s">
        <v>28</v>
      </c>
      <c r="N3" t="s">
        <v>30</v>
      </c>
      <c r="O3" s="1" t="n">
        <v>4298232603</v>
      </c>
      <c r="P3" s="1" t="n">
        <v>4741295779.1</v>
      </c>
      <c r="Q3" s="1" t="n">
        <v>4812261821.36</v>
      </c>
      <c r="R3" s="1" t="n">
        <v>4771614485.38</v>
      </c>
      <c r="S3" s="1" t="n">
        <v>43360971.82</v>
      </c>
      <c r="T3" s="1" t="n">
        <v>51020154.98</v>
      </c>
      <c r="U3" s="1" t="n">
        <v>57292904.4</v>
      </c>
      <c r="V3" s="1" t="n">
        <v>64316873.18</v>
      </c>
      <c r="W3" s="1" t="n">
        <v>70285958.02</v>
      </c>
      <c r="X3" s="1" t="n">
        <v>88002605.32</v>
      </c>
      <c r="Y3" s="1" t="n">
        <v>70045103.2618</v>
      </c>
      <c r="Z3" s="1" t="n">
        <v>51515053.317</v>
      </c>
      <c r="AA3" s="1" t="n">
        <v>50279712.7313</v>
      </c>
      <c r="AB3" s="1" t="n">
        <v>41345439.0309</v>
      </c>
      <c r="AC3" s="1" t="n">
        <v>48190502.9535</v>
      </c>
      <c r="AD3" s="1" t="n">
        <v>44186347.0378</v>
      </c>
      <c r="AE3" s="1" t="n">
        <v>45894443.21</v>
      </c>
      <c r="AF3" s="1" t="n">
        <v>45548985.1267</v>
      </c>
      <c r="AG3" s="1" t="n">
        <v>43955923.47</v>
      </c>
      <c r="AH3" s="1" t="n">
        <v>44488575.4</v>
      </c>
      <c r="AI3" s="1" t="n">
        <v>44782356.84</v>
      </c>
      <c r="AJ3" s="1" t="n">
        <v>53749359.01</v>
      </c>
      <c r="AK3" s="1" t="n">
        <v>47312927.5</v>
      </c>
      <c r="AL3" s="1" t="n">
        <v>64607686.03</v>
      </c>
      <c r="AM3" s="1" t="n">
        <v>70968899.48</v>
      </c>
      <c r="AN3" s="1" t="n">
        <v>20545468.45</v>
      </c>
      <c r="AO3" s="1"/>
    </row>
    <row r="4">
      <c r="A4" t="str">
        <f>M4</f>
      </c>
      <c r="B4" t="str">
        <f>N4</f>
      </c>
      <c r="M4" t="s">
        <v>31</v>
      </c>
      <c r="N4" t="s">
        <v>32</v>
      </c>
      <c r="O4" s="1" t="n">
        <v>1248000</v>
      </c>
      <c r="P4" s="1" t="n">
        <v>260296</v>
      </c>
      <c r="Q4" s="1" t="n">
        <v>5372537</v>
      </c>
      <c r="R4" s="1" t="n">
        <v>10895557.59</v>
      </c>
      <c r="S4" s="1" t="n">
        <v>10596680.2915</v>
      </c>
      <c r="T4" s="1" t="n">
        <v>11659793.7583</v>
      </c>
      <c r="U4" s="1" t="n">
        <v>17477102.8018</v>
      </c>
      <c r="V4" s="1" t="n">
        <v>20209913.5508</v>
      </c>
      <c r="W4" s="1" t="n">
        <v>35423745.0126</v>
      </c>
      <c r="X4" s="1" t="n">
        <v>64870943.32</v>
      </c>
      <c r="Y4" s="1" t="n">
        <v>63057720.7572</v>
      </c>
      <c r="Z4" s="1" t="n">
        <v>33879511.8135</v>
      </c>
      <c r="AA4" s="1" t="n">
        <v>35707599.7197</v>
      </c>
      <c r="AB4" s="1" t="n">
        <v>51699106.8523</v>
      </c>
      <c r="AC4" s="1" t="n">
        <v>92198242.5141</v>
      </c>
      <c r="AD4" s="1" t="n">
        <v>117995743.312</v>
      </c>
      <c r="AE4" s="1" t="n">
        <v>204031843.39</v>
      </c>
      <c r="AF4" s="1" t="n">
        <v>193997286.5474</v>
      </c>
      <c r="AG4" s="1" t="n">
        <v>218124524.9281</v>
      </c>
      <c r="AH4" s="1" t="n">
        <v>415663070.0352</v>
      </c>
      <c r="AI4" s="1" t="n">
        <v>544444319.8167</v>
      </c>
      <c r="AJ4" s="1" t="n">
        <v>579768919.3873</v>
      </c>
      <c r="AK4" s="1" t="n">
        <v>631571386.5459</v>
      </c>
      <c r="AL4" s="1" t="n">
        <v>800889798.236</v>
      </c>
      <c r="AM4" s="1" t="n">
        <v>980168604.37</v>
      </c>
      <c r="AN4" s="1" t="n">
        <v>287043209.8</v>
      </c>
      <c r="AO4" s="1"/>
    </row>
    <row r="5">
      <c r="A5" t="str">
        <f>M5</f>
      </c>
      <c r="B5" t="str">
        <f>N5</f>
      </c>
      <c r="M5" t="s">
        <v>31</v>
      </c>
      <c r="N5" t="s">
        <v>33</v>
      </c>
      <c r="O5" s="1" t="n">
        <v>106454281.6748</v>
      </c>
      <c r="P5" s="1" t="n">
        <v>157897866.7578</v>
      </c>
      <c r="Q5" s="1" t="n">
        <v>180713939.4736</v>
      </c>
      <c r="R5" s="1" t="n">
        <v>207256999.6678</v>
      </c>
      <c r="S5" s="1" t="n">
        <v>236561687.2139</v>
      </c>
      <c r="T5" s="1" t="n">
        <v>233524469.2074</v>
      </c>
      <c r="U5" s="1" t="n">
        <v>234621022.2297</v>
      </c>
      <c r="V5" s="1" t="n">
        <v>286334226.9621</v>
      </c>
      <c r="W5" s="1" t="n">
        <v>335063195.2258</v>
      </c>
      <c r="X5" s="1" t="n">
        <v>429009645.4513</v>
      </c>
      <c r="Y5" s="1" t="n">
        <v>505207564.7469</v>
      </c>
      <c r="Z5" s="1" t="n">
        <v>416034866.9633</v>
      </c>
      <c r="AA5" s="1" t="n">
        <v>506528650.5208</v>
      </c>
      <c r="AB5" s="1" t="n">
        <v>475619452.3506</v>
      </c>
      <c r="AC5" s="1" t="n">
        <v>461810875.0971</v>
      </c>
      <c r="AD5" s="1" t="n">
        <v>588527039.3611</v>
      </c>
      <c r="AE5" s="1" t="n">
        <v>549650639.37</v>
      </c>
      <c r="AF5" s="1" t="n">
        <v>600371589.5695</v>
      </c>
      <c r="AG5" s="1" t="n">
        <v>670006403.4789</v>
      </c>
      <c r="AH5" s="1" t="n">
        <v>516923123.7676</v>
      </c>
      <c r="AI5" s="1" t="n">
        <v>513643959.6873</v>
      </c>
      <c r="AJ5" s="1" t="n">
        <v>515748897.2062</v>
      </c>
      <c r="AK5" s="1" t="n">
        <v>723495152.8199</v>
      </c>
      <c r="AL5" s="1" t="n">
        <v>818722548.8353</v>
      </c>
      <c r="AM5" s="1" t="n">
        <v>903866444</v>
      </c>
      <c r="AN5" s="1" t="n">
        <v>417587627.71</v>
      </c>
      <c r="AO5" s="1"/>
    </row>
    <row r="6">
      <c r="A6" t="str">
        <f>M6</f>
      </c>
      <c r="B6" t="str">
        <f>N6</f>
      </c>
      <c r="M6" t="s">
        <v>31</v>
      </c>
      <c r="N6" t="s">
        <v>34</v>
      </c>
      <c r="O6" s="1" t="n">
        <v>29822448.957</v>
      </c>
      <c r="P6" s="1" t="n">
        <v>24288622.0606</v>
      </c>
      <c r="Q6" s="1" t="n">
        <v>28380344.1054</v>
      </c>
      <c r="R6" s="1" t="n">
        <v>77206451.5905</v>
      </c>
      <c r="S6" s="1" t="n">
        <v>95787883.5683</v>
      </c>
      <c r="T6" s="1" t="n">
        <v>190331776.2757</v>
      </c>
      <c r="U6" s="1" t="n">
        <v>191597921.3732</v>
      </c>
      <c r="V6" s="1" t="n">
        <v>298625092.7168</v>
      </c>
      <c r="W6" s="1" t="n">
        <v>351082871.2461</v>
      </c>
      <c r="X6" s="1" t="n">
        <v>530247790.8407</v>
      </c>
      <c r="Y6" s="1" t="n">
        <v>435574646.9299</v>
      </c>
      <c r="Z6" s="1" t="n">
        <v>240846722.2813</v>
      </c>
      <c r="AA6" s="1" t="n">
        <v>257743125.1621</v>
      </c>
      <c r="AB6" s="1" t="n">
        <v>143038665.6201</v>
      </c>
      <c r="AC6" s="1" t="n">
        <v>310960134.3748</v>
      </c>
      <c r="AD6" s="1" t="n">
        <v>275079967.38</v>
      </c>
      <c r="AE6" s="1" t="n">
        <v>297083973.8</v>
      </c>
      <c r="AF6" s="1" t="n">
        <v>297212888.9184</v>
      </c>
      <c r="AG6" s="1" t="n">
        <v>134721156.6489</v>
      </c>
      <c r="AH6" s="1" t="n">
        <v>202760873.4678</v>
      </c>
      <c r="AI6" s="1" t="n">
        <v>153908009.7938</v>
      </c>
      <c r="AJ6" s="1" t="n">
        <v>172774929.0624</v>
      </c>
      <c r="AK6" s="1" t="n">
        <v>193455404.4687</v>
      </c>
      <c r="AL6" s="1" t="n">
        <v>205925851.8971</v>
      </c>
      <c r="AM6" s="1" t="n">
        <v>183339978.13</v>
      </c>
      <c r="AN6" s="1" t="n">
        <v>92443587.05</v>
      </c>
      <c r="AO6" s="1"/>
    </row>
    <row r="7">
      <c r="A7" t="str">
        <f>M7</f>
      </c>
      <c r="B7" t="str">
        <f>N7</f>
      </c>
      <c r="M7" t="s">
        <v>31</v>
      </c>
      <c r="N7" t="s">
        <v>35</v>
      </c>
      <c r="O7" s="1" t="n">
        <v>35185827</v>
      </c>
      <c r="P7" s="1" t="n">
        <v>70363342.3535</v>
      </c>
      <c r="Q7" s="1" t="n">
        <v>67080375.2612</v>
      </c>
      <c r="R7" s="1" t="n">
        <v>105323563.6778</v>
      </c>
      <c r="S7" s="1" t="n">
        <v>219829463.0956</v>
      </c>
      <c r="T7" s="1" t="n">
        <v>114788295.9105</v>
      </c>
      <c r="U7" s="1" t="n">
        <v>304633833.3667</v>
      </c>
      <c r="V7" s="1" t="n">
        <v>363785873.5585</v>
      </c>
      <c r="W7" s="1" t="n">
        <v>372966569.6253</v>
      </c>
      <c r="X7" s="1" t="n">
        <v>412820153.0447</v>
      </c>
      <c r="Y7" s="1" t="n">
        <v>452419467.5971</v>
      </c>
      <c r="Z7" s="1" t="n">
        <v>385741284.7021</v>
      </c>
      <c r="AA7" s="1" t="n">
        <v>292665379.4281</v>
      </c>
      <c r="AB7" s="1" t="n">
        <v>260516165.1792</v>
      </c>
      <c r="AC7" s="1" t="n">
        <v>240223763.3979</v>
      </c>
      <c r="AD7" s="1" t="n">
        <v>279224102.4876</v>
      </c>
      <c r="AE7" s="1" t="n">
        <v>307583448.7</v>
      </c>
      <c r="AF7" s="1" t="n">
        <v>341117453.2867</v>
      </c>
      <c r="AG7" s="1" t="n">
        <v>670003463.2157</v>
      </c>
      <c r="AH7" s="1" t="n">
        <v>677013920.9939</v>
      </c>
      <c r="AI7" s="1" t="n">
        <v>772169146.0234</v>
      </c>
      <c r="AJ7" s="1" t="n">
        <v>1689861585.9792</v>
      </c>
      <c r="AK7" s="1" t="n">
        <v>3466842740.2332</v>
      </c>
      <c r="AL7" s="1" t="n">
        <v>4589251874.4351</v>
      </c>
      <c r="AM7" s="1" t="n">
        <v>4697359691.04</v>
      </c>
      <c r="AN7" s="1" t="n">
        <v>2371091297.64</v>
      </c>
      <c r="AO7" s="1"/>
    </row>
    <row r="8">
      <c r="A8" t="str">
        <f>M8</f>
      </c>
      <c r="B8" t="str">
        <f>N8</f>
      </c>
      <c r="M8" t="s">
        <v>31</v>
      </c>
      <c r="N8" t="s">
        <v>36</v>
      </c>
      <c r="O8" s="1" t="n">
        <v>180272304.0826</v>
      </c>
      <c r="P8" s="1" t="n">
        <v>207641811.2164</v>
      </c>
      <c r="Q8" s="1" t="n">
        <v>222862064.378</v>
      </c>
      <c r="R8" s="1" t="n">
        <v>203450332.9031</v>
      </c>
      <c r="S8" s="1" t="n">
        <v>139176374.9245</v>
      </c>
      <c r="T8" s="1" t="n">
        <v>57082496.7874</v>
      </c>
      <c r="U8" s="1" t="n">
        <v>41974558.313</v>
      </c>
      <c r="V8" s="1" t="n">
        <v>-2626711.3506</v>
      </c>
      <c r="W8" s="1" t="n">
        <v>-273585.3103</v>
      </c>
      <c r="X8" s="1" t="n">
        <v>126948.1373</v>
      </c>
      <c r="Y8" s="1" t="n">
        <v>-578160.4734</v>
      </c>
      <c r="Z8" s="1" t="n">
        <v>-378023.7162</v>
      </c>
      <c r="AA8" s="1" t="n">
        <v>-95670.7891</v>
      </c>
      <c r="AB8" s="1" t="n">
        <v>-62337.51</v>
      </c>
      <c r="AC8" s="1" t="n">
        <v>842304.13</v>
      </c>
      <c r="AD8" s="1" t="n">
        <v>0</v>
      </c>
      <c r="AE8" s="1" t="n">
        <v>-163.88</v>
      </c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t="str">
        <f>M9</f>
      </c>
      <c r="B9" t="str">
        <f>N9</f>
      </c>
      <c r="M9" t="s">
        <v>37</v>
      </c>
      <c r="N9" t="s">
        <v>38</v>
      </c>
      <c r="O9" s="1" t="str">
        <f>Sum(O2:O8)</f>
      </c>
      <c r="P9" s="1" t="str">
        <f>Sum(P2:P8)</f>
      </c>
      <c r="Q9" s="1" t="str">
        <f>Sum(Q2:Q8)</f>
      </c>
      <c r="R9" s="1" t="str">
        <f>Sum(R2:R8)</f>
      </c>
      <c r="S9" s="1" t="str">
        <f>Sum(S2:S8)</f>
      </c>
      <c r="T9" s="1" t="str">
        <f>Sum(T2:T8)</f>
      </c>
      <c r="U9" s="1" t="str">
        <f>Sum(U2:U8)</f>
      </c>
      <c r="V9" s="1" t="str">
        <f>Sum(V2:V8)</f>
      </c>
      <c r="W9" s="1" t="str">
        <f>Sum(W2:W8)</f>
      </c>
      <c r="X9" s="1" t="str">
        <f>Sum(X2:X8)</f>
      </c>
      <c r="Y9" s="1" t="str">
        <f>Sum(Y2:Y8)</f>
      </c>
      <c r="Z9" s="1" t="str">
        <f>Sum(Z2:Z8)</f>
      </c>
      <c r="AA9" s="1" t="str">
        <f>Sum(AA2:AA8)</f>
      </c>
      <c r="AB9" s="1" t="str">
        <f>Sum(AB2:AB8)</f>
      </c>
      <c r="AC9" s="1" t="str">
        <f>Sum(AC2:AC8)</f>
      </c>
      <c r="AD9" s="1" t="str">
        <f>Sum(AD2:AD8)</f>
      </c>
      <c r="AE9" s="1" t="str">
        <f>Sum(AE2:AE8)</f>
      </c>
      <c r="AF9" s="1" t="str">
        <f>Sum(AF2:AF8)</f>
      </c>
      <c r="AG9" s="1" t="str">
        <f>Sum(AG2:AG8)</f>
      </c>
      <c r="AH9" s="1" t="str">
        <f>Sum(AH2:AH8)</f>
      </c>
      <c r="AI9" s="1" t="str">
        <f>Sum(AI2:AI8)</f>
      </c>
      <c r="AJ9" s="1" t="str">
        <f>Sum(AJ2:AJ8)</f>
      </c>
      <c r="AK9" s="1" t="str">
        <f>Sum(AK2:AK8)</f>
      </c>
      <c r="AL9" s="1" t="str">
        <f>Sum(AL2:AL8)</f>
      </c>
      <c r="AM9" s="1" t="str">
        <f>Sum(AM2:AM8)</f>
      </c>
      <c r="AN9" s="1" t="str">
        <f>Sum(AN2:AN8)</f>
      </c>
      <c r="AO9" s="1"/>
    </row>
    <row r="12">
      <c r="A12" t="str">
        <f>M12</f>
      </c>
      <c r="B12" t="str">
        <f>N12</f>
      </c>
      <c r="M12" t="s">
        <v>0</v>
      </c>
      <c r="N12" t="s">
        <v>1</v>
      </c>
      <c r="O12" t="s">
        <v>2</v>
      </c>
      <c r="P12" t="s">
        <v>3</v>
      </c>
      <c r="Q12" t="s">
        <v>4</v>
      </c>
      <c r="R12" t="s">
        <v>5</v>
      </c>
      <c r="S12" t="s">
        <v>6</v>
      </c>
      <c r="T12" t="s">
        <v>7</v>
      </c>
      <c r="U12" t="s">
        <v>8</v>
      </c>
      <c r="V12" t="s">
        <v>9</v>
      </c>
      <c r="W12" t="s">
        <v>10</v>
      </c>
      <c r="X12" t="s">
        <v>11</v>
      </c>
      <c r="Y12" t="s">
        <v>12</v>
      </c>
      <c r="Z12" t="s">
        <v>13</v>
      </c>
      <c r="AA12" t="s">
        <v>14</v>
      </c>
      <c r="AB12" t="s">
        <v>15</v>
      </c>
      <c r="AC12" t="s">
        <v>16</v>
      </c>
      <c r="AD12" t="s">
        <v>17</v>
      </c>
      <c r="AE12" t="s">
        <v>18</v>
      </c>
      <c r="AF12" t="s">
        <v>19</v>
      </c>
      <c r="AG12" t="s">
        <v>20</v>
      </c>
      <c r="AH12" t="s">
        <v>21</v>
      </c>
      <c r="AI12" t="s">
        <v>22</v>
      </c>
      <c r="AJ12" t="s">
        <v>23</v>
      </c>
      <c r="AK12" t="s">
        <v>24</v>
      </c>
      <c r="AL12" t="s">
        <v>25</v>
      </c>
      <c r="AM12" t="s">
        <v>26</v>
      </c>
      <c r="AN12" t="s">
        <v>27</v>
      </c>
    </row>
    <row r="13">
      <c r="A13" t="str">
        <f>M13</f>
      </c>
      <c r="B13" t="str">
        <f>N13</f>
      </c>
      <c r="M13" t="s">
        <v>28</v>
      </c>
      <c r="N13" t="s">
        <v>29</v>
      </c>
      <c r="O13" s="1" t="n">
        <v>26887552520.16</v>
      </c>
      <c r="P13" s="1" t="n">
        <v>29316078897.713</v>
      </c>
      <c r="Q13" s="1" t="n">
        <v>30200698113.6116</v>
      </c>
      <c r="R13" s="1" t="n">
        <v>39859268281.2965</v>
      </c>
      <c r="S13" s="1" t="n">
        <v>32645793411.7098</v>
      </c>
      <c r="T13" s="1" t="n">
        <v>33913577255.7043</v>
      </c>
      <c r="U13" s="1" t="n">
        <v>32172219067.4969</v>
      </c>
      <c r="V13" s="1" t="n">
        <v>31706010014.7548</v>
      </c>
      <c r="W13" s="1" t="n">
        <v>31952440671.7955</v>
      </c>
      <c r="X13" s="1" t="n">
        <v>41367083994.1757</v>
      </c>
      <c r="Y13" s="1" t="n">
        <v>32972459841.8298</v>
      </c>
      <c r="Z13" s="1" t="n">
        <v>32014357248.7214</v>
      </c>
      <c r="AA13" s="1" t="n">
        <v>31509856958.0683</v>
      </c>
      <c r="AB13" s="1" t="n">
        <v>29622356917.8913</v>
      </c>
      <c r="AC13" s="1" t="n">
        <v>30783241025.5084</v>
      </c>
      <c r="AD13" s="1" t="n">
        <v>29865041440.7753</v>
      </c>
      <c r="AE13" s="1" t="n">
        <v>33371973669.4811</v>
      </c>
      <c r="AF13" s="1" t="n">
        <v>33554392523.3916</v>
      </c>
      <c r="AG13" s="1" t="n">
        <v>36095903504.8903</v>
      </c>
      <c r="AH13" s="1" t="n">
        <v>36880968043.3813</v>
      </c>
      <c r="AI13" s="1" t="n">
        <v>39293237013.811</v>
      </c>
      <c r="AJ13" s="1" t="n">
        <v>39774103634.183</v>
      </c>
      <c r="AK13" s="1" t="n">
        <v>39581183877.8402</v>
      </c>
      <c r="AL13" s="1" t="n">
        <v>39794765716.47</v>
      </c>
      <c r="AM13" s="1" t="n">
        <v>39773301200.8302</v>
      </c>
      <c r="AN13" s="1" t="n">
        <v>18517870771.2273</v>
      </c>
      <c r="AO13" s="1"/>
    </row>
    <row r="14">
      <c r="A14" t="str">
        <f>M14</f>
      </c>
      <c r="B14" t="str">
        <f>N14</f>
      </c>
      <c r="M14" t="s">
        <v>28</v>
      </c>
      <c r="N14" t="s">
        <v>30</v>
      </c>
      <c r="O14" s="1" t="n">
        <v>7226074282.11168</v>
      </c>
      <c r="P14" s="1" t="n">
        <v>7782304362.3488</v>
      </c>
      <c r="Q14" s="1" t="n">
        <v>7776446925.02406</v>
      </c>
      <c r="R14" s="1" t="n">
        <v>7565540717.78508</v>
      </c>
      <c r="S14" s="1" t="n">
        <v>67111370.9940018</v>
      </c>
      <c r="T14" s="1" t="n">
        <v>76633817.1745337</v>
      </c>
      <c r="U14" s="1" t="n">
        <v>83348168.7201466</v>
      </c>
      <c r="V14" s="1" t="n">
        <v>91059623.184436</v>
      </c>
      <c r="W14" s="1" t="n">
        <v>97486727.5540157</v>
      </c>
      <c r="X14" s="1" t="n">
        <v>120824182.0409</v>
      </c>
      <c r="Y14" s="1" t="n">
        <v>95343507.4936885</v>
      </c>
      <c r="Z14" s="1" t="n">
        <v>68741173.6164221</v>
      </c>
      <c r="AA14" s="1" t="n">
        <v>65896978.0487616</v>
      </c>
      <c r="AB14" s="1" t="n">
        <v>53221952.3439415</v>
      </c>
      <c r="AC14" s="1" t="n">
        <v>60921858.902718</v>
      </c>
      <c r="AD14" s="1" t="n">
        <v>55287283.5466859</v>
      </c>
      <c r="AE14" s="1" t="n">
        <v>56969032.7948019</v>
      </c>
      <c r="AF14" s="1" t="n">
        <v>55601646.1548438</v>
      </c>
      <c r="AG14" s="1" t="n">
        <v>52491680.4554098</v>
      </c>
      <c r="AH14" s="1" t="n">
        <v>52163292.6837966</v>
      </c>
      <c r="AI14" s="1" t="n">
        <v>51830684.5420325</v>
      </c>
      <c r="AJ14" s="1" t="n">
        <v>60139177.4000099</v>
      </c>
      <c r="AK14" s="1" t="n">
        <v>49477332.8192945</v>
      </c>
      <c r="AL14" s="1" t="n">
        <v>64607686.03</v>
      </c>
      <c r="AM14" s="1" t="n">
        <v>69122904.0343339</v>
      </c>
      <c r="AN14" s="1" t="n">
        <v>19581397.0470417</v>
      </c>
      <c r="AO14" s="1"/>
    </row>
    <row r="15">
      <c r="A15" t="str">
        <f>M15</f>
      </c>
      <c r="B15" t="str">
        <f>N15</f>
      </c>
      <c r="M15" t="s">
        <v>31</v>
      </c>
      <c r="N15" t="s">
        <v>32</v>
      </c>
      <c r="O15" s="1" t="n">
        <v>2098104.3924382</v>
      </c>
      <c r="P15" s="1" t="n">
        <v>427246.641146371</v>
      </c>
      <c r="Q15" s="1" t="n">
        <v>8681832.03328298</v>
      </c>
      <c r="R15" s="1" t="n">
        <v>17275239.8255729</v>
      </c>
      <c r="S15" s="1" t="n">
        <v>16400871.855452</v>
      </c>
      <c r="T15" s="1" t="n">
        <v>17513363.1702334</v>
      </c>
      <c r="U15" s="1" t="n">
        <v>25425216.7579721</v>
      </c>
      <c r="V15" s="1" t="n">
        <v>28613130.9178466</v>
      </c>
      <c r="W15" s="1" t="n">
        <v>49132786.6371773</v>
      </c>
      <c r="X15" s="1" t="n">
        <v>89065302.5141663</v>
      </c>
      <c r="Y15" s="1" t="n">
        <v>85832470.6736183</v>
      </c>
      <c r="Z15" s="1" t="n">
        <v>45208482.8347229</v>
      </c>
      <c r="AA15" s="1" t="n">
        <v>46798654.7074729</v>
      </c>
      <c r="AB15" s="1" t="n">
        <v>66549720.2499426</v>
      </c>
      <c r="AC15" s="1" t="n">
        <v>116555918.226096</v>
      </c>
      <c r="AD15" s="1" t="n">
        <v>147639815.353184</v>
      </c>
      <c r="AE15" s="1" t="n">
        <v>253265885.024097</v>
      </c>
      <c r="AF15" s="1" t="n">
        <v>236812487.733903</v>
      </c>
      <c r="AG15" s="1" t="n">
        <v>260481909.106707</v>
      </c>
      <c r="AH15" s="1" t="n">
        <v>487369042.167432</v>
      </c>
      <c r="AI15" s="1" t="n">
        <v>630134807.150557</v>
      </c>
      <c r="AJ15" s="1" t="n">
        <v>648692868.831383</v>
      </c>
      <c r="AK15" s="1" t="n">
        <v>660463626.8021</v>
      </c>
      <c r="AL15" s="1" t="n">
        <v>800889798.236</v>
      </c>
      <c r="AM15" s="1" t="n">
        <v>954673115.600841</v>
      </c>
      <c r="AN15" s="1" t="n">
        <v>273574052.323498</v>
      </c>
      <c r="AO15" s="1"/>
    </row>
    <row r="16">
      <c r="A16" t="str">
        <f>M16</f>
      </c>
      <c r="B16" t="str">
        <f>N16</f>
      </c>
      <c r="M16" t="s">
        <v>31</v>
      </c>
      <c r="N16" t="s">
        <v>33</v>
      </c>
      <c r="O16" s="1" t="n">
        <v>178968105.749801</v>
      </c>
      <c r="P16" s="1" t="n">
        <v>259171609.308047</v>
      </c>
      <c r="Q16" s="1" t="n">
        <v>292027410.62233</v>
      </c>
      <c r="R16" s="1" t="n">
        <v>328612312.423189</v>
      </c>
      <c r="S16" s="1" t="n">
        <v>366135224.539786</v>
      </c>
      <c r="T16" s="1" t="n">
        <v>350760821.601486</v>
      </c>
      <c r="U16" s="1" t="n">
        <v>341320321.440962</v>
      </c>
      <c r="V16" s="1" t="n">
        <v>405391082.041647</v>
      </c>
      <c r="W16" s="1" t="n">
        <v>464733146.513574</v>
      </c>
      <c r="X16" s="1" t="n">
        <v>589013692.388145</v>
      </c>
      <c r="Y16" s="1" t="n">
        <v>687674926.47246</v>
      </c>
      <c r="Z16" s="1" t="n">
        <v>555152779.216317</v>
      </c>
      <c r="AA16" s="1" t="n">
        <v>663860343.491166</v>
      </c>
      <c r="AB16" s="1" t="n">
        <v>612241553.607326</v>
      </c>
      <c r="AC16" s="1" t="n">
        <v>583815798.71772</v>
      </c>
      <c r="AD16" s="1" t="n">
        <v>736382694.686516</v>
      </c>
      <c r="AE16" s="1" t="n">
        <v>682284457.764824</v>
      </c>
      <c r="AF16" s="1" t="n">
        <v>732873599.528274</v>
      </c>
      <c r="AG16" s="1" t="n">
        <v>800114279.443957</v>
      </c>
      <c r="AH16" s="1" t="n">
        <v>606097452.158734</v>
      </c>
      <c r="AI16" s="1" t="n">
        <v>594486755.947008</v>
      </c>
      <c r="AJ16" s="1" t="n">
        <v>577062033.747649</v>
      </c>
      <c r="AK16" s="1" t="n">
        <v>756592592.356846</v>
      </c>
      <c r="AL16" s="1" t="n">
        <v>818722548.8353</v>
      </c>
      <c r="AM16" s="1" t="n">
        <v>880355675.884107</v>
      </c>
      <c r="AN16" s="1" t="n">
        <v>397992830.390866</v>
      </c>
      <c r="AO16" s="1"/>
    </row>
    <row r="17">
      <c r="A17" t="str">
        <f>M17</f>
      </c>
      <c r="B17" t="str">
        <f>N17</f>
      </c>
      <c r="M17" t="s">
        <v>31</v>
      </c>
      <c r="N17" t="s">
        <v>34</v>
      </c>
      <c r="O17" s="1" t="n">
        <v>50136707.6522001</v>
      </c>
      <c r="P17" s="1" t="n">
        <v>39867044.4166065</v>
      </c>
      <c r="Q17" s="1" t="n">
        <v>45861644.2417904</v>
      </c>
      <c r="R17" s="1" t="n">
        <v>122413190.54029</v>
      </c>
      <c r="S17" s="1" t="n">
        <v>148254430.679465</v>
      </c>
      <c r="T17" s="1" t="n">
        <v>285884089.362997</v>
      </c>
      <c r="U17" s="1" t="n">
        <v>278731477.209643</v>
      </c>
      <c r="V17" s="1" t="n">
        <v>422792450.436862</v>
      </c>
      <c r="W17" s="1" t="n">
        <v>486952460.807478</v>
      </c>
      <c r="X17" s="1" t="n">
        <v>728009760.328784</v>
      </c>
      <c r="Y17" s="1" t="n">
        <v>592892474.701656</v>
      </c>
      <c r="Z17" s="1" t="n">
        <v>321383465.322388</v>
      </c>
      <c r="AA17" s="1" t="n">
        <v>337800121.329114</v>
      </c>
      <c r="AB17" s="1" t="n">
        <v>184126646.696978</v>
      </c>
      <c r="AC17" s="1" t="n">
        <v>393112092.003512</v>
      </c>
      <c r="AD17" s="1" t="n">
        <v>344188310.96268</v>
      </c>
      <c r="AE17" s="1" t="n">
        <v>368772022.547046</v>
      </c>
      <c r="AF17" s="1" t="n">
        <v>362807773.572386</v>
      </c>
      <c r="AG17" s="1" t="n">
        <v>160882523.836036</v>
      </c>
      <c r="AH17" s="1" t="n">
        <v>237739120.491665</v>
      </c>
      <c r="AI17" s="1" t="n">
        <v>178131703.35397</v>
      </c>
      <c r="AJ17" s="1" t="n">
        <v>193314716.687592</v>
      </c>
      <c r="AK17" s="1" t="n">
        <v>202305330.453059</v>
      </c>
      <c r="AL17" s="1" t="n">
        <v>205925851.8971</v>
      </c>
      <c r="AM17" s="1" t="n">
        <v>178571061.504318</v>
      </c>
      <c r="AN17" s="1" t="n">
        <v>88105782.8826877</v>
      </c>
      <c r="AO17" s="1"/>
    </row>
    <row r="18">
      <c r="A18" t="str">
        <f>M18</f>
      </c>
      <c r="B18" t="str">
        <f>N18</f>
      </c>
      <c r="M18" t="s">
        <v>31</v>
      </c>
      <c r="N18" t="s">
        <v>35</v>
      </c>
      <c r="O18" s="1" t="n">
        <v>59153476.1059861</v>
      </c>
      <c r="P18" s="1" t="n">
        <v>115493521.530738</v>
      </c>
      <c r="Q18" s="1" t="n">
        <v>108399542.10596</v>
      </c>
      <c r="R18" s="1" t="n">
        <v>166993731.783671</v>
      </c>
      <c r="S18" s="1" t="n">
        <v>340238145.825327</v>
      </c>
      <c r="T18" s="1" t="n">
        <v>172415495.131872</v>
      </c>
      <c r="U18" s="1" t="n">
        <v>443173066.668841</v>
      </c>
      <c r="V18" s="1" t="n">
        <v>515046875.387574</v>
      </c>
      <c r="W18" s="1" t="n">
        <v>517305182.771662</v>
      </c>
      <c r="X18" s="1" t="n">
        <v>566786143.890325</v>
      </c>
      <c r="Y18" s="1" t="n">
        <v>615821190.782069</v>
      </c>
      <c r="Z18" s="1" t="n">
        <v>514729325.029707</v>
      </c>
      <c r="AA18" s="1" t="n">
        <v>383569496.247346</v>
      </c>
      <c r="AB18" s="1" t="n">
        <v>335349660.155537</v>
      </c>
      <c r="AC18" s="1" t="n">
        <v>303688015.726424</v>
      </c>
      <c r="AD18" s="1" t="n">
        <v>349373577.184249</v>
      </c>
      <c r="AE18" s="1" t="n">
        <v>381805080.322023</v>
      </c>
      <c r="AF18" s="1" t="n">
        <v>416402075.307066</v>
      </c>
      <c r="AG18" s="1" t="n">
        <v>800110768.213976</v>
      </c>
      <c r="AH18" s="1" t="n">
        <v>793805488.134591</v>
      </c>
      <c r="AI18" s="1" t="n">
        <v>893701409.321124</v>
      </c>
      <c r="AJ18" s="1" t="n">
        <v>1890755305.2262</v>
      </c>
      <c r="AK18" s="1" t="n">
        <v>3625438990.02388</v>
      </c>
      <c r="AL18" s="1" t="n">
        <v>4589251874.4351</v>
      </c>
      <c r="AM18" s="1" t="n">
        <v>4575175119.20852</v>
      </c>
      <c r="AN18" s="1" t="n">
        <v>2259830689.51996</v>
      </c>
      <c r="AO18" s="1"/>
    </row>
    <row r="19">
      <c r="A19" t="str">
        <f>M19</f>
      </c>
      <c r="B19" t="str">
        <f>N19</f>
      </c>
      <c r="M19" t="s">
        <v>31</v>
      </c>
      <c r="N19" t="s">
        <v>36</v>
      </c>
      <c r="O19" s="1" t="n">
        <v>303069000.825848</v>
      </c>
      <c r="P19" s="1" t="n">
        <v>340820705.672603</v>
      </c>
      <c r="Q19" s="1" t="n">
        <v>360137307.480711</v>
      </c>
      <c r="R19" s="1" t="n">
        <v>322576725.831771</v>
      </c>
      <c r="S19" s="1" t="n">
        <v>215408394.67187</v>
      </c>
      <c r="T19" s="1" t="n">
        <v>85739638.0780559</v>
      </c>
      <c r="U19" s="1" t="n">
        <v>61063452.88066</v>
      </c>
      <c r="V19" s="1" t="n">
        <v>-3718889.52266875</v>
      </c>
      <c r="W19" s="1" t="n">
        <v>-379463.229346717</v>
      </c>
      <c r="X19" s="1" t="n">
        <v>174294.894964916</v>
      </c>
      <c r="Y19" s="1" t="n">
        <v>-786976.460326384</v>
      </c>
      <c r="Z19" s="1" t="n">
        <v>-504431.078553382</v>
      </c>
      <c r="AA19" s="1" t="n">
        <v>-125386.871697574</v>
      </c>
      <c r="AB19" s="1" t="n">
        <v>-80244.0139523114</v>
      </c>
      <c r="AC19" s="1" t="n">
        <v>1064830.83213618</v>
      </c>
      <c r="AD19" s="1" t="n">
        <v>0</v>
      </c>
      <c r="AE19" s="1" t="n">
        <v>-203.425173973521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>
      <c r="A20" t="str">
        <f>M20</f>
      </c>
      <c r="B20" t="str">
        <f>N20</f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</row>
    <row r="2">
      <c r="A2" t="str">
        <f>N2</f>
      </c>
      <c r="B2" t="str">
        <f>O2</f>
      </c>
      <c r="N2" t="s">
        <v>28</v>
      </c>
      <c r="O2" t="s">
        <v>29</v>
      </c>
      <c r="P2" s="2" t="n">
        <v>15993325053.8429</v>
      </c>
      <c r="Q2" s="2" t="n">
        <v>17860545497.29</v>
      </c>
      <c r="R2" s="2" t="n">
        <v>18688954983.14</v>
      </c>
      <c r="S2" s="2" t="n">
        <v>25139387785.01</v>
      </c>
      <c r="T2" s="2" t="n">
        <v>21092600362.66</v>
      </c>
      <c r="U2" s="2" t="n">
        <v>22578491210.63</v>
      </c>
      <c r="V2" s="2" t="n">
        <v>22114941451.91</v>
      </c>
      <c r="W2" s="2" t="n">
        <v>22394463691.47</v>
      </c>
      <c r="X2" s="2" t="n">
        <v>23037063198.68</v>
      </c>
      <c r="Y2" s="2" t="n">
        <v>30129822561.07</v>
      </c>
      <c r="Z2" s="2" t="n">
        <v>24223561888.2535</v>
      </c>
      <c r="AA2" s="2" t="n">
        <v>23991753905.4552</v>
      </c>
      <c r="AB2" s="2" t="n">
        <v>24042173146.1448</v>
      </c>
      <c r="AC2" s="2" t="n">
        <v>23012108687.5095</v>
      </c>
      <c r="AD2" s="2" t="n">
        <v>24350206876.105</v>
      </c>
      <c r="AE2" s="2" t="n">
        <v>23868546268.6198</v>
      </c>
      <c r="AF2" s="2" t="n">
        <v>26884573517.27</v>
      </c>
      <c r="AG2" s="2" t="n">
        <v>27487828718.7235</v>
      </c>
      <c r="AH2" s="2" t="n">
        <v>30226290304.98</v>
      </c>
      <c r="AI2" s="2" t="n">
        <v>31454719271.06</v>
      </c>
      <c r="AJ2" s="2" t="n">
        <v>33949846059.32</v>
      </c>
      <c r="AK2" s="2" t="n">
        <v>35548084758.71</v>
      </c>
      <c r="AL2" s="2" t="n">
        <v>37849689473.28</v>
      </c>
      <c r="AM2" s="2" t="n">
        <v>39794765716.47</v>
      </c>
      <c r="AN2" s="2" t="n">
        <v>40835486505.42</v>
      </c>
      <c r="AO2" s="2" t="n">
        <v>19429580472.6</v>
      </c>
      <c r="AP2" s="2"/>
    </row>
    <row r="3">
      <c r="A3" t="str">
        <f>N3</f>
      </c>
      <c r="B3" t="str">
        <f>O3</f>
      </c>
      <c r="N3" t="s">
        <v>28</v>
      </c>
      <c r="O3" t="s">
        <v>30</v>
      </c>
      <c r="P3" s="2" t="n">
        <v>4298232603</v>
      </c>
      <c r="Q3" s="2" t="n">
        <v>4741295779.1</v>
      </c>
      <c r="R3" s="2" t="n">
        <v>4812261821.36</v>
      </c>
      <c r="S3" s="2" t="n">
        <v>4771614485.38</v>
      </c>
      <c r="T3" s="2" t="n">
        <v>43360971.82</v>
      </c>
      <c r="U3" s="2" t="n">
        <v>51020154.98</v>
      </c>
      <c r="V3" s="2" t="n">
        <v>57292904.4</v>
      </c>
      <c r="W3" s="2" t="n">
        <v>64316873.18</v>
      </c>
      <c r="X3" s="2" t="n">
        <v>70285958.02</v>
      </c>
      <c r="Y3" s="2" t="n">
        <v>88002605.32</v>
      </c>
      <c r="Z3" s="2" t="n">
        <v>70045103.2618</v>
      </c>
      <c r="AA3" s="2" t="n">
        <v>51515053.317</v>
      </c>
      <c r="AB3" s="2" t="n">
        <v>50279712.7313</v>
      </c>
      <c r="AC3" s="2" t="n">
        <v>41345439.0309</v>
      </c>
      <c r="AD3" s="2" t="n">
        <v>48190502.9535</v>
      </c>
      <c r="AE3" s="2" t="n">
        <v>44186347.0378</v>
      </c>
      <c r="AF3" s="2" t="n">
        <v>45894443.21</v>
      </c>
      <c r="AG3" s="2" t="n">
        <v>45548985.1267</v>
      </c>
      <c r="AH3" s="2" t="n">
        <v>43955923.47</v>
      </c>
      <c r="AI3" s="2" t="n">
        <v>44488575.4</v>
      </c>
      <c r="AJ3" s="2" t="n">
        <v>44782356.84</v>
      </c>
      <c r="AK3" s="2" t="n">
        <v>53749359.01</v>
      </c>
      <c r="AL3" s="2" t="n">
        <v>47312927.5</v>
      </c>
      <c r="AM3" s="2" t="n">
        <v>64607686.03</v>
      </c>
      <c r="AN3" s="2" t="n">
        <v>70968899.48</v>
      </c>
      <c r="AO3" s="2" t="n">
        <v>20545468.45</v>
      </c>
      <c r="AP3" s="2"/>
    </row>
    <row r="4">
      <c r="A4" t="str">
        <f>N4</f>
      </c>
      <c r="B4" t="str">
        <f>O4</f>
      </c>
      <c r="N4" t="s">
        <v>31</v>
      </c>
      <c r="O4" t="s">
        <v>32</v>
      </c>
      <c r="P4" s="2" t="n">
        <v>1248000</v>
      </c>
      <c r="Q4" s="2" t="n">
        <v>260296</v>
      </c>
      <c r="R4" s="2" t="n">
        <v>5372537</v>
      </c>
      <c r="S4" s="2" t="n">
        <v>10895557.59</v>
      </c>
      <c r="T4" s="2" t="n">
        <v>10596680.2915</v>
      </c>
      <c r="U4" s="2" t="n">
        <v>11659793.7583</v>
      </c>
      <c r="V4" s="2" t="n">
        <v>17477102.8018</v>
      </c>
      <c r="W4" s="2" t="n">
        <v>20209913.5508</v>
      </c>
      <c r="X4" s="2" t="n">
        <v>35423745.0126</v>
      </c>
      <c r="Y4" s="2" t="n">
        <v>64870943.32</v>
      </c>
      <c r="Z4" s="2" t="n">
        <v>63057720.7572</v>
      </c>
      <c r="AA4" s="2" t="n">
        <v>33879511.8135</v>
      </c>
      <c r="AB4" s="2" t="n">
        <v>35707599.7197</v>
      </c>
      <c r="AC4" s="2" t="n">
        <v>51699106.8523</v>
      </c>
      <c r="AD4" s="2" t="n">
        <v>92198242.5141</v>
      </c>
      <c r="AE4" s="2" t="n">
        <v>117995743.312</v>
      </c>
      <c r="AF4" s="2" t="n">
        <v>204031843.39</v>
      </c>
      <c r="AG4" s="2" t="n">
        <v>193997286.5474</v>
      </c>
      <c r="AH4" s="2" t="n">
        <v>218124524.9281</v>
      </c>
      <c r="AI4" s="2" t="n">
        <v>415663070.0352</v>
      </c>
      <c r="AJ4" s="2" t="n">
        <v>544444319.8167</v>
      </c>
      <c r="AK4" s="2" t="n">
        <v>579768919.3873</v>
      </c>
      <c r="AL4" s="2" t="n">
        <v>631571386.5459</v>
      </c>
      <c r="AM4" s="2" t="n">
        <v>800889798.236</v>
      </c>
      <c r="AN4" s="2" t="n">
        <v>980168604.37</v>
      </c>
      <c r="AO4" s="2" t="n">
        <v>287043209.8</v>
      </c>
      <c r="AP4" s="2"/>
    </row>
    <row r="5">
      <c r="A5" t="str">
        <f>N5</f>
      </c>
      <c r="B5" t="str">
        <f>O5</f>
      </c>
      <c r="N5" t="s">
        <v>31</v>
      </c>
      <c r="O5" t="s">
        <v>33</v>
      </c>
      <c r="P5" s="2" t="n">
        <v>106454281.6748</v>
      </c>
      <c r="Q5" s="2" t="n">
        <v>157897866.7578</v>
      </c>
      <c r="R5" s="2" t="n">
        <v>180713939.4736</v>
      </c>
      <c r="S5" s="2" t="n">
        <v>207256999.6678</v>
      </c>
      <c r="T5" s="2" t="n">
        <v>236561687.2139</v>
      </c>
      <c r="U5" s="2" t="n">
        <v>233524469.2074</v>
      </c>
      <c r="V5" s="2" t="n">
        <v>234621022.2297</v>
      </c>
      <c r="W5" s="2" t="n">
        <v>286334226.9621</v>
      </c>
      <c r="X5" s="2" t="n">
        <v>335063195.2258</v>
      </c>
      <c r="Y5" s="2" t="n">
        <v>429009645.4513</v>
      </c>
      <c r="Z5" s="2" t="n">
        <v>505207564.7469</v>
      </c>
      <c r="AA5" s="2" t="n">
        <v>416034866.9633</v>
      </c>
      <c r="AB5" s="2" t="n">
        <v>506528650.5208</v>
      </c>
      <c r="AC5" s="2" t="n">
        <v>475619452.3506</v>
      </c>
      <c r="AD5" s="2" t="n">
        <v>461810875.0971</v>
      </c>
      <c r="AE5" s="2" t="n">
        <v>588527039.3611</v>
      </c>
      <c r="AF5" s="2" t="n">
        <v>549650639.37</v>
      </c>
      <c r="AG5" s="2" t="n">
        <v>600371589.5695</v>
      </c>
      <c r="AH5" s="2" t="n">
        <v>670006403.4789</v>
      </c>
      <c r="AI5" s="2" t="n">
        <v>516923123.7676</v>
      </c>
      <c r="AJ5" s="2" t="n">
        <v>513643959.6873</v>
      </c>
      <c r="AK5" s="2" t="n">
        <v>515748897.2062</v>
      </c>
      <c r="AL5" s="2" t="n">
        <v>723495152.8199</v>
      </c>
      <c r="AM5" s="2" t="n">
        <v>818722548.8353</v>
      </c>
      <c r="AN5" s="2" t="n">
        <v>903866444</v>
      </c>
      <c r="AO5" s="2" t="n">
        <v>417587627.71</v>
      </c>
      <c r="AP5" s="2"/>
    </row>
    <row r="6">
      <c r="A6" t="str">
        <f>N6</f>
      </c>
      <c r="B6" t="str">
        <f>O6</f>
      </c>
      <c r="N6" t="s">
        <v>31</v>
      </c>
      <c r="O6" t="s">
        <v>34</v>
      </c>
      <c r="P6" s="2" t="n">
        <v>29822448.957</v>
      </c>
      <c r="Q6" s="2" t="n">
        <v>24288622.0606</v>
      </c>
      <c r="R6" s="2" t="n">
        <v>28380344.1054</v>
      </c>
      <c r="S6" s="2" t="n">
        <v>77206451.5905</v>
      </c>
      <c r="T6" s="2" t="n">
        <v>95787883.5683</v>
      </c>
      <c r="U6" s="2" t="n">
        <v>190331776.2757</v>
      </c>
      <c r="V6" s="2" t="n">
        <v>191597921.3732</v>
      </c>
      <c r="W6" s="2" t="n">
        <v>298625092.7168</v>
      </c>
      <c r="X6" s="2" t="n">
        <v>351082871.2461</v>
      </c>
      <c r="Y6" s="2" t="n">
        <v>530247790.8407</v>
      </c>
      <c r="Z6" s="2" t="n">
        <v>435574646.9299</v>
      </c>
      <c r="AA6" s="2" t="n">
        <v>240846722.2813</v>
      </c>
      <c r="AB6" s="2" t="n">
        <v>257743125.1621</v>
      </c>
      <c r="AC6" s="2" t="n">
        <v>143038665.6201</v>
      </c>
      <c r="AD6" s="2" t="n">
        <v>310960134.3748</v>
      </c>
      <c r="AE6" s="2" t="n">
        <v>275079967.38</v>
      </c>
      <c r="AF6" s="2" t="n">
        <v>297083973.8</v>
      </c>
      <c r="AG6" s="2" t="n">
        <v>297212888.9184</v>
      </c>
      <c r="AH6" s="2" t="n">
        <v>134721156.6489</v>
      </c>
      <c r="AI6" s="2" t="n">
        <v>202760873.4678</v>
      </c>
      <c r="AJ6" s="2" t="n">
        <v>153908009.7938</v>
      </c>
      <c r="AK6" s="2" t="n">
        <v>172774929.0624</v>
      </c>
      <c r="AL6" s="2" t="n">
        <v>193455404.4687</v>
      </c>
      <c r="AM6" s="2" t="n">
        <v>205925851.8971</v>
      </c>
      <c r="AN6" s="2" t="n">
        <v>183339978.13</v>
      </c>
      <c r="AO6" s="2" t="n">
        <v>92443587.05</v>
      </c>
      <c r="AP6" s="2"/>
    </row>
    <row r="7">
      <c r="A7" t="str">
        <f>N7</f>
      </c>
      <c r="B7" t="str">
        <f>O7</f>
      </c>
      <c r="N7" t="s">
        <v>31</v>
      </c>
      <c r="O7" t="s">
        <v>35</v>
      </c>
      <c r="P7" s="2" t="n">
        <v>35185827</v>
      </c>
      <c r="Q7" s="2" t="n">
        <v>70363342.3535</v>
      </c>
      <c r="R7" s="2" t="n">
        <v>67080375.2612</v>
      </c>
      <c r="S7" s="2" t="n">
        <v>105323563.6778</v>
      </c>
      <c r="T7" s="2" t="n">
        <v>219829463.0956</v>
      </c>
      <c r="U7" s="2" t="n">
        <v>114788295.9105</v>
      </c>
      <c r="V7" s="2" t="n">
        <v>304633833.3667</v>
      </c>
      <c r="W7" s="2" t="n">
        <v>363785873.5585</v>
      </c>
      <c r="X7" s="2" t="n">
        <v>372966569.6253</v>
      </c>
      <c r="Y7" s="2" t="n">
        <v>412820153.0447</v>
      </c>
      <c r="Z7" s="2" t="n">
        <v>452419467.5971</v>
      </c>
      <c r="AA7" s="2" t="n">
        <v>385741284.7021</v>
      </c>
      <c r="AB7" s="2" t="n">
        <v>292665379.4281</v>
      </c>
      <c r="AC7" s="2" t="n">
        <v>260516165.1792</v>
      </c>
      <c r="AD7" s="2" t="n">
        <v>240223763.3979</v>
      </c>
      <c r="AE7" s="2" t="n">
        <v>279224102.4876</v>
      </c>
      <c r="AF7" s="2" t="n">
        <v>307583448.7</v>
      </c>
      <c r="AG7" s="2" t="n">
        <v>341117453.2867</v>
      </c>
      <c r="AH7" s="2" t="n">
        <v>670003463.2157</v>
      </c>
      <c r="AI7" s="2" t="n">
        <v>677013920.9939</v>
      </c>
      <c r="AJ7" s="2" t="n">
        <v>772169146.0234</v>
      </c>
      <c r="AK7" s="2" t="n">
        <v>1689861585.9792</v>
      </c>
      <c r="AL7" s="2" t="n">
        <v>3466842740.2332</v>
      </c>
      <c r="AM7" s="2" t="n">
        <v>4589251874.4351</v>
      </c>
      <c r="AN7" s="2" t="n">
        <v>4697359691.04</v>
      </c>
      <c r="AO7" s="2" t="n">
        <v>2371091297.64</v>
      </c>
      <c r="AP7" s="2"/>
    </row>
    <row r="8">
      <c r="A8" t="str">
        <f>N8</f>
      </c>
      <c r="B8" t="str">
        <f>O8</f>
      </c>
      <c r="N8" t="s">
        <v>31</v>
      </c>
      <c r="O8" t="s">
        <v>36</v>
      </c>
      <c r="P8" s="2" t="n">
        <v>180272304.0826</v>
      </c>
      <c r="Q8" s="2" t="n">
        <v>207641811.2164</v>
      </c>
      <c r="R8" s="2" t="n">
        <v>222862064.378</v>
      </c>
      <c r="S8" s="2" t="n">
        <v>203450332.9031</v>
      </c>
      <c r="T8" s="2" t="n">
        <v>139176374.9245</v>
      </c>
      <c r="U8" s="2" t="n">
        <v>57082496.7874</v>
      </c>
      <c r="V8" s="2" t="n">
        <v>41974558.313</v>
      </c>
      <c r="W8" s="2" t="n">
        <v>-2626711.3506</v>
      </c>
      <c r="X8" s="2" t="n">
        <v>-273585.3103</v>
      </c>
      <c r="Y8" s="2" t="n">
        <v>126948.1373</v>
      </c>
      <c r="Z8" s="2" t="n">
        <v>-578160.4734</v>
      </c>
      <c r="AA8" s="2" t="n">
        <v>-378023.7162</v>
      </c>
      <c r="AB8" s="2" t="n">
        <v>-95670.7891</v>
      </c>
      <c r="AC8" s="2" t="n">
        <v>-62337.51</v>
      </c>
      <c r="AD8" s="2" t="n">
        <v>842304.13</v>
      </c>
      <c r="AE8" s="2" t="n">
        <v>0</v>
      </c>
      <c r="AF8" s="2" t="n">
        <v>-163.88</v>
      </c>
      <c r="AG8" s="2"/>
      <c r="AH8" s="2"/>
      <c r="AI8" s="2"/>
      <c r="AJ8" s="2"/>
      <c r="AK8" s="2"/>
      <c r="AL8" s="2"/>
      <c r="AM8" s="2"/>
      <c r="AN8" s="2"/>
      <c r="AO8" s="2"/>
      <c r="AP8" s="2"/>
    </row>
    <row r="9">
      <c r="A9" t="str">
        <f>N9</f>
      </c>
      <c r="B9" t="str">
        <f>O9</f>
      </c>
      <c r="N9" t="s">
        <v>37</v>
      </c>
      <c r="O9" t="s">
        <v>38</v>
      </c>
      <c r="P9" s="2" t="str">
        <f>Sum(P2:P8)</f>
      </c>
      <c r="Q9" s="2" t="str">
        <f>Sum(Q2:Q8)</f>
      </c>
      <c r="R9" s="2" t="str">
        <f>Sum(R2:R8)</f>
      </c>
      <c r="S9" s="2" t="str">
        <f>Sum(S2:S8)</f>
      </c>
      <c r="T9" s="2" t="str">
        <f>Sum(T2:T8)</f>
      </c>
      <c r="U9" s="2" t="str">
        <f>Sum(U2:U8)</f>
      </c>
      <c r="V9" s="2" t="str">
        <f>Sum(V2:V8)</f>
      </c>
      <c r="W9" s="2" t="str">
        <f>Sum(W2:W8)</f>
      </c>
      <c r="X9" s="2" t="str">
        <f>Sum(X2:X8)</f>
      </c>
      <c r="Y9" s="2" t="str">
        <f>Sum(Y2:Y8)</f>
      </c>
      <c r="Z9" s="2" t="str">
        <f>Sum(Z2:Z8)</f>
      </c>
      <c r="AA9" s="2" t="str">
        <f>Sum(AA2:AA8)</f>
      </c>
      <c r="AB9" s="2" t="str">
        <f>Sum(AB2:AB8)</f>
      </c>
      <c r="AC9" s="2" t="str">
        <f>Sum(AC2:AC8)</f>
      </c>
      <c r="AD9" s="2" t="str">
        <f>Sum(AD2:AD8)</f>
      </c>
      <c r="AE9" s="2" t="str">
        <f>Sum(AE2:AE8)</f>
      </c>
      <c r="AF9" s="2" t="str">
        <f>Sum(AF2:AF8)</f>
      </c>
      <c r="AG9" s="2" t="str">
        <f>Sum(AG2:AG8)</f>
      </c>
      <c r="AH9" s="2" t="str">
        <f>Sum(AH2:AH8)</f>
      </c>
      <c r="AI9" s="2" t="str">
        <f>Sum(AI2:AI8)</f>
      </c>
      <c r="AJ9" s="2" t="str">
        <f>Sum(AJ2:AJ8)</f>
      </c>
      <c r="AK9" s="2" t="str">
        <f>Sum(AK2:AK8)</f>
      </c>
      <c r="AL9" s="2" t="str">
        <f>Sum(AL2:AL8)</f>
      </c>
      <c r="AM9" s="2" t="str">
        <f>Sum(AM2:AM8)</f>
      </c>
      <c r="AN9" s="2" t="str">
        <f>Sum(AN2:AN8)</f>
      </c>
      <c r="AO9" s="2" t="str">
        <f>Sum(AO2:AO8)</f>
      </c>
      <c r="AP9" s="2"/>
    </row>
    <row r="12">
      <c r="A12" t="str">
        <f>N12</f>
      </c>
      <c r="B12" t="str">
        <f>O12</f>
      </c>
      <c r="N12" t="s">
        <v>0</v>
      </c>
      <c r="O12" t="s">
        <v>1</v>
      </c>
      <c r="P12" t="s">
        <v>2</v>
      </c>
      <c r="Q12" t="s">
        <v>3</v>
      </c>
      <c r="R12" t="s">
        <v>4</v>
      </c>
      <c r="S12" t="s">
        <v>5</v>
      </c>
      <c r="T12" t="s">
        <v>6</v>
      </c>
      <c r="U12" t="s">
        <v>7</v>
      </c>
      <c r="V12" t="s">
        <v>8</v>
      </c>
      <c r="W12" t="s">
        <v>9</v>
      </c>
      <c r="X12" t="s">
        <v>10</v>
      </c>
      <c r="Y12" t="s">
        <v>11</v>
      </c>
      <c r="Z12" t="s">
        <v>12</v>
      </c>
      <c r="AA12" t="s">
        <v>13</v>
      </c>
      <c r="AB12" t="s">
        <v>14</v>
      </c>
      <c r="AC12" t="s">
        <v>15</v>
      </c>
      <c r="AD12" t="s">
        <v>16</v>
      </c>
      <c r="AE12" t="s">
        <v>17</v>
      </c>
      <c r="AF12" t="s">
        <v>18</v>
      </c>
      <c r="AG12" t="s">
        <v>19</v>
      </c>
      <c r="AH12" t="s">
        <v>20</v>
      </c>
      <c r="AI12" t="s">
        <v>21</v>
      </c>
      <c r="AJ12" t="s">
        <v>22</v>
      </c>
      <c r="AK12" t="s">
        <v>23</v>
      </c>
      <c r="AL12" t="s">
        <v>24</v>
      </c>
      <c r="AM12" t="s">
        <v>25</v>
      </c>
      <c r="AN12" t="s">
        <v>26</v>
      </c>
      <c r="AO12" t="s">
        <v>27</v>
      </c>
    </row>
    <row r="13">
      <c r="A13" t="str">
        <f>N13</f>
      </c>
      <c r="B13" t="str">
        <f>O13</f>
      </c>
      <c r="N13" t="s">
        <v>28</v>
      </c>
      <c r="O13" t="s">
        <v>29</v>
      </c>
      <c r="P13" s="2" t="n">
        <v>26887552520.16</v>
      </c>
      <c r="Q13" s="2" t="n">
        <v>29316078897.713</v>
      </c>
      <c r="R13" s="2" t="n">
        <v>30200698113.6116</v>
      </c>
      <c r="S13" s="2" t="n">
        <v>39859268281.2965</v>
      </c>
      <c r="T13" s="2" t="n">
        <v>32645793411.7098</v>
      </c>
      <c r="U13" s="2" t="n">
        <v>33913577255.7043</v>
      </c>
      <c r="V13" s="2" t="n">
        <v>32172219067.4969</v>
      </c>
      <c r="W13" s="2" t="n">
        <v>31706010014.7548</v>
      </c>
      <c r="X13" s="2" t="n">
        <v>31952440671.7955</v>
      </c>
      <c r="Y13" s="2" t="n">
        <v>41367083994.1757</v>
      </c>
      <c r="Z13" s="2" t="n">
        <v>32972459841.8298</v>
      </c>
      <c r="AA13" s="2" t="n">
        <v>32014357248.7214</v>
      </c>
      <c r="AB13" s="2" t="n">
        <v>31509856958.0683</v>
      </c>
      <c r="AC13" s="2" t="n">
        <v>29622356917.8913</v>
      </c>
      <c r="AD13" s="2" t="n">
        <v>30783241025.5084</v>
      </c>
      <c r="AE13" s="2" t="n">
        <v>29865041440.7753</v>
      </c>
      <c r="AF13" s="2" t="n">
        <v>33371973669.4811</v>
      </c>
      <c r="AG13" s="2" t="n">
        <v>33554392523.3916</v>
      </c>
      <c r="AH13" s="2" t="n">
        <v>36095903504.8903</v>
      </c>
      <c r="AI13" s="2" t="n">
        <v>36880968043.3813</v>
      </c>
      <c r="AJ13" s="2" t="n">
        <v>39293237013.811</v>
      </c>
      <c r="AK13" s="2" t="n">
        <v>39774103634.183</v>
      </c>
      <c r="AL13" s="2" t="n">
        <v>39581183877.8402</v>
      </c>
      <c r="AM13" s="2" t="n">
        <v>39794765716.47</v>
      </c>
      <c r="AN13" s="2" t="n">
        <v>39773301200.8302</v>
      </c>
      <c r="AO13" s="2" t="n">
        <v>18517870771.2273</v>
      </c>
      <c r="AP13" s="2"/>
    </row>
    <row r="14">
      <c r="A14" t="str">
        <f>N14</f>
      </c>
      <c r="B14" t="str">
        <f>O14</f>
      </c>
      <c r="N14" t="s">
        <v>28</v>
      </c>
      <c r="O14" t="s">
        <v>30</v>
      </c>
      <c r="P14" s="2" t="n">
        <v>7226074282.11168</v>
      </c>
      <c r="Q14" s="2" t="n">
        <v>7782304362.3488</v>
      </c>
      <c r="R14" s="2" t="n">
        <v>7776446925.02406</v>
      </c>
      <c r="S14" s="2" t="n">
        <v>7565540717.78508</v>
      </c>
      <c r="T14" s="2" t="n">
        <v>67111370.9940018</v>
      </c>
      <c r="U14" s="2" t="n">
        <v>76633817.1745337</v>
      </c>
      <c r="V14" s="2" t="n">
        <v>83348168.7201466</v>
      </c>
      <c r="W14" s="2" t="n">
        <v>91059623.184436</v>
      </c>
      <c r="X14" s="2" t="n">
        <v>97486727.5540157</v>
      </c>
      <c r="Y14" s="2" t="n">
        <v>120824182.0409</v>
      </c>
      <c r="Z14" s="2" t="n">
        <v>95343507.4936885</v>
      </c>
      <c r="AA14" s="2" t="n">
        <v>68741173.6164221</v>
      </c>
      <c r="AB14" s="2" t="n">
        <v>65896978.0487616</v>
      </c>
      <c r="AC14" s="2" t="n">
        <v>53221952.3439415</v>
      </c>
      <c r="AD14" s="2" t="n">
        <v>60921858.902718</v>
      </c>
      <c r="AE14" s="2" t="n">
        <v>55287283.5466859</v>
      </c>
      <c r="AF14" s="2" t="n">
        <v>56969032.7948019</v>
      </c>
      <c r="AG14" s="2" t="n">
        <v>55601646.1548438</v>
      </c>
      <c r="AH14" s="2" t="n">
        <v>52491680.4554098</v>
      </c>
      <c r="AI14" s="2" t="n">
        <v>52163292.6837966</v>
      </c>
      <c r="AJ14" s="2" t="n">
        <v>51830684.5420325</v>
      </c>
      <c r="AK14" s="2" t="n">
        <v>60139177.4000099</v>
      </c>
      <c r="AL14" s="2" t="n">
        <v>49477332.8192945</v>
      </c>
      <c r="AM14" s="2" t="n">
        <v>64607686.03</v>
      </c>
      <c r="AN14" s="2" t="n">
        <v>69122904.0343339</v>
      </c>
      <c r="AO14" s="2" t="n">
        <v>19581397.0470417</v>
      </c>
      <c r="AP14" s="2"/>
    </row>
    <row r="15">
      <c r="A15" t="str">
        <f>N15</f>
      </c>
      <c r="B15" t="str">
        <f>O15</f>
      </c>
      <c r="N15" t="s">
        <v>31</v>
      </c>
      <c r="O15" t="s">
        <v>32</v>
      </c>
      <c r="P15" s="2" t="n">
        <v>2098104.3924382</v>
      </c>
      <c r="Q15" s="2" t="n">
        <v>427246.641146371</v>
      </c>
      <c r="R15" s="2" t="n">
        <v>8681832.03328298</v>
      </c>
      <c r="S15" s="2" t="n">
        <v>17275239.8255729</v>
      </c>
      <c r="T15" s="2" t="n">
        <v>16400871.855452</v>
      </c>
      <c r="U15" s="2" t="n">
        <v>17513363.1702334</v>
      </c>
      <c r="V15" s="2" t="n">
        <v>25425216.7579721</v>
      </c>
      <c r="W15" s="2" t="n">
        <v>28613130.9178466</v>
      </c>
      <c r="X15" s="2" t="n">
        <v>49132786.6371773</v>
      </c>
      <c r="Y15" s="2" t="n">
        <v>89065302.5141663</v>
      </c>
      <c r="Z15" s="2" t="n">
        <v>85832470.6736183</v>
      </c>
      <c r="AA15" s="2" t="n">
        <v>45208482.8347229</v>
      </c>
      <c r="AB15" s="2" t="n">
        <v>46798654.7074729</v>
      </c>
      <c r="AC15" s="2" t="n">
        <v>66549720.2499426</v>
      </c>
      <c r="AD15" s="2" t="n">
        <v>116555918.226096</v>
      </c>
      <c r="AE15" s="2" t="n">
        <v>147639815.353184</v>
      </c>
      <c r="AF15" s="2" t="n">
        <v>253265885.024097</v>
      </c>
      <c r="AG15" s="2" t="n">
        <v>236812487.733903</v>
      </c>
      <c r="AH15" s="2" t="n">
        <v>260481909.106707</v>
      </c>
      <c r="AI15" s="2" t="n">
        <v>487369042.167432</v>
      </c>
      <c r="AJ15" s="2" t="n">
        <v>630134807.150557</v>
      </c>
      <c r="AK15" s="2" t="n">
        <v>648692868.831383</v>
      </c>
      <c r="AL15" s="2" t="n">
        <v>660463626.8021</v>
      </c>
      <c r="AM15" s="2" t="n">
        <v>800889798.236</v>
      </c>
      <c r="AN15" s="2" t="n">
        <v>954673115.600841</v>
      </c>
      <c r="AO15" s="2" t="n">
        <v>273574052.323498</v>
      </c>
      <c r="AP15" s="2"/>
    </row>
    <row r="16">
      <c r="A16" t="str">
        <f>N16</f>
      </c>
      <c r="B16" t="str">
        <f>O16</f>
      </c>
      <c r="N16" t="s">
        <v>31</v>
      </c>
      <c r="O16" t="s">
        <v>33</v>
      </c>
      <c r="P16" s="2" t="n">
        <v>178968105.749801</v>
      </c>
      <c r="Q16" s="2" t="n">
        <v>259171609.308047</v>
      </c>
      <c r="R16" s="2" t="n">
        <v>292027410.62233</v>
      </c>
      <c r="S16" s="2" t="n">
        <v>328612312.423189</v>
      </c>
      <c r="T16" s="2" t="n">
        <v>366135224.539786</v>
      </c>
      <c r="U16" s="2" t="n">
        <v>350760821.601486</v>
      </c>
      <c r="V16" s="2" t="n">
        <v>341320321.440962</v>
      </c>
      <c r="W16" s="2" t="n">
        <v>405391082.041647</v>
      </c>
      <c r="X16" s="2" t="n">
        <v>464733146.513574</v>
      </c>
      <c r="Y16" s="2" t="n">
        <v>589013692.388145</v>
      </c>
      <c r="Z16" s="2" t="n">
        <v>687674926.47246</v>
      </c>
      <c r="AA16" s="2" t="n">
        <v>555152779.216317</v>
      </c>
      <c r="AB16" s="2" t="n">
        <v>663860343.491166</v>
      </c>
      <c r="AC16" s="2" t="n">
        <v>612241553.607326</v>
      </c>
      <c r="AD16" s="2" t="n">
        <v>583815798.71772</v>
      </c>
      <c r="AE16" s="2" t="n">
        <v>736382694.686516</v>
      </c>
      <c r="AF16" s="2" t="n">
        <v>682284457.764824</v>
      </c>
      <c r="AG16" s="2" t="n">
        <v>732873599.528274</v>
      </c>
      <c r="AH16" s="2" t="n">
        <v>800114279.443957</v>
      </c>
      <c r="AI16" s="2" t="n">
        <v>606097452.158734</v>
      </c>
      <c r="AJ16" s="2" t="n">
        <v>594486755.947008</v>
      </c>
      <c r="AK16" s="2" t="n">
        <v>577062033.747649</v>
      </c>
      <c r="AL16" s="2" t="n">
        <v>756592592.356846</v>
      </c>
      <c r="AM16" s="2" t="n">
        <v>818722548.8353</v>
      </c>
      <c r="AN16" s="2" t="n">
        <v>880355675.884107</v>
      </c>
      <c r="AO16" s="2" t="n">
        <v>397992830.390866</v>
      </c>
      <c r="AP16" s="2"/>
    </row>
    <row r="17">
      <c r="A17" t="str">
        <f>N17</f>
      </c>
      <c r="B17" t="str">
        <f>O17</f>
      </c>
      <c r="N17" t="s">
        <v>31</v>
      </c>
      <c r="O17" t="s">
        <v>34</v>
      </c>
      <c r="P17" s="2" t="n">
        <v>50136707.6522001</v>
      </c>
      <c r="Q17" s="2" t="n">
        <v>39867044.4166065</v>
      </c>
      <c r="R17" s="2" t="n">
        <v>45861644.2417904</v>
      </c>
      <c r="S17" s="2" t="n">
        <v>122413190.54029</v>
      </c>
      <c r="T17" s="2" t="n">
        <v>148254430.679465</v>
      </c>
      <c r="U17" s="2" t="n">
        <v>285884089.362997</v>
      </c>
      <c r="V17" s="2" t="n">
        <v>278731477.209643</v>
      </c>
      <c r="W17" s="2" t="n">
        <v>422792450.436862</v>
      </c>
      <c r="X17" s="2" t="n">
        <v>486952460.807478</v>
      </c>
      <c r="Y17" s="2" t="n">
        <v>728009760.328784</v>
      </c>
      <c r="Z17" s="2" t="n">
        <v>592892474.701656</v>
      </c>
      <c r="AA17" s="2" t="n">
        <v>321383465.322388</v>
      </c>
      <c r="AB17" s="2" t="n">
        <v>337800121.329114</v>
      </c>
      <c r="AC17" s="2" t="n">
        <v>184126646.696978</v>
      </c>
      <c r="AD17" s="2" t="n">
        <v>393112092.003512</v>
      </c>
      <c r="AE17" s="2" t="n">
        <v>344188310.96268</v>
      </c>
      <c r="AF17" s="2" t="n">
        <v>368772022.547046</v>
      </c>
      <c r="AG17" s="2" t="n">
        <v>362807773.572386</v>
      </c>
      <c r="AH17" s="2" t="n">
        <v>160882523.836036</v>
      </c>
      <c r="AI17" s="2" t="n">
        <v>237739120.491665</v>
      </c>
      <c r="AJ17" s="2" t="n">
        <v>178131703.35397</v>
      </c>
      <c r="AK17" s="2" t="n">
        <v>193314716.687592</v>
      </c>
      <c r="AL17" s="2" t="n">
        <v>202305330.453059</v>
      </c>
      <c r="AM17" s="2" t="n">
        <v>205925851.8971</v>
      </c>
      <c r="AN17" s="2" t="n">
        <v>178571061.504318</v>
      </c>
      <c r="AO17" s="2" t="n">
        <v>88105782.8826877</v>
      </c>
      <c r="AP17" s="2"/>
    </row>
    <row r="18">
      <c r="A18" t="str">
        <f>N18</f>
      </c>
      <c r="B18" t="str">
        <f>O18</f>
      </c>
      <c r="N18" t="s">
        <v>31</v>
      </c>
      <c r="O18" t="s">
        <v>35</v>
      </c>
      <c r="P18" s="2" t="n">
        <v>59153476.1059861</v>
      </c>
      <c r="Q18" s="2" t="n">
        <v>115493521.530738</v>
      </c>
      <c r="R18" s="2" t="n">
        <v>108399542.10596</v>
      </c>
      <c r="S18" s="2" t="n">
        <v>166993731.783671</v>
      </c>
      <c r="T18" s="2" t="n">
        <v>340238145.825327</v>
      </c>
      <c r="U18" s="2" t="n">
        <v>172415495.131872</v>
      </c>
      <c r="V18" s="2" t="n">
        <v>443173066.668841</v>
      </c>
      <c r="W18" s="2" t="n">
        <v>515046875.387574</v>
      </c>
      <c r="X18" s="2" t="n">
        <v>517305182.771662</v>
      </c>
      <c r="Y18" s="2" t="n">
        <v>566786143.890325</v>
      </c>
      <c r="Z18" s="2" t="n">
        <v>615821190.782069</v>
      </c>
      <c r="AA18" s="2" t="n">
        <v>514729325.029707</v>
      </c>
      <c r="AB18" s="2" t="n">
        <v>383569496.247346</v>
      </c>
      <c r="AC18" s="2" t="n">
        <v>335349660.155537</v>
      </c>
      <c r="AD18" s="2" t="n">
        <v>303688015.726424</v>
      </c>
      <c r="AE18" s="2" t="n">
        <v>349373577.184249</v>
      </c>
      <c r="AF18" s="2" t="n">
        <v>381805080.322023</v>
      </c>
      <c r="AG18" s="2" t="n">
        <v>416402075.307066</v>
      </c>
      <c r="AH18" s="2" t="n">
        <v>800110768.213976</v>
      </c>
      <c r="AI18" s="2" t="n">
        <v>793805488.134591</v>
      </c>
      <c r="AJ18" s="2" t="n">
        <v>893701409.321124</v>
      </c>
      <c r="AK18" s="2" t="n">
        <v>1890755305.2262</v>
      </c>
      <c r="AL18" s="2" t="n">
        <v>3625438990.02388</v>
      </c>
      <c r="AM18" s="2" t="n">
        <v>4589251874.4351</v>
      </c>
      <c r="AN18" s="2" t="n">
        <v>4575175119.20852</v>
      </c>
      <c r="AO18" s="2" t="n">
        <v>2259830689.51996</v>
      </c>
      <c r="AP18" s="2"/>
    </row>
    <row r="19">
      <c r="A19" t="str">
        <f>N19</f>
      </c>
      <c r="B19" t="str">
        <f>O19</f>
      </c>
      <c r="N19" t="s">
        <v>31</v>
      </c>
      <c r="O19" t="s">
        <v>36</v>
      </c>
      <c r="P19" s="2" t="n">
        <v>303069000.825848</v>
      </c>
      <c r="Q19" s="2" t="n">
        <v>340820705.672603</v>
      </c>
      <c r="R19" s="2" t="n">
        <v>360137307.480711</v>
      </c>
      <c r="S19" s="2" t="n">
        <v>322576725.831771</v>
      </c>
      <c r="T19" s="2" t="n">
        <v>215408394.67187</v>
      </c>
      <c r="U19" s="2" t="n">
        <v>85739638.0780559</v>
      </c>
      <c r="V19" s="2" t="n">
        <v>61063452.88066</v>
      </c>
      <c r="W19" s="2" t="n">
        <v>-3718889.52266875</v>
      </c>
      <c r="X19" s="2" t="n">
        <v>-379463.229346717</v>
      </c>
      <c r="Y19" s="2" t="n">
        <v>174294.894964916</v>
      </c>
      <c r="Z19" s="2" t="n">
        <v>-786976.460326384</v>
      </c>
      <c r="AA19" s="2" t="n">
        <v>-504431.078553382</v>
      </c>
      <c r="AB19" s="2" t="n">
        <v>-125386.871697574</v>
      </c>
      <c r="AC19" s="2" t="n">
        <v>-80244.0139523114</v>
      </c>
      <c r="AD19" s="2" t="n">
        <v>1064830.83213618</v>
      </c>
      <c r="AE19" s="2" t="n">
        <v>0</v>
      </c>
      <c r="AF19" s="2" t="n">
        <v>-203.425173973521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>
      <c r="A20" t="str">
        <f>N20</f>
      </c>
      <c r="B20" t="str">
        <f>O20</f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39</v>
      </c>
      <c r="O1" t="s">
        <v>40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</row>
    <row r="2">
      <c r="A2" t="str">
        <f>N2</f>
      </c>
      <c r="B2" t="str">
        <f>O2</f>
      </c>
      <c r="N2" t="s">
        <v>41</v>
      </c>
      <c r="O2" t="s">
        <v>42</v>
      </c>
      <c r="P2" s="3" t="n">
        <v>18435031602.7721</v>
      </c>
      <c r="Q2" s="3" t="n">
        <v>20067463290.35</v>
      </c>
      <c r="R2" s="3" t="n">
        <v>20621894828.2212</v>
      </c>
      <c r="S2" s="3" t="n">
        <v>26259100346.9692</v>
      </c>
      <c r="T2" s="3" t="n">
        <v>17479790691.7894</v>
      </c>
      <c r="U2" s="3" t="n">
        <v>18112565924.3365</v>
      </c>
      <c r="V2" s="3" t="n">
        <v>18075169950.3022</v>
      </c>
      <c r="W2" s="3" t="n">
        <v>18516721328.6713</v>
      </c>
      <c r="X2" s="3" t="n">
        <v>18298601414.3362</v>
      </c>
      <c r="Y2" s="3" t="n">
        <v>24023556228.147</v>
      </c>
      <c r="Z2" s="3" t="n">
        <v>20173650738.9211</v>
      </c>
      <c r="AA2" s="3" t="n">
        <v>19370557361.23</v>
      </c>
      <c r="AB2" s="3" t="n">
        <v>20053944743.4962</v>
      </c>
      <c r="AC2" s="3" t="n">
        <v>19336100297.9413</v>
      </c>
      <c r="AD2" s="3" t="n">
        <v>20846389724.9719</v>
      </c>
      <c r="AE2" s="3" t="n">
        <v>20517905546.725</v>
      </c>
      <c r="AF2" s="3" t="n">
        <v>24666114905.3</v>
      </c>
      <c r="AG2" s="3" t="n">
        <v>24981287905.3227</v>
      </c>
      <c r="AH2" s="3" t="n">
        <v>27425157755.4614</v>
      </c>
      <c r="AI2" s="3" t="n">
        <v>28412562182.2039</v>
      </c>
      <c r="AJ2" s="3" t="n">
        <v>30709852817.9826</v>
      </c>
      <c r="AK2" s="3" t="n">
        <v>32863929040.2826</v>
      </c>
      <c r="AL2" s="3" t="n">
        <v>36124836249.4698</v>
      </c>
      <c r="AM2" s="3" t="n">
        <v>38452243897.5113</v>
      </c>
      <c r="AN2" s="3" t="n">
        <v>39797732948.4</v>
      </c>
      <c r="AO2" s="3" t="n">
        <v>20570709411.49</v>
      </c>
      <c r="AP2" s="3"/>
    </row>
    <row r="3">
      <c r="A3" t="str">
        <f>N3</f>
      </c>
      <c r="B3" t="str">
        <f>O3</f>
      </c>
      <c r="N3" t="s">
        <v>41</v>
      </c>
      <c r="O3" t="s">
        <v>43</v>
      </c>
      <c r="P3" s="3" t="n">
        <v>218472722.6831</v>
      </c>
      <c r="Q3" s="3" t="n">
        <v>283755151.2926</v>
      </c>
      <c r="R3" s="3" t="n">
        <v>294303995.0646</v>
      </c>
      <c r="S3" s="3" t="n">
        <v>355422019.2273</v>
      </c>
      <c r="T3" s="3" t="n">
        <v>358819888.2597</v>
      </c>
      <c r="U3" s="3" t="n">
        <v>419032160.5896</v>
      </c>
      <c r="V3" s="3" t="n">
        <v>446119012.2488</v>
      </c>
      <c r="W3" s="3" t="n">
        <v>544451766.5989</v>
      </c>
      <c r="X3" s="3" t="n">
        <v>584170039.7345</v>
      </c>
      <c r="Y3" s="3" t="n">
        <v>748991832.3733</v>
      </c>
      <c r="Z3" s="3" t="n">
        <v>862352060.5071</v>
      </c>
      <c r="AA3" s="3" t="n">
        <v>685601568.0454</v>
      </c>
      <c r="AB3" s="3" t="n">
        <v>568265194.3479</v>
      </c>
      <c r="AC3" s="3" t="n">
        <v>476921905.0001</v>
      </c>
      <c r="AD3" s="3" t="n">
        <v>469858239.8629</v>
      </c>
      <c r="AE3" s="3" t="n">
        <v>552771676.5972</v>
      </c>
      <c r="AF3" s="3" t="n">
        <v>490366658.75</v>
      </c>
      <c r="AG3" s="3" t="n">
        <v>511367164.146</v>
      </c>
      <c r="AH3" s="3" t="n">
        <v>577345819.462</v>
      </c>
      <c r="AI3" s="3" t="n">
        <v>776611972.8434</v>
      </c>
      <c r="AJ3" s="3" t="n">
        <v>912672650.4461</v>
      </c>
      <c r="AK3" s="3" t="n">
        <v>983125702.6517</v>
      </c>
      <c r="AL3" s="3" t="n">
        <v>1233796515.6216</v>
      </c>
      <c r="AM3" s="3" t="n">
        <v>1432615957.9673</v>
      </c>
      <c r="AN3" s="3" t="n">
        <v>1634548642.95</v>
      </c>
      <c r="AO3" s="3" t="n">
        <v>671617948.79</v>
      </c>
      <c r="AP3" s="3"/>
    </row>
    <row r="4">
      <c r="A4" t="str">
        <f>N4</f>
      </c>
      <c r="B4" t="str">
        <f>O4</f>
      </c>
      <c r="N4" t="s">
        <v>44</v>
      </c>
      <c r="O4" t="s">
        <v>45</v>
      </c>
      <c r="P4" s="3"/>
      <c r="Q4" s="3"/>
      <c r="R4" s="3"/>
      <c r="S4" s="3" t="n">
        <v>347000</v>
      </c>
      <c r="T4" s="3" t="n">
        <v>7527453.1191</v>
      </c>
      <c r="U4" s="3" t="n">
        <v>5850002.8502</v>
      </c>
      <c r="V4" s="3" t="n">
        <v>9671564.3594</v>
      </c>
      <c r="W4" s="3" t="n">
        <v>48102214.7671</v>
      </c>
      <c r="X4" s="3" t="n">
        <v>125782639.2608</v>
      </c>
      <c r="Y4" s="3" t="n">
        <v>136262009.3321</v>
      </c>
      <c r="Z4" s="3" t="n">
        <v>83815002.952</v>
      </c>
      <c r="AA4" s="3" t="n">
        <v>67321026.145</v>
      </c>
      <c r="AB4" s="3" t="n">
        <v>67008235.6794</v>
      </c>
      <c r="AC4" s="3" t="n">
        <v>47158234.25</v>
      </c>
      <c r="AD4" s="3" t="n">
        <v>44773318.71</v>
      </c>
      <c r="AE4" s="3" t="n">
        <v>6307886.87</v>
      </c>
      <c r="AF4" s="3" t="n">
        <v>5192170.29</v>
      </c>
      <c r="AG4" s="3" t="n">
        <v>-793165.3496</v>
      </c>
      <c r="AH4" s="3" t="n">
        <v>-231657.8906</v>
      </c>
      <c r="AI4" s="3" t="n">
        <v>0</v>
      </c>
      <c r="AJ4" s="3" t="n">
        <v>-51585.8198</v>
      </c>
      <c r="AK4" s="3" t="n">
        <v>-545073.9837</v>
      </c>
      <c r="AL4" s="3" t="n">
        <v>0</v>
      </c>
      <c r="AM4" s="3" t="n">
        <v>0</v>
      </c>
      <c r="AN4" s="3" t="n">
        <v>-75797.62</v>
      </c>
      <c r="AO4" s="3"/>
      <c r="AP4" s="3"/>
    </row>
    <row r="5">
      <c r="A5" t="str">
        <f>N5</f>
      </c>
      <c r="B5" t="str">
        <f>O5</f>
      </c>
      <c r="N5" t="s">
        <v>44</v>
      </c>
      <c r="O5" t="s">
        <v>46</v>
      </c>
      <c r="P5" s="3" t="n">
        <v>50280740</v>
      </c>
      <c r="Q5" s="3" t="n">
        <v>67458449</v>
      </c>
      <c r="R5" s="3" t="n">
        <v>115209021.19</v>
      </c>
      <c r="S5" s="3" t="n">
        <v>129638466.3</v>
      </c>
      <c r="T5" s="3" t="n">
        <v>223827756.46</v>
      </c>
      <c r="U5" s="3" t="n">
        <v>224449352.92</v>
      </c>
      <c r="V5" s="3" t="n">
        <v>199307162.86</v>
      </c>
      <c r="W5" s="3" t="n">
        <v>225846270.81</v>
      </c>
      <c r="X5" s="3" t="n">
        <v>330578553.7203</v>
      </c>
      <c r="Y5" s="3" t="n">
        <v>1057538943.44</v>
      </c>
      <c r="Z5" s="3" t="n">
        <v>583575201.4493</v>
      </c>
      <c r="AA5" s="3" t="n">
        <v>102710918.1486</v>
      </c>
      <c r="AB5" s="3" t="n">
        <v>60210321.516</v>
      </c>
      <c r="AC5" s="3" t="n">
        <v>11012899.3188</v>
      </c>
      <c r="AD5" s="3" t="n">
        <v>49401716.6</v>
      </c>
      <c r="AE5" s="3" t="n">
        <v>14747926.83</v>
      </c>
      <c r="AF5" s="3" t="n">
        <v>332434190.73</v>
      </c>
      <c r="AG5" s="3" t="n">
        <v>38082811.5019</v>
      </c>
      <c r="AH5" s="3" t="n">
        <v>136393932.7778</v>
      </c>
      <c r="AI5" s="3" t="n">
        <v>67326435.8388</v>
      </c>
      <c r="AJ5" s="3" t="n">
        <v>84050155.1774</v>
      </c>
      <c r="AK5" s="3" t="n">
        <v>176844265.2528</v>
      </c>
      <c r="AL5" s="3" t="n">
        <v>39456849.3298</v>
      </c>
      <c r="AM5" s="3" t="n">
        <v>218834639.0229</v>
      </c>
      <c r="AN5" s="3" t="n">
        <v>15333855.64</v>
      </c>
      <c r="AO5" s="3" t="n">
        <v>26882047.74</v>
      </c>
      <c r="AP5" s="3"/>
    </row>
    <row r="6">
      <c r="A6" t="str">
        <f>N6</f>
      </c>
      <c r="B6" t="str">
        <f>O6</f>
      </c>
      <c r="N6" t="s">
        <v>44</v>
      </c>
      <c r="O6"/>
      <c r="P6" s="3" t="n">
        <v>46030732.7695</v>
      </c>
      <c r="Q6" s="3" t="n">
        <v>516671</v>
      </c>
      <c r="R6" s="3" t="n">
        <v>5138177</v>
      </c>
      <c r="S6" s="3" t="n">
        <v>2549599</v>
      </c>
      <c r="T6" s="3" t="n">
        <v>3450942.625</v>
      </c>
      <c r="U6" s="3" t="n">
        <v>748929.7891</v>
      </c>
      <c r="V6" s="3" t="n">
        <v>7285310.0961</v>
      </c>
      <c r="W6" s="3" t="n">
        <v>10762546.8591</v>
      </c>
      <c r="X6" s="3" t="n">
        <v>24050374.567</v>
      </c>
      <c r="Y6" s="3" t="n">
        <v>52992589.9561</v>
      </c>
      <c r="Z6" s="3" t="n">
        <v>5974419.611</v>
      </c>
      <c r="AA6" s="3" t="n">
        <v>-476191.8452</v>
      </c>
      <c r="AB6" s="3" t="n">
        <v>152497.9043</v>
      </c>
      <c r="AC6" s="3" t="n">
        <v>-430811.5675</v>
      </c>
      <c r="AD6" s="3" t="n">
        <v>-25414.1063</v>
      </c>
      <c r="AE6" s="3" t="n">
        <v>4900169.7152</v>
      </c>
      <c r="AF6" s="3" t="n">
        <v>1471611.04</v>
      </c>
      <c r="AG6" s="3" t="n">
        <v>-1380848.7897</v>
      </c>
      <c r="AH6" s="3" t="n">
        <v>1443900.81</v>
      </c>
      <c r="AI6" s="3" t="n">
        <v>328775.58</v>
      </c>
      <c r="AJ6" s="3" t="n">
        <v>500000</v>
      </c>
      <c r="AK6" s="3" t="n">
        <v>3579086.14</v>
      </c>
      <c r="AL6" s="3" t="n">
        <v>451768533.88</v>
      </c>
      <c r="AM6" s="3" t="n">
        <v>385031267.64</v>
      </c>
      <c r="AN6" s="3" t="n">
        <v>48898989.39</v>
      </c>
      <c r="AO6" s="3" t="n">
        <v>42662547.44</v>
      </c>
      <c r="AP6" s="3"/>
    </row>
    <row r="7">
      <c r="A7" t="str">
        <f>N7</f>
      </c>
      <c r="B7" t="str">
        <f>O7</f>
      </c>
      <c r="N7" t="s">
        <v>47</v>
      </c>
      <c r="O7" t="s">
        <v>48</v>
      </c>
      <c r="P7" s="3" t="n">
        <v>427985257.5494</v>
      </c>
      <c r="Q7" s="3" t="n">
        <v>462725779.696</v>
      </c>
      <c r="R7" s="3" t="n">
        <v>454025064.7432</v>
      </c>
      <c r="S7" s="3" t="n">
        <v>489456222.0404</v>
      </c>
      <c r="T7" s="3" t="n">
        <v>519459770.441</v>
      </c>
      <c r="U7" s="3" t="n">
        <v>512269170.4277</v>
      </c>
      <c r="V7" s="3" t="n">
        <v>578628269.5484</v>
      </c>
      <c r="W7" s="3" t="n">
        <v>475392397.6538</v>
      </c>
      <c r="X7" s="3" t="n">
        <v>542550054.4252</v>
      </c>
      <c r="Y7" s="3" t="n">
        <v>1128560975.4023</v>
      </c>
      <c r="Z7" s="3" t="n">
        <v>697881032.6305</v>
      </c>
      <c r="AA7" s="3" t="n">
        <v>467153137.2639</v>
      </c>
      <c r="AB7" s="3" t="n">
        <v>485365875.742</v>
      </c>
      <c r="AC7" s="3" t="n">
        <v>455326549.7699</v>
      </c>
      <c r="AD7" s="3" t="n">
        <v>489013043.523</v>
      </c>
      <c r="AE7" s="3" t="n">
        <v>892830727.8515</v>
      </c>
      <c r="AF7" s="3" t="n">
        <v>805516225.31</v>
      </c>
      <c r="AG7" s="3" t="n">
        <v>877157948.1283</v>
      </c>
      <c r="AH7" s="3" t="n">
        <v>1003432623.4344</v>
      </c>
      <c r="AI7" s="3" t="n">
        <v>1189397384.0389</v>
      </c>
      <c r="AJ7" s="3" t="n">
        <v>1168556208.4386</v>
      </c>
      <c r="AK7" s="3" t="n">
        <v>1217464912.7667</v>
      </c>
      <c r="AL7" s="3" t="n">
        <v>1376346486.666</v>
      </c>
      <c r="AM7" s="3" t="n">
        <v>1568154310.6114</v>
      </c>
      <c r="AN7" s="3" t="n">
        <v>1506208072.91</v>
      </c>
      <c r="AO7" s="3" t="n">
        <v>529632762.25</v>
      </c>
      <c r="AP7" s="3"/>
    </row>
    <row r="8">
      <c r="A8" t="str">
        <f>N8</f>
      </c>
      <c r="B8" t="str">
        <f>O8</f>
      </c>
      <c r="N8" t="s">
        <v>47</v>
      </c>
      <c r="O8" t="s">
        <v>49</v>
      </c>
      <c r="P8" s="3" t="n">
        <v>272022850.1201</v>
      </c>
      <c r="Q8" s="3" t="n">
        <v>204470143.2897</v>
      </c>
      <c r="R8" s="3" t="n">
        <v>254783714.0392</v>
      </c>
      <c r="S8" s="3" t="n">
        <v>279265304.5523</v>
      </c>
      <c r="T8" s="3" t="n">
        <v>183981523.1003</v>
      </c>
      <c r="U8" s="3" t="n">
        <v>161197799.7696</v>
      </c>
      <c r="V8" s="3" t="n">
        <v>-204333492.0805</v>
      </c>
      <c r="W8" s="3" t="n">
        <v>94805930.6035</v>
      </c>
      <c r="X8" s="3" t="n">
        <v>128613734.226</v>
      </c>
      <c r="Y8" s="3" t="n">
        <v>62181991.6171</v>
      </c>
      <c r="Z8" s="3" t="n">
        <v>280805861.7349</v>
      </c>
      <c r="AA8" s="3" t="n">
        <v>608511314.5027</v>
      </c>
      <c r="AB8" s="3" t="n">
        <v>544002218.5687</v>
      </c>
      <c r="AC8" s="3" t="n">
        <v>527379821.51</v>
      </c>
      <c r="AD8" s="3" t="n">
        <v>149541538.6009</v>
      </c>
      <c r="AE8" s="3" t="n">
        <v>34838084.4</v>
      </c>
      <c r="AF8" s="3" t="n">
        <v>38922971.11</v>
      </c>
      <c r="AG8" s="3" t="n">
        <v>52533916.2309</v>
      </c>
      <c r="AH8" s="3" t="n">
        <v>56298909.0359</v>
      </c>
      <c r="AI8" s="3" t="n">
        <v>26356319.8296</v>
      </c>
      <c r="AJ8" s="3" t="n">
        <v>25211808.6663</v>
      </c>
      <c r="AK8" s="3" t="n">
        <v>23073026.3131</v>
      </c>
      <c r="AL8" s="3" t="n">
        <v>23234115.6005</v>
      </c>
      <c r="AM8" s="3" t="n">
        <v>17769360.1606</v>
      </c>
      <c r="AN8" s="3" t="n">
        <v>16956024.6</v>
      </c>
      <c r="AO8" s="3" t="n">
        <v>16576242.7</v>
      </c>
      <c r="AP8" s="3"/>
    </row>
    <row r="9">
      <c r="A9" t="str">
        <f>N9</f>
      </c>
      <c r="B9" t="str">
        <f>O9</f>
      </c>
      <c r="N9" t="s">
        <v>50</v>
      </c>
      <c r="O9" t="s">
        <v>50</v>
      </c>
      <c r="P9" s="3" t="n">
        <v>1194716612.6631</v>
      </c>
      <c r="Q9" s="3" t="n">
        <v>1975903730.15</v>
      </c>
      <c r="R9" s="3" t="n">
        <v>2260271264.46</v>
      </c>
      <c r="S9" s="3" t="n">
        <v>2999356217.73</v>
      </c>
      <c r="T9" s="3" t="n">
        <v>3061055397.7793</v>
      </c>
      <c r="U9" s="3" t="n">
        <v>3800784856.8666</v>
      </c>
      <c r="V9" s="3" t="n">
        <v>3850691017.06</v>
      </c>
      <c r="W9" s="3" t="n">
        <v>3509026504.1239</v>
      </c>
      <c r="X9" s="3" t="n">
        <v>4167265142.2295</v>
      </c>
      <c r="Y9" s="3" t="n">
        <v>4444816076.9161</v>
      </c>
      <c r="Z9" s="3" t="n">
        <v>3061233913.2671</v>
      </c>
      <c r="AA9" s="3" t="n">
        <v>3818014187.3258</v>
      </c>
      <c r="AB9" s="3" t="n">
        <v>3406052855.6632</v>
      </c>
      <c r="AC9" s="3" t="n">
        <v>3130796282.81</v>
      </c>
      <c r="AD9" s="3" t="n">
        <v>3455480530.41</v>
      </c>
      <c r="AE9" s="3" t="n">
        <v>3149257449.2094</v>
      </c>
      <c r="AF9" s="3" t="n">
        <v>1948798969.33</v>
      </c>
      <c r="AG9" s="3" t="n">
        <v>2507821190.9817</v>
      </c>
      <c r="AH9" s="3" t="n">
        <v>2763260493.6307</v>
      </c>
      <c r="AI9" s="3" t="n">
        <v>2838985764.3899</v>
      </c>
      <c r="AJ9" s="3" t="n">
        <v>3078001796.59</v>
      </c>
      <c r="AK9" s="3" t="n">
        <v>3292517489.9319</v>
      </c>
      <c r="AL9" s="3" t="n">
        <v>3662928334.28</v>
      </c>
      <c r="AM9" s="3" t="n">
        <v>4199514042.99</v>
      </c>
      <c r="AN9" s="3" t="n">
        <v>4651587386.17</v>
      </c>
      <c r="AO9" s="3" t="n">
        <v>760210702.84</v>
      </c>
      <c r="AP9" s="3"/>
    </row>
    <row r="10">
      <c r="A10" t="str">
        <f>N10</f>
      </c>
      <c r="B10" t="str">
        <f>O10</f>
      </c>
      <c r="N10" t="s">
        <v>37</v>
      </c>
      <c r="O10" t="s">
        <v>38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/>
    </row>
    <row r="13">
      <c r="A13" t="str">
        <f>N13</f>
      </c>
      <c r="B13" t="str">
        <f>O13</f>
      </c>
      <c r="N13" t="s">
        <v>39</v>
      </c>
      <c r="O13" t="s">
        <v>40</v>
      </c>
      <c r="P13" t="s">
        <v>2</v>
      </c>
      <c r="Q13" t="s">
        <v>3</v>
      </c>
      <c r="R13" t="s">
        <v>4</v>
      </c>
      <c r="S13" t="s">
        <v>5</v>
      </c>
      <c r="T13" t="s">
        <v>6</v>
      </c>
      <c r="U13" t="s">
        <v>7</v>
      </c>
      <c r="V13" t="s">
        <v>8</v>
      </c>
      <c r="W13" t="s">
        <v>9</v>
      </c>
      <c r="X13" t="s">
        <v>10</v>
      </c>
      <c r="Y13" t="s">
        <v>11</v>
      </c>
      <c r="Z13" t="s">
        <v>12</v>
      </c>
      <c r="AA13" t="s">
        <v>13</v>
      </c>
      <c r="AB13" t="s">
        <v>14</v>
      </c>
      <c r="AC13" t="s">
        <v>15</v>
      </c>
      <c r="AD13" t="s">
        <v>16</v>
      </c>
      <c r="AE13" t="s">
        <v>17</v>
      </c>
      <c r="AF13" t="s">
        <v>18</v>
      </c>
      <c r="AG13" t="s">
        <v>19</v>
      </c>
      <c r="AH13" t="s">
        <v>20</v>
      </c>
      <c r="AI13" t="s">
        <v>21</v>
      </c>
      <c r="AJ13" t="s">
        <v>22</v>
      </c>
      <c r="AK13" t="s">
        <v>23</v>
      </c>
      <c r="AL13" t="s">
        <v>24</v>
      </c>
      <c r="AM13" t="s">
        <v>25</v>
      </c>
      <c r="AN13" t="s">
        <v>26</v>
      </c>
      <c r="AO13" t="s">
        <v>27</v>
      </c>
    </row>
    <row r="14">
      <c r="A14" t="str">
        <f>N14</f>
      </c>
      <c r="B14" t="str">
        <f>O14</f>
      </c>
      <c r="N14" t="s">
        <v>41</v>
      </c>
      <c r="O14" t="s">
        <v>42</v>
      </c>
      <c r="P14" s="3" t="n">
        <v>30992484599.7702</v>
      </c>
      <c r="Q14" s="3" t="n">
        <v>32938486519.6935</v>
      </c>
      <c r="R14" s="3" t="n">
        <v>33324261351.1351</v>
      </c>
      <c r="S14" s="3" t="n">
        <v>41634606797.3634</v>
      </c>
      <c r="T14" s="3" t="n">
        <v>27054114997.328</v>
      </c>
      <c r="U14" s="3" t="n">
        <v>27205622290.8654</v>
      </c>
      <c r="V14" s="3" t="n">
        <v>26295268680.1319</v>
      </c>
      <c r="W14" s="3" t="n">
        <v>26215914789.2833</v>
      </c>
      <c r="X14" s="3" t="n">
        <v>25380187180.3656</v>
      </c>
      <c r="Y14" s="3" t="n">
        <v>32983415893.481</v>
      </c>
      <c r="Z14" s="3" t="n">
        <v>27459829892.9248</v>
      </c>
      <c r="AA14" s="3" t="n">
        <v>25847878646.6821</v>
      </c>
      <c r="AB14" s="3" t="n">
        <v>26282854152.6371</v>
      </c>
      <c r="AC14" s="3" t="n">
        <v>24890411921.992</v>
      </c>
      <c r="AD14" s="3" t="n">
        <v>26353757184.9221</v>
      </c>
      <c r="AE14" s="3" t="n">
        <v>25672619209.1752</v>
      </c>
      <c r="AF14" s="3" t="n">
        <v>30618188405.3058</v>
      </c>
      <c r="AG14" s="3" t="n">
        <v>30494658151.8854</v>
      </c>
      <c r="AH14" s="3" t="n">
        <v>32750821816.3454</v>
      </c>
      <c r="AI14" s="3" t="n">
        <v>33314008904.1123</v>
      </c>
      <c r="AJ14" s="3" t="n">
        <v>35543298880.5844</v>
      </c>
      <c r="AK14" s="3" t="n">
        <v>36770850760.2329</v>
      </c>
      <c r="AL14" s="3" t="n">
        <v>37777424492.6512</v>
      </c>
      <c r="AM14" s="3" t="n">
        <v>38452243897.5113</v>
      </c>
      <c r="AN14" s="3" t="n">
        <v>38762540993.7708</v>
      </c>
      <c r="AO14" s="3" t="n">
        <v>19605453606.7637</v>
      </c>
      <c r="AP14" s="3"/>
    </row>
    <row r="15">
      <c r="A15" t="str">
        <f>N15</f>
      </c>
      <c r="B15" t="str">
        <f>O15</f>
      </c>
      <c r="N15" t="s">
        <v>41</v>
      </c>
      <c r="O15" t="s">
        <v>43</v>
      </c>
      <c r="P15" s="3" t="n">
        <v>367290528.116462</v>
      </c>
      <c r="Q15" s="3" t="n">
        <v>465752202.483879</v>
      </c>
      <c r="R15" s="3" t="n">
        <v>475584970.727052</v>
      </c>
      <c r="S15" s="3" t="n">
        <v>563532482.915452</v>
      </c>
      <c r="T15" s="3" t="n">
        <v>555358739.213401</v>
      </c>
      <c r="U15" s="3" t="n">
        <v>629398989.428026</v>
      </c>
      <c r="V15" s="3" t="n">
        <v>649001880.626916</v>
      </c>
      <c r="W15" s="3" t="n">
        <v>770833068.483388</v>
      </c>
      <c r="X15" s="3" t="n">
        <v>810244707.664237</v>
      </c>
      <c r="Y15" s="3" t="n">
        <v>1028336890.39945</v>
      </c>
      <c r="Z15" s="3" t="n">
        <v>1173810392.36751</v>
      </c>
      <c r="AA15" s="3" t="n">
        <v>914859897.954284</v>
      </c>
      <c r="AB15" s="3" t="n">
        <v>744772732.452535</v>
      </c>
      <c r="AC15" s="3" t="n">
        <v>613918136.912927</v>
      </c>
      <c r="AD15" s="3" t="n">
        <v>593989181.246511</v>
      </c>
      <c r="AE15" s="3" t="n">
        <v>691644511.696389</v>
      </c>
      <c r="AF15" s="3" t="n">
        <v>608694916.20108</v>
      </c>
      <c r="AG15" s="3" t="n">
        <v>624225897.392936</v>
      </c>
      <c r="AH15" s="3" t="n">
        <v>689460028.934435</v>
      </c>
      <c r="AI15" s="3" t="n">
        <v>910585184.554392</v>
      </c>
      <c r="AJ15" s="3" t="n">
        <v>1056318862.4579</v>
      </c>
      <c r="AK15" s="3" t="n">
        <v>1100001416.33838</v>
      </c>
      <c r="AL15" s="3" t="n">
        <v>1290238504.787</v>
      </c>
      <c r="AM15" s="3" t="n">
        <v>1432615957.9673</v>
      </c>
      <c r="AN15" s="3" t="n">
        <v>1592031859.222</v>
      </c>
      <c r="AO15" s="3" t="n">
        <v>640103084.102553</v>
      </c>
      <c r="AP15" s="3"/>
    </row>
    <row r="16">
      <c r="A16" t="str">
        <f>N16</f>
      </c>
      <c r="B16" t="str">
        <f>O16</f>
      </c>
      <c r="N16" t="s">
        <v>44</v>
      </c>
      <c r="O16" t="s">
        <v>45</v>
      </c>
      <c r="P16" s="3"/>
      <c r="Q16" s="3"/>
      <c r="R16" s="3"/>
      <c r="S16" s="3" t="n">
        <v>550179.113823013</v>
      </c>
      <c r="T16" s="3" t="n">
        <v>11650516.0680662</v>
      </c>
      <c r="U16" s="3" t="n">
        <v>8786881.36224725</v>
      </c>
      <c r="V16" s="3" t="n">
        <v>14069930.4120988</v>
      </c>
      <c r="W16" s="3" t="n">
        <v>68102961.7029174</v>
      </c>
      <c r="X16" s="3" t="n">
        <v>174460706.37827</v>
      </c>
      <c r="Y16" s="3" t="n">
        <v>187082481.943961</v>
      </c>
      <c r="Z16" s="3" t="n">
        <v>114086723.980827</v>
      </c>
      <c r="AA16" s="3" t="n">
        <v>89832506.1956597</v>
      </c>
      <c r="AB16" s="3" t="n">
        <v>87821508.8309932</v>
      </c>
      <c r="AC16" s="3" t="n">
        <v>60704478.0441722</v>
      </c>
      <c r="AD16" s="3" t="n">
        <v>56601895.3503978</v>
      </c>
      <c r="AE16" s="3" t="n">
        <v>7892617.36580683</v>
      </c>
      <c r="AF16" s="3" t="n">
        <v>6445070.4451025</v>
      </c>
      <c r="AG16" s="3" t="n">
        <v>-968216.942442714</v>
      </c>
      <c r="AH16" s="3" t="n">
        <v>-276643.305575158</v>
      </c>
      <c r="AI16" s="3" t="n">
        <v>0</v>
      </c>
      <c r="AJ16" s="3" t="n">
        <v>-59704.9494837605</v>
      </c>
      <c r="AK16" s="3" t="n">
        <v>-609873.338131635</v>
      </c>
      <c r="AL16" s="3" t="n">
        <v>0</v>
      </c>
      <c r="AM16" s="3" t="n">
        <v>0</v>
      </c>
      <c r="AN16" s="3" t="n">
        <v>-73826.0231126654</v>
      </c>
      <c r="AO16" s="3"/>
      <c r="AP16" s="3"/>
    </row>
    <row r="17">
      <c r="A17" t="str">
        <f>N17</f>
      </c>
      <c r="B17" t="str">
        <f>O17</f>
      </c>
      <c r="N17" t="s">
        <v>44</v>
      </c>
      <c r="O17" t="s">
        <v>46</v>
      </c>
      <c r="P17" s="3" t="n">
        <v>84530642.1867333</v>
      </c>
      <c r="Q17" s="3" t="n">
        <v>110725465.44009</v>
      </c>
      <c r="R17" s="3" t="n">
        <v>186173751.933308</v>
      </c>
      <c r="S17" s="3" t="n">
        <v>205545753.620486</v>
      </c>
      <c r="T17" s="3" t="n">
        <v>346426451.531089</v>
      </c>
      <c r="U17" s="3" t="n">
        <v>337129722.231465</v>
      </c>
      <c r="V17" s="3" t="n">
        <v>289946673.347372</v>
      </c>
      <c r="W17" s="3" t="n">
        <v>319752427.329812</v>
      </c>
      <c r="X17" s="3" t="n">
        <v>458512942.123677</v>
      </c>
      <c r="Y17" s="3" t="n">
        <v>1451960170.41664</v>
      </c>
      <c r="Z17" s="3" t="n">
        <v>794346842.27036</v>
      </c>
      <c r="AA17" s="3" t="n">
        <v>137056425.299769</v>
      </c>
      <c r="AB17" s="3" t="n">
        <v>78912110.2670656</v>
      </c>
      <c r="AC17" s="3" t="n">
        <v>14176364.2242558</v>
      </c>
      <c r="AD17" s="3" t="n">
        <v>62453060.7443821</v>
      </c>
      <c r="AE17" s="3" t="n">
        <v>18453048.6685958</v>
      </c>
      <c r="AF17" s="3" t="n">
        <v>412652447.424926</v>
      </c>
      <c r="AG17" s="3" t="n">
        <v>46487688.0092996</v>
      </c>
      <c r="AH17" s="3" t="n">
        <v>162880134.694823</v>
      </c>
      <c r="AI17" s="3" t="n">
        <v>78940908.9061588</v>
      </c>
      <c r="AJ17" s="3" t="n">
        <v>97278870.2093844</v>
      </c>
      <c r="AK17" s="3" t="n">
        <v>197867822.725735</v>
      </c>
      <c r="AL17" s="3" t="n">
        <v>41261865.8249645</v>
      </c>
      <c r="AM17" s="3" t="n">
        <v>218834639.0229</v>
      </c>
      <c r="AN17" s="3" t="n">
        <v>14935001.6647609</v>
      </c>
      <c r="AO17" s="3" t="n">
        <v>25620639.9730189</v>
      </c>
      <c r="AP17" s="3"/>
    </row>
    <row r="18">
      <c r="A18" t="str">
        <f>N18</f>
      </c>
      <c r="B18" t="str">
        <f>O18</f>
      </c>
      <c r="N18" t="s">
        <v>44</v>
      </c>
      <c r="O18"/>
      <c r="P18" s="3" t="n">
        <v>77385643.1176579</v>
      </c>
      <c r="Q18" s="3" t="n">
        <v>848057.401295974</v>
      </c>
      <c r="R18" s="3" t="n">
        <v>8303114.46366546</v>
      </c>
      <c r="S18" s="3" t="n">
        <v>4042467.20006928</v>
      </c>
      <c r="T18" s="3" t="n">
        <v>5341150.83367588</v>
      </c>
      <c r="U18" s="3" t="n">
        <v>1124915.21354551</v>
      </c>
      <c r="V18" s="3" t="n">
        <v>10598472.2092101</v>
      </c>
      <c r="W18" s="3" t="n">
        <v>15237579.3946282</v>
      </c>
      <c r="X18" s="3" t="n">
        <v>33357905.0358537</v>
      </c>
      <c r="Y18" s="3" t="n">
        <v>72756781.6020039</v>
      </c>
      <c r="Z18" s="3" t="n">
        <v>8132219.01926253</v>
      </c>
      <c r="AA18" s="3" t="n">
        <v>-635425.651298227</v>
      </c>
      <c r="AB18" s="3" t="n">
        <v>199864.925757292</v>
      </c>
      <c r="AC18" s="3" t="n">
        <v>-554562.564871249</v>
      </c>
      <c r="AD18" s="3" t="n">
        <v>-32128.2099844701</v>
      </c>
      <c r="AE18" s="3" t="n">
        <v>6131239.41292058</v>
      </c>
      <c r="AF18" s="3" t="n">
        <v>1826719.13493626</v>
      </c>
      <c r="AG18" s="3" t="n">
        <v>-1685602.11791059</v>
      </c>
      <c r="AH18" s="3" t="n">
        <v>1724290.4697374</v>
      </c>
      <c r="AI18" s="3" t="n">
        <v>385492.604621028</v>
      </c>
      <c r="AJ18" s="3" t="n">
        <v>578695.363524691</v>
      </c>
      <c r="AK18" s="3" t="n">
        <v>4004574.19898405</v>
      </c>
      <c r="AL18" s="3" t="n">
        <v>472435405.906039</v>
      </c>
      <c r="AM18" s="3" t="n">
        <v>385031267.64</v>
      </c>
      <c r="AN18" s="3" t="n">
        <v>47627061.6530192</v>
      </c>
      <c r="AO18" s="3" t="n">
        <v>40660658.6992127</v>
      </c>
      <c r="AP18" s="3"/>
    </row>
    <row r="19">
      <c r="A19" t="str">
        <f>N19</f>
      </c>
      <c r="B19" t="str">
        <f>O19</f>
      </c>
      <c r="N19" t="s">
        <v>47</v>
      </c>
      <c r="O19" t="s">
        <v>48</v>
      </c>
      <c r="P19" s="3" t="n">
        <v>719517426.893582</v>
      </c>
      <c r="Q19" s="3" t="n">
        <v>759512382.621907</v>
      </c>
      <c r="R19" s="3" t="n">
        <v>733688637.416717</v>
      </c>
      <c r="S19" s="3" t="n">
        <v>776047811.231548</v>
      </c>
      <c r="T19" s="3" t="n">
        <v>803986993.539781</v>
      </c>
      <c r="U19" s="3" t="n">
        <v>769443800.515606</v>
      </c>
      <c r="V19" s="3" t="n">
        <v>841772766.481821</v>
      </c>
      <c r="W19" s="3" t="n">
        <v>673059034.974383</v>
      </c>
      <c r="X19" s="3" t="n">
        <v>752517726.586518</v>
      </c>
      <c r="Y19" s="3" t="n">
        <v>1549470680.33307</v>
      </c>
      <c r="Z19" s="3" t="n">
        <v>949936860.191578</v>
      </c>
      <c r="AA19" s="3" t="n">
        <v>623364489.531002</v>
      </c>
      <c r="AB19" s="3" t="n">
        <v>636124248.169736</v>
      </c>
      <c r="AC19" s="3" t="n">
        <v>586119497.114878</v>
      </c>
      <c r="AD19" s="3" t="n">
        <v>618204455.509489</v>
      </c>
      <c r="AE19" s="3" t="n">
        <v>1117136602.57301</v>
      </c>
      <c r="AF19" s="3" t="n">
        <v>999891861.55834</v>
      </c>
      <c r="AG19" s="3" t="n">
        <v>1070746707.48591</v>
      </c>
      <c r="AH19" s="3" t="n">
        <v>1198288204.86051</v>
      </c>
      <c r="AI19" s="3" t="n">
        <v>1394580143.39931</v>
      </c>
      <c r="AJ19" s="3" t="n">
        <v>1352476119.68282</v>
      </c>
      <c r="AK19" s="3" t="n">
        <v>1362199284.15411</v>
      </c>
      <c r="AL19" s="3" t="n">
        <v>1439309651.58392</v>
      </c>
      <c r="AM19" s="3" t="n">
        <v>1568154310.6114</v>
      </c>
      <c r="AN19" s="3" t="n">
        <v>1467029598.06834</v>
      </c>
      <c r="AO19" s="3" t="n">
        <v>504780381.716664</v>
      </c>
      <c r="AP19" s="3"/>
    </row>
    <row r="20">
      <c r="A20" t="str">
        <f>N20</f>
      </c>
      <c r="B20" t="str">
        <f>O20</f>
      </c>
      <c r="N20" t="s">
        <v>47</v>
      </c>
      <c r="O20" t="s">
        <v>49</v>
      </c>
      <c r="P20" s="3" t="n">
        <v>457317577.468382</v>
      </c>
      <c r="Q20" s="3" t="n">
        <v>335614769.090734</v>
      </c>
      <c r="R20" s="3" t="n">
        <v>411721577.739593</v>
      </c>
      <c r="S20" s="3" t="n">
        <v>442783682.363396</v>
      </c>
      <c r="T20" s="3" t="n">
        <v>284754970.531602</v>
      </c>
      <c r="U20" s="3" t="n">
        <v>242123974.757096</v>
      </c>
      <c r="V20" s="3" t="n">
        <v>-297258841.237978</v>
      </c>
      <c r="W20" s="3" t="n">
        <v>134225933.09603</v>
      </c>
      <c r="X20" s="3" t="n">
        <v>178387439.275238</v>
      </c>
      <c r="Y20" s="3" t="n">
        <v>85373475.5634869</v>
      </c>
      <c r="Z20" s="3" t="n">
        <v>382225373.878406</v>
      </c>
      <c r="AA20" s="3" t="n">
        <v>811991432.104051</v>
      </c>
      <c r="AB20" s="3" t="n">
        <v>712973489.866086</v>
      </c>
      <c r="AC20" s="3" t="n">
        <v>678870133.815353</v>
      </c>
      <c r="AD20" s="3" t="n">
        <v>189048629.011616</v>
      </c>
      <c r="AE20" s="3" t="n">
        <v>43590456.7716009</v>
      </c>
      <c r="AF20" s="3" t="n">
        <v>48315304.9159024</v>
      </c>
      <c r="AG20" s="3" t="n">
        <v>64128151.5553786</v>
      </c>
      <c r="AH20" s="3" t="n">
        <v>67231538.0910514</v>
      </c>
      <c r="AI20" s="3" t="n">
        <v>30903044.5002556</v>
      </c>
      <c r="AJ20" s="3" t="n">
        <v>29179913.5625189</v>
      </c>
      <c r="AK20" s="3" t="n">
        <v>25815988.286306</v>
      </c>
      <c r="AL20" s="3" t="n">
        <v>24296997.2705219</v>
      </c>
      <c r="AM20" s="3" t="n">
        <v>17769360.1606</v>
      </c>
      <c r="AN20" s="3" t="n">
        <v>16514975.8530482</v>
      </c>
      <c r="AO20" s="3" t="n">
        <v>15798422.4427273</v>
      </c>
      <c r="AP20" s="3"/>
    </row>
    <row r="21">
      <c r="A21" t="str">
        <f>N21</f>
      </c>
      <c r="B21" t="str">
        <f>O21</f>
      </c>
      <c r="N21" t="s">
        <v>50</v>
      </c>
      <c r="O21" t="s">
        <v>50</v>
      </c>
      <c r="P21" s="3" t="n">
        <v>2008525779.44498</v>
      </c>
      <c r="Q21" s="3" t="n">
        <v>3243223990.89949</v>
      </c>
      <c r="R21" s="3" t="n">
        <v>3652519371.70426</v>
      </c>
      <c r="S21" s="3" t="n">
        <v>4755571025.67791</v>
      </c>
      <c r="T21" s="3" t="n">
        <v>4737708031.23015</v>
      </c>
      <c r="U21" s="3" t="n">
        <v>5708893905.85013</v>
      </c>
      <c r="V21" s="3" t="n">
        <v>5601881209.2038</v>
      </c>
      <c r="W21" s="3" t="n">
        <v>4968068492.93604</v>
      </c>
      <c r="X21" s="3" t="n">
        <v>5780002905.42065</v>
      </c>
      <c r="Y21" s="3" t="n">
        <v>6102560996.49334</v>
      </c>
      <c r="Z21" s="3" t="n">
        <v>4166869130.86028</v>
      </c>
      <c r="AA21" s="3" t="n">
        <v>5094720071.54684</v>
      </c>
      <c r="AB21" s="3" t="n">
        <v>4463999057.87124</v>
      </c>
      <c r="AC21" s="3" t="n">
        <v>4030120237.39239</v>
      </c>
      <c r="AD21" s="3" t="n">
        <v>4368377261.34248</v>
      </c>
      <c r="AE21" s="3" t="n">
        <v>3940445436.8451</v>
      </c>
      <c r="AF21" s="3" t="n">
        <v>2419055219.52266</v>
      </c>
      <c r="AG21" s="3" t="n">
        <v>3061297328.41944</v>
      </c>
      <c r="AH21" s="3" t="n">
        <v>3299855295.856</v>
      </c>
      <c r="AI21" s="3" t="n">
        <v>3328738760.94046</v>
      </c>
      <c r="AJ21" s="3" t="n">
        <v>3562450737.21461</v>
      </c>
      <c r="AK21" s="3" t="n">
        <v>3683937763.47752</v>
      </c>
      <c r="AL21" s="3" t="n">
        <v>3830494832.2717</v>
      </c>
      <c r="AM21" s="3" t="n">
        <v>4199514042.99</v>
      </c>
      <c r="AN21" s="3" t="n">
        <v>4530593412.85346</v>
      </c>
      <c r="AO21" s="3" t="n">
        <v>724538729.693489</v>
      </c>
      <c r="AP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M1</f>
      </c>
      <c r="M1" t="s">
        <v>51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</row>
    <row r="2">
      <c r="A2" t="str">
        <f>M2</f>
      </c>
      <c r="M2" t="s">
        <v>52</v>
      </c>
      <c r="N2" s="4" t="n">
        <v>534278450.2891</v>
      </c>
      <c r="O2" s="4" t="n">
        <v>326068421.3504</v>
      </c>
      <c r="P2" s="4" t="n">
        <v>417545473.7335</v>
      </c>
      <c r="Q2" s="4" t="n">
        <v>911029804.6515</v>
      </c>
      <c r="R2" s="4" t="n">
        <v>840602547.2307</v>
      </c>
      <c r="S2" s="4" t="n">
        <v>578277534.0534</v>
      </c>
      <c r="T2" s="4" t="n">
        <v>559316717.6986</v>
      </c>
      <c r="U2" s="4" t="n">
        <v>529145798.0293</v>
      </c>
      <c r="V2" s="4" t="n">
        <v>816941620.8706</v>
      </c>
      <c r="W2" s="4" t="n">
        <v>1455761914.231</v>
      </c>
      <c r="X2" s="4" t="n">
        <v>473762654.191</v>
      </c>
      <c r="Y2" s="4" t="n">
        <v>838001061.9886</v>
      </c>
      <c r="Z2" s="4" t="n">
        <v>793186114.6138</v>
      </c>
      <c r="AA2" s="4" t="n">
        <v>728941988.1132</v>
      </c>
      <c r="AB2" s="4" t="n">
        <v>517694281.4349</v>
      </c>
      <c r="AC2" s="4" t="n">
        <v>395778967.1154</v>
      </c>
      <c r="AD2" s="4" t="n">
        <v>154331098.34</v>
      </c>
      <c r="AE2" s="4" t="n">
        <v>178774442.1142</v>
      </c>
      <c r="AF2" s="4" t="n">
        <v>141973928.1413</v>
      </c>
      <c r="AG2" s="4" t="n">
        <v>230227233.4137</v>
      </c>
      <c r="AH2" s="4" t="n">
        <v>196915853.471</v>
      </c>
      <c r="AI2" s="4" t="n">
        <v>256450377.4595</v>
      </c>
      <c r="AJ2" s="4" t="n">
        <v>355887692.0862</v>
      </c>
      <c r="AK2" s="4" t="n">
        <v>398336104.5008</v>
      </c>
      <c r="AL2" s="4" t="n">
        <v>421418998.17</v>
      </c>
      <c r="AM2" s="4" t="n">
        <v>229737115.88</v>
      </c>
      <c r="AN2" s="4"/>
      <c r="AO2" s="4"/>
    </row>
    <row r="3">
      <c r="A3" t="str">
        <f>M3</f>
      </c>
      <c r="M3" t="s">
        <v>53</v>
      </c>
      <c r="N3" s="4" t="n">
        <v>14267080380.215</v>
      </c>
      <c r="O3" s="4" t="n">
        <v>14031992969.54</v>
      </c>
      <c r="P3" s="4" t="n">
        <v>14899343810.14</v>
      </c>
      <c r="Q3" s="4" t="n">
        <v>20253587135.74</v>
      </c>
      <c r="R3" s="4" t="n">
        <v>11450528797.66</v>
      </c>
      <c r="S3" s="4" t="n">
        <v>12045608338.8542</v>
      </c>
      <c r="T3" s="4" t="n">
        <v>12546996018.4885</v>
      </c>
      <c r="U3" s="4" t="n">
        <v>13128600370.5937</v>
      </c>
      <c r="V3" s="4" t="n">
        <v>13343116915.4635</v>
      </c>
      <c r="W3" s="4" t="n">
        <v>16156561773.7693</v>
      </c>
      <c r="X3" s="4" t="n">
        <v>14851761926.3254</v>
      </c>
      <c r="Y3" s="4" t="n">
        <v>14923219976.1121</v>
      </c>
      <c r="Z3" s="4" t="n">
        <v>14817555886.3194</v>
      </c>
      <c r="AA3" s="4" t="n">
        <v>14279224198.9593</v>
      </c>
      <c r="AB3" s="4" t="n">
        <v>15341049368.7502</v>
      </c>
      <c r="AC3" s="4" t="n">
        <v>14874613614.4785</v>
      </c>
      <c r="AD3" s="4" t="n">
        <v>17102406942.09</v>
      </c>
      <c r="AE3" s="4" t="n">
        <v>13740200191.8299</v>
      </c>
      <c r="AF3" s="4" t="n">
        <v>13999656296.5038</v>
      </c>
      <c r="AG3" s="4" t="n">
        <v>12417075800.4828</v>
      </c>
      <c r="AH3" s="4" t="n">
        <v>13875040898.4439</v>
      </c>
      <c r="AI3" s="4" t="n">
        <v>14534253220.3098</v>
      </c>
      <c r="AJ3" s="4" t="n">
        <v>16733517904.1692</v>
      </c>
      <c r="AK3" s="4" t="n">
        <v>18401203645.6009</v>
      </c>
      <c r="AL3" s="4" t="n">
        <v>17890500098.77</v>
      </c>
      <c r="AM3" s="4" t="n">
        <v>8686491412.95</v>
      </c>
      <c r="AN3" s="4"/>
      <c r="AO3" s="4"/>
    </row>
    <row r="4">
      <c r="A4" t="str">
        <f>M4</f>
      </c>
      <c r="M4" t="s">
        <v>54</v>
      </c>
      <c r="N4" s="4" t="n">
        <v>5843216688.0532</v>
      </c>
      <c r="O4" s="4" t="n">
        <v>8703999823.8879</v>
      </c>
      <c r="P4" s="4" t="n">
        <v>8683625526.8447</v>
      </c>
      <c r="Q4" s="4" t="n">
        <v>9348943247.4277</v>
      </c>
      <c r="R4" s="4" t="n">
        <v>9544088462.0981</v>
      </c>
      <c r="S4" s="4" t="n">
        <v>10613300696.7617</v>
      </c>
      <c r="T4" s="4" t="n">
        <v>9852341451.6674</v>
      </c>
      <c r="U4" s="4" t="n">
        <v>9765050971.2951</v>
      </c>
      <c r="V4" s="4" t="n">
        <v>10039735067.9854</v>
      </c>
      <c r="W4" s="4" t="n">
        <v>14042333820.1537</v>
      </c>
      <c r="X4" s="4" t="n">
        <v>10423622081.4875</v>
      </c>
      <c r="Y4" s="4" t="n">
        <v>9358164060.9256</v>
      </c>
      <c r="Z4" s="4" t="n">
        <v>9574264529.1046</v>
      </c>
      <c r="AA4" s="4" t="n">
        <v>8976098991.9601</v>
      </c>
      <c r="AB4" s="4" t="n">
        <v>9645689048.3873</v>
      </c>
      <c r="AC4" s="4" t="n">
        <v>9903350821.3844</v>
      </c>
      <c r="AD4" s="4" t="n">
        <v>11032079661.43</v>
      </c>
      <c r="AE4" s="4" t="n">
        <v>15047102288.2281</v>
      </c>
      <c r="AF4" s="4" t="n">
        <v>17821471552.0765</v>
      </c>
      <c r="AG4" s="4" t="n">
        <v>20664265800.828</v>
      </c>
      <c r="AH4" s="4" t="n">
        <v>21906837099.5663</v>
      </c>
      <c r="AI4" s="4" t="n">
        <v>23769284851.5858</v>
      </c>
      <c r="AJ4" s="4" t="n">
        <v>25822961488.5923</v>
      </c>
      <c r="AK4" s="4" t="n">
        <v>27474623725.8018</v>
      </c>
      <c r="AL4" s="4" t="n">
        <v>29359271025.5</v>
      </c>
      <c r="AM4" s="4" t="n">
        <v>13702063134.42</v>
      </c>
      <c r="AN4" s="4"/>
      <c r="AO4" s="4"/>
    </row>
    <row r="5">
      <c r="A5" t="str">
        <f>M5</f>
      </c>
      <c r="M5" t="s">
        <v>55</v>
      </c>
      <c r="N5" s="4" t="n">
        <v>-35000</v>
      </c>
      <c r="O5" s="4" t="n">
        <v>232000</v>
      </c>
      <c r="P5" s="4" t="n">
        <v>5111254</v>
      </c>
      <c r="Q5" s="4" t="n">
        <v>1574988</v>
      </c>
      <c r="R5" s="4" t="n">
        <v>2693616.585</v>
      </c>
      <c r="S5" s="4" t="n">
        <v>-288372.12</v>
      </c>
      <c r="T5" s="4" t="n">
        <v>3884606.5399</v>
      </c>
      <c r="U5" s="4" t="n">
        <v>2311820.1695</v>
      </c>
      <c r="V5" s="4" t="n">
        <v>1818348.18</v>
      </c>
      <c r="W5" s="4" t="n">
        <v>243139.03</v>
      </c>
      <c r="X5" s="4" t="n">
        <v>141569.0691</v>
      </c>
      <c r="Y5" s="4" t="n">
        <v>8221.7899</v>
      </c>
      <c r="Z5" s="4" t="n">
        <v>-4587.1201</v>
      </c>
      <c r="AA5" s="4"/>
      <c r="AB5" s="4"/>
      <c r="AC5" s="4" t="n">
        <v>-183934.78</v>
      </c>
      <c r="AD5" s="4" t="n">
        <v>0</v>
      </c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>
      <c r="A6" t="str">
        <f>M6</f>
      </c>
      <c r="M6" t="s">
        <v>37</v>
      </c>
      <c r="N6" s="4" t="str">
        <f>Sum(N2:N5)</f>
      </c>
      <c r="O6" s="4" t="str">
        <f>Sum(O2:O5)</f>
      </c>
      <c r="P6" s="4" t="str">
        <f>Sum(P2:P5)</f>
      </c>
      <c r="Q6" s="4" t="str">
        <f>Sum(Q2:Q5)</f>
      </c>
      <c r="R6" s="4" t="str">
        <f>Sum(R2:R5)</f>
      </c>
      <c r="S6" s="4" t="str">
        <f>Sum(S2:S5)</f>
      </c>
      <c r="T6" s="4" t="str">
        <f>Sum(T2:T5)</f>
      </c>
      <c r="U6" s="4" t="str">
        <f>Sum(U2:U5)</f>
      </c>
      <c r="V6" s="4" t="str">
        <f>Sum(V2:V5)</f>
      </c>
      <c r="W6" s="4" t="str">
        <f>Sum(W2:W5)</f>
      </c>
      <c r="X6" s="4" t="str">
        <f>Sum(X2:X5)</f>
      </c>
      <c r="Y6" s="4" t="str">
        <f>Sum(Y2:Y5)</f>
      </c>
      <c r="Z6" s="4" t="str">
        <f>Sum(Z2:Z5)</f>
      </c>
      <c r="AA6" s="4" t="str">
        <f>Sum(AA2:AA5)</f>
      </c>
      <c r="AB6" s="4" t="str">
        <f>Sum(AB2:AB5)</f>
      </c>
      <c r="AC6" s="4" t="str">
        <f>Sum(AC2:AC5)</f>
      </c>
      <c r="AD6" s="4" t="str">
        <f>Sum(AD2:AD5)</f>
      </c>
      <c r="AE6" s="4" t="str">
        <f>Sum(AE2:AE5)</f>
      </c>
      <c r="AF6" s="4" t="str">
        <f>Sum(AF2:AF5)</f>
      </c>
      <c r="AG6" s="4" t="str">
        <f>Sum(AG2:AG5)</f>
      </c>
      <c r="AH6" s="4" t="str">
        <f>Sum(AH2:AH5)</f>
      </c>
      <c r="AI6" s="4" t="str">
        <f>Sum(AI2:AI5)</f>
      </c>
      <c r="AJ6" s="4" t="str">
        <f>Sum(AJ2:AJ5)</f>
      </c>
      <c r="AK6" s="4" t="str">
        <f>Sum(AK2:AK5)</f>
      </c>
      <c r="AL6" s="4" t="str">
        <f>Sum(AL2:AL5)</f>
      </c>
      <c r="AM6" s="4" t="str">
        <f>Sum(AM2:AM5)</f>
      </c>
      <c r="AN6" s="4" t="str">
        <f>Sum(AN2:AN5)</f>
      </c>
      <c r="AO6" s="4"/>
    </row>
    <row r="9">
      <c r="A9" t="str">
        <f>M9</f>
      </c>
      <c r="M9" t="s">
        <v>51</v>
      </c>
      <c r="N9" t="s">
        <v>2</v>
      </c>
      <c r="O9" t="s">
        <v>3</v>
      </c>
      <c r="P9" t="s">
        <v>4</v>
      </c>
      <c r="Q9" t="s">
        <v>5</v>
      </c>
      <c r="R9" t="s">
        <v>6</v>
      </c>
      <c r="S9" t="s">
        <v>7</v>
      </c>
      <c r="T9" t="s">
        <v>8</v>
      </c>
      <c r="U9" t="s">
        <v>9</v>
      </c>
      <c r="V9" t="s">
        <v>10</v>
      </c>
      <c r="W9" t="s">
        <v>11</v>
      </c>
      <c r="X9" t="s">
        <v>12</v>
      </c>
      <c r="Y9" t="s">
        <v>13</v>
      </c>
      <c r="Z9" t="s">
        <v>14</v>
      </c>
      <c r="AA9" t="s">
        <v>15</v>
      </c>
      <c r="AB9" t="s">
        <v>16</v>
      </c>
      <c r="AC9" t="s">
        <v>17</v>
      </c>
      <c r="AD9" t="s">
        <v>18</v>
      </c>
      <c r="AE9" t="s">
        <v>19</v>
      </c>
      <c r="AF9" t="s">
        <v>20</v>
      </c>
      <c r="AG9" t="s">
        <v>21</v>
      </c>
      <c r="AH9" t="s">
        <v>22</v>
      </c>
      <c r="AI9" t="s">
        <v>23</v>
      </c>
      <c r="AJ9" t="s">
        <v>24</v>
      </c>
      <c r="AK9" t="s">
        <v>25</v>
      </c>
      <c r="AL9" t="s">
        <v>26</v>
      </c>
      <c r="AM9" t="s">
        <v>27</v>
      </c>
    </row>
    <row r="10">
      <c r="A10" t="str">
        <f>M10</f>
      </c>
      <c r="M10" t="s">
        <v>52</v>
      </c>
      <c r="N10" s="4" t="n">
        <v>898214714.212048</v>
      </c>
      <c r="O10" s="4" t="n">
        <v>535204681.615769</v>
      </c>
      <c r="P10" s="4" t="n">
        <v>674738893.228994</v>
      </c>
      <c r="Q10" s="4" t="n">
        <v>1444465621.29543</v>
      </c>
      <c r="R10" s="4" t="n">
        <v>1301031481.48727</v>
      </c>
      <c r="S10" s="4" t="n">
        <v>868590360.773311</v>
      </c>
      <c r="T10" s="4" t="n">
        <v>813678842.833137</v>
      </c>
      <c r="U10" s="4" t="n">
        <v>749162927.173502</v>
      </c>
      <c r="V10" s="4" t="n">
        <v>1133099234.39738</v>
      </c>
      <c r="W10" s="4" t="n">
        <v>1998704946.21914</v>
      </c>
      <c r="X10" s="4" t="n">
        <v>644872961.37264</v>
      </c>
      <c r="Y10" s="4" t="n">
        <v>1118220263.4719</v>
      </c>
      <c r="Z10" s="4" t="n">
        <v>1039555819.71235</v>
      </c>
      <c r="AA10" s="4" t="n">
        <v>938331208.041213</v>
      </c>
      <c r="AB10" s="4" t="n">
        <v>654462934.299596</v>
      </c>
      <c r="AC10" s="4" t="n">
        <v>495210521.883709</v>
      </c>
      <c r="AD10" s="4" t="n">
        <v>191572068.155596</v>
      </c>
      <c r="AE10" s="4" t="n">
        <v>218229961.530726</v>
      </c>
      <c r="AF10" s="4" t="n">
        <v>169543703.798619</v>
      </c>
      <c r="AG10" s="4" t="n">
        <v>269943697.957557</v>
      </c>
      <c r="AH10" s="4" t="n">
        <v>227908582.81635</v>
      </c>
      <c r="AI10" s="4" t="n">
        <v>286937649.646519</v>
      </c>
      <c r="AJ10" s="4" t="n">
        <v>372168342.101417</v>
      </c>
      <c r="AK10" s="4" t="n">
        <v>398336104.5008</v>
      </c>
      <c r="AL10" s="4" t="n">
        <v>410457329.649859</v>
      </c>
      <c r="AM10" s="4" t="n">
        <v>218956977.955326</v>
      </c>
      <c r="AN10" s="4"/>
      <c r="AO10" s="4"/>
    </row>
    <row r="11">
      <c r="A11" t="str">
        <f>M11</f>
      </c>
      <c r="M11" t="s">
        <v>53</v>
      </c>
      <c r="N11" s="4" t="n">
        <v>23985435907.8509</v>
      </c>
      <c r="O11" s="4" t="n">
        <v>23031940040.667</v>
      </c>
      <c r="P11" s="4" t="n">
        <v>24076818896.8768</v>
      </c>
      <c r="Q11" s="4" t="n">
        <v>32112681908.0075</v>
      </c>
      <c r="R11" s="4" t="n">
        <v>17722404594.7885</v>
      </c>
      <c r="S11" s="4" t="n">
        <v>18092868348.9427</v>
      </c>
      <c r="T11" s="4" t="n">
        <v>18253030668.1395</v>
      </c>
      <c r="U11" s="4" t="n">
        <v>18587430382.9972</v>
      </c>
      <c r="V11" s="4" t="n">
        <v>18506922863.4407</v>
      </c>
      <c r="W11" s="4" t="n">
        <v>22182336009.3783</v>
      </c>
      <c r="X11" s="4" t="n">
        <v>20215818216.7936</v>
      </c>
      <c r="Y11" s="4" t="n">
        <v>19913395973.4339</v>
      </c>
      <c r="Z11" s="4" t="n">
        <v>19420002659.8251</v>
      </c>
      <c r="AA11" s="4" t="n">
        <v>18380943766.4333</v>
      </c>
      <c r="AB11" s="4" t="n">
        <v>19393971587.3987</v>
      </c>
      <c r="AC11" s="4" t="n">
        <v>18611562975.4945</v>
      </c>
      <c r="AD11" s="4" t="n">
        <v>21229314788.6296</v>
      </c>
      <c r="AE11" s="4" t="n">
        <v>16772662377.3888</v>
      </c>
      <c r="AF11" s="4" t="n">
        <v>16718235604.8825</v>
      </c>
      <c r="AG11" s="4" t="n">
        <v>14559143632.5802</v>
      </c>
      <c r="AH11" s="4" t="n">
        <v>16058843673.2899</v>
      </c>
      <c r="AI11" s="4" t="n">
        <v>16262110821.2705</v>
      </c>
      <c r="AJ11" s="4" t="n">
        <v>17499019365.9482</v>
      </c>
      <c r="AK11" s="4" t="n">
        <v>18401203645.6009</v>
      </c>
      <c r="AL11" s="4" t="n">
        <v>17425144401.4857</v>
      </c>
      <c r="AM11" s="4" t="n">
        <v>8278888248.11352</v>
      </c>
      <c r="AN11" s="4"/>
      <c r="AO11" s="4"/>
    </row>
    <row r="12">
      <c r="A12" t="str">
        <f>M12</f>
      </c>
      <c r="M12" t="s">
        <v>54</v>
      </c>
      <c r="N12" s="4" t="n">
        <v>9823460416.0037</v>
      </c>
      <c r="O12" s="4" t="n">
        <v>14286637863.4121</v>
      </c>
      <c r="P12" s="4" t="n">
        <v>14032435377.1773</v>
      </c>
      <c r="Q12" s="4" t="n">
        <v>14823035478.5343</v>
      </c>
      <c r="R12" s="4" t="n">
        <v>14771736764.5345</v>
      </c>
      <c r="S12" s="4" t="n">
        <v>15941498914.1608</v>
      </c>
      <c r="T12" s="4" t="n">
        <v>14332920039.6074</v>
      </c>
      <c r="U12" s="4" t="n">
        <v>13825327909.4334</v>
      </c>
      <c r="V12" s="4" t="n">
        <v>13925127363.4015</v>
      </c>
      <c r="W12" s="4" t="n">
        <v>19279582594.1274</v>
      </c>
      <c r="X12" s="4" t="n">
        <v>14188353557.3239</v>
      </c>
      <c r="Y12" s="4" t="n">
        <v>12487440835.6821</v>
      </c>
      <c r="Z12" s="4" t="n">
        <v>12548104697.3979</v>
      </c>
      <c r="AA12" s="4" t="n">
        <v>11554491232.4566</v>
      </c>
      <c r="AB12" s="4" t="n">
        <v>12193965018.2187</v>
      </c>
      <c r="AC12" s="4" t="n">
        <v>12391369769.8475</v>
      </c>
      <c r="AD12" s="4" t="n">
        <v>13694183087.7236</v>
      </c>
      <c r="AE12" s="4" t="n">
        <v>18367997766.7685</v>
      </c>
      <c r="AF12" s="4" t="n">
        <v>21282205357.2653</v>
      </c>
      <c r="AG12" s="4" t="n">
        <v>24229055108.4798</v>
      </c>
      <c r="AH12" s="4" t="n">
        <v>25354770118.0194</v>
      </c>
      <c r="AI12" s="4" t="n">
        <v>26595019265.1588</v>
      </c>
      <c r="AJ12" s="4" t="n">
        <v>27004274042.2458</v>
      </c>
      <c r="AK12" s="4" t="n">
        <v>27474623725.8018</v>
      </c>
      <c r="AL12" s="4" t="n">
        <v>28595597345.9268</v>
      </c>
      <c r="AM12" s="4" t="n">
        <v>13059110297.3225</v>
      </c>
      <c r="AN12" s="4"/>
      <c r="AO12" s="4"/>
    </row>
    <row r="13">
      <c r="A13" t="str">
        <f>M13</f>
      </c>
      <c r="M13" t="s">
        <v>55</v>
      </c>
      <c r="N13" s="4" t="n">
        <v>-58841.0686981867</v>
      </c>
      <c r="O13" s="4" t="n">
        <v>380801.936049567</v>
      </c>
      <c r="P13" s="4" t="n">
        <v>8259607.83656693</v>
      </c>
      <c r="Q13" s="4" t="n">
        <v>2497191.64876622</v>
      </c>
      <c r="R13" s="4" t="n">
        <v>4169009.46551551</v>
      </c>
      <c r="S13" s="4" t="n">
        <v>-433143.653345929</v>
      </c>
      <c r="T13" s="4" t="n">
        <v>5651220.59511038</v>
      </c>
      <c r="U13" s="4" t="n">
        <v>3273067.59636304</v>
      </c>
      <c r="V13" s="4" t="n">
        <v>2522051.61053022</v>
      </c>
      <c r="W13" s="4" t="n">
        <v>333820.50809911</v>
      </c>
      <c r="X13" s="4" t="n">
        <v>192700.002884734</v>
      </c>
      <c r="Y13" s="4" t="n">
        <v>10971.0744833324</v>
      </c>
      <c r="Z13" s="4" t="n">
        <v>-6011.91486817227</v>
      </c>
      <c r="AA13" s="4"/>
      <c r="AB13" s="4"/>
      <c r="AC13" s="4" t="n">
        <v>-230144.717037999</v>
      </c>
      <c r="AD13" s="4" t="n">
        <v>0</v>
      </c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>
      <c r="A14" t="str">
        <f>M14</f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../output/FedAcqTrends/Customer//Energy/Energy_Contracts.xlsx</dc:creator>
  <cp:lastModifiedBy>../output/FedAcqTrends/Customer//Energy/Energy_Contracts.xlsx</cp:lastModifiedBy>
  <dcterms:created xsi:type="dcterms:W3CDTF">2025-11-16T16:54:39Z</dcterms:created>
</coreProperties>
</file>