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5-4 Comm" sheetId="1" state="visible" r:id="rId1"/>
    <sheet name="8-3 Dur" sheetId="2" state="visible" r:id="rId2"/>
    <sheet name="3-1 Area" sheetId="3" state="visible" r:id="rId3"/>
    <sheet name="2-2 FYQ" sheetId="4" state="visible" r:id="rId4"/>
    <sheet name="6-5 Comp" sheetId="5" state="visible" r:id="rId5"/>
    <sheet name="4-X Veh" sheetId="6" state="visible" r:id="rId6"/>
  </sheets>
</workbook>
</file>

<file path=xl/sharedStrings.xml><?xml version="1.0" encoding="utf-8"?>
<sst xmlns="http://schemas.openxmlformats.org/spreadsheetml/2006/main" count="61" uniqueCount="61">
  <si>
    <t xml:space="preserve">AnyCommercialText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</si>
  <si>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</si>
  <si>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</si>
  <si>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</si>
  <si>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</si>
  <si>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</si>
  <si>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</si>
  <si>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</si>
  <si>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</si>
  <si>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</si>
  <si>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</si>
  <si>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</si>
  <si>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</si>
  <si>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</si>
  <si>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</si>
  <si>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</si>
  <si>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</si>
  <si>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</si>
  <si>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</si>
  <si>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</si>
  <si>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</si>
  <si>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</si>
  <si>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</si>
  <si>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</si>
  <si>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</si>
  <si>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</si>
  <si>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</si>
  <si>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Not Classified
as Commercial</t>
  </si>
  <si>
    <t xml:space="preserve">Non-development
or Commercial Similar</t>
  </si>
  <si>
    <t xml:space="preserve">Any Commercial
Classification</t>
  </si>
  <si>
    <t xml:space="preserve">Grand Total</t>
  </si>
  <si>
    <t xml:space="preserve">UnmodifiedUltimateDurationCategory</t>
  </si>
  <si>
    <t xml:space="preserve">&lt;=2 Months</t>
  </si>
  <si>
    <t xml:space="preserve">&gt;1-2 Years</t>
  </si>
  <si>
    <t xml:space="preserve">&gt;2-4 Years</t>
  </si>
  <si>
    <t xml:space="preserve">&gt;2-7 Months</t>
  </si>
  <si>
    <t xml:space="preserve">&gt;4 years</t>
  </si>
  <si>
    <t xml:space="preserve">&gt;7-12 Months</t>
  </si>
  <si>
    <t xml:space="preserve">SimpleArea</t>
  </si>
  <si>
    <t xml:space="preserve">Products (All)</t>
  </si>
  <si>
    <t xml:space="preserve">R&amp;D</t>
  </si>
  <si>
    <t xml:space="preserve">Services (Non-R&amp;D)</t>
  </si>
  <si>
    <t xml:space="preserve">Unlabeled</t>
  </si>
  <si>
    <t xml:space="preserve">fiscal_quarter_YTD</t>
  </si>
  <si>
    <t xml:space="preserve">Competition.sum</t>
  </si>
  <si>
    <t xml:space="preserve">1 Offer</t>
  </si>
  <si>
    <t xml:space="preserve">2 Offers</t>
  </si>
  <si>
    <t xml:space="preserve">3+ Offers</t>
  </si>
  <si>
    <t xml:space="preserve">No Comp.</t>
  </si>
  <si>
    <t xml:space="preserve">Vehicle.AwardTask</t>
  </si>
  <si>
    <t xml:space="preserve">Vehicle.sum7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</si>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</sst>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0.00,,,&quot;B&quot;"/>
    <numFmt numFmtId="167" formatCode="0.00,,,&quot;B&quot;"/>
    <numFmt numFmtId="168" formatCode="0.00,,,&quot;B&quot;"/>
    <numFmt numFmtId="169" formatCode="0.00,,,&quot;B&quot;"/>
    <numFmt numFmtId="170" formatCode="0.00,,,&quot;B&quot;"/>
    <numFmt numFmtId="172" formatCode="0.00,,,&quot;B&quot;"/>
    <numFmt numFmtId="173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0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</row>
    <row r="2">
      <c r="A2" t="str">
        <f>L2</f>
      </c>
      <c r="L2" t="s">
        <v>27</v>
      </c>
      <c r="M2" s="1" t="n">
        <v>176925451064.227</v>
      </c>
      <c r="N2" s="1" t="n">
        <v>187909553001.998</v>
      </c>
      <c r="O2" s="1" t="n">
        <v>211326142412.118</v>
      </c>
      <c r="P2" s="1" t="n">
        <v>254834483710.015</v>
      </c>
      <c r="Q2" s="1" t="n">
        <v>276493490872.04</v>
      </c>
      <c r="R2" s="1" t="n">
        <v>340572558268.538</v>
      </c>
      <c r="S2" s="1" t="n">
        <v>367339788419.792</v>
      </c>
      <c r="T2" s="1" t="n">
        <v>381758521421.852</v>
      </c>
      <c r="U2" s="1" t="n">
        <v>422375859101.043</v>
      </c>
      <c r="V2" s="1" t="n">
        <v>445684372369.369</v>
      </c>
      <c r="W2" s="1" t="n">
        <v>426055497893.741</v>
      </c>
      <c r="X2" s="1" t="n">
        <v>421814305999.526</v>
      </c>
      <c r="Y2" s="1" t="n">
        <v>400512582644.352</v>
      </c>
      <c r="Z2" s="1" t="n">
        <v>356425601848.211</v>
      </c>
      <c r="AA2" s="1" t="n">
        <v>337252955184.327</v>
      </c>
      <c r="AB2" s="1" t="n">
        <v>330971382724.245</v>
      </c>
      <c r="AC2" s="1" t="n">
        <v>363862527459.454</v>
      </c>
      <c r="AD2" s="1" t="n">
        <v>388240099260.866</v>
      </c>
      <c r="AE2" s="1" t="n">
        <v>416519822263.542</v>
      </c>
      <c r="AF2" s="1" t="n">
        <v>442717986684.556</v>
      </c>
      <c r="AG2" s="1" t="n">
        <v>483618302104.162</v>
      </c>
      <c r="AH2" s="1" t="n">
        <v>422241412579.494</v>
      </c>
      <c r="AI2" s="1" t="n">
        <v>450098107742.857</v>
      </c>
      <c r="AJ2" s="1" t="n">
        <v>525579413647.365</v>
      </c>
      <c r="AK2" s="1" t="n">
        <v>510539030158.86</v>
      </c>
      <c r="AL2" s="1" t="n">
        <v>220032164293.94</v>
      </c>
      <c r="AM2" s="1"/>
      <c r="AN2" s="1"/>
    </row>
    <row r="3">
      <c r="A3" t="str">
        <f>L3</f>
      </c>
      <c r="L3" t="s">
        <v>28</v>
      </c>
      <c r="M3" s="1" t="n">
        <v>26760108</v>
      </c>
      <c r="N3" s="1" t="n">
        <v>-242713.56</v>
      </c>
      <c r="O3" s="1" t="n">
        <v>235057029.7798</v>
      </c>
      <c r="P3" s="1" t="n">
        <v>821775093.497</v>
      </c>
      <c r="Q3" s="1" t="n">
        <v>1124965184.2095</v>
      </c>
      <c r="R3" s="1" t="n">
        <v>988246972.4407</v>
      </c>
      <c r="S3" s="1" t="n">
        <v>541300261.3682</v>
      </c>
      <c r="T3" s="1" t="n">
        <v>753775773.954</v>
      </c>
      <c r="U3" s="1" t="n">
        <v>1045540469.2115</v>
      </c>
      <c r="V3" s="1" t="n">
        <v>1141212897.8243</v>
      </c>
      <c r="W3" s="1" t="n">
        <v>1140721888.9508</v>
      </c>
      <c r="X3" s="1" t="n">
        <v>2000872222.8136</v>
      </c>
      <c r="Y3" s="1" t="n">
        <v>2478056061.6153</v>
      </c>
      <c r="Z3" s="1" t="n">
        <v>2015990098.5926</v>
      </c>
      <c r="AA3" s="1" t="n">
        <v>1859493562.8993</v>
      </c>
      <c r="AB3" s="1" t="n">
        <v>1308192739.3058</v>
      </c>
      <c r="AC3" s="1" t="n">
        <v>924399060.8593</v>
      </c>
      <c r="AD3" s="1" t="n">
        <v>464674368.3708</v>
      </c>
      <c r="AE3" s="1" t="n">
        <v>398622864.2747</v>
      </c>
      <c r="AF3" s="1" t="n">
        <v>266316875.3488</v>
      </c>
      <c r="AG3" s="1" t="n">
        <v>238397611.5465</v>
      </c>
      <c r="AH3" s="1" t="n">
        <v>532762003.8331</v>
      </c>
      <c r="AI3" s="1" t="n">
        <v>344986662.4644</v>
      </c>
      <c r="AJ3" s="1" t="n">
        <v>207424716.8622</v>
      </c>
      <c r="AK3" s="1" t="n">
        <v>161616966.69</v>
      </c>
      <c r="AL3" s="1" t="n">
        <v>27511594.72</v>
      </c>
      <c r="AM3" s="1"/>
      <c r="AN3" s="1"/>
    </row>
    <row r="4">
      <c r="A4" t="str">
        <f>L4</f>
      </c>
      <c r="L4" t="s">
        <v>29</v>
      </c>
      <c r="M4" s="1" t="n">
        <v>28661632078.2841</v>
      </c>
      <c r="N4" s="1" t="n">
        <v>35120269212.9382</v>
      </c>
      <c r="O4" s="1" t="n">
        <v>52401238102.4028</v>
      </c>
      <c r="P4" s="1" t="n">
        <v>63734470835.1418</v>
      </c>
      <c r="Q4" s="1" t="n">
        <v>61736588132.5438</v>
      </c>
      <c r="R4" s="1" t="n">
        <v>49845369258.4089</v>
      </c>
      <c r="S4" s="1" t="n">
        <v>63256423898.2805</v>
      </c>
      <c r="T4" s="1" t="n">
        <v>87308964427.296</v>
      </c>
      <c r="U4" s="1" t="n">
        <v>104898476016.496</v>
      </c>
      <c r="V4" s="1" t="n">
        <v>108351586182.912</v>
      </c>
      <c r="W4" s="1" t="n">
        <v>134269585178.115</v>
      </c>
      <c r="X4" s="1" t="n">
        <v>116464114288.982</v>
      </c>
      <c r="Y4" s="1" t="n">
        <v>118197983061.077</v>
      </c>
      <c r="Z4" s="1" t="n">
        <v>105544007763.174</v>
      </c>
      <c r="AA4" s="1" t="n">
        <v>107378027343.096</v>
      </c>
      <c r="AB4" s="1" t="n">
        <v>107942676253.857</v>
      </c>
      <c r="AC4" s="1" t="n">
        <v>111020574177.893</v>
      </c>
      <c r="AD4" s="1" t="n">
        <v>122373105603.624</v>
      </c>
      <c r="AE4" s="1" t="n">
        <v>139349174438.678</v>
      </c>
      <c r="AF4" s="1" t="n">
        <v>146918794002.641</v>
      </c>
      <c r="AG4" s="1" t="n">
        <v>187720746869.395</v>
      </c>
      <c r="AH4" s="1" t="n">
        <v>222935723898.076</v>
      </c>
      <c r="AI4" s="1" t="n">
        <v>244272665045.249</v>
      </c>
      <c r="AJ4" s="1" t="n">
        <v>235261552565.294</v>
      </c>
      <c r="AK4" s="1" t="n">
        <v>245147262902.991</v>
      </c>
      <c r="AL4" s="1" t="n">
        <v>94925463234.66</v>
      </c>
      <c r="AM4" s="1"/>
      <c r="AN4" s="1"/>
    </row>
    <row r="5">
      <c r="A5" t="str">
        <f>L5</f>
      </c>
      <c r="L5"/>
      <c r="M5" s="1" t="n">
        <v>8167705.6401</v>
      </c>
      <c r="N5" s="1" t="n">
        <v>92535470.0872</v>
      </c>
      <c r="O5" s="1" t="n">
        <v>217104022.6078</v>
      </c>
      <c r="P5" s="1" t="n">
        <v>143903917.5915</v>
      </c>
      <c r="Q5" s="1" t="n">
        <v>19318696.8241</v>
      </c>
      <c r="R5" s="1" t="n">
        <v>15547675.3229</v>
      </c>
      <c r="S5" s="1" t="n">
        <v>13181148.3192</v>
      </c>
      <c r="T5" s="1" t="n">
        <v>11188763.995</v>
      </c>
      <c r="U5" s="1" t="n">
        <v>4936831.4816</v>
      </c>
      <c r="V5" s="1" t="n">
        <v>42456963.6625</v>
      </c>
      <c r="W5" s="1" t="n">
        <v>-4124481.9346</v>
      </c>
      <c r="X5" s="1" t="n">
        <v>2166187.2045</v>
      </c>
      <c r="Y5" s="1" t="n">
        <v>14186213.1609</v>
      </c>
      <c r="Z5" s="1" t="n">
        <v>16687857.15</v>
      </c>
      <c r="AA5" s="1" t="n">
        <v>8861498.2</v>
      </c>
      <c r="AB5" s="1" t="n">
        <v>16228946.2214</v>
      </c>
      <c r="AC5" s="1" t="n">
        <v>12388043.9107</v>
      </c>
      <c r="AD5" s="1" t="n">
        <v>33468159.41</v>
      </c>
      <c r="AE5" s="1" t="n">
        <v>82558966.441</v>
      </c>
      <c r="AF5" s="1" t="n">
        <v>151626988.516</v>
      </c>
      <c r="AG5" s="1" t="n">
        <v>185435891.4612</v>
      </c>
      <c r="AH5" s="1" t="n">
        <v>83575302.0797</v>
      </c>
      <c r="AI5" s="1" t="n">
        <v>41860197.4992</v>
      </c>
      <c r="AJ5" s="1" t="n">
        <v>33640329.2189</v>
      </c>
      <c r="AK5" s="1" t="n">
        <v>5065045.04</v>
      </c>
      <c r="AL5" s="1" t="n">
        <v>24275375.9</v>
      </c>
      <c r="AM5" s="1"/>
      <c r="AN5" s="1"/>
    </row>
    <row r="6">
      <c r="A6" t="str">
        <f>L6</f>
      </c>
      <c r="L6" t="s">
        <v>30</v>
      </c>
      <c r="M6" s="1" t="str">
        <f>Sum(M2:M5)</f>
      </c>
      <c r="N6" s="1" t="str">
        <f>Sum(N2:N5)</f>
      </c>
      <c r="O6" s="1" t="str">
        <f>Sum(O2:O5)</f>
      </c>
      <c r="P6" s="1" t="str">
        <f>Sum(P2:P5)</f>
      </c>
      <c r="Q6" s="1" t="str">
        <f>Sum(Q2:Q5)</f>
      </c>
      <c r="R6" s="1" t="str">
        <f>Sum(R2:R5)</f>
      </c>
      <c r="S6" s="1" t="str">
        <f>Sum(S2:S5)</f>
      </c>
      <c r="T6" s="1" t="str">
        <f>Sum(T2:T5)</f>
      </c>
      <c r="U6" s="1" t="str">
        <f>Sum(U2:U5)</f>
      </c>
      <c r="V6" s="1" t="str">
        <f>Sum(V2:V5)</f>
      </c>
      <c r="W6" s="1" t="str">
        <f>Sum(W2:W5)</f>
      </c>
      <c r="X6" s="1" t="str">
        <f>Sum(X2:X5)</f>
      </c>
      <c r="Y6" s="1" t="str">
        <f>Sum(Y2:Y5)</f>
      </c>
      <c r="Z6" s="1" t="str">
        <f>Sum(Z2:Z5)</f>
      </c>
      <c r="AA6" s="1" t="str">
        <f>Sum(AA2:AA5)</f>
      </c>
      <c r="AB6" s="1" t="str">
        <f>Sum(AB2:AB5)</f>
      </c>
      <c r="AC6" s="1" t="str">
        <f>Sum(AC2:AC5)</f>
      </c>
      <c r="AD6" s="1" t="str">
        <f>Sum(AD2:AD5)</f>
      </c>
      <c r="AE6" s="1" t="str">
        <f>Sum(AE2:AE5)</f>
      </c>
      <c r="AF6" s="1" t="str">
        <f>Sum(AF2:AF5)</f>
      </c>
      <c r="AG6" s="1" t="str">
        <f>Sum(AG2:AG5)</f>
      </c>
      <c r="AH6" s="1" t="str">
        <f>Sum(AH2:AH5)</f>
      </c>
      <c r="AI6" s="1" t="str">
        <f>Sum(AI2:AI5)</f>
      </c>
      <c r="AJ6" s="1" t="str">
        <f>Sum(AJ2:AJ5)</f>
      </c>
      <c r="AK6" s="1" t="str">
        <f>Sum(AK2:AK5)</f>
      </c>
      <c r="AL6" s="1" t="str">
        <f>Sum(AL2:AL5)</f>
      </c>
      <c r="AM6" s="1" t="str">
        <f>Sum(AM2:AM5)</f>
      </c>
      <c r="AN6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31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</row>
    <row r="2">
      <c r="A2" t="str">
        <f>L2</f>
      </c>
      <c r="L2" t="s">
        <v>32</v>
      </c>
      <c r="M2" s="2" t="n">
        <v>10216159711.7458</v>
      </c>
      <c r="N2" s="2" t="n">
        <v>11470879776.0852</v>
      </c>
      <c r="O2" s="2" t="n">
        <v>15128082687.2126</v>
      </c>
      <c r="P2" s="2" t="n">
        <v>16329003604.9103</v>
      </c>
      <c r="Q2" s="2" t="n">
        <v>10640277474.8407</v>
      </c>
      <c r="R2" s="2" t="n">
        <v>14405086743.2375</v>
      </c>
      <c r="S2" s="2" t="n">
        <v>22954940532.9395</v>
      </c>
      <c r="T2" s="2" t="n">
        <v>44503521028.502</v>
      </c>
      <c r="U2" s="2" t="n">
        <v>51761064040.5969</v>
      </c>
      <c r="V2" s="2" t="n">
        <v>43840460241.4517</v>
      </c>
      <c r="W2" s="2" t="n">
        <v>45384180577.6074</v>
      </c>
      <c r="X2" s="2" t="n">
        <v>42607284482.0355</v>
      </c>
      <c r="Y2" s="2" t="n">
        <v>40880978031.9413</v>
      </c>
      <c r="Z2" s="2" t="n">
        <v>37609975905.8345</v>
      </c>
      <c r="AA2" s="2" t="n">
        <v>47928691565.8346</v>
      </c>
      <c r="AB2" s="2" t="n">
        <v>45762701295.1843</v>
      </c>
      <c r="AC2" s="2" t="n">
        <v>44252676224.0787</v>
      </c>
      <c r="AD2" s="2" t="n">
        <v>45089613129.0173</v>
      </c>
      <c r="AE2" s="2" t="n">
        <v>46692376996.1801</v>
      </c>
      <c r="AF2" s="2" t="n">
        <v>41012614141.468</v>
      </c>
      <c r="AG2" s="2" t="n">
        <v>48710848386.5919</v>
      </c>
      <c r="AH2" s="2" t="n">
        <v>52989181266.7215</v>
      </c>
      <c r="AI2" s="2" t="n">
        <v>57707962671.4197</v>
      </c>
      <c r="AJ2" s="2" t="n">
        <v>65153130887.0962</v>
      </c>
      <c r="AK2" s="2" t="n">
        <v>85876820161.8683</v>
      </c>
      <c r="AL2" s="2" t="n">
        <v>37411273696.26</v>
      </c>
      <c r="AM2" s="2"/>
      <c r="AN2" s="2"/>
    </row>
    <row r="3">
      <c r="A3" t="str">
        <f>L3</f>
      </c>
      <c r="L3" t="s">
        <v>33</v>
      </c>
      <c r="M3" s="2" t="n">
        <v>6985442439.8992</v>
      </c>
      <c r="N3" s="2" t="n">
        <v>9890871589.2792</v>
      </c>
      <c r="O3" s="2" t="n">
        <v>14090420266.5989</v>
      </c>
      <c r="P3" s="2" t="n">
        <v>15568771056.0097</v>
      </c>
      <c r="Q3" s="2" t="n">
        <v>16900402198.8329</v>
      </c>
      <c r="R3" s="2" t="n">
        <v>22031233692.4653</v>
      </c>
      <c r="S3" s="2" t="n">
        <v>29551417891.009</v>
      </c>
      <c r="T3" s="2" t="n">
        <v>62791654469.3294</v>
      </c>
      <c r="U3" s="2" t="n">
        <v>79519495941.2923</v>
      </c>
      <c r="V3" s="2" t="n">
        <v>87203554516.8599</v>
      </c>
      <c r="W3" s="2" t="n">
        <v>83506131909.3432</v>
      </c>
      <c r="X3" s="2" t="n">
        <v>79337697735.5252</v>
      </c>
      <c r="Y3" s="2" t="n">
        <v>81545577018.8771</v>
      </c>
      <c r="Z3" s="2" t="n">
        <v>66295375545.9883</v>
      </c>
      <c r="AA3" s="2" t="n">
        <v>57125810819.1979</v>
      </c>
      <c r="AB3" s="2" t="n">
        <v>58294067616.0912</v>
      </c>
      <c r="AC3" s="2" t="n">
        <v>65874119612.5651</v>
      </c>
      <c r="AD3" s="2" t="n">
        <v>75216169245.7628</v>
      </c>
      <c r="AE3" s="2" t="n">
        <v>83195754157.4856</v>
      </c>
      <c r="AF3" s="2" t="n">
        <v>92450320102.3964</v>
      </c>
      <c r="AG3" s="2" t="n">
        <v>121904661011.545</v>
      </c>
      <c r="AH3" s="2" t="n">
        <v>83996694295.3114</v>
      </c>
      <c r="AI3" s="2" t="n">
        <v>89241902680.6967</v>
      </c>
      <c r="AJ3" s="2" t="n">
        <v>93936629980.5425</v>
      </c>
      <c r="AK3" s="2" t="n">
        <v>86649836431.8912</v>
      </c>
      <c r="AL3" s="2" t="n">
        <v>33649158711.74</v>
      </c>
      <c r="AM3" s="2"/>
      <c r="AN3" s="2"/>
    </row>
    <row r="4">
      <c r="A4" t="str">
        <f>L4</f>
      </c>
      <c r="L4" t="s">
        <v>34</v>
      </c>
      <c r="M4" s="2" t="n">
        <v>8230807095.714</v>
      </c>
      <c r="N4" s="2" t="n">
        <v>10560451597.8689</v>
      </c>
      <c r="O4" s="2" t="n">
        <v>13764099457.4384</v>
      </c>
      <c r="P4" s="2" t="n">
        <v>17891792040.2701</v>
      </c>
      <c r="Q4" s="2" t="n">
        <v>23817612543.4739</v>
      </c>
      <c r="R4" s="2" t="n">
        <v>24519010882.5346</v>
      </c>
      <c r="S4" s="2" t="n">
        <v>30808334005.8803</v>
      </c>
      <c r="T4" s="2" t="n">
        <v>61455757363.1546</v>
      </c>
      <c r="U4" s="2" t="n">
        <v>78686085720.5173</v>
      </c>
      <c r="V4" s="2" t="n">
        <v>83141720122.6335</v>
      </c>
      <c r="W4" s="2" t="n">
        <v>83740172441.5912</v>
      </c>
      <c r="X4" s="2" t="n">
        <v>83522004495.7916</v>
      </c>
      <c r="Y4" s="2" t="n">
        <v>82436300526.8215</v>
      </c>
      <c r="Z4" s="2" t="n">
        <v>84128476760.5834</v>
      </c>
      <c r="AA4" s="2" t="n">
        <v>76773133981.4242</v>
      </c>
      <c r="AB4" s="2" t="n">
        <v>77540220680.1836</v>
      </c>
      <c r="AC4" s="2" t="n">
        <v>86565555062.5251</v>
      </c>
      <c r="AD4" s="2" t="n">
        <v>88150173817.1372</v>
      </c>
      <c r="AE4" s="2" t="n">
        <v>102225928221.144</v>
      </c>
      <c r="AF4" s="2" t="n">
        <v>107929740369.752</v>
      </c>
      <c r="AG4" s="2" t="n">
        <v>106695511180.549</v>
      </c>
      <c r="AH4" s="2" t="n">
        <v>97070013500.8136</v>
      </c>
      <c r="AI4" s="2" t="n">
        <v>109501283943.375</v>
      </c>
      <c r="AJ4" s="2" t="n">
        <v>124863339117.665</v>
      </c>
      <c r="AK4" s="2" t="n">
        <v>122929712498.62</v>
      </c>
      <c r="AL4" s="2" t="n">
        <v>38136666576.3</v>
      </c>
      <c r="AM4" s="2"/>
      <c r="AN4" s="2"/>
    </row>
    <row r="5">
      <c r="A5" t="str">
        <f>L5</f>
      </c>
      <c r="L5" t="s">
        <v>35</v>
      </c>
      <c r="M5" s="2" t="n">
        <v>10095602751.7792</v>
      </c>
      <c r="N5" s="2" t="n">
        <v>10053401989.3701</v>
      </c>
      <c r="O5" s="2" t="n">
        <v>14832650820.3911</v>
      </c>
      <c r="P5" s="2" t="n">
        <v>15303206438.2715</v>
      </c>
      <c r="Q5" s="2" t="n">
        <v>17117682142.989</v>
      </c>
      <c r="R5" s="2" t="n">
        <v>24244423723.9112</v>
      </c>
      <c r="S5" s="2" t="n">
        <v>30422948937.0949</v>
      </c>
      <c r="T5" s="2" t="n">
        <v>49965982281.4677</v>
      </c>
      <c r="U5" s="2" t="n">
        <v>56076217420.461</v>
      </c>
      <c r="V5" s="2" t="n">
        <v>63047305635.9184</v>
      </c>
      <c r="W5" s="2" t="n">
        <v>63841403220.4104</v>
      </c>
      <c r="X5" s="2" t="n">
        <v>66290519510.1948</v>
      </c>
      <c r="Y5" s="2" t="n">
        <v>60546730781.8537</v>
      </c>
      <c r="Z5" s="2" t="n">
        <v>40828118931.0142</v>
      </c>
      <c r="AA5" s="2" t="n">
        <v>38180041426.8094</v>
      </c>
      <c r="AB5" s="2" t="n">
        <v>39936359927.7054</v>
      </c>
      <c r="AC5" s="2" t="n">
        <v>39339281783.5481</v>
      </c>
      <c r="AD5" s="2" t="n">
        <v>54812025130.9456</v>
      </c>
      <c r="AE5" s="2" t="n">
        <v>49337487092.061</v>
      </c>
      <c r="AF5" s="2" t="n">
        <v>47963331669.6968</v>
      </c>
      <c r="AG5" s="2" t="n">
        <v>54339332990.9159</v>
      </c>
      <c r="AH5" s="2" t="n">
        <v>53909110557.1904</v>
      </c>
      <c r="AI5" s="2" t="n">
        <v>54380754881.1247</v>
      </c>
      <c r="AJ5" s="2" t="n">
        <v>58412714280.4301</v>
      </c>
      <c r="AK5" s="2" t="n">
        <v>43621235258.8636</v>
      </c>
      <c r="AL5" s="2" t="n">
        <v>17667064062.33</v>
      </c>
      <c r="AM5" s="2"/>
      <c r="AN5" s="2"/>
    </row>
    <row r="6">
      <c r="A6" t="str">
        <f>L6</f>
      </c>
      <c r="L6" t="s">
        <v>36</v>
      </c>
      <c r="M6" s="2" t="n">
        <v>20400191016.0788</v>
      </c>
      <c r="N6" s="2" t="n">
        <v>28192887528.8715</v>
      </c>
      <c r="O6" s="2" t="n">
        <v>41392123273.1324</v>
      </c>
      <c r="P6" s="2" t="n">
        <v>63099497608.3842</v>
      </c>
      <c r="Q6" s="2" t="n">
        <v>74249549129.6656</v>
      </c>
      <c r="R6" s="2" t="n">
        <v>87205228213.2689</v>
      </c>
      <c r="S6" s="2" t="n">
        <v>107244576467.908</v>
      </c>
      <c r="T6" s="2" t="n">
        <v>129145551661.045</v>
      </c>
      <c r="U6" s="2" t="n">
        <v>147003126895.036</v>
      </c>
      <c r="V6" s="2" t="n">
        <v>157879218654.289</v>
      </c>
      <c r="W6" s="2" t="n">
        <v>147185625884.609</v>
      </c>
      <c r="X6" s="2" t="n">
        <v>155657965433.714</v>
      </c>
      <c r="Y6" s="2" t="n">
        <v>156238033941.023</v>
      </c>
      <c r="Z6" s="2" t="n">
        <v>151438170103.653</v>
      </c>
      <c r="AA6" s="2" t="n">
        <v>141298320860.011</v>
      </c>
      <c r="AB6" s="2" t="n">
        <v>136418480997.38</v>
      </c>
      <c r="AC6" s="2" t="n">
        <v>152804456517.66</v>
      </c>
      <c r="AD6" s="2" t="n">
        <v>162247845114.868</v>
      </c>
      <c r="AE6" s="2" t="n">
        <v>182028332913.059</v>
      </c>
      <c r="AF6" s="2" t="n">
        <v>209652048453.283</v>
      </c>
      <c r="AG6" s="2" t="n">
        <v>230139772648.291</v>
      </c>
      <c r="AH6" s="2" t="n">
        <v>233704997302.719</v>
      </c>
      <c r="AI6" s="2" t="n">
        <v>260036287194.898</v>
      </c>
      <c r="AJ6" s="2" t="n">
        <v>302690161066.755</v>
      </c>
      <c r="AK6" s="2" t="n">
        <v>301691029042.944</v>
      </c>
      <c r="AL6" s="2" t="n">
        <v>140754397445.51</v>
      </c>
      <c r="AM6" s="2"/>
      <c r="AN6" s="2"/>
    </row>
    <row r="7">
      <c r="A7" t="str">
        <f>L7</f>
      </c>
      <c r="L7" t="s">
        <v>37</v>
      </c>
      <c r="M7" s="2" t="n">
        <v>11219704324.6334</v>
      </c>
      <c r="N7" s="2" t="n">
        <v>13495054409.5492</v>
      </c>
      <c r="O7" s="2" t="n">
        <v>18929268365.3096</v>
      </c>
      <c r="P7" s="2" t="n">
        <v>24942342232.2954</v>
      </c>
      <c r="Q7" s="2" t="n">
        <v>26440303923.5798</v>
      </c>
      <c r="R7" s="2" t="n">
        <v>28406533255.6492</v>
      </c>
      <c r="S7" s="2" t="n">
        <v>36465739626.2993</v>
      </c>
      <c r="T7" s="2" t="n">
        <v>61066011643.481</v>
      </c>
      <c r="U7" s="2" t="n">
        <v>73900234358.177</v>
      </c>
      <c r="V7" s="2" t="n">
        <v>85713966187.7007</v>
      </c>
      <c r="W7" s="2" t="n">
        <v>92227270715.9696</v>
      </c>
      <c r="X7" s="2" t="n">
        <v>93883613027.3615</v>
      </c>
      <c r="Y7" s="2" t="n">
        <v>87990243664.0848</v>
      </c>
      <c r="Z7" s="2" t="n">
        <v>73353230670.7415</v>
      </c>
      <c r="AA7" s="2" t="n">
        <v>75625845071.6703</v>
      </c>
      <c r="AB7" s="2" t="n">
        <v>71361026086.5685</v>
      </c>
      <c r="AC7" s="2" t="n">
        <v>72859782183.7295</v>
      </c>
      <c r="AD7" s="2" t="n">
        <v>74764830378.1765</v>
      </c>
      <c r="AE7" s="2" t="n">
        <v>82042945183.2896</v>
      </c>
      <c r="AF7" s="2" t="n">
        <v>80033274016.7934</v>
      </c>
      <c r="AG7" s="2" t="n">
        <v>96024135052.4401</v>
      </c>
      <c r="AH7" s="2" t="n">
        <v>111507970930.936</v>
      </c>
      <c r="AI7" s="2" t="n">
        <v>109658800460.662</v>
      </c>
      <c r="AJ7" s="2" t="n">
        <v>101868909703.6</v>
      </c>
      <c r="AK7" s="2" t="n">
        <v>99625721827.9041</v>
      </c>
      <c r="AL7" s="2" t="n">
        <v>40907315267.65</v>
      </c>
      <c r="AM7" s="2"/>
      <c r="AN7" s="2"/>
    </row>
    <row r="8">
      <c r="A8" t="str">
        <f>L8</f>
      </c>
      <c r="L8"/>
      <c r="M8" s="2" t="n">
        <v>138474103616.301</v>
      </c>
      <c r="N8" s="2" t="n">
        <v>139458568080.44</v>
      </c>
      <c r="O8" s="2" t="n">
        <v>146042896696.826</v>
      </c>
      <c r="P8" s="2" t="n">
        <v>166400020576.104</v>
      </c>
      <c r="Q8" s="2" t="n">
        <v>170208535472.235</v>
      </c>
      <c r="R8" s="2" t="n">
        <v>190610205663.644</v>
      </c>
      <c r="S8" s="2" t="n">
        <v>173702736266.629</v>
      </c>
      <c r="T8" s="2" t="n">
        <v>60903971940.117</v>
      </c>
      <c r="U8" s="2" t="n">
        <v>41378588042.1519</v>
      </c>
      <c r="V8" s="2" t="n">
        <v>34393403054.9144</v>
      </c>
      <c r="W8" s="2" t="n">
        <v>45576895729.3422</v>
      </c>
      <c r="X8" s="2" t="n">
        <v>18982374013.9037</v>
      </c>
      <c r="Y8" s="2" t="n">
        <v>11564944015.603</v>
      </c>
      <c r="Z8" s="2" t="n">
        <v>10348939649.3136</v>
      </c>
      <c r="AA8" s="2" t="n">
        <v>9567493863.5743</v>
      </c>
      <c r="AB8" s="2" t="n">
        <v>10925624060.5162</v>
      </c>
      <c r="AC8" s="2" t="n">
        <v>14124017358.0099</v>
      </c>
      <c r="AD8" s="2" t="n">
        <v>10830690576.3624</v>
      </c>
      <c r="AE8" s="2" t="n">
        <v>10827353969.7173</v>
      </c>
      <c r="AF8" s="2" t="n">
        <v>11013395797.6725</v>
      </c>
      <c r="AG8" s="2" t="n">
        <v>13948621206.2322</v>
      </c>
      <c r="AH8" s="2" t="n">
        <v>12615505929.7909</v>
      </c>
      <c r="AI8" s="2" t="n">
        <v>14230627815.8941</v>
      </c>
      <c r="AJ8" s="2" t="n">
        <v>14157146222.651</v>
      </c>
      <c r="AK8" s="2" t="n">
        <v>15458619851.49</v>
      </c>
      <c r="AL8" s="2" t="n">
        <v>6483538739.43</v>
      </c>
      <c r="AM8" s="2"/>
      <c r="AN8" s="2"/>
    </row>
    <row r="9">
      <c r="A9" t="str">
        <f>L9</f>
      </c>
      <c r="L9" t="s">
        <v>30</v>
      </c>
      <c r="M9" s="2" t="str">
        <f>Sum(M2:M8)</f>
      </c>
      <c r="N9" s="2" t="str">
        <f>Sum(N2:N8)</f>
      </c>
      <c r="O9" s="2" t="str">
        <f>Sum(O2:O8)</f>
      </c>
      <c r="P9" s="2" t="str">
        <f>Sum(P2:P8)</f>
      </c>
      <c r="Q9" s="2" t="str">
        <f>Sum(Q2:Q8)</f>
      </c>
      <c r="R9" s="2" t="str">
        <f>Sum(R2:R8)</f>
      </c>
      <c r="S9" s="2" t="str">
        <f>Sum(S2:S8)</f>
      </c>
      <c r="T9" s="2" t="str">
        <f>Sum(T2:T8)</f>
      </c>
      <c r="U9" s="2" t="str">
        <f>Sum(U2:U8)</f>
      </c>
      <c r="V9" s="2" t="str">
        <f>Sum(V2:V8)</f>
      </c>
      <c r="W9" s="2" t="str">
        <f>Sum(W2:W8)</f>
      </c>
      <c r="X9" s="2" t="str">
        <f>Sum(X2:X8)</f>
      </c>
      <c r="Y9" s="2" t="str">
        <f>Sum(Y2:Y8)</f>
      </c>
      <c r="Z9" s="2" t="str">
        <f>Sum(Z2:Z8)</f>
      </c>
      <c r="AA9" s="2" t="str">
        <f>Sum(AA2:AA8)</f>
      </c>
      <c r="AB9" s="2" t="str">
        <f>Sum(AB2:AB8)</f>
      </c>
      <c r="AC9" s="2" t="str">
        <f>Sum(AC2:AC8)</f>
      </c>
      <c r="AD9" s="2" t="str">
        <f>Sum(AD2:AD8)</f>
      </c>
      <c r="AE9" s="2" t="str">
        <f>Sum(AE2:AE8)</f>
      </c>
      <c r="AF9" s="2" t="str">
        <f>Sum(AF2:AF8)</f>
      </c>
      <c r="AG9" s="2" t="str">
        <f>Sum(AG2:AG8)</f>
      </c>
      <c r="AH9" s="2" t="str">
        <f>Sum(AH2:AH8)</f>
      </c>
      <c r="AI9" s="2" t="str">
        <f>Sum(AI2:AI8)</f>
      </c>
      <c r="AJ9" s="2" t="str">
        <f>Sum(AJ2:AJ8)</f>
      </c>
      <c r="AK9" s="2" t="str">
        <f>Sum(AK2:AK8)</f>
      </c>
      <c r="AL9" s="2" t="str">
        <f>Sum(AL2:AL8)</f>
      </c>
      <c r="AM9" s="2" t="str">
        <f>Sum(AM2:AM8)</f>
      </c>
      <c r="AN9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38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</row>
    <row r="2">
      <c r="A2" t="str">
        <f>L2</f>
      </c>
      <c r="L2" t="s">
        <v>39</v>
      </c>
      <c r="M2" s="3" t="n">
        <v>77209963239.5589</v>
      </c>
      <c r="N2" s="3" t="n">
        <v>81023725208.4089</v>
      </c>
      <c r="O2" s="3" t="n">
        <v>93701521775.6367</v>
      </c>
      <c r="P2" s="3" t="n">
        <v>113992773207.164</v>
      </c>
      <c r="Q2" s="3" t="n">
        <v>126533837213.505</v>
      </c>
      <c r="R2" s="3" t="n">
        <v>153785526372.63</v>
      </c>
      <c r="S2" s="3" t="n">
        <v>169433432952.21</v>
      </c>
      <c r="T2" s="3" t="n">
        <v>194940090836.611</v>
      </c>
      <c r="U2" s="3" t="n">
        <v>227458604205.259</v>
      </c>
      <c r="V2" s="3" t="n">
        <v>216734893026.638</v>
      </c>
      <c r="W2" s="3" t="n">
        <v>223429729645.196</v>
      </c>
      <c r="X2" s="3" t="n">
        <v>216436840941.742</v>
      </c>
      <c r="Y2" s="3" t="n">
        <v>212000234344.373</v>
      </c>
      <c r="Z2" s="3" t="n">
        <v>184390790220.369</v>
      </c>
      <c r="AA2" s="3" t="n">
        <v>165233837295.978</v>
      </c>
      <c r="AB2" s="3" t="n">
        <v>165710505206.702</v>
      </c>
      <c r="AC2" s="3" t="n">
        <v>186444096716.678</v>
      </c>
      <c r="AD2" s="3" t="n">
        <v>202554309259.94</v>
      </c>
      <c r="AE2" s="3" t="n">
        <v>221978341587.953</v>
      </c>
      <c r="AF2" s="3" t="n">
        <v>232862443370.864</v>
      </c>
      <c r="AG2" s="3" t="n">
        <v>275544755105.228</v>
      </c>
      <c r="AH2" s="3" t="n">
        <v>245171378402.656</v>
      </c>
      <c r="AI2" s="3" t="n">
        <v>259219800272.228</v>
      </c>
      <c r="AJ2" s="3" t="n">
        <v>282352899054.911</v>
      </c>
      <c r="AK2" s="3" t="n">
        <v>258968488655.745</v>
      </c>
      <c r="AL2" s="3" t="n">
        <v>119615403916.79</v>
      </c>
      <c r="AM2" s="3"/>
      <c r="AN2" s="3"/>
    </row>
    <row r="3">
      <c r="A3" t="str">
        <f>L3</f>
      </c>
      <c r="L3" t="s">
        <v>40</v>
      </c>
      <c r="M3" s="3" t="n">
        <v>37907998676.9199</v>
      </c>
      <c r="N3" s="3" t="n">
        <v>40015074784.8382</v>
      </c>
      <c r="O3" s="3" t="n">
        <v>45996165970.9185</v>
      </c>
      <c r="P3" s="3" t="n">
        <v>56866629764.9995</v>
      </c>
      <c r="Q3" s="3" t="n">
        <v>53014017227.6803</v>
      </c>
      <c r="R3" s="3" t="n">
        <v>58002563514.1113</v>
      </c>
      <c r="S3" s="3" t="n">
        <v>62516019209.3957</v>
      </c>
      <c r="T3" s="3" t="n">
        <v>66212906059.7004</v>
      </c>
      <c r="U3" s="3" t="n">
        <v>67780181248.6668</v>
      </c>
      <c r="V3" s="3" t="n">
        <v>74511868964.1402</v>
      </c>
      <c r="W3" s="3" t="n">
        <v>71911949967.9083</v>
      </c>
      <c r="X3" s="3" t="n">
        <v>68381095430.8067</v>
      </c>
      <c r="Y3" s="3" t="n">
        <v>63231719784.4355</v>
      </c>
      <c r="Z3" s="3" t="n">
        <v>56136644328.7951</v>
      </c>
      <c r="AA3" s="3" t="n">
        <v>54623686051.8655</v>
      </c>
      <c r="AB3" s="3" t="n">
        <v>52802051831.9288</v>
      </c>
      <c r="AC3" s="3" t="n">
        <v>57230702692.3154</v>
      </c>
      <c r="AD3" s="3" t="n">
        <v>55012244634.7711</v>
      </c>
      <c r="AE3" s="3" t="n">
        <v>56697645738.795</v>
      </c>
      <c r="AF3" s="3" t="n">
        <v>58913395511.8316</v>
      </c>
      <c r="AG3" s="3" t="n">
        <v>66465729448.7832</v>
      </c>
      <c r="AH3" s="3" t="n">
        <v>64811965641.8319</v>
      </c>
      <c r="AI3" s="3" t="n">
        <v>70872340864.282</v>
      </c>
      <c r="AJ3" s="3" t="n">
        <v>85368116263.3445</v>
      </c>
      <c r="AK3" s="3" t="n">
        <v>84467347148.31</v>
      </c>
      <c r="AL3" s="3" t="n">
        <v>33751376876.37</v>
      </c>
      <c r="AM3" s="3"/>
      <c r="AN3" s="3"/>
    </row>
    <row r="4">
      <c r="A4" t="str">
        <f>L4</f>
      </c>
      <c r="L4" t="s">
        <v>41</v>
      </c>
      <c r="M4" s="3" t="n">
        <v>90353035827.1973</v>
      </c>
      <c r="N4" s="3" t="n">
        <v>101675675801.441</v>
      </c>
      <c r="O4" s="3" t="n">
        <v>123816023448.696</v>
      </c>
      <c r="P4" s="3" t="n">
        <v>148000886190.949</v>
      </c>
      <c r="Q4" s="3" t="n">
        <v>159480292264.366</v>
      </c>
      <c r="R4" s="3" t="n">
        <v>179196752211.647</v>
      </c>
      <c r="S4" s="3" t="n">
        <v>198674485375.33</v>
      </c>
      <c r="T4" s="3" t="n">
        <v>208367533841.747</v>
      </c>
      <c r="U4" s="3" t="n">
        <v>232877942952.899</v>
      </c>
      <c r="V4" s="3" t="n">
        <v>263864886543.128</v>
      </c>
      <c r="W4" s="3" t="n">
        <v>266086488879.046</v>
      </c>
      <c r="X4" s="3" t="n">
        <v>255461137161.032</v>
      </c>
      <c r="Y4" s="3" t="n">
        <v>245974425443.479</v>
      </c>
      <c r="Z4" s="3" t="n">
        <v>223482192647.734</v>
      </c>
      <c r="AA4" s="3" t="n">
        <v>226641990614.828</v>
      </c>
      <c r="AB4" s="3" t="n">
        <v>221726694679.714</v>
      </c>
      <c r="AC4" s="3" t="n">
        <v>232140317217.41</v>
      </c>
      <c r="AD4" s="3" t="n">
        <v>253544561161.251</v>
      </c>
      <c r="AE4" s="3" t="n">
        <v>277674435721.708</v>
      </c>
      <c r="AF4" s="3" t="n">
        <v>298278848557.276</v>
      </c>
      <c r="AG4" s="3" t="n">
        <v>329752384888.643</v>
      </c>
      <c r="AH4" s="3" t="n">
        <v>335809813571.445</v>
      </c>
      <c r="AI4" s="3" t="n">
        <v>364665521250.831</v>
      </c>
      <c r="AJ4" s="3" t="n">
        <v>393361021997.104</v>
      </c>
      <c r="AK4" s="3" t="n">
        <v>412413437419.756</v>
      </c>
      <c r="AL4" s="3" t="n">
        <v>161636851971.98</v>
      </c>
      <c r="AM4" s="3"/>
      <c r="AN4" s="3"/>
    </row>
    <row r="5">
      <c r="A5" t="str">
        <f>L5</f>
      </c>
      <c r="L5" t="s">
        <v>42</v>
      </c>
      <c r="M5" s="3" t="n">
        <v>151013212.4752</v>
      </c>
      <c r="N5" s="3" t="n">
        <v>407639176.776</v>
      </c>
      <c r="O5" s="3" t="n">
        <v>665830371.6575</v>
      </c>
      <c r="P5" s="3" t="n">
        <v>674344393.1326</v>
      </c>
      <c r="Q5" s="3" t="n">
        <v>346216180.0659</v>
      </c>
      <c r="R5" s="3" t="n">
        <v>436880076.3231</v>
      </c>
      <c r="S5" s="3" t="n">
        <v>526756190.8234</v>
      </c>
      <c r="T5" s="3" t="n">
        <v>311919649.0391</v>
      </c>
      <c r="U5" s="3" t="n">
        <v>208084011.4077</v>
      </c>
      <c r="V5" s="3" t="n">
        <v>107979879.8621</v>
      </c>
      <c r="W5" s="3" t="n">
        <v>33511986.7222</v>
      </c>
      <c r="X5" s="3" t="n">
        <v>2385164.9461</v>
      </c>
      <c r="Y5" s="3" t="n">
        <v>-3571592.0831</v>
      </c>
      <c r="Z5" s="3" t="n">
        <v>-7339629.7706</v>
      </c>
      <c r="AA5" s="3" t="n">
        <v>-176374.15</v>
      </c>
      <c r="AB5" s="3" t="n">
        <v>-771054.7156</v>
      </c>
      <c r="AC5" s="3" t="n">
        <v>4772115.7133</v>
      </c>
      <c r="AD5" s="3" t="n">
        <v>232336.3083</v>
      </c>
      <c r="AE5" s="3" t="n">
        <v>-244515.52</v>
      </c>
      <c r="AF5" s="3" t="n">
        <v>37111.09</v>
      </c>
      <c r="AG5" s="3" t="n">
        <v>13033.91</v>
      </c>
      <c r="AH5" s="3" t="n">
        <v>316167.55</v>
      </c>
      <c r="AI5" s="3" t="n">
        <v>-42739.27</v>
      </c>
      <c r="AJ5" s="3" t="n">
        <v>-6056.62</v>
      </c>
      <c r="AK5" s="3" t="n">
        <v>3701849.77</v>
      </c>
      <c r="AL5" s="3" t="n">
        <v>5781734.08</v>
      </c>
      <c r="AM5" s="3"/>
      <c r="AN5" s="3"/>
    </row>
    <row r="6">
      <c r="A6" t="str">
        <f>L6</f>
      </c>
      <c r="L6" t="s">
        <v>30</v>
      </c>
      <c r="M6" s="3" t="str">
        <f>Sum(M2:M5)</f>
      </c>
      <c r="N6" s="3" t="str">
        <f>Sum(N2:N5)</f>
      </c>
      <c r="O6" s="3" t="str">
        <f>Sum(O2:O5)</f>
      </c>
      <c r="P6" s="3" t="str">
        <f>Sum(P2:P5)</f>
      </c>
      <c r="Q6" s="3" t="str">
        <f>Sum(Q2:Q5)</f>
      </c>
      <c r="R6" s="3" t="str">
        <f>Sum(R2:R5)</f>
      </c>
      <c r="S6" s="3" t="str">
        <f>Sum(S2:S5)</f>
      </c>
      <c r="T6" s="3" t="str">
        <f>Sum(T2:T5)</f>
      </c>
      <c r="U6" s="3" t="str">
        <f>Sum(U2:U5)</f>
      </c>
      <c r="V6" s="3" t="str">
        <f>Sum(V2:V5)</f>
      </c>
      <c r="W6" s="3" t="str">
        <f>Sum(W2:W5)</f>
      </c>
      <c r="X6" s="3" t="str">
        <f>Sum(X2:X5)</f>
      </c>
      <c r="Y6" s="3" t="str">
        <f>Sum(Y2:Y5)</f>
      </c>
      <c r="Z6" s="3" t="str">
        <f>Sum(Z2:Z5)</f>
      </c>
      <c r="AA6" s="3" t="str">
        <f>Sum(AA2:AA5)</f>
      </c>
      <c r="AB6" s="3" t="str">
        <f>Sum(AB2:AB5)</f>
      </c>
      <c r="AC6" s="3" t="str">
        <f>Sum(AC2:AC5)</f>
      </c>
      <c r="AD6" s="3" t="str">
        <f>Sum(AD2:AD5)</f>
      </c>
      <c r="AE6" s="3" t="str">
        <f>Sum(AE2:AE5)</f>
      </c>
      <c r="AF6" s="3" t="str">
        <f>Sum(AF2:AF5)</f>
      </c>
      <c r="AG6" s="3" t="str">
        <f>Sum(AG2:AG5)</f>
      </c>
      <c r="AH6" s="3" t="str">
        <f>Sum(AH2:AH5)</f>
      </c>
      <c r="AI6" s="3" t="str">
        <f>Sum(AI2:AI5)</f>
      </c>
      <c r="AJ6" s="3" t="str">
        <f>Sum(AJ2:AJ5)</f>
      </c>
      <c r="AK6" s="3" t="str">
        <f>Sum(AK2:AK5)</f>
      </c>
      <c r="AL6" s="3" t="str">
        <f>Sum(AL2:AL5)</f>
      </c>
      <c r="AM6" s="3" t="str">
        <f>Sum(AM2:AM5)</f>
      </c>
      <c r="AN6" s="3"/>
    </row>
    <row r="9">
      <c r="A9" t="str">
        <f>L9</f>
      </c>
      <c r="B9" t="str">
        <f>AG9</f>
      </c>
      <c r="C9" t="str">
        <f>AJ9</f>
      </c>
      <c r="D9" t="str">
        <f>AK9</f>
      </c>
      <c r="E9" t="str">
        <f>AL9</f>
      </c>
      <c r="F9" t="str">
        <f>AJ9&amp;"-"&amp;AK9</f>
      </c>
      <c r="G9" t="str">
        <f>AG9&amp;"-"&amp;AK9</f>
      </c>
      <c r="H9" t="str">
        <f>AL9&amp;"/"&amp;AK9</f>
      </c>
      <c r="I9" t="str">
        <f>"Share "&amp;AK9</f>
      </c>
      <c r="J9" t="str">
        <f>"Share "&amp;AL9</f>
      </c>
      <c r="L9" t="s">
        <v>38</v>
      </c>
      <c r="M9" t="s">
        <v>1</v>
      </c>
      <c r="N9" t="s">
        <v>2</v>
      </c>
      <c r="O9" t="s">
        <v>3</v>
      </c>
      <c r="P9" t="s">
        <v>4</v>
      </c>
      <c r="Q9" t="s">
        <v>5</v>
      </c>
      <c r="R9" t="s">
        <v>6</v>
      </c>
      <c r="S9" t="s">
        <v>7</v>
      </c>
      <c r="T9" t="s">
        <v>8</v>
      </c>
      <c r="U9" t="s">
        <v>9</v>
      </c>
      <c r="V9" t="s">
        <v>10</v>
      </c>
      <c r="W9" t="s">
        <v>11</v>
      </c>
      <c r="X9" t="s">
        <v>12</v>
      </c>
      <c r="Y9" t="s">
        <v>13</v>
      </c>
      <c r="Z9" t="s">
        <v>14</v>
      </c>
      <c r="AA9" t="s">
        <v>15</v>
      </c>
      <c r="AB9" t="s">
        <v>16</v>
      </c>
      <c r="AC9" t="s">
        <v>17</v>
      </c>
      <c r="AD9" t="s">
        <v>18</v>
      </c>
      <c r="AE9" t="s">
        <v>19</v>
      </c>
      <c r="AF9" t="s">
        <v>20</v>
      </c>
      <c r="AG9" t="s">
        <v>21</v>
      </c>
      <c r="AH9" t="s">
        <v>22</v>
      </c>
      <c r="AI9" t="s">
        <v>23</v>
      </c>
      <c r="AJ9" t="s">
        <v>24</v>
      </c>
      <c r="AK9" t="s">
        <v>25</v>
      </c>
      <c r="AL9" t="s">
        <v>26</v>
      </c>
    </row>
    <row r="10">
      <c r="A10" t="str">
        <f>L10</f>
      </c>
      <c r="B10" s="3" t="str">
        <f>AG10</f>
      </c>
      <c r="C10" s="3" t="str">
        <f>AJ10</f>
      </c>
      <c r="D10" s="3" t="str">
        <f>AK10</f>
      </c>
      <c r="E10" s="3" t="str">
        <f>AL10</f>
      </c>
      <c r="F10" s="4" t="str">
        <f>AK10/AJ10-1</f>
      </c>
      <c r="G10" s="4" t="str">
        <f>AK10/AG10-1</f>
      </c>
      <c r="H10" s="4" t="str">
        <f>AL10/AK10</f>
      </c>
      <c r="I10" s="4" t="str">
        <f>AK10/Sum(AK$9:AK$13)</f>
      </c>
      <c r="J10" s="4" t="str">
        <f>AL10/Sum(AL9:AL$13)</f>
      </c>
      <c r="L10" t="s">
        <v>39</v>
      </c>
      <c r="M10" s="3" t="n">
        <v>129803335747.524</v>
      </c>
      <c r="N10" s="3" t="n">
        <v>132991342350.475</v>
      </c>
      <c r="O10" s="3" t="n">
        <v>151418384520.96</v>
      </c>
      <c r="P10" s="3" t="n">
        <v>180739028660.937</v>
      </c>
      <c r="Q10" s="3" t="n">
        <v>195841074037.306</v>
      </c>
      <c r="R10" s="3" t="n">
        <v>230990515743.227</v>
      </c>
      <c r="S10" s="3" t="n">
        <v>246487178550.761</v>
      </c>
      <c r="T10" s="3" t="n">
        <v>275995556647.2</v>
      </c>
      <c r="U10" s="3" t="n">
        <v>315485419885.222</v>
      </c>
      <c r="V10" s="3" t="n">
        <v>297568646683.17</v>
      </c>
      <c r="W10" s="3" t="n">
        <v>304126528632.833</v>
      </c>
      <c r="X10" s="3" t="n">
        <v>288811162993.72</v>
      </c>
      <c r="Y10" s="3" t="n">
        <v>277849136958.707</v>
      </c>
      <c r="Z10" s="3" t="n">
        <v>237357205045.903</v>
      </c>
      <c r="AA10" s="3" t="n">
        <v>208886645806.82</v>
      </c>
      <c r="AB10" s="3" t="n">
        <v>207341957464.598</v>
      </c>
      <c r="AC10" s="3" t="n">
        <v>231434115272.921</v>
      </c>
      <c r="AD10" s="3" t="n">
        <v>247258045361.107</v>
      </c>
      <c r="AE10" s="3" t="n">
        <v>265084094584.184</v>
      </c>
      <c r="AF10" s="3" t="n">
        <v>273033507578.181</v>
      </c>
      <c r="AG10" s="3" t="n">
        <v>318912944445.884</v>
      </c>
      <c r="AH10" s="3" t="n">
        <v>274317783332.432</v>
      </c>
      <c r="AI10" s="3" t="n">
        <v>271078223418.326</v>
      </c>
      <c r="AJ10" s="3" t="n">
        <v>282352899054.911</v>
      </c>
      <c r="AK10" s="3" t="n">
        <v>252232373905.026</v>
      </c>
      <c r="AL10" s="3" t="n">
        <v>114002594914.643</v>
      </c>
      <c r="AM10" s="3"/>
      <c r="AN10" s="3"/>
    </row>
    <row r="11">
      <c r="A11" t="str">
        <f>L11</f>
      </c>
      <c r="B11" s="3" t="str">
        <f>AG11</f>
      </c>
      <c r="C11" s="3" t="str">
        <f>AJ11</f>
      </c>
      <c r="D11" s="3" t="str">
        <f>AK11</f>
      </c>
      <c r="E11" s="3" t="str">
        <f>AL11</f>
      </c>
      <c r="F11" s="4" t="str">
        <f>AK11/AJ11-1</f>
      </c>
      <c r="G11" s="4" t="str">
        <f>AK11/AG11-1</f>
      </c>
      <c r="H11" s="4" t="str">
        <f>AL11/AK11</f>
      </c>
      <c r="I11" s="4" t="str">
        <f>AK11/Sum(AK$9:AK$13)</f>
      </c>
      <c r="J11" s="4" t="str">
        <f>AL11/Sum(AL9:AL$13)</f>
      </c>
      <c r="L11" t="s">
        <v>40</v>
      </c>
      <c r="M11" s="3" t="n">
        <v>63729918695.9833</v>
      </c>
      <c r="N11" s="3" t="n">
        <v>65680249781.1837</v>
      </c>
      <c r="O11" s="3" t="n">
        <v>74328196741.0408</v>
      </c>
      <c r="P11" s="3" t="n">
        <v>90163780893.9735</v>
      </c>
      <c r="Q11" s="3" t="n">
        <v>82051744430.8806</v>
      </c>
      <c r="R11" s="3" t="n">
        <v>87121606152.2573</v>
      </c>
      <c r="S11" s="3" t="n">
        <v>90946614966.4537</v>
      </c>
      <c r="T11" s="3" t="n">
        <v>93744020466.7421</v>
      </c>
      <c r="U11" s="3" t="n">
        <v>94011211472.2881</v>
      </c>
      <c r="V11" s="3" t="n">
        <v>102301921485.101</v>
      </c>
      <c r="W11" s="3" t="n">
        <v>97884608935.8285</v>
      </c>
      <c r="X11" s="3" t="n">
        <v>91247052083.2988</v>
      </c>
      <c r="Y11" s="3" t="n">
        <v>82871978065.7477</v>
      </c>
      <c r="Z11" s="3" t="n">
        <v>72261944225.1667</v>
      </c>
      <c r="AA11" s="3" t="n">
        <v>69054612225.3415</v>
      </c>
      <c r="AB11" s="3" t="n">
        <v>66067511962.0389</v>
      </c>
      <c r="AC11" s="3" t="n">
        <v>71040796020.3266</v>
      </c>
      <c r="AD11" s="3" t="n">
        <v>67153447038.5653</v>
      </c>
      <c r="AE11" s="3" t="n">
        <v>67707705077.0207</v>
      </c>
      <c r="AF11" s="3" t="n">
        <v>69076536289.3581</v>
      </c>
      <c r="AG11" s="3" t="n">
        <v>76926818930.5948</v>
      </c>
      <c r="AH11" s="3" t="n">
        <v>72516926176.7811</v>
      </c>
      <c r="AI11" s="3" t="n">
        <v>74114509118.561</v>
      </c>
      <c r="AJ11" s="3" t="n">
        <v>85368116263.3445</v>
      </c>
      <c r="AK11" s="3" t="n">
        <v>82270239129.3641</v>
      </c>
      <c r="AL11" s="3" t="n">
        <v>32167634099.4086</v>
      </c>
      <c r="AM11" s="3"/>
      <c r="AN11" s="3"/>
    </row>
    <row r="12">
      <c r="A12" t="str">
        <f>L12</f>
      </c>
      <c r="B12" s="3" t="str">
        <f>AG12</f>
      </c>
      <c r="C12" s="3" t="str">
        <f>AJ12</f>
      </c>
      <c r="D12" s="3" t="str">
        <f>AK12</f>
      </c>
      <c r="E12" s="3" t="str">
        <f>AL12</f>
      </c>
      <c r="F12" s="4" t="str">
        <f>AK12/AJ12-1</f>
      </c>
      <c r="G12" s="4" t="str">
        <f>AK12/AG12-1</f>
      </c>
      <c r="H12" s="4" t="str">
        <f>AL12/AK12</f>
      </c>
      <c r="I12" s="4" t="str">
        <f>AK12/Sum(AK$9:AK$13)</f>
      </c>
      <c r="J12" s="4" t="str">
        <f>AL12/Sum(AL9:AL$13)</f>
      </c>
      <c r="L12" t="s">
        <v>41</v>
      </c>
      <c r="M12" s="3" t="n">
        <v>151899119662.796</v>
      </c>
      <c r="N12" s="3" t="n">
        <v>166889199113.52</v>
      </c>
      <c r="O12" s="3" t="n">
        <v>200082366786.977</v>
      </c>
      <c r="P12" s="3" t="n">
        <v>234659932016.015</v>
      </c>
      <c r="Q12" s="3" t="n">
        <v>246833514359.773</v>
      </c>
      <c r="R12" s="3" t="n">
        <v>269158946158.449</v>
      </c>
      <c r="S12" s="3" t="n">
        <v>289026271243.657</v>
      </c>
      <c r="T12" s="3" t="n">
        <v>295006087475.655</v>
      </c>
      <c r="U12" s="3" t="n">
        <v>323002050730.088</v>
      </c>
      <c r="V12" s="3" t="n">
        <v>362276309547.426</v>
      </c>
      <c r="W12" s="3" t="n">
        <v>362189760097.681</v>
      </c>
      <c r="X12" s="3" t="n">
        <v>340884794853.548</v>
      </c>
      <c r="Y12" s="3" t="n">
        <v>322375973001.837</v>
      </c>
      <c r="Z12" s="3" t="n">
        <v>287677646811.974</v>
      </c>
      <c r="AA12" s="3" t="n">
        <v>286518100609.798</v>
      </c>
      <c r="AB12" s="3" t="n">
        <v>277431094906.758</v>
      </c>
      <c r="AC12" s="3" t="n">
        <v>288157093093.849</v>
      </c>
      <c r="AD12" s="3" t="n">
        <v>309501845868.994</v>
      </c>
      <c r="AE12" s="3" t="n">
        <v>331595757747.827</v>
      </c>
      <c r="AF12" s="3" t="n">
        <v>349734886738.564</v>
      </c>
      <c r="AG12" s="3" t="n">
        <v>381652352492.535</v>
      </c>
      <c r="AH12" s="3" t="n">
        <v>375731475184.291</v>
      </c>
      <c r="AI12" s="3" t="n">
        <v>381347727059.351</v>
      </c>
      <c r="AJ12" s="3" t="n">
        <v>393361021997.104</v>
      </c>
      <c r="AK12" s="3" t="n">
        <v>401686015509.784</v>
      </c>
      <c r="AL12" s="3" t="n">
        <v>154052237046.814</v>
      </c>
      <c r="AM12" s="3"/>
      <c r="AN12" s="3"/>
    </row>
    <row r="13">
      <c r="A13" t="str">
        <f>L13</f>
      </c>
      <c r="B13" s="3" t="str">
        <f>AG13</f>
      </c>
      <c r="C13" s="3" t="str">
        <f>AJ13</f>
      </c>
      <c r="D13" s="3" t="str">
        <f>AK13</f>
      </c>
      <c r="E13" s="3" t="str">
        <f>AL13</f>
      </c>
      <c r="F13" s="4" t="str">
        <f>AK13/AJ13-1</f>
      </c>
      <c r="G13" s="4" t="str">
        <f>AK13/AG13-1</f>
      </c>
      <c r="H13" s="4" t="str">
        <f>AL13/AK13</f>
      </c>
      <c r="I13" s="4" t="str">
        <f>AK13/Sum(AK$9:AK$13)</f>
      </c>
      <c r="J13" s="4" t="str">
        <f>AL13/Sum(AL9:AL$13)</f>
      </c>
      <c r="L13" t="s">
        <v>42</v>
      </c>
      <c r="M13" s="3" t="n">
        <v>253879394.559632</v>
      </c>
      <c r="N13" s="3" t="n">
        <v>669093912.611865</v>
      </c>
      <c r="O13" s="3" t="n">
        <v>1075958611.24619</v>
      </c>
      <c r="P13" s="3" t="n">
        <v>1069193661.74413</v>
      </c>
      <c r="Q13" s="3" t="n">
        <v>535851516.450831</v>
      </c>
      <c r="R13" s="3" t="n">
        <v>656207099.121219</v>
      </c>
      <c r="S13" s="3" t="n">
        <v>766310668.431229</v>
      </c>
      <c r="T13" s="3" t="n">
        <v>441614840.725097</v>
      </c>
      <c r="U13" s="3" t="n">
        <v>288612831.067578</v>
      </c>
      <c r="V13" s="3" t="n">
        <v>148252209.281443</v>
      </c>
      <c r="W13" s="3" t="n">
        <v>45615613.4888444</v>
      </c>
      <c r="X13" s="3" t="n">
        <v>3182740.32746769</v>
      </c>
      <c r="Y13" s="3" t="n">
        <v>-4680956.04199141</v>
      </c>
      <c r="Z13" s="3" t="n">
        <v>-9447944.8042892</v>
      </c>
      <c r="AA13" s="3" t="n">
        <v>-222970.096219061</v>
      </c>
      <c r="AB13" s="3" t="n">
        <v>-964766.801268236</v>
      </c>
      <c r="AC13" s="3" t="n">
        <v>5923654.31535164</v>
      </c>
      <c r="AD13" s="3" t="n">
        <v>283612.931596292</v>
      </c>
      <c r="AE13" s="3" t="n">
        <v>-291997.745218305</v>
      </c>
      <c r="AF13" s="3" t="n">
        <v>43513.1184147722</v>
      </c>
      <c r="AG13" s="3" t="n">
        <v>15085.3265711962</v>
      </c>
      <c r="AH13" s="3" t="n">
        <v>353754.104752002</v>
      </c>
      <c r="AI13" s="3" t="n">
        <v>-44694.4460632602</v>
      </c>
      <c r="AJ13" s="3" t="n">
        <v>-6056.62</v>
      </c>
      <c r="AK13" s="3" t="n">
        <v>3605559.73498423</v>
      </c>
      <c r="AL13" s="3" t="n">
        <v>5510433.16030559</v>
      </c>
      <c r="AM13" s="3"/>
      <c r="AN13" s="3"/>
    </row>
    <row r="14">
      <c r="A14" t="str">
        <f>L14</f>
      </c>
      <c r="B14" s="3" t="str">
        <f>AG14</f>
      </c>
      <c r="C14" s="3" t="str">
        <f>AJ14</f>
      </c>
      <c r="D14" s="3" t="str">
        <f>AK14</f>
      </c>
      <c r="E14" s="3" t="str">
        <f>AL14</f>
      </c>
      <c r="F14" s="4" t="str">
        <f>AK14/AJ14-1</f>
      </c>
      <c r="G14" s="4" t="str">
        <f>AK14/AG14-1</f>
      </c>
      <c r="H14" s="4" t="str">
        <f>AL14/AK14</f>
      </c>
      <c r="I14" s="4" t="str">
        <f>Sum(I$9:I$13)</f>
      </c>
      <c r="J14" s="4" t="str">
        <f>Sum(J$9:J$13)</f>
      </c>
      <c r="L14" t="s">
        <v>30</v>
      </c>
      <c r="M14" s="3" t="str">
        <f>Sum(M10:M13)</f>
      </c>
      <c r="N14" s="3" t="str">
        <f>Sum(N10:N13)</f>
      </c>
      <c r="O14" s="3" t="str">
        <f>Sum(O10:O13)</f>
      </c>
      <c r="P14" s="3" t="str">
        <f>Sum(P10:P13)</f>
      </c>
      <c r="Q14" s="3" t="str">
        <f>Sum(Q10:Q13)</f>
      </c>
      <c r="R14" s="3" t="str">
        <f>Sum(R10:R13)</f>
      </c>
      <c r="S14" s="3" t="str">
        <f>Sum(S10:S13)</f>
      </c>
      <c r="T14" s="3" t="str">
        <f>Sum(T10:T13)</f>
      </c>
      <c r="U14" s="3" t="str">
        <f>Sum(U10:U13)</f>
      </c>
      <c r="V14" s="3" t="str">
        <f>Sum(V10:V13)</f>
      </c>
      <c r="W14" s="3" t="str">
        <f>Sum(W10:W13)</f>
      </c>
      <c r="X14" s="3" t="str">
        <f>Sum(X10:X13)</f>
      </c>
      <c r="Y14" s="3" t="str">
        <f>Sum(Y10:Y13)</f>
      </c>
      <c r="Z14" s="3" t="str">
        <f>Sum(Z10:Z13)</f>
      </c>
      <c r="AA14" s="3" t="str">
        <f>Sum(AA10:AA13)</f>
      </c>
      <c r="AB14" s="3" t="str">
        <f>Sum(AB10:AB13)</f>
      </c>
      <c r="AC14" s="3" t="str">
        <f>Sum(AC10:AC13)</f>
      </c>
      <c r="AD14" s="3" t="str">
        <f>Sum(AD10:AD13)</f>
      </c>
      <c r="AE14" s="3" t="str">
        <f>Sum(AE10:AE13)</f>
      </c>
      <c r="AF14" s="3" t="str">
        <f>Sum(AF10:AF13)</f>
      </c>
      <c r="AG14" s="3" t="str">
        <f>Sum(AG10:AG13)</f>
      </c>
      <c r="AH14" s="3" t="str">
        <f>Sum(AH10:AH13)</f>
      </c>
      <c r="AI14" s="3" t="str">
        <f>Sum(AI10:AI13)</f>
      </c>
      <c r="AJ14" s="3" t="str">
        <f>Sum(AJ10:AJ13)</f>
      </c>
      <c r="AK14" s="3" t="str">
        <f>Sum(AK10:AK13)</f>
      </c>
      <c r="AL14" s="3" t="str">
        <f>Sum(AL10:AL13)</f>
      </c>
      <c r="AM14" s="3" t="str">
        <f>Sum(AM10:AM13)</f>
      </c>
      <c r="AN1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43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</row>
    <row r="2">
      <c r="A2" t="str">
        <f>L2</f>
      </c>
      <c r="L2" t="n">
        <v>1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 t="n">
        <v>135865546260.229</v>
      </c>
      <c r="AJ2" s="5" t="n">
        <v>140625216419.214</v>
      </c>
      <c r="AK2" s="5" t="n">
        <v>147600460855.997</v>
      </c>
      <c r="AL2" s="5" t="n">
        <v>158103213649.15</v>
      </c>
      <c r="AM2" s="5"/>
      <c r="AN2" s="5"/>
    </row>
    <row r="3">
      <c r="A3" t="str">
        <f>L3</f>
      </c>
      <c r="L3" t="n">
        <v>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 t="n">
        <v>139044795722.896</v>
      </c>
      <c r="AJ3" s="5" t="n">
        <v>200849476380.303</v>
      </c>
      <c r="AK3" s="5" t="n">
        <v>139843803710.874</v>
      </c>
      <c r="AL3" s="5" t="n">
        <v>156906200850.07</v>
      </c>
      <c r="AM3" s="5"/>
      <c r="AN3" s="5"/>
    </row>
    <row r="4">
      <c r="A4" t="str">
        <f>L4</f>
      </c>
      <c r="L4" t="n">
        <v>3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 t="n">
        <v>180076564539.546</v>
      </c>
      <c r="AJ4" s="5" t="n">
        <v>171978897680.483</v>
      </c>
      <c r="AK4" s="5" t="n">
        <v>200511714804.19</v>
      </c>
      <c r="AL4" s="5"/>
      <c r="AM4" s="5"/>
      <c r="AN4" s="5"/>
    </row>
    <row r="5">
      <c r="A5" t="str">
        <f>L5</f>
      </c>
      <c r="L5" t="n">
        <v>4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 t="n">
        <v>239770713125.399</v>
      </c>
      <c r="AJ5" s="5" t="n">
        <v>247628440778.74</v>
      </c>
      <c r="AK5" s="5" t="n">
        <v>267896995702.52</v>
      </c>
      <c r="AL5" s="5"/>
      <c r="AM5" s="5"/>
      <c r="AN5" s="5"/>
    </row>
    <row r="6">
      <c r="A6" t="str">
        <f>L6</f>
      </c>
      <c r="L6"/>
      <c r="M6" s="5" t="n">
        <v>205622010956.151</v>
      </c>
      <c r="N6" s="5" t="n">
        <v>223122114971.464</v>
      </c>
      <c r="O6" s="5" t="n">
        <v>264179541566.909</v>
      </c>
      <c r="P6" s="5" t="n">
        <v>319534633556.245</v>
      </c>
      <c r="Q6" s="5" t="n">
        <v>339374362885.617</v>
      </c>
      <c r="R6" s="5" t="n">
        <v>391421722174.711</v>
      </c>
      <c r="S6" s="5" t="n">
        <v>431150693727.76</v>
      </c>
      <c r="T6" s="5" t="n">
        <v>469832450387.097</v>
      </c>
      <c r="U6" s="5" t="n">
        <v>528324812418.232</v>
      </c>
      <c r="V6" s="5" t="n">
        <v>555219628413.768</v>
      </c>
      <c r="W6" s="5" t="n">
        <v>561461680478.873</v>
      </c>
      <c r="X6" s="5" t="n">
        <v>540281458698.527</v>
      </c>
      <c r="Y6" s="5" t="n">
        <v>521202807980.205</v>
      </c>
      <c r="Z6" s="5" t="n">
        <v>464002287567.128</v>
      </c>
      <c r="AA6" s="5" t="n">
        <v>446499337588.522</v>
      </c>
      <c r="AB6" s="5" t="n">
        <v>440238480663.629</v>
      </c>
      <c r="AC6" s="5" t="n">
        <v>475819888742.117</v>
      </c>
      <c r="AD6" s="5" t="n">
        <v>511111347392.27</v>
      </c>
      <c r="AE6" s="5" t="n">
        <v>556350178532.936</v>
      </c>
      <c r="AF6" s="5" t="n">
        <v>590054724551.062</v>
      </c>
      <c r="AG6" s="5" t="n">
        <v>671762882476.565</v>
      </c>
      <c r="AH6" s="5" t="n">
        <v>645793473783.483</v>
      </c>
      <c r="AI6" s="5"/>
      <c r="AJ6" s="5"/>
      <c r="AK6" s="5"/>
      <c r="AL6" s="5"/>
      <c r="AM6" s="5"/>
      <c r="AN6" s="5"/>
    </row>
    <row r="7">
      <c r="A7" t="str">
        <f>L7</f>
      </c>
      <c r="L7" t="s">
        <v>30</v>
      </c>
      <c r="M7" s="5" t="str">
        <f>Sum(M2:M6)</f>
      </c>
      <c r="N7" s="5" t="str">
        <f>Sum(N2:N6)</f>
      </c>
      <c r="O7" s="5" t="str">
        <f>Sum(O2:O6)</f>
      </c>
      <c r="P7" s="5" t="str">
        <f>Sum(P2:P6)</f>
      </c>
      <c r="Q7" s="5" t="str">
        <f>Sum(Q2:Q6)</f>
      </c>
      <c r="R7" s="5" t="str">
        <f>Sum(R2:R6)</f>
      </c>
      <c r="S7" s="5" t="str">
        <f>Sum(S2:S6)</f>
      </c>
      <c r="T7" s="5" t="str">
        <f>Sum(T2:T6)</f>
      </c>
      <c r="U7" s="5" t="str">
        <f>Sum(U2:U6)</f>
      </c>
      <c r="V7" s="5" t="str">
        <f>Sum(V2:V6)</f>
      </c>
      <c r="W7" s="5" t="str">
        <f>Sum(W2:W6)</f>
      </c>
      <c r="X7" s="5" t="str">
        <f>Sum(X2:X6)</f>
      </c>
      <c r="Y7" s="5" t="str">
        <f>Sum(Y2:Y6)</f>
      </c>
      <c r="Z7" s="5" t="str">
        <f>Sum(Z2:Z6)</f>
      </c>
      <c r="AA7" s="5" t="str">
        <f>Sum(AA2:AA6)</f>
      </c>
      <c r="AB7" s="5" t="str">
        <f>Sum(AB2:AB6)</f>
      </c>
      <c r="AC7" s="5" t="str">
        <f>Sum(AC2:AC6)</f>
      </c>
      <c r="AD7" s="5" t="str">
        <f>Sum(AD2:AD6)</f>
      </c>
      <c r="AE7" s="5" t="str">
        <f>Sum(AE2:AE6)</f>
      </c>
      <c r="AF7" s="5" t="str">
        <f>Sum(AF2:AF6)</f>
      </c>
      <c r="AG7" s="5" t="str">
        <f>Sum(AG2:AG6)</f>
      </c>
      <c r="AH7" s="5" t="str">
        <f>Sum(AH2:AH6)</f>
      </c>
      <c r="AI7" s="5" t="str">
        <f>Sum(AI2:AI6)</f>
      </c>
      <c r="AJ7" s="5" t="str">
        <f>Sum(AJ2:AJ6)</f>
      </c>
      <c r="AK7" s="5" t="str">
        <f>Sum(AK2:AK6)</f>
      </c>
      <c r="AL7" s="5" t="str">
        <f>Sum(AL2:AL6)</f>
      </c>
      <c r="AM7" s="5" t="str">
        <f>Sum(AM2:AM6)</f>
      </c>
      <c r="AN7" s="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44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</row>
    <row r="2">
      <c r="A2" t="str">
        <f>L2</f>
      </c>
      <c r="L2" t="s">
        <v>45</v>
      </c>
      <c r="M2" s="6" t="n">
        <v>16431728785.5439</v>
      </c>
      <c r="N2" s="6" t="n">
        <v>20327433071.868</v>
      </c>
      <c r="O2" s="6" t="n">
        <v>22299419087.1925</v>
      </c>
      <c r="P2" s="6" t="n">
        <v>30047499633.6923</v>
      </c>
      <c r="Q2" s="6" t="n">
        <v>36064262185.4265</v>
      </c>
      <c r="R2" s="6" t="n">
        <v>48095228294.4257</v>
      </c>
      <c r="S2" s="6" t="n">
        <v>54949159389.8795</v>
      </c>
      <c r="T2" s="6" t="n">
        <v>60090041313.6819</v>
      </c>
      <c r="U2" s="6" t="n">
        <v>67494420492.7756</v>
      </c>
      <c r="V2" s="6" t="n">
        <v>70311619938.4288</v>
      </c>
      <c r="W2" s="6" t="n">
        <v>67137585503.4054</v>
      </c>
      <c r="X2" s="6" t="n">
        <v>60588913053.2894</v>
      </c>
      <c r="Y2" s="6" t="n">
        <v>52533419878.4013</v>
      </c>
      <c r="Z2" s="6" t="n">
        <v>44650446663.7625</v>
      </c>
      <c r="AA2" s="6" t="n">
        <v>44152923508.0319</v>
      </c>
      <c r="AB2" s="6" t="n">
        <v>42167618086.0887</v>
      </c>
      <c r="AC2" s="6" t="n">
        <v>44375936218.5256</v>
      </c>
      <c r="AD2" s="6" t="n">
        <v>47811650494.6845</v>
      </c>
      <c r="AE2" s="6" t="n">
        <v>57099357096.1345</v>
      </c>
      <c r="AF2" s="6" t="n">
        <v>63795941136.9166</v>
      </c>
      <c r="AG2" s="6" t="n">
        <v>76605527828.1885</v>
      </c>
      <c r="AH2" s="6" t="n">
        <v>69897642281.0485</v>
      </c>
      <c r="AI2" s="6" t="n">
        <v>76208884843.0291</v>
      </c>
      <c r="AJ2" s="6" t="n">
        <v>80251219288.667</v>
      </c>
      <c r="AK2" s="6" t="n">
        <v>82018401351.6539</v>
      </c>
      <c r="AL2" s="6" t="n">
        <v>29624606979.03</v>
      </c>
      <c r="AM2" s="6"/>
      <c r="AN2" s="6"/>
    </row>
    <row r="3">
      <c r="A3" t="str">
        <f>L3</f>
      </c>
      <c r="L3" t="s">
        <v>46</v>
      </c>
      <c r="M3" s="6" t="n">
        <v>63672315816.1905</v>
      </c>
      <c r="N3" s="6" t="n">
        <v>59449297956.8139</v>
      </c>
      <c r="O3" s="6" t="n">
        <v>66820586639.8137</v>
      </c>
      <c r="P3" s="6" t="n">
        <v>74245564477.9185</v>
      </c>
      <c r="Q3" s="6" t="n">
        <v>64316517037.8983</v>
      </c>
      <c r="R3" s="6" t="n">
        <v>72042474997.1504</v>
      </c>
      <c r="S3" s="6" t="n">
        <v>75695700201.7231</v>
      </c>
      <c r="T3" s="6" t="n">
        <v>78083927579.1888</v>
      </c>
      <c r="U3" s="6" t="n">
        <v>79507962567.9358</v>
      </c>
      <c r="V3" s="6" t="n">
        <v>84712504960.0934</v>
      </c>
      <c r="W3" s="6" t="n">
        <v>80243189162.8102</v>
      </c>
      <c r="X3" s="6" t="n">
        <v>83142973654.693</v>
      </c>
      <c r="Y3" s="6" t="n">
        <v>77566871160.6306</v>
      </c>
      <c r="Z3" s="6" t="n">
        <v>73017266577.9527</v>
      </c>
      <c r="AA3" s="6" t="n">
        <v>72977534773.8584</v>
      </c>
      <c r="AB3" s="6" t="n">
        <v>67630006045.23</v>
      </c>
      <c r="AC3" s="6" t="n">
        <v>80125687866.9749</v>
      </c>
      <c r="AD3" s="6" t="n">
        <v>83766740025.2376</v>
      </c>
      <c r="AE3" s="6" t="n">
        <v>85959754461.1324</v>
      </c>
      <c r="AF3" s="6" t="n">
        <v>80865506872.3722</v>
      </c>
      <c r="AG3" s="6" t="n">
        <v>82822988659.4306</v>
      </c>
      <c r="AH3" s="6" t="n">
        <v>83091102755.1717</v>
      </c>
      <c r="AI3" s="6" t="n">
        <v>91353551661.9144</v>
      </c>
      <c r="AJ3" s="6" t="n">
        <v>103634220217.737</v>
      </c>
      <c r="AK3" s="6" t="n">
        <v>108695534176.821</v>
      </c>
      <c r="AL3" s="6" t="n">
        <v>44475295903.37</v>
      </c>
      <c r="AM3" s="6"/>
      <c r="AN3" s="6"/>
    </row>
    <row r="4">
      <c r="A4" t="str">
        <f>L4</f>
      </c>
      <c r="L4" t="s">
        <v>47</v>
      </c>
      <c r="M4" s="6" t="n">
        <v>51047231088.338</v>
      </c>
      <c r="N4" s="6" t="n">
        <v>60396851724.5699</v>
      </c>
      <c r="O4" s="6" t="n">
        <v>73666683854.2375</v>
      </c>
      <c r="P4" s="6" t="n">
        <v>90640854119.2208</v>
      </c>
      <c r="Q4" s="6" t="n">
        <v>106290708366.818</v>
      </c>
      <c r="R4" s="6" t="n">
        <v>118938244478.264</v>
      </c>
      <c r="S4" s="6" t="n">
        <v>129538539668.357</v>
      </c>
      <c r="T4" s="6" t="n">
        <v>148459987287.612</v>
      </c>
      <c r="U4" s="6" t="n">
        <v>177986442349.564</v>
      </c>
      <c r="V4" s="6" t="n">
        <v>201355227721.092</v>
      </c>
      <c r="W4" s="6" t="n">
        <v>224923977761.014</v>
      </c>
      <c r="X4" s="6" t="n">
        <v>201174806140.513</v>
      </c>
      <c r="Y4" s="6" t="n">
        <v>201711944287.896</v>
      </c>
      <c r="Z4" s="6" t="n">
        <v>180300660369.165</v>
      </c>
      <c r="AA4" s="6" t="n">
        <v>179646118054.959</v>
      </c>
      <c r="AB4" s="6" t="n">
        <v>175595552769.206</v>
      </c>
      <c r="AC4" s="6" t="n">
        <v>178267420615.215</v>
      </c>
      <c r="AD4" s="6" t="n">
        <v>190956371964.801</v>
      </c>
      <c r="AE4" s="6" t="n">
        <v>209992705280.127</v>
      </c>
      <c r="AF4" s="6" t="n">
        <v>231558812879.078</v>
      </c>
      <c r="AG4" s="6" t="n">
        <v>252010728216.602</v>
      </c>
      <c r="AH4" s="6" t="n">
        <v>256052616499.818</v>
      </c>
      <c r="AI4" s="6" t="n">
        <v>303947563998.42</v>
      </c>
      <c r="AJ4" s="6" t="n">
        <v>316171399964.237</v>
      </c>
      <c r="AK4" s="6" t="n">
        <v>322598320011.117</v>
      </c>
      <c r="AL4" s="6" t="n">
        <v>127823720617.57</v>
      </c>
      <c r="AM4" s="6"/>
      <c r="AN4" s="6"/>
    </row>
    <row r="5">
      <c r="A5" t="str">
        <f>L5</f>
      </c>
      <c r="L5" t="s">
        <v>48</v>
      </c>
      <c r="M5" s="6" t="n">
        <v>68907965675.9021</v>
      </c>
      <c r="N5" s="6" t="n">
        <v>76276592826.9451</v>
      </c>
      <c r="O5" s="6" t="n">
        <v>90327397230.7473</v>
      </c>
      <c r="P5" s="6" t="n">
        <v>111282645704.389</v>
      </c>
      <c r="Q5" s="6" t="n">
        <v>113058490408.69</v>
      </c>
      <c r="R5" s="6" t="n">
        <v>125715055680.478</v>
      </c>
      <c r="S5" s="6" t="n">
        <v>140255494756.001</v>
      </c>
      <c r="T5" s="6" t="n">
        <v>156060235102.208</v>
      </c>
      <c r="U5" s="6" t="n">
        <v>176392566364.464</v>
      </c>
      <c r="V5" s="6" t="n">
        <v>176555594683.719</v>
      </c>
      <c r="W5" s="6" t="n">
        <v>172612494739.139</v>
      </c>
      <c r="X5" s="6" t="n">
        <v>186693348337.885</v>
      </c>
      <c r="Y5" s="6" t="n">
        <v>182798014959.004</v>
      </c>
      <c r="Z5" s="6" t="n">
        <v>161210543840.796</v>
      </c>
      <c r="AA5" s="6" t="n">
        <v>145287949860.821</v>
      </c>
      <c r="AB5" s="6" t="n">
        <v>151172103934.274</v>
      </c>
      <c r="AC5" s="6" t="n">
        <v>169292186888.721</v>
      </c>
      <c r="AD5" s="6" t="n">
        <v>185312289024.521</v>
      </c>
      <c r="AE5" s="6" t="n">
        <v>198926302456.079</v>
      </c>
      <c r="AF5" s="6" t="n">
        <v>209910837050.838</v>
      </c>
      <c r="AG5" s="6" t="n">
        <v>256227901580.02</v>
      </c>
      <c r="AH5" s="6" t="n">
        <v>232936924714.284</v>
      </c>
      <c r="AI5" s="6" t="n">
        <v>219838666504.367</v>
      </c>
      <c r="AJ5" s="6" t="n">
        <v>257218154831.39</v>
      </c>
      <c r="AK5" s="6" t="n">
        <v>239117710564.48</v>
      </c>
      <c r="AL5" s="6" t="n">
        <v>111691853867.95</v>
      </c>
      <c r="AM5" s="6"/>
      <c r="AN5" s="6"/>
    </row>
    <row r="6">
      <c r="A6" t="str">
        <f>L6</f>
      </c>
      <c r="L6" t="s">
        <v>42</v>
      </c>
      <c r="M6" s="6" t="n">
        <v>5562769590.1768</v>
      </c>
      <c r="N6" s="6" t="n">
        <v>6671939391.2667</v>
      </c>
      <c r="O6" s="6" t="n">
        <v>11065454754.9176</v>
      </c>
      <c r="P6" s="6" t="n">
        <v>13318069621.0244</v>
      </c>
      <c r="Q6" s="6" t="n">
        <v>19644384886.7847</v>
      </c>
      <c r="R6" s="6" t="n">
        <v>26630718724.3925</v>
      </c>
      <c r="S6" s="6" t="n">
        <v>30711799711.7995</v>
      </c>
      <c r="T6" s="6" t="n">
        <v>27138259104.4067</v>
      </c>
      <c r="U6" s="6" t="n">
        <v>26943420643.4928</v>
      </c>
      <c r="V6" s="6" t="n">
        <v>22284681110.435</v>
      </c>
      <c r="W6" s="6" t="n">
        <v>16544433312.5044</v>
      </c>
      <c r="X6" s="6" t="n">
        <v>8681417512.1464</v>
      </c>
      <c r="Y6" s="6" t="n">
        <v>6592557694.2718</v>
      </c>
      <c r="Z6" s="6" t="n">
        <v>4823370115.4522</v>
      </c>
      <c r="AA6" s="6" t="n">
        <v>4434811390.8515</v>
      </c>
      <c r="AB6" s="6" t="n">
        <v>3673199828.8309</v>
      </c>
      <c r="AC6" s="6" t="n">
        <v>3758657152.6796</v>
      </c>
      <c r="AD6" s="6" t="n">
        <v>3264295883.0262</v>
      </c>
      <c r="AE6" s="6" t="n">
        <v>4372059239.4628</v>
      </c>
      <c r="AF6" s="6" t="n">
        <v>3923626611.8567</v>
      </c>
      <c r="AG6" s="6" t="n">
        <v>4095736192.3236</v>
      </c>
      <c r="AH6" s="6" t="n">
        <v>3815187533.1604</v>
      </c>
      <c r="AI6" s="6" t="n">
        <v>3408952640.3398</v>
      </c>
      <c r="AJ6" s="6" t="n">
        <v>3807036956.7082</v>
      </c>
      <c r="AK6" s="6" t="n">
        <v>3423008969.5091</v>
      </c>
      <c r="AL6" s="6" t="n">
        <v>1393937131.3</v>
      </c>
      <c r="AM6" s="6"/>
      <c r="AN6" s="6"/>
    </row>
    <row r="7">
      <c r="A7" t="str">
        <f>L7</f>
      </c>
      <c r="L7" t="s">
        <v>30</v>
      </c>
      <c r="M7" s="6" t="str">
        <f>Sum(M2:M6)</f>
      </c>
      <c r="N7" s="6" t="str">
        <f>Sum(N2:N6)</f>
      </c>
      <c r="O7" s="6" t="str">
        <f>Sum(O2:O6)</f>
      </c>
      <c r="P7" s="6" t="str">
        <f>Sum(P2:P6)</f>
      </c>
      <c r="Q7" s="6" t="str">
        <f>Sum(Q2:Q6)</f>
      </c>
      <c r="R7" s="6" t="str">
        <f>Sum(R2:R6)</f>
      </c>
      <c r="S7" s="6" t="str">
        <f>Sum(S2:S6)</f>
      </c>
      <c r="T7" s="6" t="str">
        <f>Sum(T2:T6)</f>
      </c>
      <c r="U7" s="6" t="str">
        <f>Sum(U2:U6)</f>
      </c>
      <c r="V7" s="6" t="str">
        <f>Sum(V2:V6)</f>
      </c>
      <c r="W7" s="6" t="str">
        <f>Sum(W2:W6)</f>
      </c>
      <c r="X7" s="6" t="str">
        <f>Sum(X2:X6)</f>
      </c>
      <c r="Y7" s="6" t="str">
        <f>Sum(Y2:Y6)</f>
      </c>
      <c r="Z7" s="6" t="str">
        <f>Sum(Z2:Z6)</f>
      </c>
      <c r="AA7" s="6" t="str">
        <f>Sum(AA2:AA6)</f>
      </c>
      <c r="AB7" s="6" t="str">
        <f>Sum(AB2:AB6)</f>
      </c>
      <c r="AC7" s="6" t="str">
        <f>Sum(AC2:AC6)</f>
      </c>
      <c r="AD7" s="6" t="str">
        <f>Sum(AD2:AD6)</f>
      </c>
      <c r="AE7" s="6" t="str">
        <f>Sum(AE2:AE6)</f>
      </c>
      <c r="AF7" s="6" t="str">
        <f>Sum(AF2:AF6)</f>
      </c>
      <c r="AG7" s="6" t="str">
        <f>Sum(AG2:AG6)</f>
      </c>
      <c r="AH7" s="6" t="str">
        <f>Sum(AH2:AH6)</f>
      </c>
      <c r="AI7" s="6" t="str">
        <f>Sum(AI2:AI6)</f>
      </c>
      <c r="AJ7" s="6" t="str">
        <f>Sum(AJ2:AJ6)</f>
      </c>
      <c r="AK7" s="6" t="str">
        <f>Sum(AK2:AK6)</f>
      </c>
      <c r="AL7" s="6" t="str">
        <f>Sum(AL2:AL6)</f>
      </c>
      <c r="AM7" s="6" t="str">
        <f>Sum(AM2:AM6)</f>
      </c>
      <c r="AN7" s="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49</v>
      </c>
      <c r="O1" t="s">
        <v>50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26</v>
      </c>
    </row>
    <row r="2">
      <c r="A2" t="str">
        <f>N2</f>
      </c>
      <c r="B2" t="str">
        <f>O2</f>
      </c>
      <c r="N2" t="s">
        <v>51</v>
      </c>
      <c r="O2" t="s">
        <v>52</v>
      </c>
      <c r="P2" s="8" t="n">
        <v>115584932087.843</v>
      </c>
      <c r="Q2" s="8" t="n">
        <v>121502367782.02</v>
      </c>
      <c r="R2" s="8" t="n">
        <v>141593494397.09</v>
      </c>
      <c r="S2" s="8" t="n">
        <v>161285608480.54</v>
      </c>
      <c r="T2" s="8" t="n">
        <v>163996030847.09</v>
      </c>
      <c r="U2" s="8" t="n">
        <v>175328319971.78</v>
      </c>
      <c r="V2" s="8" t="n">
        <v>192560637208.94</v>
      </c>
      <c r="W2" s="8" t="n">
        <v>211744401940.64</v>
      </c>
      <c r="X2" s="8" t="n">
        <v>233778708533.83</v>
      </c>
      <c r="Y2" s="8" t="n">
        <v>249159557830.25</v>
      </c>
      <c r="Z2" s="8" t="n">
        <v>233830052488.546</v>
      </c>
      <c r="AA2" s="8" t="n">
        <v>241482384013.595</v>
      </c>
      <c r="AB2" s="8" t="n">
        <v>234644269222.769</v>
      </c>
      <c r="AC2" s="8" t="n">
        <v>220649797969.318</v>
      </c>
      <c r="AD2" s="8" t="n">
        <v>205868349030.096</v>
      </c>
      <c r="AE2" s="8" t="n">
        <v>202950852109.667</v>
      </c>
      <c r="AF2" s="8" t="n">
        <v>221377738695.742</v>
      </c>
      <c r="AG2" s="8" t="n">
        <v>236813005408.073</v>
      </c>
      <c r="AH2" s="8" t="n">
        <v>240263846698.15</v>
      </c>
      <c r="AI2" s="8" t="n">
        <v>260617535659.55</v>
      </c>
      <c r="AJ2" s="8" t="n">
        <v>303891362541.91</v>
      </c>
      <c r="AK2" s="8" t="n">
        <v>278053239730.06</v>
      </c>
      <c r="AL2" s="8" t="n">
        <v>290753329708.25</v>
      </c>
      <c r="AM2" s="8" t="n">
        <v>300926082777.59</v>
      </c>
      <c r="AN2" s="8" t="n">
        <v>272402781565.84</v>
      </c>
      <c r="AO2" s="8" t="n">
        <v>122901870485.08</v>
      </c>
      <c r="AP2" s="8"/>
    </row>
    <row r="3">
      <c r="A3" t="str">
        <f>N3</f>
      </c>
      <c r="B3" t="str">
        <f>O3</f>
      </c>
      <c r="N3" t="s">
        <v>51</v>
      </c>
      <c r="O3" t="s">
        <v>53</v>
      </c>
      <c r="P3" s="8" t="n">
        <v>12424490879.0119</v>
      </c>
      <c r="Q3" s="8" t="n">
        <v>12398785334.88</v>
      </c>
      <c r="R3" s="8" t="n">
        <v>14572212695.81</v>
      </c>
      <c r="S3" s="8" t="n">
        <v>17953386972.19</v>
      </c>
      <c r="T3" s="8" t="n">
        <v>10439748453.19</v>
      </c>
      <c r="U3" s="8" t="n">
        <v>15387923565.0402</v>
      </c>
      <c r="V3" s="8" t="n">
        <v>16349199022.49</v>
      </c>
      <c r="W3" s="8" t="n">
        <v>17287774018.13</v>
      </c>
      <c r="X3" s="8" t="n">
        <v>19402260045.67</v>
      </c>
      <c r="Y3" s="8" t="n">
        <v>18036960407.42</v>
      </c>
      <c r="Z3" s="8" t="n">
        <v>18838466035.7132</v>
      </c>
      <c r="AA3" s="8" t="n">
        <v>19068572744.5791</v>
      </c>
      <c r="AB3" s="8" t="n">
        <v>15609105830.1121</v>
      </c>
      <c r="AC3" s="8" t="n">
        <v>14671363072.5204</v>
      </c>
      <c r="AD3" s="8" t="n">
        <v>15386698059.2257</v>
      </c>
      <c r="AE3" s="8" t="n">
        <v>15371395945.8963</v>
      </c>
      <c r="AF3" s="8" t="n">
        <v>15939407819.5676</v>
      </c>
      <c r="AG3" s="8" t="n">
        <v>16445854200.7774</v>
      </c>
      <c r="AH3" s="8" t="n">
        <v>18122420104.74</v>
      </c>
      <c r="AI3" s="8" t="n">
        <v>18307348766.47</v>
      </c>
      <c r="AJ3" s="8" t="n">
        <v>18751614110.04</v>
      </c>
      <c r="AK3" s="8" t="n">
        <v>18079383098.6</v>
      </c>
      <c r="AL3" s="8" t="n">
        <v>17619524286.9399</v>
      </c>
      <c r="AM3" s="8" t="n">
        <v>18564512230.82</v>
      </c>
      <c r="AN3" s="8" t="n">
        <v>18885974131.15</v>
      </c>
      <c r="AO3" s="8" t="n">
        <v>6877464236.2</v>
      </c>
      <c r="AP3" s="8"/>
    </row>
    <row r="4">
      <c r="A4" t="str">
        <f>N4</f>
      </c>
      <c r="B4" t="str">
        <f>O4</f>
      </c>
      <c r="N4" t="s">
        <v>54</v>
      </c>
      <c r="O4" t="s">
        <v>55</v>
      </c>
      <c r="P4" s="8" t="n">
        <v>2924283951.6635</v>
      </c>
      <c r="Q4" s="8" t="n">
        <v>3207191850.0918</v>
      </c>
      <c r="R4" s="8" t="n">
        <v>3874952414.6563</v>
      </c>
      <c r="S4" s="8" t="n">
        <v>6046089235.4572</v>
      </c>
      <c r="T4" s="8" t="n">
        <v>6517723173.9598</v>
      </c>
      <c r="U4" s="8" t="n">
        <v>7361479923.7156</v>
      </c>
      <c r="V4" s="8" t="n">
        <v>10244737777.7215</v>
      </c>
      <c r="W4" s="8" t="n">
        <v>9564407533.4996</v>
      </c>
      <c r="X4" s="8" t="n">
        <v>10960045597.3539</v>
      </c>
      <c r="Y4" s="8" t="n">
        <v>11978600453.1904</v>
      </c>
      <c r="Z4" s="8" t="n">
        <v>15621451371.1824</v>
      </c>
      <c r="AA4" s="8" t="n">
        <v>16861341352.9837</v>
      </c>
      <c r="AB4" s="8" t="n">
        <v>18982743607.8388</v>
      </c>
      <c r="AC4" s="8" t="n">
        <v>17611974768.2794</v>
      </c>
      <c r="AD4" s="8" t="n">
        <v>19114152539.0507</v>
      </c>
      <c r="AE4" s="8" t="n">
        <v>21876752873.9362</v>
      </c>
      <c r="AF4" s="8" t="n">
        <v>23706172088.7046</v>
      </c>
      <c r="AG4" s="8" t="n">
        <v>27628005661.5531</v>
      </c>
      <c r="AH4" s="8" t="n">
        <v>31723701465.4611</v>
      </c>
      <c r="AI4" s="8" t="n">
        <v>30294003975.1963</v>
      </c>
      <c r="AJ4" s="8" t="n">
        <v>32912233053.9116</v>
      </c>
      <c r="AK4" s="8" t="n">
        <v>35673646859.41</v>
      </c>
      <c r="AL4" s="8" t="n">
        <v>36438665738.0698</v>
      </c>
      <c r="AM4" s="8" t="n">
        <v>41953935024.797</v>
      </c>
      <c r="AN4" s="8" t="n">
        <v>44249119911.4933</v>
      </c>
      <c r="AO4" s="8" t="n">
        <v>16045018091.44</v>
      </c>
      <c r="AP4" s="8"/>
    </row>
    <row r="5">
      <c r="A5" t="str">
        <f>N5</f>
      </c>
      <c r="B5" t="str">
        <f>O5</f>
      </c>
      <c r="N5" t="s">
        <v>54</v>
      </c>
      <c r="O5" t="s">
        <v>56</v>
      </c>
      <c r="P5" s="8" t="n">
        <v>12804541051.7536</v>
      </c>
      <c r="Q5" s="8" t="n">
        <v>16873262693.0018</v>
      </c>
      <c r="R5" s="8" t="n">
        <v>22130372261.5838</v>
      </c>
      <c r="S5" s="8" t="n">
        <v>29036319534.7097</v>
      </c>
      <c r="T5" s="8" t="n">
        <v>28896257654.6845</v>
      </c>
      <c r="U5" s="8" t="n">
        <v>27985121320.1103</v>
      </c>
      <c r="V5" s="8" t="n">
        <v>28608695358.7399</v>
      </c>
      <c r="W5" s="8" t="n">
        <v>28419281384.4194</v>
      </c>
      <c r="X5" s="8" t="n">
        <v>28301482390.3614</v>
      </c>
      <c r="Y5" s="8" t="n">
        <v>29145223208.8904</v>
      </c>
      <c r="Z5" s="8" t="n">
        <v>30481486022.048</v>
      </c>
      <c r="AA5" s="8" t="n">
        <v>28787764705.0707</v>
      </c>
      <c r="AB5" s="8" t="n">
        <v>27565436312.6723</v>
      </c>
      <c r="AC5" s="8" t="n">
        <v>26341597412.0245</v>
      </c>
      <c r="AD5" s="8" t="n">
        <v>28514322156.6811</v>
      </c>
      <c r="AE5" s="8" t="n">
        <v>27170572289.2424</v>
      </c>
      <c r="AF5" s="8" t="n">
        <v>28404542612.8277</v>
      </c>
      <c r="AG5" s="8" t="n">
        <v>29276109719.641</v>
      </c>
      <c r="AH5" s="8" t="n">
        <v>32092451726.2584</v>
      </c>
      <c r="AI5" s="8" t="n">
        <v>35270020674.4173</v>
      </c>
      <c r="AJ5" s="8" t="n">
        <v>39992299401.8298</v>
      </c>
      <c r="AK5" s="8" t="n">
        <v>42574994512.184</v>
      </c>
      <c r="AL5" s="8" t="n">
        <v>45468863712.7538</v>
      </c>
      <c r="AM5" s="8" t="n">
        <v>50127935085.405</v>
      </c>
      <c r="AN5" s="8" t="n">
        <v>52657836136.9445</v>
      </c>
      <c r="AO5" s="8" t="n">
        <v>18691017774.63</v>
      </c>
      <c r="AP5" s="8"/>
    </row>
    <row r="6">
      <c r="A6" t="str">
        <f>N6</f>
      </c>
      <c r="B6" t="str">
        <f>O6</f>
      </c>
      <c r="N6" t="s">
        <v>54</v>
      </c>
      <c r="O6" t="s">
        <v>57</v>
      </c>
      <c r="P6" s="8" t="n">
        <v>12499350083.2159</v>
      </c>
      <c r="Q6" s="8" t="n">
        <v>13610392675.4568</v>
      </c>
      <c r="R6" s="8" t="n">
        <v>17269119548.3314</v>
      </c>
      <c r="S6" s="8" t="n">
        <v>22442982846.4399</v>
      </c>
      <c r="T6" s="8" t="n">
        <v>28374850068.4161</v>
      </c>
      <c r="U6" s="8" t="n">
        <v>36667866725.8685</v>
      </c>
      <c r="V6" s="8" t="n">
        <v>43450040207.2155</v>
      </c>
      <c r="W6" s="8" t="n">
        <v>49537652392.8318</v>
      </c>
      <c r="X6" s="8" t="n">
        <v>58296941967.6551</v>
      </c>
      <c r="Y6" s="8" t="n">
        <v>70755225318.678</v>
      </c>
      <c r="Z6" s="8" t="n">
        <v>97069660263.6013</v>
      </c>
      <c r="AA6" s="8" t="n">
        <v>80093220983.5518</v>
      </c>
      <c r="AB6" s="8" t="n">
        <v>74546629220.6372</v>
      </c>
      <c r="AC6" s="8" t="n">
        <v>66847036617.2891</v>
      </c>
      <c r="AD6" s="8" t="n">
        <v>64428236170.0944</v>
      </c>
      <c r="AE6" s="8" t="n">
        <v>63377140940.6581</v>
      </c>
      <c r="AF6" s="8" t="n">
        <v>69942453671.4085</v>
      </c>
      <c r="AG6" s="8" t="n">
        <v>72695491339.1477</v>
      </c>
      <c r="AH6" s="8" t="n">
        <v>85093046747.5623</v>
      </c>
      <c r="AI6" s="8" t="n">
        <v>91689007118.2997</v>
      </c>
      <c r="AJ6" s="8" t="n">
        <v>97258044710.1001</v>
      </c>
      <c r="AK6" s="8" t="n">
        <v>92661038675.0052</v>
      </c>
      <c r="AL6" s="8" t="n">
        <v>104949993341.112</v>
      </c>
      <c r="AM6" s="8" t="n">
        <v>123328551353.892</v>
      </c>
      <c r="AN6" s="8" t="n">
        <v>132978957310.474</v>
      </c>
      <c r="AO6" s="8" t="n">
        <v>49241265631.31</v>
      </c>
      <c r="AP6" s="8"/>
    </row>
    <row r="7">
      <c r="A7" t="str">
        <f>N7</f>
      </c>
      <c r="B7" t="str">
        <f>O7</f>
      </c>
      <c r="N7" t="s">
        <v>54</v>
      </c>
      <c r="O7" t="s">
        <v>58</v>
      </c>
      <c r="P7" s="8" t="n">
        <v>42335529372.3551</v>
      </c>
      <c r="Q7" s="8" t="n">
        <v>48917333171.8777</v>
      </c>
      <c r="R7" s="8" t="n">
        <v>57454020947.247</v>
      </c>
      <c r="S7" s="8" t="n">
        <v>77397735316.5918</v>
      </c>
      <c r="T7" s="8" t="n">
        <v>96729076010.967</v>
      </c>
      <c r="U7" s="8" t="n">
        <v>126006897249.582</v>
      </c>
      <c r="V7" s="8" t="n">
        <v>138189605286.346</v>
      </c>
      <c r="W7" s="8" t="n">
        <v>152278596019.012</v>
      </c>
      <c r="X7" s="8" t="n">
        <v>176992562159.486</v>
      </c>
      <c r="Y7" s="8" t="n">
        <v>175807040178.201</v>
      </c>
      <c r="Z7" s="8" t="n">
        <v>165348458600.938</v>
      </c>
      <c r="AA7" s="8" t="n">
        <v>153864370550.964</v>
      </c>
      <c r="AB7" s="8" t="n">
        <v>149755532268.463</v>
      </c>
      <c r="AC7" s="8" t="n">
        <v>117832148608.451</v>
      </c>
      <c r="AD7" s="8" t="n">
        <v>113132246206.875</v>
      </c>
      <c r="AE7" s="8" t="n">
        <v>109430096987.006</v>
      </c>
      <c r="AF7" s="8" t="n">
        <v>116420314684.446</v>
      </c>
      <c r="AG7" s="8" t="n">
        <v>128243356113.859</v>
      </c>
      <c r="AH7" s="8" t="n">
        <v>149051590332.517</v>
      </c>
      <c r="AI7" s="8" t="n">
        <v>153875006598.917</v>
      </c>
      <c r="AJ7" s="8" t="n">
        <v>178955739455.671</v>
      </c>
      <c r="AK7" s="8" t="n">
        <v>178756105576.716</v>
      </c>
      <c r="AL7" s="8" t="n">
        <v>199544845267.319</v>
      </c>
      <c r="AM7" s="8" t="n">
        <v>226196676468.225</v>
      </c>
      <c r="AN7" s="8" t="n">
        <v>234676048634.219</v>
      </c>
      <c r="AO7" s="8" t="n">
        <v>101273651433.94</v>
      </c>
      <c r="AP7" s="8"/>
    </row>
    <row r="8">
      <c r="A8" t="str">
        <f>N8</f>
      </c>
      <c r="B8" t="str">
        <f>O8</f>
      </c>
      <c r="N8" t="s">
        <v>54</v>
      </c>
      <c r="O8" t="s">
        <v>59</v>
      </c>
      <c r="P8" s="8" t="n">
        <v>7030877168.3082</v>
      </c>
      <c r="Q8" s="8" t="n">
        <v>6612007723.823</v>
      </c>
      <c r="R8" s="8" t="n">
        <v>7284000092.3487</v>
      </c>
      <c r="S8" s="8" t="n">
        <v>5366434247.8165</v>
      </c>
      <c r="T8" s="8" t="n">
        <v>4415654379.2757</v>
      </c>
      <c r="U8" s="8" t="n">
        <v>2683711410.774</v>
      </c>
      <c r="V8" s="8" t="n">
        <v>1747131444.4168</v>
      </c>
      <c r="W8" s="8" t="n">
        <v>1000337098.5642</v>
      </c>
      <c r="X8" s="8" t="n">
        <v>592811723.8758</v>
      </c>
      <c r="Y8" s="8" t="n">
        <v>337021017.1379</v>
      </c>
      <c r="Z8" s="8" t="n">
        <v>271869696.8448</v>
      </c>
      <c r="AA8" s="8" t="n">
        <v>123556347.7826</v>
      </c>
      <c r="AB8" s="8" t="n">
        <v>99091517.7124</v>
      </c>
      <c r="AC8" s="8" t="n">
        <v>47651396.2464</v>
      </c>
      <c r="AD8" s="8" t="n">
        <v>55333426.4992</v>
      </c>
      <c r="AE8" s="8" t="n">
        <v>61667152.8337</v>
      </c>
      <c r="AF8" s="8" t="n">
        <v>29264169.4202</v>
      </c>
      <c r="AG8" s="8" t="n">
        <v>7714685.453</v>
      </c>
      <c r="AH8" s="8" t="n">
        <v>3121458.2472</v>
      </c>
      <c r="AI8" s="8" t="n">
        <v>1801758.2113</v>
      </c>
      <c r="AJ8" s="8" t="n">
        <v>1589203.1028</v>
      </c>
      <c r="AK8" s="8" t="n">
        <v>-4965343.4824</v>
      </c>
      <c r="AL8" s="8" t="n">
        <v>-17602406.375</v>
      </c>
      <c r="AM8" s="8" t="n">
        <v>-15651681.9895</v>
      </c>
      <c r="AN8" s="8" t="n">
        <v>-1314944.4</v>
      </c>
      <c r="AO8" s="8" t="n">
        <v>-14742791.4</v>
      </c>
      <c r="AP8" s="8"/>
    </row>
    <row r="9">
      <c r="A9" t="str">
        <f>N9</f>
      </c>
      <c r="B9" t="str">
        <f>O9</f>
      </c>
      <c r="N9"/>
      <c r="O9"/>
      <c r="P9" s="8" t="n">
        <v>18006362</v>
      </c>
      <c r="Q9" s="8" t="n">
        <v>773740.3125</v>
      </c>
      <c r="R9" s="8" t="n">
        <v>1369209.8414</v>
      </c>
      <c r="S9" s="8" t="n">
        <v>6076922.5</v>
      </c>
      <c r="T9" s="8" t="n">
        <v>5022298.0339</v>
      </c>
      <c r="U9" s="8" t="n">
        <v>402007.8403</v>
      </c>
      <c r="V9" s="8" t="n">
        <v>647421.89</v>
      </c>
      <c r="W9" s="8" t="n">
        <v>0</v>
      </c>
      <c r="X9" s="8" t="n">
        <v>0</v>
      </c>
      <c r="Y9" s="8" t="n">
        <v>0</v>
      </c>
      <c r="Z9" s="8" t="n">
        <v>236000</v>
      </c>
      <c r="AA9" s="8" t="n">
        <v>248000</v>
      </c>
      <c r="AB9" s="8" t="n">
        <v>0</v>
      </c>
      <c r="AC9" s="8" t="n">
        <v>717723</v>
      </c>
      <c r="AD9" s="8" t="n">
        <v>0</v>
      </c>
      <c r="AE9" s="8" t="n">
        <v>2364.39</v>
      </c>
      <c r="AF9" s="8" t="n">
        <v>-5000</v>
      </c>
      <c r="AG9" s="8" t="n">
        <v>1810263.7657</v>
      </c>
      <c r="AH9" s="8" t="n">
        <v>0</v>
      </c>
      <c r="AI9" s="8" t="n">
        <v>0</v>
      </c>
      <c r="AJ9" s="8" t="n">
        <v>0</v>
      </c>
      <c r="AK9" s="8" t="n">
        <v>30674.99</v>
      </c>
      <c r="AL9" s="8" t="n">
        <v>0</v>
      </c>
      <c r="AM9" s="8" t="n">
        <v>-10000</v>
      </c>
      <c r="AN9" s="8" t="n">
        <v>3572327.86</v>
      </c>
      <c r="AO9" s="8" t="n">
        <v>-6130361.98</v>
      </c>
      <c r="AP9" s="8"/>
    </row>
    <row r="10">
      <c r="A10" t="str">
        <f>N10</f>
      </c>
      <c r="B10" t="str">
        <f>O10</f>
      </c>
      <c r="N10" t="s">
        <v>30</v>
      </c>
      <c r="O10" t="s">
        <v>60</v>
      </c>
      <c r="P10" s="8" t="str">
        <f>Sum(P2:P9)</f>
      </c>
      <c r="Q10" s="8" t="str">
        <f>Sum(Q2:Q9)</f>
      </c>
      <c r="R10" s="8" t="str">
        <f>Sum(R2:R9)</f>
      </c>
      <c r="S10" s="8" t="str">
        <f>Sum(S2:S9)</f>
      </c>
      <c r="T10" s="8" t="str">
        <f>Sum(T2:T9)</f>
      </c>
      <c r="U10" s="8" t="str">
        <f>Sum(U2:U9)</f>
      </c>
      <c r="V10" s="8" t="str">
        <f>Sum(V2:V9)</f>
      </c>
      <c r="W10" s="8" t="str">
        <f>Sum(W2:W9)</f>
      </c>
      <c r="X10" s="8" t="str">
        <f>Sum(X2:X9)</f>
      </c>
      <c r="Y10" s="8" t="str">
        <f>Sum(Y2:Y9)</f>
      </c>
      <c r="Z10" s="8" t="str">
        <f>Sum(Z2:Z9)</f>
      </c>
      <c r="AA10" s="8" t="str">
        <f>Sum(AA2:AA9)</f>
      </c>
      <c r="AB10" s="8" t="str">
        <f>Sum(AB2:AB9)</f>
      </c>
      <c r="AC10" s="8" t="str">
        <f>Sum(AC2:AC9)</f>
      </c>
      <c r="AD10" s="8" t="str">
        <f>Sum(AD2:AD9)</f>
      </c>
      <c r="AE10" s="8" t="str">
        <f>Sum(AE2:AE9)</f>
      </c>
      <c r="AF10" s="8" t="str">
        <f>Sum(AF2:AF9)</f>
      </c>
      <c r="AG10" s="8" t="str">
        <f>Sum(AG2:AG9)</f>
      </c>
      <c r="AH10" s="8" t="str">
        <f>Sum(AH2:AH9)</f>
      </c>
      <c r="AI10" s="8" t="str">
        <f>Sum(AI2:AI9)</f>
      </c>
      <c r="AJ10" s="8" t="str">
        <f>Sum(AJ2:AJ9)</f>
      </c>
      <c r="AK10" s="8" t="str">
        <f>Sum(AK2:AK9)</f>
      </c>
      <c r="AL10" s="8" t="str">
        <f>Sum(AL2:AL9)</f>
      </c>
      <c r="AM10" s="8" t="str">
        <f>Sum(AM2:AM9)</f>
      </c>
      <c r="AN10" s="8" t="str">
        <f>Sum(AN2:AN9)</f>
      </c>
      <c r="AO10" s="8" t="str">
        <f>Sum(AO2:AO9)</f>
      </c>
      <c r="AP10" s="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../output/FedAcqTrends//Fed_Acq_Trends_Contracts.xlsx</dc:creator>
  <cp:lastModifiedBy>../output/FedAcqTrends//Fed_Acq_Trends_Contracts.xlsx</cp:lastModifiedBy>
  <dcterms:created xsi:type="dcterms:W3CDTF">2025-11-13T22:46:36Z</dcterms:created>
</coreProperties>
</file>