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5-4 Comm" sheetId="1" state="visible" r:id="rId1"/>
    <sheet name="8-3 Dur" sheetId="2" state="visible" r:id="rId2"/>
    <sheet name="3-1 Area" sheetId="3" state="visible" r:id="rId3"/>
    <sheet name="2-2 FYQ" sheetId="4" state="visible" r:id="rId4"/>
    <sheet name="6-5 Comp" sheetId="5" state="visible" r:id="rId5"/>
    <sheet name="4-X Veh" sheetId="6" state="visible" r:id="rId6"/>
    <sheet name="4-1 Price" sheetId="7" state="visible" r:id="rId7"/>
    <sheet name="5-1 RnD" sheetId="8" state="visible" r:id="rId8"/>
    <sheet name="3-3 Serv" sheetId="9" state="visible" r:id="rId9"/>
    <sheet name="PSR-price" sheetId="10" state="visible" r:id="rId10"/>
  </sheets>
</workbook>
</file>

<file path=xl/sharedStrings.xml><?xml version="1.0" encoding="utf-8"?>
<sst xmlns="http://schemas.openxmlformats.org/spreadsheetml/2006/main" count="90" uniqueCount="90">
  <si>
    <t xml:space="preserve">AnyCommercialText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</si>
  <si>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</si>
  <si>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</si>
  <si>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</si>
  <si>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</si>
  <si>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</si>
  <si>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</si>
  <si>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</si>
  <si>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</si>
  <si>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</si>
  <si>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</si>
  <si>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</si>
  <si>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</si>
  <si>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</si>
  <si>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</si>
  <si>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</si>
  <si>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</si>
  <si>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</si>
  <si>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</si>
  <si>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</si>
  <si>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</si>
  <si>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</si>
  <si>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</si>
  <si>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</si>
  <si>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</si>
  <si>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</si>
  <si>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</si>
  <si>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Not Classified
as Commercial</t>
  </si>
  <si>
    <t xml:space="preserve">Non-development
or Commercial Similar</t>
  </si>
  <si>
    <t xml:space="preserve">Any Commercial
Classification</t>
  </si>
  <si>
    <t xml:space="preserve">Grand Total</t>
  </si>
  <si>
    <t xml:space="preserve">UnmodifiedUltimateDurationCategory</t>
  </si>
  <si>
    <t xml:space="preserve">&lt;=2 Months</t>
  </si>
  <si>
    <t xml:space="preserve">&gt;1-2 Years</t>
  </si>
  <si>
    <t xml:space="preserve">&gt;2-4 Years</t>
  </si>
  <si>
    <t xml:space="preserve">&gt;2-7 Months</t>
  </si>
  <si>
    <t xml:space="preserve">&gt;4 years</t>
  </si>
  <si>
    <t xml:space="preserve">&gt;7-12 Months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</si>
  <si>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</si>
  <si>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</si>
  <si>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</si>
  <si>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</si>
  <si>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</si>
  <si>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fiscal_quarter_YTD</t>
  </si>
  <si>
    <t xml:space="preserve">Competition.sum</t>
  </si>
  <si>
    <t xml:space="preserve">1 Offer</t>
  </si>
  <si>
    <t xml:space="preserve">2 Offers</t>
  </si>
  <si>
    <t xml:space="preserve">3+ Offers</t>
  </si>
  <si>
    <t xml:space="preserve">No Comp.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</si>
  <si>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</si>
  <si>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</si>
  <si>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</si>
  <si>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</si>
  <si>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</si>
  <si>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</si>
  <si>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</si>
  <si>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</si>
  <si>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</si>
  <si>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</si>
  <si>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</si>
  <si>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</si>
  <si>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</si>
  <si>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</si>
  <si>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</si>
  <si>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</si>
  <si>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</si>
  <si>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</si>
  <si>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Combination/Other</t>
  </si>
  <si>
    <t xml:space="preserve">UCA</t>
  </si>
  <si>
    <t xml:space="preserve">Fixed-Price</t>
  </si>
  <si>
    <t xml:space="preserve">FFP</t>
  </si>
  <si>
    <t xml:space="preserve">Other FP</t>
  </si>
  <si>
    <t xml:space="preserve">Incentive</t>
  </si>
  <si>
    <t xml:space="preserve">ProductServiceOrRnDarea</t>
  </si>
  <si>
    <t xml:space="preserve">Advanced Development</t>
  </si>
  <si>
    <t xml:space="preserve">Applied Research (6.2)</t>
  </si>
  <si>
    <t xml:space="preserve">Basic Research (6.1)</t>
  </si>
  <si>
    <t xml:space="preserve">Commercialization</t>
  </si>
  <si>
    <t xml:space="preserve">Engineering Development</t>
  </si>
  <si>
    <t xml:space="preserve">Experimental Development</t>
  </si>
  <si>
    <t xml:space="preserve">Operational Systems Development</t>
  </si>
  <si>
    <t xml:space="preserve">R&amp;D administrative and operational expenses</t>
  </si>
  <si>
    <t xml:space="preserve">R&amp;D facilities and major equipment</t>
  </si>
  <si>
    <t xml:space="preserve">Uncategorized R&amp;D</t>
  </si>
  <si>
    <t xml:space="preserve">Construction</t>
  </si>
  <si>
    <t xml:space="preserve">ERS</t>
  </si>
  <si>
    <t xml:space="preserve">FRS</t>
  </si>
  <si>
    <t xml:space="preserve">ICT</t>
  </si>
  <si>
    <t xml:space="preserve">MED</t>
  </si>
  <si>
    <t xml:space="preserve">PAMS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</si>
</sst>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75" formatCode="0.00,,,&quot;B&quot;"/>
    <numFmt numFmtId="176" formatCode="0.00,,,&quot;B&quot;"/>
    <numFmt numFmtId="177" formatCode="0.00,,,&quot;B&quot;"/>
    <numFmt numFmtId="169" formatCode="0.00,,,&quot;B&quot;"/>
    <numFmt numFmtId="170" formatCode="0.00,,,&quot;B&quot;"/>
    <numFmt numFmtId="173" formatCode="0.00,,,&quot;B&quot;"/>
    <numFmt numFmtId="174" formatCode="0.00,,,&quot;B&quot;"/>
    <numFmt numFmtId="178" formatCode="0.00,,,&quot;B&quot;"/>
    <numFmt numFmtId="179" formatCode="0.00,,,&quot;B&quot;"/>
    <numFmt numFmtId="180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75" fontId="1" fillId="0" borderId="0" xfId="0" applyFont="1" applyNumberFormat="1"/>
    <xf numFmtId="176" fontId="1" fillId="0" borderId="0" xfId="0" applyFont="1" applyNumberFormat="1"/>
    <xf numFmtId="10" fontId="1" fillId="0" borderId="0" xfId="0" applyFont="1" applyNumberFormat="1"/>
    <xf numFmtId="177" fontId="1" fillId="0" borderId="0" xfId="0" applyFont="1" applyNumberFormat="1"/>
    <xf numFmtId="169" fontId="1" fillId="0" borderId="0" xfId="0" applyFont="1" applyNumberFormat="1"/>
    <xf numFmtId="170" fontId="1" fillId="0" borderId="0" xfId="0" applyFont="1" applyNumberFormat="1"/>
    <xf numFmtId="173" fontId="1" fillId="0" borderId="0" xfId="0" applyFont="1" applyNumberFormat="1"/>
    <xf numFmtId="174" fontId="1" fillId="0" borderId="0" xfId="0" applyFont="1" applyNumberFormat="1"/>
    <xf numFmtId="178" fontId="1" fillId="0" borderId="0" xfId="0" applyFont="1" applyNumberFormat="1"/>
    <xf numFmtId="179" fontId="1" fillId="0" borderId="0" xfId="0" applyFont="1" applyNumberFormat="1"/>
    <xf numFmtId="180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0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27</v>
      </c>
      <c r="M2" s="1" t="n">
        <v>176925451064.227</v>
      </c>
      <c r="N2" s="1" t="n">
        <v>187909553001.998</v>
      </c>
      <c r="O2" s="1" t="n">
        <v>211326142412.118</v>
      </c>
      <c r="P2" s="1" t="n">
        <v>254834483710.015</v>
      </c>
      <c r="Q2" s="1" t="n">
        <v>276493490872.04</v>
      </c>
      <c r="R2" s="1" t="n">
        <v>340572558268.538</v>
      </c>
      <c r="S2" s="1" t="n">
        <v>367339788419.792</v>
      </c>
      <c r="T2" s="1" t="n">
        <v>381758521421.852</v>
      </c>
      <c r="U2" s="1" t="n">
        <v>422375859101.043</v>
      </c>
      <c r="V2" s="1" t="n">
        <v>445684372369.369</v>
      </c>
      <c r="W2" s="1" t="n">
        <v>426055497893.741</v>
      </c>
      <c r="X2" s="1" t="n">
        <v>421814305999.526</v>
      </c>
      <c r="Y2" s="1" t="n">
        <v>400512582644.352</v>
      </c>
      <c r="Z2" s="1" t="n">
        <v>356425601848.211</v>
      </c>
      <c r="AA2" s="1" t="n">
        <v>337252955184.327</v>
      </c>
      <c r="AB2" s="1" t="n">
        <v>330971382724.245</v>
      </c>
      <c r="AC2" s="1" t="n">
        <v>363862527459.454</v>
      </c>
      <c r="AD2" s="1" t="n">
        <v>388240099260.866</v>
      </c>
      <c r="AE2" s="1" t="n">
        <v>416519822263.542</v>
      </c>
      <c r="AF2" s="1" t="n">
        <v>442717986684.556</v>
      </c>
      <c r="AG2" s="1" t="n">
        <v>483618302104.162</v>
      </c>
      <c r="AH2" s="1" t="n">
        <v>422241412579.494</v>
      </c>
      <c r="AI2" s="1" t="n">
        <v>450098107742.857</v>
      </c>
      <c r="AJ2" s="1" t="n">
        <v>525579413647.365</v>
      </c>
      <c r="AK2" s="1" t="n">
        <v>510539030158.86</v>
      </c>
      <c r="AL2" s="1" t="n">
        <v>220032164293.94</v>
      </c>
      <c r="AM2" s="1"/>
      <c r="AN2" s="1"/>
    </row>
    <row r="3">
      <c r="A3" t="str">
        <f>L3</f>
      </c>
      <c r="L3" t="s">
        <v>28</v>
      </c>
      <c r="M3" s="1" t="n">
        <v>26760108</v>
      </c>
      <c r="N3" s="1" t="n">
        <v>-242713.56</v>
      </c>
      <c r="O3" s="1" t="n">
        <v>235057029.7798</v>
      </c>
      <c r="P3" s="1" t="n">
        <v>821775093.497</v>
      </c>
      <c r="Q3" s="1" t="n">
        <v>1124965184.2095</v>
      </c>
      <c r="R3" s="1" t="n">
        <v>988246972.4407</v>
      </c>
      <c r="S3" s="1" t="n">
        <v>541300261.3682</v>
      </c>
      <c r="T3" s="1" t="n">
        <v>753775773.954</v>
      </c>
      <c r="U3" s="1" t="n">
        <v>1045540469.2115</v>
      </c>
      <c r="V3" s="1" t="n">
        <v>1141212897.8243</v>
      </c>
      <c r="W3" s="1" t="n">
        <v>1140721888.9508</v>
      </c>
      <c r="X3" s="1" t="n">
        <v>2000872222.8136</v>
      </c>
      <c r="Y3" s="1" t="n">
        <v>2478056061.6153</v>
      </c>
      <c r="Z3" s="1" t="n">
        <v>2015990098.5926</v>
      </c>
      <c r="AA3" s="1" t="n">
        <v>1859493562.8993</v>
      </c>
      <c r="AB3" s="1" t="n">
        <v>1308192739.3058</v>
      </c>
      <c r="AC3" s="1" t="n">
        <v>924399060.8593</v>
      </c>
      <c r="AD3" s="1" t="n">
        <v>464674368.3708</v>
      </c>
      <c r="AE3" s="1" t="n">
        <v>398622864.2747</v>
      </c>
      <c r="AF3" s="1" t="n">
        <v>266316875.3488</v>
      </c>
      <c r="AG3" s="1" t="n">
        <v>238397611.5465</v>
      </c>
      <c r="AH3" s="1" t="n">
        <v>532762003.8331</v>
      </c>
      <c r="AI3" s="1" t="n">
        <v>344986662.4644</v>
      </c>
      <c r="AJ3" s="1" t="n">
        <v>207424716.8622</v>
      </c>
      <c r="AK3" s="1" t="n">
        <v>161616966.69</v>
      </c>
      <c r="AL3" s="1" t="n">
        <v>27511594.72</v>
      </c>
      <c r="AM3" s="1"/>
      <c r="AN3" s="1"/>
    </row>
    <row r="4">
      <c r="A4" t="str">
        <f>L4</f>
      </c>
      <c r="L4" t="s">
        <v>29</v>
      </c>
      <c r="M4" s="1" t="n">
        <v>28661632078.2841</v>
      </c>
      <c r="N4" s="1" t="n">
        <v>35120269212.9382</v>
      </c>
      <c r="O4" s="1" t="n">
        <v>52401238102.4028</v>
      </c>
      <c r="P4" s="1" t="n">
        <v>63734470835.1418</v>
      </c>
      <c r="Q4" s="1" t="n">
        <v>61736588132.5438</v>
      </c>
      <c r="R4" s="1" t="n">
        <v>49845369258.4089</v>
      </c>
      <c r="S4" s="1" t="n">
        <v>63256423898.2805</v>
      </c>
      <c r="T4" s="1" t="n">
        <v>87308964427.296</v>
      </c>
      <c r="U4" s="1" t="n">
        <v>104898476016.496</v>
      </c>
      <c r="V4" s="1" t="n">
        <v>108351586182.912</v>
      </c>
      <c r="W4" s="1" t="n">
        <v>134269585178.115</v>
      </c>
      <c r="X4" s="1" t="n">
        <v>116464114288.982</v>
      </c>
      <c r="Y4" s="1" t="n">
        <v>118197983061.077</v>
      </c>
      <c r="Z4" s="1" t="n">
        <v>105544007763.174</v>
      </c>
      <c r="AA4" s="1" t="n">
        <v>107378027343.096</v>
      </c>
      <c r="AB4" s="1" t="n">
        <v>107942676253.857</v>
      </c>
      <c r="AC4" s="1" t="n">
        <v>111020574177.893</v>
      </c>
      <c r="AD4" s="1" t="n">
        <v>122373105603.624</v>
      </c>
      <c r="AE4" s="1" t="n">
        <v>139349174438.678</v>
      </c>
      <c r="AF4" s="1" t="n">
        <v>146918794002.641</v>
      </c>
      <c r="AG4" s="1" t="n">
        <v>187720746869.395</v>
      </c>
      <c r="AH4" s="1" t="n">
        <v>222935723898.076</v>
      </c>
      <c r="AI4" s="1" t="n">
        <v>244272665045.249</v>
      </c>
      <c r="AJ4" s="1" t="n">
        <v>235261552565.294</v>
      </c>
      <c r="AK4" s="1" t="n">
        <v>245147262902.991</v>
      </c>
      <c r="AL4" s="1" t="n">
        <v>94925463234.66</v>
      </c>
      <c r="AM4" s="1"/>
      <c r="AN4" s="1"/>
    </row>
    <row r="5">
      <c r="A5" t="str">
        <f>L5</f>
      </c>
      <c r="L5"/>
      <c r="M5" s="1" t="n">
        <v>8167705.6401</v>
      </c>
      <c r="N5" s="1" t="n">
        <v>92535470.0872</v>
      </c>
      <c r="O5" s="1" t="n">
        <v>217104022.6078</v>
      </c>
      <c r="P5" s="1" t="n">
        <v>143903917.5915</v>
      </c>
      <c r="Q5" s="1" t="n">
        <v>19318696.8241</v>
      </c>
      <c r="R5" s="1" t="n">
        <v>15547675.3229</v>
      </c>
      <c r="S5" s="1" t="n">
        <v>13181148.3192</v>
      </c>
      <c r="T5" s="1" t="n">
        <v>11188763.995</v>
      </c>
      <c r="U5" s="1" t="n">
        <v>4936831.4816</v>
      </c>
      <c r="V5" s="1" t="n">
        <v>42456963.6625</v>
      </c>
      <c r="W5" s="1" t="n">
        <v>-4124481.9346</v>
      </c>
      <c r="X5" s="1" t="n">
        <v>2166187.2045</v>
      </c>
      <c r="Y5" s="1" t="n">
        <v>14186213.1609</v>
      </c>
      <c r="Z5" s="1" t="n">
        <v>16687857.15</v>
      </c>
      <c r="AA5" s="1" t="n">
        <v>8861498.2</v>
      </c>
      <c r="AB5" s="1" t="n">
        <v>16228946.2214</v>
      </c>
      <c r="AC5" s="1" t="n">
        <v>12388043.9107</v>
      </c>
      <c r="AD5" s="1" t="n">
        <v>33468159.41</v>
      </c>
      <c r="AE5" s="1" t="n">
        <v>82558966.441</v>
      </c>
      <c r="AF5" s="1" t="n">
        <v>151626988.516</v>
      </c>
      <c r="AG5" s="1" t="n">
        <v>185435891.4612</v>
      </c>
      <c r="AH5" s="1" t="n">
        <v>83575302.0797</v>
      </c>
      <c r="AI5" s="1" t="n">
        <v>41860197.4992</v>
      </c>
      <c r="AJ5" s="1" t="n">
        <v>33640329.2189</v>
      </c>
      <c r="AK5" s="1" t="n">
        <v>5065045.04</v>
      </c>
      <c r="AL5" s="1" t="n">
        <v>24275375.9</v>
      </c>
      <c r="AM5" s="1"/>
      <c r="AN5" s="1"/>
    </row>
    <row r="6">
      <c r="A6" t="str">
        <f>L6</f>
      </c>
      <c r="L6" t="s">
        <v>30</v>
      </c>
      <c r="M6" s="1" t="str">
        <f>Sum(M2:M5)</f>
      </c>
      <c r="N6" s="1" t="str">
        <f>Sum(N2:N5)</f>
      </c>
      <c r="O6" s="1" t="str">
        <f>Sum(O2:O5)</f>
      </c>
      <c r="P6" s="1" t="str">
        <f>Sum(P2:P5)</f>
      </c>
      <c r="Q6" s="1" t="str">
        <f>Sum(Q2:Q5)</f>
      </c>
      <c r="R6" s="1" t="str">
        <f>Sum(R2:R5)</f>
      </c>
      <c r="S6" s="1" t="str">
        <f>Sum(S2:S5)</f>
      </c>
      <c r="T6" s="1" t="str">
        <f>Sum(T2:T5)</f>
      </c>
      <c r="U6" s="1" t="str">
        <f>Sum(U2:U5)</f>
      </c>
      <c r="V6" s="1" t="str">
        <f>Sum(V2:V5)</f>
      </c>
      <c r="W6" s="1" t="str">
        <f>Sum(W2:W5)</f>
      </c>
      <c r="X6" s="1" t="str">
        <f>Sum(X2:X5)</f>
      </c>
      <c r="Y6" s="1" t="str">
        <f>Sum(Y2:Y5)</f>
      </c>
      <c r="Z6" s="1" t="str">
        <f>Sum(Z2:Z5)</f>
      </c>
      <c r="AA6" s="1" t="str">
        <f>Sum(AA2:AA5)</f>
      </c>
      <c r="AB6" s="1" t="str">
        <f>Sum(AB2:AB5)</f>
      </c>
      <c r="AC6" s="1" t="str">
        <f>Sum(AC2:AC5)</f>
      </c>
      <c r="AD6" s="1" t="str">
        <f>Sum(AD2:AD5)</f>
      </c>
      <c r="AE6" s="1" t="str">
        <f>Sum(AE2:AE5)</f>
      </c>
      <c r="AF6" s="1" t="str">
        <f>Sum(AF2:AF5)</f>
      </c>
      <c r="AG6" s="1" t="str">
        <f>Sum(AG2:AG5)</f>
      </c>
      <c r="AH6" s="1" t="str">
        <f>Sum(AH2:AH5)</f>
      </c>
      <c r="AI6" s="1" t="str">
        <f>Sum(AI2:AI5)</f>
      </c>
      <c r="AJ6" s="1" t="str">
        <f>Sum(AJ2:AJ5)</f>
      </c>
      <c r="AK6" s="1" t="str">
        <f>Sum(AK2:AK5)</f>
      </c>
      <c r="AL6" s="1" t="str">
        <f>Sum(AL2:AL5)</f>
      </c>
      <c r="AM6" s="1" t="str">
        <f>Sum(AM2:AM5)</f>
      </c>
      <c r="AN6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31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32</v>
      </c>
      <c r="M2" s="2" t="n">
        <v>10216159711.7458</v>
      </c>
      <c r="N2" s="2" t="n">
        <v>11470879776.0852</v>
      </c>
      <c r="O2" s="2" t="n">
        <v>15128082687.2126</v>
      </c>
      <c r="P2" s="2" t="n">
        <v>16329003604.9103</v>
      </c>
      <c r="Q2" s="2" t="n">
        <v>10640277474.8407</v>
      </c>
      <c r="R2" s="2" t="n">
        <v>14405086743.2375</v>
      </c>
      <c r="S2" s="2" t="n">
        <v>22954940532.9395</v>
      </c>
      <c r="T2" s="2" t="n">
        <v>44503521028.502</v>
      </c>
      <c r="U2" s="2" t="n">
        <v>51761064040.5969</v>
      </c>
      <c r="V2" s="2" t="n">
        <v>43840460241.4517</v>
      </c>
      <c r="W2" s="2" t="n">
        <v>45384180577.6074</v>
      </c>
      <c r="X2" s="2" t="n">
        <v>42607284482.0355</v>
      </c>
      <c r="Y2" s="2" t="n">
        <v>40880978031.9413</v>
      </c>
      <c r="Z2" s="2" t="n">
        <v>37609975905.8345</v>
      </c>
      <c r="AA2" s="2" t="n">
        <v>47928691565.8346</v>
      </c>
      <c r="AB2" s="2" t="n">
        <v>45762701295.1843</v>
      </c>
      <c r="AC2" s="2" t="n">
        <v>44252676224.0787</v>
      </c>
      <c r="AD2" s="2" t="n">
        <v>45089613129.0173</v>
      </c>
      <c r="AE2" s="2" t="n">
        <v>46692376996.1801</v>
      </c>
      <c r="AF2" s="2" t="n">
        <v>41012614141.468</v>
      </c>
      <c r="AG2" s="2" t="n">
        <v>48710848386.5919</v>
      </c>
      <c r="AH2" s="2" t="n">
        <v>52989181266.7215</v>
      </c>
      <c r="AI2" s="2" t="n">
        <v>57707962671.4197</v>
      </c>
      <c r="AJ2" s="2" t="n">
        <v>65153130887.0962</v>
      </c>
      <c r="AK2" s="2" t="n">
        <v>85876820161.8683</v>
      </c>
      <c r="AL2" s="2" t="n">
        <v>37411273696.26</v>
      </c>
      <c r="AM2" s="2"/>
      <c r="AN2" s="2"/>
    </row>
    <row r="3">
      <c r="A3" t="str">
        <f>L3</f>
      </c>
      <c r="L3" t="s">
        <v>33</v>
      </c>
      <c r="M3" s="2" t="n">
        <v>6985442439.8992</v>
      </c>
      <c r="N3" s="2" t="n">
        <v>9890871589.2792</v>
      </c>
      <c r="O3" s="2" t="n">
        <v>14090420266.5989</v>
      </c>
      <c r="P3" s="2" t="n">
        <v>15568771056.0097</v>
      </c>
      <c r="Q3" s="2" t="n">
        <v>16900402198.8329</v>
      </c>
      <c r="R3" s="2" t="n">
        <v>22031233692.4653</v>
      </c>
      <c r="S3" s="2" t="n">
        <v>29551417891.009</v>
      </c>
      <c r="T3" s="2" t="n">
        <v>62791654469.3294</v>
      </c>
      <c r="U3" s="2" t="n">
        <v>79519495941.2923</v>
      </c>
      <c r="V3" s="2" t="n">
        <v>87203554516.8599</v>
      </c>
      <c r="W3" s="2" t="n">
        <v>83506131909.3432</v>
      </c>
      <c r="X3" s="2" t="n">
        <v>79337697735.5252</v>
      </c>
      <c r="Y3" s="2" t="n">
        <v>81545577018.8771</v>
      </c>
      <c r="Z3" s="2" t="n">
        <v>66295375545.9883</v>
      </c>
      <c r="AA3" s="2" t="n">
        <v>57125810819.1979</v>
      </c>
      <c r="AB3" s="2" t="n">
        <v>58294067616.0912</v>
      </c>
      <c r="AC3" s="2" t="n">
        <v>65874119612.5651</v>
      </c>
      <c r="AD3" s="2" t="n">
        <v>75216169245.7628</v>
      </c>
      <c r="AE3" s="2" t="n">
        <v>83195754157.4856</v>
      </c>
      <c r="AF3" s="2" t="n">
        <v>92450320102.3964</v>
      </c>
      <c r="AG3" s="2" t="n">
        <v>121904661011.545</v>
      </c>
      <c r="AH3" s="2" t="n">
        <v>83996694295.3114</v>
      </c>
      <c r="AI3" s="2" t="n">
        <v>89241902680.6967</v>
      </c>
      <c r="AJ3" s="2" t="n">
        <v>93936629980.5425</v>
      </c>
      <c r="AK3" s="2" t="n">
        <v>86649836431.8912</v>
      </c>
      <c r="AL3" s="2" t="n">
        <v>33649158711.74</v>
      </c>
      <c r="AM3" s="2"/>
      <c r="AN3" s="2"/>
    </row>
    <row r="4">
      <c r="A4" t="str">
        <f>L4</f>
      </c>
      <c r="L4" t="s">
        <v>34</v>
      </c>
      <c r="M4" s="2" t="n">
        <v>8230807095.714</v>
      </c>
      <c r="N4" s="2" t="n">
        <v>10560451597.8689</v>
      </c>
      <c r="O4" s="2" t="n">
        <v>13764099457.4384</v>
      </c>
      <c r="P4" s="2" t="n">
        <v>17891792040.2701</v>
      </c>
      <c r="Q4" s="2" t="n">
        <v>23817612543.4739</v>
      </c>
      <c r="R4" s="2" t="n">
        <v>24519010882.5346</v>
      </c>
      <c r="S4" s="2" t="n">
        <v>30808334005.8803</v>
      </c>
      <c r="T4" s="2" t="n">
        <v>61455757363.1546</v>
      </c>
      <c r="U4" s="2" t="n">
        <v>78686085720.5173</v>
      </c>
      <c r="V4" s="2" t="n">
        <v>83141720122.6335</v>
      </c>
      <c r="W4" s="2" t="n">
        <v>83740172441.5912</v>
      </c>
      <c r="X4" s="2" t="n">
        <v>83522004495.7916</v>
      </c>
      <c r="Y4" s="2" t="n">
        <v>82436300526.8215</v>
      </c>
      <c r="Z4" s="2" t="n">
        <v>84128476760.5834</v>
      </c>
      <c r="AA4" s="2" t="n">
        <v>76773133981.4242</v>
      </c>
      <c r="AB4" s="2" t="n">
        <v>77540220680.1836</v>
      </c>
      <c r="AC4" s="2" t="n">
        <v>86565555062.5251</v>
      </c>
      <c r="AD4" s="2" t="n">
        <v>88150173817.1372</v>
      </c>
      <c r="AE4" s="2" t="n">
        <v>102225928221.144</v>
      </c>
      <c r="AF4" s="2" t="n">
        <v>107929740369.752</v>
      </c>
      <c r="AG4" s="2" t="n">
        <v>106695511180.549</v>
      </c>
      <c r="AH4" s="2" t="n">
        <v>97070013500.8136</v>
      </c>
      <c r="AI4" s="2" t="n">
        <v>109501283943.375</v>
      </c>
      <c r="AJ4" s="2" t="n">
        <v>124863339117.665</v>
      </c>
      <c r="AK4" s="2" t="n">
        <v>122929712498.62</v>
      </c>
      <c r="AL4" s="2" t="n">
        <v>38136666576.3</v>
      </c>
      <c r="AM4" s="2"/>
      <c r="AN4" s="2"/>
    </row>
    <row r="5">
      <c r="A5" t="str">
        <f>L5</f>
      </c>
      <c r="L5" t="s">
        <v>35</v>
      </c>
      <c r="M5" s="2" t="n">
        <v>10095602751.7792</v>
      </c>
      <c r="N5" s="2" t="n">
        <v>10053401989.3701</v>
      </c>
      <c r="O5" s="2" t="n">
        <v>14832650820.3911</v>
      </c>
      <c r="P5" s="2" t="n">
        <v>15303206438.2715</v>
      </c>
      <c r="Q5" s="2" t="n">
        <v>17117682142.989</v>
      </c>
      <c r="R5" s="2" t="n">
        <v>24244423723.9112</v>
      </c>
      <c r="S5" s="2" t="n">
        <v>30422948937.0949</v>
      </c>
      <c r="T5" s="2" t="n">
        <v>49965982281.4677</v>
      </c>
      <c r="U5" s="2" t="n">
        <v>56076217420.461</v>
      </c>
      <c r="V5" s="2" t="n">
        <v>63047305635.9184</v>
      </c>
      <c r="W5" s="2" t="n">
        <v>63841403220.4104</v>
      </c>
      <c r="X5" s="2" t="n">
        <v>66290519510.1948</v>
      </c>
      <c r="Y5" s="2" t="n">
        <v>60546730781.8537</v>
      </c>
      <c r="Z5" s="2" t="n">
        <v>40828118931.0142</v>
      </c>
      <c r="AA5" s="2" t="n">
        <v>38180041426.8094</v>
      </c>
      <c r="AB5" s="2" t="n">
        <v>39936359927.7054</v>
      </c>
      <c r="AC5" s="2" t="n">
        <v>39339281783.5481</v>
      </c>
      <c r="AD5" s="2" t="n">
        <v>54812025130.9456</v>
      </c>
      <c r="AE5" s="2" t="n">
        <v>49337487092.061</v>
      </c>
      <c r="AF5" s="2" t="n">
        <v>47963331669.6968</v>
      </c>
      <c r="AG5" s="2" t="n">
        <v>54339332990.9159</v>
      </c>
      <c r="AH5" s="2" t="n">
        <v>53909110557.1904</v>
      </c>
      <c r="AI5" s="2" t="n">
        <v>54380754881.1247</v>
      </c>
      <c r="AJ5" s="2" t="n">
        <v>58412714280.4301</v>
      </c>
      <c r="AK5" s="2" t="n">
        <v>43621235258.8636</v>
      </c>
      <c r="AL5" s="2" t="n">
        <v>17667064062.33</v>
      </c>
      <c r="AM5" s="2"/>
      <c r="AN5" s="2"/>
    </row>
    <row r="6">
      <c r="A6" t="str">
        <f>L6</f>
      </c>
      <c r="L6" t="s">
        <v>36</v>
      </c>
      <c r="M6" s="2" t="n">
        <v>20400191016.0788</v>
      </c>
      <c r="N6" s="2" t="n">
        <v>28192887528.8715</v>
      </c>
      <c r="O6" s="2" t="n">
        <v>41392123273.1324</v>
      </c>
      <c r="P6" s="2" t="n">
        <v>63099497608.3842</v>
      </c>
      <c r="Q6" s="2" t="n">
        <v>74249549129.6656</v>
      </c>
      <c r="R6" s="2" t="n">
        <v>87205228213.2689</v>
      </c>
      <c r="S6" s="2" t="n">
        <v>107244576467.908</v>
      </c>
      <c r="T6" s="2" t="n">
        <v>129145551661.045</v>
      </c>
      <c r="U6" s="2" t="n">
        <v>147003126895.036</v>
      </c>
      <c r="V6" s="2" t="n">
        <v>157879218654.289</v>
      </c>
      <c r="W6" s="2" t="n">
        <v>147185625884.609</v>
      </c>
      <c r="X6" s="2" t="n">
        <v>155657965433.714</v>
      </c>
      <c r="Y6" s="2" t="n">
        <v>156238033941.023</v>
      </c>
      <c r="Z6" s="2" t="n">
        <v>151438170103.653</v>
      </c>
      <c r="AA6" s="2" t="n">
        <v>141298320860.011</v>
      </c>
      <c r="AB6" s="2" t="n">
        <v>136418480997.38</v>
      </c>
      <c r="AC6" s="2" t="n">
        <v>152804456517.66</v>
      </c>
      <c r="AD6" s="2" t="n">
        <v>162247845114.868</v>
      </c>
      <c r="AE6" s="2" t="n">
        <v>182028332913.059</v>
      </c>
      <c r="AF6" s="2" t="n">
        <v>209652048453.283</v>
      </c>
      <c r="AG6" s="2" t="n">
        <v>230139772648.291</v>
      </c>
      <c r="AH6" s="2" t="n">
        <v>233704997302.719</v>
      </c>
      <c r="AI6" s="2" t="n">
        <v>260036287194.898</v>
      </c>
      <c r="AJ6" s="2" t="n">
        <v>302690161066.755</v>
      </c>
      <c r="AK6" s="2" t="n">
        <v>301691029042.944</v>
      </c>
      <c r="AL6" s="2" t="n">
        <v>140754397445.51</v>
      </c>
      <c r="AM6" s="2"/>
      <c r="AN6" s="2"/>
    </row>
    <row r="7">
      <c r="A7" t="str">
        <f>L7</f>
      </c>
      <c r="L7" t="s">
        <v>37</v>
      </c>
      <c r="M7" s="2" t="n">
        <v>11219704324.6334</v>
      </c>
      <c r="N7" s="2" t="n">
        <v>13495054409.5492</v>
      </c>
      <c r="O7" s="2" t="n">
        <v>18929268365.3096</v>
      </c>
      <c r="P7" s="2" t="n">
        <v>24942342232.2954</v>
      </c>
      <c r="Q7" s="2" t="n">
        <v>26440303923.5798</v>
      </c>
      <c r="R7" s="2" t="n">
        <v>28406533255.6492</v>
      </c>
      <c r="S7" s="2" t="n">
        <v>36465739626.2993</v>
      </c>
      <c r="T7" s="2" t="n">
        <v>61066011643.481</v>
      </c>
      <c r="U7" s="2" t="n">
        <v>73900234358.177</v>
      </c>
      <c r="V7" s="2" t="n">
        <v>85713966187.7007</v>
      </c>
      <c r="W7" s="2" t="n">
        <v>92227270715.9696</v>
      </c>
      <c r="X7" s="2" t="n">
        <v>93883613027.3615</v>
      </c>
      <c r="Y7" s="2" t="n">
        <v>87990243664.0848</v>
      </c>
      <c r="Z7" s="2" t="n">
        <v>73353230670.7415</v>
      </c>
      <c r="AA7" s="2" t="n">
        <v>75625845071.6703</v>
      </c>
      <c r="AB7" s="2" t="n">
        <v>71361026086.5685</v>
      </c>
      <c r="AC7" s="2" t="n">
        <v>72859782183.7295</v>
      </c>
      <c r="AD7" s="2" t="n">
        <v>74764830378.1765</v>
      </c>
      <c r="AE7" s="2" t="n">
        <v>82042945183.2896</v>
      </c>
      <c r="AF7" s="2" t="n">
        <v>80033274016.7934</v>
      </c>
      <c r="AG7" s="2" t="n">
        <v>96024135052.4401</v>
      </c>
      <c r="AH7" s="2" t="n">
        <v>111507970930.936</v>
      </c>
      <c r="AI7" s="2" t="n">
        <v>109658800460.662</v>
      </c>
      <c r="AJ7" s="2" t="n">
        <v>101868909703.6</v>
      </c>
      <c r="AK7" s="2" t="n">
        <v>99625721827.9041</v>
      </c>
      <c r="AL7" s="2" t="n">
        <v>40907315267.65</v>
      </c>
      <c r="AM7" s="2"/>
      <c r="AN7" s="2"/>
    </row>
    <row r="8">
      <c r="A8" t="str">
        <f>L8</f>
      </c>
      <c r="L8"/>
      <c r="M8" s="2" t="n">
        <v>138474103616.301</v>
      </c>
      <c r="N8" s="2" t="n">
        <v>139458568080.44</v>
      </c>
      <c r="O8" s="2" t="n">
        <v>146042896696.826</v>
      </c>
      <c r="P8" s="2" t="n">
        <v>166400020576.104</v>
      </c>
      <c r="Q8" s="2" t="n">
        <v>170208535472.235</v>
      </c>
      <c r="R8" s="2" t="n">
        <v>190610205663.644</v>
      </c>
      <c r="S8" s="2" t="n">
        <v>173702736266.629</v>
      </c>
      <c r="T8" s="2" t="n">
        <v>60903971940.117</v>
      </c>
      <c r="U8" s="2" t="n">
        <v>41378588042.1519</v>
      </c>
      <c r="V8" s="2" t="n">
        <v>34393403054.9144</v>
      </c>
      <c r="W8" s="2" t="n">
        <v>45576895729.3422</v>
      </c>
      <c r="X8" s="2" t="n">
        <v>18982374013.9037</v>
      </c>
      <c r="Y8" s="2" t="n">
        <v>11564944015.603</v>
      </c>
      <c r="Z8" s="2" t="n">
        <v>10348939649.3136</v>
      </c>
      <c r="AA8" s="2" t="n">
        <v>9567493863.5743</v>
      </c>
      <c r="AB8" s="2" t="n">
        <v>10925624060.5162</v>
      </c>
      <c r="AC8" s="2" t="n">
        <v>14124017358.0099</v>
      </c>
      <c r="AD8" s="2" t="n">
        <v>10830690576.3624</v>
      </c>
      <c r="AE8" s="2" t="n">
        <v>10827353969.7173</v>
      </c>
      <c r="AF8" s="2" t="n">
        <v>11013395797.6725</v>
      </c>
      <c r="AG8" s="2" t="n">
        <v>13948621206.2322</v>
      </c>
      <c r="AH8" s="2" t="n">
        <v>12615505929.7909</v>
      </c>
      <c r="AI8" s="2" t="n">
        <v>14230627815.8941</v>
      </c>
      <c r="AJ8" s="2" t="n">
        <v>14157146222.651</v>
      </c>
      <c r="AK8" s="2" t="n">
        <v>15458619851.49</v>
      </c>
      <c r="AL8" s="2" t="n">
        <v>6483538739.43</v>
      </c>
      <c r="AM8" s="2"/>
      <c r="AN8" s="2"/>
    </row>
    <row r="9">
      <c r="A9" t="str">
        <f>L9</f>
      </c>
      <c r="L9" t="s">
        <v>30</v>
      </c>
      <c r="M9" s="2" t="str">
        <f>Sum(M2:M8)</f>
      </c>
      <c r="N9" s="2" t="str">
        <f>Sum(N2:N8)</f>
      </c>
      <c r="O9" s="2" t="str">
        <f>Sum(O2:O8)</f>
      </c>
      <c r="P9" s="2" t="str">
        <f>Sum(P2:P8)</f>
      </c>
      <c r="Q9" s="2" t="str">
        <f>Sum(Q2:Q8)</f>
      </c>
      <c r="R9" s="2" t="str">
        <f>Sum(R2:R8)</f>
      </c>
      <c r="S9" s="2" t="str">
        <f>Sum(S2:S8)</f>
      </c>
      <c r="T9" s="2" t="str">
        <f>Sum(T2:T8)</f>
      </c>
      <c r="U9" s="2" t="str">
        <f>Sum(U2:U8)</f>
      </c>
      <c r="V9" s="2" t="str">
        <f>Sum(V2:V8)</f>
      </c>
      <c r="W9" s="2" t="str">
        <f>Sum(W2:W8)</f>
      </c>
      <c r="X9" s="2" t="str">
        <f>Sum(X2:X8)</f>
      </c>
      <c r="Y9" s="2" t="str">
        <f>Sum(Y2:Y8)</f>
      </c>
      <c r="Z9" s="2" t="str">
        <f>Sum(Z2:Z8)</f>
      </c>
      <c r="AA9" s="2" t="str">
        <f>Sum(AA2:AA8)</f>
      </c>
      <c r="AB9" s="2" t="str">
        <f>Sum(AB2:AB8)</f>
      </c>
      <c r="AC9" s="2" t="str">
        <f>Sum(AC2:AC8)</f>
      </c>
      <c r="AD9" s="2" t="str">
        <f>Sum(AD2:AD8)</f>
      </c>
      <c r="AE9" s="2" t="str">
        <f>Sum(AE2:AE8)</f>
      </c>
      <c r="AF9" s="2" t="str">
        <f>Sum(AF2:AF8)</f>
      </c>
      <c r="AG9" s="2" t="str">
        <f>Sum(AG2:AG8)</f>
      </c>
      <c r="AH9" s="2" t="str">
        <f>Sum(AH2:AH8)</f>
      </c>
      <c r="AI9" s="2" t="str">
        <f>Sum(AI2:AI8)</f>
      </c>
      <c r="AJ9" s="2" t="str">
        <f>Sum(AJ2:AJ8)</f>
      </c>
      <c r="AK9" s="2" t="str">
        <f>Sum(AK2:AK8)</f>
      </c>
      <c r="AL9" s="2" t="str">
        <f>Sum(AL2:AL8)</f>
      </c>
      <c r="AM9" s="2" t="str">
        <f>Sum(AM2:AM8)</f>
      </c>
      <c r="AN9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38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39</v>
      </c>
      <c r="M2" s="4" t="n">
        <v>77209963239.5589</v>
      </c>
      <c r="N2" s="4" t="n">
        <v>81023725208.4089</v>
      </c>
      <c r="O2" s="4" t="n">
        <v>93701521775.6367</v>
      </c>
      <c r="P2" s="4" t="n">
        <v>113992773207.164</v>
      </c>
      <c r="Q2" s="4" t="n">
        <v>126533837213.505</v>
      </c>
      <c r="R2" s="4" t="n">
        <v>153785526372.63</v>
      </c>
      <c r="S2" s="4" t="n">
        <v>169433432952.21</v>
      </c>
      <c r="T2" s="4" t="n">
        <v>194940090836.611</v>
      </c>
      <c r="U2" s="4" t="n">
        <v>227458604205.259</v>
      </c>
      <c r="V2" s="4" t="n">
        <v>216734893026.638</v>
      </c>
      <c r="W2" s="4" t="n">
        <v>223429729645.196</v>
      </c>
      <c r="X2" s="4" t="n">
        <v>216436840941.742</v>
      </c>
      <c r="Y2" s="4" t="n">
        <v>212000234344.373</v>
      </c>
      <c r="Z2" s="4" t="n">
        <v>184390790220.369</v>
      </c>
      <c r="AA2" s="4" t="n">
        <v>165233837295.978</v>
      </c>
      <c r="AB2" s="4" t="n">
        <v>165710505206.702</v>
      </c>
      <c r="AC2" s="4" t="n">
        <v>186444096716.678</v>
      </c>
      <c r="AD2" s="4" t="n">
        <v>202554309259.94</v>
      </c>
      <c r="AE2" s="4" t="n">
        <v>221978341587.953</v>
      </c>
      <c r="AF2" s="4" t="n">
        <v>232862443370.864</v>
      </c>
      <c r="AG2" s="4" t="n">
        <v>275544755105.228</v>
      </c>
      <c r="AH2" s="4" t="n">
        <v>245171378402.656</v>
      </c>
      <c r="AI2" s="4" t="n">
        <v>259219800272.228</v>
      </c>
      <c r="AJ2" s="4" t="n">
        <v>282352899054.911</v>
      </c>
      <c r="AK2" s="4" t="n">
        <v>258968488655.745</v>
      </c>
      <c r="AL2" s="4" t="n">
        <v>119615403916.79</v>
      </c>
      <c r="AM2" s="4"/>
      <c r="AN2" s="4"/>
    </row>
    <row r="3">
      <c r="A3" t="str">
        <f>L3</f>
      </c>
      <c r="L3" t="s">
        <v>40</v>
      </c>
      <c r="M3" s="4" t="n">
        <v>37907998676.9199</v>
      </c>
      <c r="N3" s="4" t="n">
        <v>40015074784.8382</v>
      </c>
      <c r="O3" s="4" t="n">
        <v>45996165970.9185</v>
      </c>
      <c r="P3" s="4" t="n">
        <v>56866629764.9995</v>
      </c>
      <c r="Q3" s="4" t="n">
        <v>53014017227.6803</v>
      </c>
      <c r="R3" s="4" t="n">
        <v>58002563514.1113</v>
      </c>
      <c r="S3" s="4" t="n">
        <v>62516019209.3957</v>
      </c>
      <c r="T3" s="4" t="n">
        <v>66212906059.7004</v>
      </c>
      <c r="U3" s="4" t="n">
        <v>67780181248.6668</v>
      </c>
      <c r="V3" s="4" t="n">
        <v>74511868964.1402</v>
      </c>
      <c r="W3" s="4" t="n">
        <v>71911949967.9083</v>
      </c>
      <c r="X3" s="4" t="n">
        <v>68381095430.8067</v>
      </c>
      <c r="Y3" s="4" t="n">
        <v>63231719784.4355</v>
      </c>
      <c r="Z3" s="4" t="n">
        <v>56136644328.7951</v>
      </c>
      <c r="AA3" s="4" t="n">
        <v>54623686051.8655</v>
      </c>
      <c r="AB3" s="4" t="n">
        <v>52802051831.9288</v>
      </c>
      <c r="AC3" s="4" t="n">
        <v>57230702692.3154</v>
      </c>
      <c r="AD3" s="4" t="n">
        <v>55012244634.7711</v>
      </c>
      <c r="AE3" s="4" t="n">
        <v>56697645738.795</v>
      </c>
      <c r="AF3" s="4" t="n">
        <v>58913395511.8316</v>
      </c>
      <c r="AG3" s="4" t="n">
        <v>66465729448.7832</v>
      </c>
      <c r="AH3" s="4" t="n">
        <v>64811965641.8319</v>
      </c>
      <c r="AI3" s="4" t="n">
        <v>70872340864.282</v>
      </c>
      <c r="AJ3" s="4" t="n">
        <v>85368116263.3445</v>
      </c>
      <c r="AK3" s="4" t="n">
        <v>84467347148.31</v>
      </c>
      <c r="AL3" s="4" t="n">
        <v>33751376876.37</v>
      </c>
      <c r="AM3" s="4"/>
      <c r="AN3" s="4"/>
    </row>
    <row r="4">
      <c r="A4" t="str">
        <f>L4</f>
      </c>
      <c r="L4" t="s">
        <v>41</v>
      </c>
      <c r="M4" s="4" t="n">
        <v>90353035827.1973</v>
      </c>
      <c r="N4" s="4" t="n">
        <v>101675675801.441</v>
      </c>
      <c r="O4" s="4" t="n">
        <v>123816023448.696</v>
      </c>
      <c r="P4" s="4" t="n">
        <v>148000886190.949</v>
      </c>
      <c r="Q4" s="4" t="n">
        <v>159480292264.366</v>
      </c>
      <c r="R4" s="4" t="n">
        <v>179196752211.647</v>
      </c>
      <c r="S4" s="4" t="n">
        <v>198674485375.33</v>
      </c>
      <c r="T4" s="4" t="n">
        <v>208367533841.747</v>
      </c>
      <c r="U4" s="4" t="n">
        <v>232877942952.899</v>
      </c>
      <c r="V4" s="4" t="n">
        <v>263864886543.128</v>
      </c>
      <c r="W4" s="4" t="n">
        <v>266086488879.046</v>
      </c>
      <c r="X4" s="4" t="n">
        <v>255461137161.032</v>
      </c>
      <c r="Y4" s="4" t="n">
        <v>245974425443.479</v>
      </c>
      <c r="Z4" s="4" t="n">
        <v>223482192647.734</v>
      </c>
      <c r="AA4" s="4" t="n">
        <v>226641990614.828</v>
      </c>
      <c r="AB4" s="4" t="n">
        <v>221726694679.714</v>
      </c>
      <c r="AC4" s="4" t="n">
        <v>232140317217.41</v>
      </c>
      <c r="AD4" s="4" t="n">
        <v>253544561161.251</v>
      </c>
      <c r="AE4" s="4" t="n">
        <v>277674435721.708</v>
      </c>
      <c r="AF4" s="4" t="n">
        <v>298278848557.276</v>
      </c>
      <c r="AG4" s="4" t="n">
        <v>329752384888.643</v>
      </c>
      <c r="AH4" s="4" t="n">
        <v>335809813571.445</v>
      </c>
      <c r="AI4" s="4" t="n">
        <v>364665521250.831</v>
      </c>
      <c r="AJ4" s="4" t="n">
        <v>393361021997.104</v>
      </c>
      <c r="AK4" s="4" t="n">
        <v>412413437419.756</v>
      </c>
      <c r="AL4" s="4" t="n">
        <v>161636851971.98</v>
      </c>
      <c r="AM4" s="4"/>
      <c r="AN4" s="4"/>
    </row>
    <row r="5">
      <c r="A5" t="str">
        <f>L5</f>
      </c>
      <c r="L5" t="s">
        <v>42</v>
      </c>
      <c r="M5" s="4" t="n">
        <v>151013212.4752</v>
      </c>
      <c r="N5" s="4" t="n">
        <v>407639176.776</v>
      </c>
      <c r="O5" s="4" t="n">
        <v>665830371.6575</v>
      </c>
      <c r="P5" s="4" t="n">
        <v>674344393.1326</v>
      </c>
      <c r="Q5" s="4" t="n">
        <v>346216180.0659</v>
      </c>
      <c r="R5" s="4" t="n">
        <v>436880076.3231</v>
      </c>
      <c r="S5" s="4" t="n">
        <v>526756190.8234</v>
      </c>
      <c r="T5" s="4" t="n">
        <v>311919649.0391</v>
      </c>
      <c r="U5" s="4" t="n">
        <v>208084011.4077</v>
      </c>
      <c r="V5" s="4" t="n">
        <v>107979879.8621</v>
      </c>
      <c r="W5" s="4" t="n">
        <v>33511986.7222</v>
      </c>
      <c r="X5" s="4" t="n">
        <v>2385164.9461</v>
      </c>
      <c r="Y5" s="4" t="n">
        <v>-3571592.0831</v>
      </c>
      <c r="Z5" s="4" t="n">
        <v>-7339629.7706</v>
      </c>
      <c r="AA5" s="4" t="n">
        <v>-176374.15</v>
      </c>
      <c r="AB5" s="4" t="n">
        <v>-771054.7156</v>
      </c>
      <c r="AC5" s="4" t="n">
        <v>4772115.7133</v>
      </c>
      <c r="AD5" s="4" t="n">
        <v>232336.3083</v>
      </c>
      <c r="AE5" s="4" t="n">
        <v>-244515.52</v>
      </c>
      <c r="AF5" s="4" t="n">
        <v>37111.09</v>
      </c>
      <c r="AG5" s="4" t="n">
        <v>13033.91</v>
      </c>
      <c r="AH5" s="4" t="n">
        <v>316167.55</v>
      </c>
      <c r="AI5" s="4" t="n">
        <v>-42739.27</v>
      </c>
      <c r="AJ5" s="4" t="n">
        <v>-6056.62</v>
      </c>
      <c r="AK5" s="4" t="n">
        <v>3701849.77</v>
      </c>
      <c r="AL5" s="4" t="n">
        <v>5781734.08</v>
      </c>
      <c r="AM5" s="4"/>
      <c r="AN5" s="4"/>
    </row>
    <row r="6">
      <c r="A6" t="str">
        <f>L6</f>
      </c>
      <c r="L6" t="s">
        <v>30</v>
      </c>
      <c r="M6" s="4" t="str">
        <f>Sum(M2:M5)</f>
      </c>
      <c r="N6" s="4" t="str">
        <f>Sum(N2:N5)</f>
      </c>
      <c r="O6" s="4" t="str">
        <f>Sum(O2:O5)</f>
      </c>
      <c r="P6" s="4" t="str">
        <f>Sum(P2:P5)</f>
      </c>
      <c r="Q6" s="4" t="str">
        <f>Sum(Q2:Q5)</f>
      </c>
      <c r="R6" s="4" t="str">
        <f>Sum(R2:R5)</f>
      </c>
      <c r="S6" s="4" t="str">
        <f>Sum(S2:S5)</f>
      </c>
      <c r="T6" s="4" t="str">
        <f>Sum(T2:T5)</f>
      </c>
      <c r="U6" s="4" t="str">
        <f>Sum(U2:U5)</f>
      </c>
      <c r="V6" s="4" t="str">
        <f>Sum(V2:V5)</f>
      </c>
      <c r="W6" s="4" t="str">
        <f>Sum(W2:W5)</f>
      </c>
      <c r="X6" s="4" t="str">
        <f>Sum(X2:X5)</f>
      </c>
      <c r="Y6" s="4" t="str">
        <f>Sum(Y2:Y5)</f>
      </c>
      <c r="Z6" s="4" t="str">
        <f>Sum(Z2:Z5)</f>
      </c>
      <c r="AA6" s="4" t="str">
        <f>Sum(AA2:AA5)</f>
      </c>
      <c r="AB6" s="4" t="str">
        <f>Sum(AB2:AB5)</f>
      </c>
      <c r="AC6" s="4" t="str">
        <f>Sum(AC2:AC5)</f>
      </c>
      <c r="AD6" s="4" t="str">
        <f>Sum(AD2:AD5)</f>
      </c>
      <c r="AE6" s="4" t="str">
        <f>Sum(AE2:AE5)</f>
      </c>
      <c r="AF6" s="4" t="str">
        <f>Sum(AF2:AF5)</f>
      </c>
      <c r="AG6" s="4" t="str">
        <f>Sum(AG2:AG5)</f>
      </c>
      <c r="AH6" s="4" t="str">
        <f>Sum(AH2:AH5)</f>
      </c>
      <c r="AI6" s="4" t="str">
        <f>Sum(AI2:AI5)</f>
      </c>
      <c r="AJ6" s="4" t="str">
        <f>Sum(AJ2:AJ5)</f>
      </c>
      <c r="AK6" s="4" t="str">
        <f>Sum(AK2:AK5)</f>
      </c>
      <c r="AL6" s="4" t="str">
        <f>Sum(AL2:AL5)</f>
      </c>
      <c r="AM6" s="4" t="str">
        <f>Sum(AM2:AM5)</f>
      </c>
      <c r="AN6" s="4"/>
    </row>
    <row r="9">
      <c r="A9" t="str">
        <f>L9</f>
      </c>
      <c r="B9" t="str">
        <f>AG9</f>
      </c>
      <c r="C9" t="str">
        <f>AJ9</f>
      </c>
      <c r="D9" t="str">
        <f>AK9</f>
      </c>
      <c r="E9" t="str">
        <f>AL9</f>
      </c>
      <c r="F9" t="str">
        <f>AJ9&amp;"-"&amp;AK9</f>
      </c>
      <c r="G9" t="str">
        <f>AG9&amp;"-"&amp;AK9</f>
      </c>
      <c r="H9" t="str">
        <f>AL9&amp;"/"&amp;AK9</f>
      </c>
      <c r="I9" t="str">
        <f>"Share "&amp;AK9</f>
      </c>
      <c r="J9" t="str">
        <f>"Share "&amp;AL9</f>
      </c>
      <c r="L9" t="s">
        <v>38</v>
      </c>
      <c r="M9" t="s">
        <v>1</v>
      </c>
      <c r="N9" t="s">
        <v>2</v>
      </c>
      <c r="O9" t="s">
        <v>3</v>
      </c>
      <c r="P9" t="s">
        <v>4</v>
      </c>
      <c r="Q9" t="s">
        <v>5</v>
      </c>
      <c r="R9" t="s">
        <v>6</v>
      </c>
      <c r="S9" t="s">
        <v>7</v>
      </c>
      <c r="T9" t="s">
        <v>8</v>
      </c>
      <c r="U9" t="s">
        <v>9</v>
      </c>
      <c r="V9" t="s">
        <v>10</v>
      </c>
      <c r="W9" t="s">
        <v>11</v>
      </c>
      <c r="X9" t="s">
        <v>12</v>
      </c>
      <c r="Y9" t="s">
        <v>13</v>
      </c>
      <c r="Z9" t="s">
        <v>14</v>
      </c>
      <c r="AA9" t="s">
        <v>15</v>
      </c>
      <c r="AB9" t="s">
        <v>16</v>
      </c>
      <c r="AC9" t="s">
        <v>17</v>
      </c>
      <c r="AD9" t="s">
        <v>18</v>
      </c>
      <c r="AE9" t="s">
        <v>19</v>
      </c>
      <c r="AF9" t="s">
        <v>20</v>
      </c>
      <c r="AG9" t="s">
        <v>21</v>
      </c>
      <c r="AH9" t="s">
        <v>22</v>
      </c>
      <c r="AI9" t="s">
        <v>23</v>
      </c>
      <c r="AJ9" t="s">
        <v>24</v>
      </c>
      <c r="AK9" t="s">
        <v>25</v>
      </c>
      <c r="AL9" t="s">
        <v>26</v>
      </c>
    </row>
    <row r="10">
      <c r="A10" t="str">
        <f>L10</f>
      </c>
      <c r="B10" s="4" t="str">
        <f>AG10</f>
      </c>
      <c r="C10" s="4" t="str">
        <f>AJ10</f>
      </c>
      <c r="D10" s="4" t="str">
        <f>AK10</f>
      </c>
      <c r="E10" s="4" t="str">
        <f>AL10</f>
      </c>
      <c r="F10" s="3" t="str">
        <f>AK10/AJ10-1</f>
      </c>
      <c r="G10" s="3" t="str">
        <f>AK10/AG10-1</f>
      </c>
      <c r="H10" s="3" t="str">
        <f>AL10/AK10</f>
      </c>
      <c r="I10" s="3" t="str">
        <f>AK10/Sum(AK$9:AK$13)</f>
      </c>
      <c r="J10" s="3" t="str">
        <f>AL10/Sum(AL9:AL$13)</f>
      </c>
      <c r="L10" t="s">
        <v>39</v>
      </c>
      <c r="M10" s="4" t="n">
        <v>129803335747.524</v>
      </c>
      <c r="N10" s="4" t="n">
        <v>132991342350.475</v>
      </c>
      <c r="O10" s="4" t="n">
        <v>151418384520.96</v>
      </c>
      <c r="P10" s="4" t="n">
        <v>180739028660.937</v>
      </c>
      <c r="Q10" s="4" t="n">
        <v>195841074037.306</v>
      </c>
      <c r="R10" s="4" t="n">
        <v>230990515743.227</v>
      </c>
      <c r="S10" s="4" t="n">
        <v>246487178550.761</v>
      </c>
      <c r="T10" s="4" t="n">
        <v>275995556647.2</v>
      </c>
      <c r="U10" s="4" t="n">
        <v>315485419885.222</v>
      </c>
      <c r="V10" s="4" t="n">
        <v>297568646683.17</v>
      </c>
      <c r="W10" s="4" t="n">
        <v>304126528632.833</v>
      </c>
      <c r="X10" s="4" t="n">
        <v>288811162993.72</v>
      </c>
      <c r="Y10" s="4" t="n">
        <v>277849136958.707</v>
      </c>
      <c r="Z10" s="4" t="n">
        <v>237357205045.903</v>
      </c>
      <c r="AA10" s="4" t="n">
        <v>208886645806.82</v>
      </c>
      <c r="AB10" s="4" t="n">
        <v>207341957464.598</v>
      </c>
      <c r="AC10" s="4" t="n">
        <v>231434115272.921</v>
      </c>
      <c r="AD10" s="4" t="n">
        <v>247258045361.107</v>
      </c>
      <c r="AE10" s="4" t="n">
        <v>265084094584.184</v>
      </c>
      <c r="AF10" s="4" t="n">
        <v>273033507578.181</v>
      </c>
      <c r="AG10" s="4" t="n">
        <v>318912944445.884</v>
      </c>
      <c r="AH10" s="4" t="n">
        <v>274317783332.432</v>
      </c>
      <c r="AI10" s="4" t="n">
        <v>271078223418.326</v>
      </c>
      <c r="AJ10" s="4" t="n">
        <v>282352899054.911</v>
      </c>
      <c r="AK10" s="4" t="n">
        <v>252232373905.026</v>
      </c>
      <c r="AL10" s="4" t="n">
        <v>114002594914.643</v>
      </c>
      <c r="AM10" s="4"/>
      <c r="AN10" s="4"/>
    </row>
    <row r="11">
      <c r="A11" t="str">
        <f>L11</f>
      </c>
      <c r="B11" s="4" t="str">
        <f>AG11</f>
      </c>
      <c r="C11" s="4" t="str">
        <f>AJ11</f>
      </c>
      <c r="D11" s="4" t="str">
        <f>AK11</f>
      </c>
      <c r="E11" s="4" t="str">
        <f>AL11</f>
      </c>
      <c r="F11" s="3" t="str">
        <f>AK11/AJ11-1</f>
      </c>
      <c r="G11" s="3" t="str">
        <f>AK11/AG11-1</f>
      </c>
      <c r="H11" s="3" t="str">
        <f>AL11/AK11</f>
      </c>
      <c r="I11" s="3" t="str">
        <f>AK11/Sum(AK$9:AK$13)</f>
      </c>
      <c r="J11" s="3" t="str">
        <f>AL11/Sum(AL9:AL$13)</f>
      </c>
      <c r="L11" t="s">
        <v>40</v>
      </c>
      <c r="M11" s="4" t="n">
        <v>63729918695.9833</v>
      </c>
      <c r="N11" s="4" t="n">
        <v>65680249781.1837</v>
      </c>
      <c r="O11" s="4" t="n">
        <v>74328196741.0408</v>
      </c>
      <c r="P11" s="4" t="n">
        <v>90163780893.9735</v>
      </c>
      <c r="Q11" s="4" t="n">
        <v>82051744430.8806</v>
      </c>
      <c r="R11" s="4" t="n">
        <v>87121606152.2573</v>
      </c>
      <c r="S11" s="4" t="n">
        <v>90946614966.4537</v>
      </c>
      <c r="T11" s="4" t="n">
        <v>93744020466.7421</v>
      </c>
      <c r="U11" s="4" t="n">
        <v>94011211472.2881</v>
      </c>
      <c r="V11" s="4" t="n">
        <v>102301921485.101</v>
      </c>
      <c r="W11" s="4" t="n">
        <v>97884608935.8285</v>
      </c>
      <c r="X11" s="4" t="n">
        <v>91247052083.2988</v>
      </c>
      <c r="Y11" s="4" t="n">
        <v>82871978065.7477</v>
      </c>
      <c r="Z11" s="4" t="n">
        <v>72261944225.1667</v>
      </c>
      <c r="AA11" s="4" t="n">
        <v>69054612225.3415</v>
      </c>
      <c r="AB11" s="4" t="n">
        <v>66067511962.0389</v>
      </c>
      <c r="AC11" s="4" t="n">
        <v>71040796020.3266</v>
      </c>
      <c r="AD11" s="4" t="n">
        <v>67153447038.5653</v>
      </c>
      <c r="AE11" s="4" t="n">
        <v>67707705077.0207</v>
      </c>
      <c r="AF11" s="4" t="n">
        <v>69076536289.3581</v>
      </c>
      <c r="AG11" s="4" t="n">
        <v>76926818930.5948</v>
      </c>
      <c r="AH11" s="4" t="n">
        <v>72516926176.7811</v>
      </c>
      <c r="AI11" s="4" t="n">
        <v>74114509118.561</v>
      </c>
      <c r="AJ11" s="4" t="n">
        <v>85368116263.3445</v>
      </c>
      <c r="AK11" s="4" t="n">
        <v>82270239129.3641</v>
      </c>
      <c r="AL11" s="4" t="n">
        <v>32167634099.4086</v>
      </c>
      <c r="AM11" s="4"/>
      <c r="AN11" s="4"/>
    </row>
    <row r="12">
      <c r="A12" t="str">
        <f>L12</f>
      </c>
      <c r="B12" s="4" t="str">
        <f>AG12</f>
      </c>
      <c r="C12" s="4" t="str">
        <f>AJ12</f>
      </c>
      <c r="D12" s="4" t="str">
        <f>AK12</f>
      </c>
      <c r="E12" s="4" t="str">
        <f>AL12</f>
      </c>
      <c r="F12" s="3" t="str">
        <f>AK12/AJ12-1</f>
      </c>
      <c r="G12" s="3" t="str">
        <f>AK12/AG12-1</f>
      </c>
      <c r="H12" s="3" t="str">
        <f>AL12/AK12</f>
      </c>
      <c r="I12" s="3" t="str">
        <f>AK12/Sum(AK$9:AK$13)</f>
      </c>
      <c r="J12" s="3" t="str">
        <f>AL12/Sum(AL9:AL$13)</f>
      </c>
      <c r="L12" t="s">
        <v>41</v>
      </c>
      <c r="M12" s="4" t="n">
        <v>151899119662.796</v>
      </c>
      <c r="N12" s="4" t="n">
        <v>166889199113.52</v>
      </c>
      <c r="O12" s="4" t="n">
        <v>200082366786.977</v>
      </c>
      <c r="P12" s="4" t="n">
        <v>234659932016.015</v>
      </c>
      <c r="Q12" s="4" t="n">
        <v>246833514359.773</v>
      </c>
      <c r="R12" s="4" t="n">
        <v>269158946158.449</v>
      </c>
      <c r="S12" s="4" t="n">
        <v>289026271243.657</v>
      </c>
      <c r="T12" s="4" t="n">
        <v>295006087475.655</v>
      </c>
      <c r="U12" s="4" t="n">
        <v>323002050730.088</v>
      </c>
      <c r="V12" s="4" t="n">
        <v>362276309547.426</v>
      </c>
      <c r="W12" s="4" t="n">
        <v>362189760097.681</v>
      </c>
      <c r="X12" s="4" t="n">
        <v>340884794853.548</v>
      </c>
      <c r="Y12" s="4" t="n">
        <v>322375973001.837</v>
      </c>
      <c r="Z12" s="4" t="n">
        <v>287677646811.974</v>
      </c>
      <c r="AA12" s="4" t="n">
        <v>286518100609.798</v>
      </c>
      <c r="AB12" s="4" t="n">
        <v>277431094906.758</v>
      </c>
      <c r="AC12" s="4" t="n">
        <v>288157093093.849</v>
      </c>
      <c r="AD12" s="4" t="n">
        <v>309501845868.994</v>
      </c>
      <c r="AE12" s="4" t="n">
        <v>331595757747.827</v>
      </c>
      <c r="AF12" s="4" t="n">
        <v>349734886738.564</v>
      </c>
      <c r="AG12" s="4" t="n">
        <v>381652352492.535</v>
      </c>
      <c r="AH12" s="4" t="n">
        <v>375731475184.291</v>
      </c>
      <c r="AI12" s="4" t="n">
        <v>381347727059.351</v>
      </c>
      <c r="AJ12" s="4" t="n">
        <v>393361021997.104</v>
      </c>
      <c r="AK12" s="4" t="n">
        <v>401686015509.784</v>
      </c>
      <c r="AL12" s="4" t="n">
        <v>154052237046.814</v>
      </c>
      <c r="AM12" s="4"/>
      <c r="AN12" s="4"/>
    </row>
    <row r="13">
      <c r="A13" t="str">
        <f>L13</f>
      </c>
      <c r="B13" s="4" t="str">
        <f>AG13</f>
      </c>
      <c r="C13" s="4" t="str">
        <f>AJ13</f>
      </c>
      <c r="D13" s="4" t="str">
        <f>AK13</f>
      </c>
      <c r="E13" s="4" t="str">
        <f>AL13</f>
      </c>
      <c r="F13" s="3" t="str">
        <f>AK13/AJ13-1</f>
      </c>
      <c r="G13" s="3" t="str">
        <f>AK13/AG13-1</f>
      </c>
      <c r="H13" s="3" t="str">
        <f>AL13/AK13</f>
      </c>
      <c r="I13" s="3" t="str">
        <f>AK13/Sum(AK$9:AK$13)</f>
      </c>
      <c r="J13" s="3" t="str">
        <f>AL13/Sum(AL9:AL$13)</f>
      </c>
      <c r="L13" t="s">
        <v>42</v>
      </c>
      <c r="M13" s="4" t="n">
        <v>253879394.559632</v>
      </c>
      <c r="N13" s="4" t="n">
        <v>669093912.611865</v>
      </c>
      <c r="O13" s="4" t="n">
        <v>1075958611.24619</v>
      </c>
      <c r="P13" s="4" t="n">
        <v>1069193661.74413</v>
      </c>
      <c r="Q13" s="4" t="n">
        <v>535851516.450831</v>
      </c>
      <c r="R13" s="4" t="n">
        <v>656207099.121219</v>
      </c>
      <c r="S13" s="4" t="n">
        <v>766310668.431229</v>
      </c>
      <c r="T13" s="4" t="n">
        <v>441614840.725097</v>
      </c>
      <c r="U13" s="4" t="n">
        <v>288612831.067578</v>
      </c>
      <c r="V13" s="4" t="n">
        <v>148252209.281443</v>
      </c>
      <c r="W13" s="4" t="n">
        <v>45615613.4888444</v>
      </c>
      <c r="X13" s="4" t="n">
        <v>3182740.32746769</v>
      </c>
      <c r="Y13" s="4" t="n">
        <v>-4680956.04199141</v>
      </c>
      <c r="Z13" s="4" t="n">
        <v>-9447944.8042892</v>
      </c>
      <c r="AA13" s="4" t="n">
        <v>-222970.096219061</v>
      </c>
      <c r="AB13" s="4" t="n">
        <v>-964766.801268236</v>
      </c>
      <c r="AC13" s="4" t="n">
        <v>5923654.31535164</v>
      </c>
      <c r="AD13" s="4" t="n">
        <v>283612.931596292</v>
      </c>
      <c r="AE13" s="4" t="n">
        <v>-291997.745218305</v>
      </c>
      <c r="AF13" s="4" t="n">
        <v>43513.1184147722</v>
      </c>
      <c r="AG13" s="4" t="n">
        <v>15085.3265711962</v>
      </c>
      <c r="AH13" s="4" t="n">
        <v>353754.104752002</v>
      </c>
      <c r="AI13" s="4" t="n">
        <v>-44694.4460632602</v>
      </c>
      <c r="AJ13" s="4" t="n">
        <v>-6056.62</v>
      </c>
      <c r="AK13" s="4" t="n">
        <v>3605559.73498423</v>
      </c>
      <c r="AL13" s="4" t="n">
        <v>5510433.16030559</v>
      </c>
      <c r="AM13" s="4"/>
      <c r="AN13" s="4"/>
    </row>
    <row r="14">
      <c r="A14" t="str">
        <f>L14</f>
      </c>
      <c r="B14" s="4" t="str">
        <f>AG14</f>
      </c>
      <c r="C14" s="4" t="str">
        <f>AJ14</f>
      </c>
      <c r="D14" s="4" t="str">
        <f>AK14</f>
      </c>
      <c r="E14" s="4" t="str">
        <f>AL14</f>
      </c>
      <c r="F14" s="3" t="str">
        <f>AK14/AJ14-1</f>
      </c>
      <c r="G14" s="3" t="str">
        <f>AK14/AG14-1</f>
      </c>
      <c r="H14" s="3" t="str">
        <f>AL14/AK14</f>
      </c>
      <c r="I14" s="3" t="str">
        <f>Sum(I$9:I$13)</f>
      </c>
      <c r="J14" s="3" t="str">
        <f>Sum(J$9:J$13)</f>
      </c>
      <c r="L14" t="s">
        <v>30</v>
      </c>
      <c r="M14" s="4" t="str">
        <f>Sum(M10:M13)</f>
      </c>
      <c r="N14" s="4" t="str">
        <f>Sum(N10:N13)</f>
      </c>
      <c r="O14" s="4" t="str">
        <f>Sum(O10:O13)</f>
      </c>
      <c r="P14" s="4" t="str">
        <f>Sum(P10:P13)</f>
      </c>
      <c r="Q14" s="4" t="str">
        <f>Sum(Q10:Q13)</f>
      </c>
      <c r="R14" s="4" t="str">
        <f>Sum(R10:R13)</f>
      </c>
      <c r="S14" s="4" t="str">
        <f>Sum(S10:S13)</f>
      </c>
      <c r="T14" s="4" t="str">
        <f>Sum(T10:T13)</f>
      </c>
      <c r="U14" s="4" t="str">
        <f>Sum(U10:U13)</f>
      </c>
      <c r="V14" s="4" t="str">
        <f>Sum(V10:V13)</f>
      </c>
      <c r="W14" s="4" t="str">
        <f>Sum(W10:W13)</f>
      </c>
      <c r="X14" s="4" t="str">
        <f>Sum(X10:X13)</f>
      </c>
      <c r="Y14" s="4" t="str">
        <f>Sum(Y10:Y13)</f>
      </c>
      <c r="Z14" s="4" t="str">
        <f>Sum(Z10:Z13)</f>
      </c>
      <c r="AA14" s="4" t="str">
        <f>Sum(AA10:AA13)</f>
      </c>
      <c r="AB14" s="4" t="str">
        <f>Sum(AB10:AB13)</f>
      </c>
      <c r="AC14" s="4" t="str">
        <f>Sum(AC10:AC13)</f>
      </c>
      <c r="AD14" s="4" t="str">
        <f>Sum(AD10:AD13)</f>
      </c>
      <c r="AE14" s="4" t="str">
        <f>Sum(AE10:AE13)</f>
      </c>
      <c r="AF14" s="4" t="str">
        <f>Sum(AF10:AF13)</f>
      </c>
      <c r="AG14" s="4" t="str">
        <f>Sum(AG10:AG13)</f>
      </c>
      <c r="AH14" s="4" t="str">
        <f>Sum(AH10:AH13)</f>
      </c>
      <c r="AI14" s="4" t="str">
        <f>Sum(AI10:AI13)</f>
      </c>
      <c r="AJ14" s="4" t="str">
        <f>Sum(AJ10:AJ13)</f>
      </c>
      <c r="AK14" s="4" t="str">
        <f>Sum(AK10:AK13)</f>
      </c>
      <c r="AL14" s="4" t="str">
        <f>Sum(AL10:AL13)</f>
      </c>
      <c r="AM14" s="4" t="str">
        <f>Sum(AM10:AM13)</f>
      </c>
      <c r="AN14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43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n">
        <v>1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 t="n">
        <v>135865546260.229</v>
      </c>
      <c r="AJ2" s="5" t="n">
        <v>140625216419.214</v>
      </c>
      <c r="AK2" s="5" t="n">
        <v>147600460855.997</v>
      </c>
      <c r="AL2" s="5" t="n">
        <v>158103213649.15</v>
      </c>
      <c r="AM2" s="5"/>
      <c r="AN2" s="5"/>
    </row>
    <row r="3">
      <c r="A3" t="str">
        <f>L3</f>
      </c>
      <c r="L3" t="n">
        <v>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 t="n">
        <v>139044795722.896</v>
      </c>
      <c r="AJ3" s="5" t="n">
        <v>200849476380.303</v>
      </c>
      <c r="AK3" s="5" t="n">
        <v>139843803710.874</v>
      </c>
      <c r="AL3" s="5" t="n">
        <v>156906200850.07</v>
      </c>
      <c r="AM3" s="5"/>
      <c r="AN3" s="5"/>
    </row>
    <row r="4">
      <c r="A4" t="str">
        <f>L4</f>
      </c>
      <c r="L4" t="n">
        <v>3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 t="n">
        <v>180076564539.546</v>
      </c>
      <c r="AJ4" s="5" t="n">
        <v>171978897680.483</v>
      </c>
      <c r="AK4" s="5" t="n">
        <v>200511714804.19</v>
      </c>
      <c r="AL4" s="5"/>
      <c r="AM4" s="5"/>
      <c r="AN4" s="5"/>
    </row>
    <row r="5">
      <c r="A5" t="str">
        <f>L5</f>
      </c>
      <c r="L5" t="n">
        <v>4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 t="n">
        <v>239770713125.399</v>
      </c>
      <c r="AJ5" s="5" t="n">
        <v>247628440778.74</v>
      </c>
      <c r="AK5" s="5" t="n">
        <v>267896995702.52</v>
      </c>
      <c r="AL5" s="5"/>
      <c r="AM5" s="5"/>
      <c r="AN5" s="5"/>
    </row>
    <row r="6">
      <c r="A6" t="str">
        <f>L6</f>
      </c>
      <c r="L6"/>
      <c r="M6" s="5" t="n">
        <v>205622010956.151</v>
      </c>
      <c r="N6" s="5" t="n">
        <v>223122114971.464</v>
      </c>
      <c r="O6" s="5" t="n">
        <v>264179541566.909</v>
      </c>
      <c r="P6" s="5" t="n">
        <v>319534633556.245</v>
      </c>
      <c r="Q6" s="5" t="n">
        <v>339374362885.617</v>
      </c>
      <c r="R6" s="5" t="n">
        <v>391421722174.711</v>
      </c>
      <c r="S6" s="5" t="n">
        <v>431150693727.76</v>
      </c>
      <c r="T6" s="5" t="n">
        <v>469832450387.097</v>
      </c>
      <c r="U6" s="5" t="n">
        <v>528324812418.232</v>
      </c>
      <c r="V6" s="5" t="n">
        <v>555219628413.768</v>
      </c>
      <c r="W6" s="5" t="n">
        <v>561461680478.873</v>
      </c>
      <c r="X6" s="5" t="n">
        <v>540281458698.527</v>
      </c>
      <c r="Y6" s="5" t="n">
        <v>521202807980.205</v>
      </c>
      <c r="Z6" s="5" t="n">
        <v>464002287567.128</v>
      </c>
      <c r="AA6" s="5" t="n">
        <v>446499337588.522</v>
      </c>
      <c r="AB6" s="5" t="n">
        <v>440238480663.629</v>
      </c>
      <c r="AC6" s="5" t="n">
        <v>475819888742.117</v>
      </c>
      <c r="AD6" s="5" t="n">
        <v>511111347392.27</v>
      </c>
      <c r="AE6" s="5" t="n">
        <v>556350178532.936</v>
      </c>
      <c r="AF6" s="5" t="n">
        <v>590054724551.062</v>
      </c>
      <c r="AG6" s="5" t="n">
        <v>671762882476.565</v>
      </c>
      <c r="AH6" s="5" t="n">
        <v>645793473783.483</v>
      </c>
      <c r="AI6" s="5"/>
      <c r="AJ6" s="5"/>
      <c r="AK6" s="5"/>
      <c r="AL6" s="5"/>
      <c r="AM6" s="5"/>
      <c r="AN6" s="5"/>
    </row>
    <row r="7">
      <c r="A7" t="str">
        <f>L7</f>
      </c>
      <c r="L7" t="s">
        <v>30</v>
      </c>
      <c r="M7" s="5" t="str">
        <f>Sum(M2:M6)</f>
      </c>
      <c r="N7" s="5" t="str">
        <f>Sum(N2:N6)</f>
      </c>
      <c r="O7" s="5" t="str">
        <f>Sum(O2:O6)</f>
      </c>
      <c r="P7" s="5" t="str">
        <f>Sum(P2:P6)</f>
      </c>
      <c r="Q7" s="5" t="str">
        <f>Sum(Q2:Q6)</f>
      </c>
      <c r="R7" s="5" t="str">
        <f>Sum(R2:R6)</f>
      </c>
      <c r="S7" s="5" t="str">
        <f>Sum(S2:S6)</f>
      </c>
      <c r="T7" s="5" t="str">
        <f>Sum(T2:T6)</f>
      </c>
      <c r="U7" s="5" t="str">
        <f>Sum(U2:U6)</f>
      </c>
      <c r="V7" s="5" t="str">
        <f>Sum(V2:V6)</f>
      </c>
      <c r="W7" s="5" t="str">
        <f>Sum(W2:W6)</f>
      </c>
      <c r="X7" s="5" t="str">
        <f>Sum(X2:X6)</f>
      </c>
      <c r="Y7" s="5" t="str">
        <f>Sum(Y2:Y6)</f>
      </c>
      <c r="Z7" s="5" t="str">
        <f>Sum(Z2:Z6)</f>
      </c>
      <c r="AA7" s="5" t="str">
        <f>Sum(AA2:AA6)</f>
      </c>
      <c r="AB7" s="5" t="str">
        <f>Sum(AB2:AB6)</f>
      </c>
      <c r="AC7" s="5" t="str">
        <f>Sum(AC2:AC6)</f>
      </c>
      <c r="AD7" s="5" t="str">
        <f>Sum(AD2:AD6)</f>
      </c>
      <c r="AE7" s="5" t="str">
        <f>Sum(AE2:AE6)</f>
      </c>
      <c r="AF7" s="5" t="str">
        <f>Sum(AF2:AF6)</f>
      </c>
      <c r="AG7" s="5" t="str">
        <f>Sum(AG2:AG6)</f>
      </c>
      <c r="AH7" s="5" t="str">
        <f>Sum(AH2:AH6)</f>
      </c>
      <c r="AI7" s="5" t="str">
        <f>Sum(AI2:AI6)</f>
      </c>
      <c r="AJ7" s="5" t="str">
        <f>Sum(AJ2:AJ6)</f>
      </c>
      <c r="AK7" s="5" t="str">
        <f>Sum(AK2:AK6)</f>
      </c>
      <c r="AL7" s="5" t="str">
        <f>Sum(AL2:AL6)</f>
      </c>
      <c r="AM7" s="5" t="str">
        <f>Sum(AM2:AM6)</f>
      </c>
      <c r="AN7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44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45</v>
      </c>
      <c r="M2" s="6" t="n">
        <v>16431728785.5439</v>
      </c>
      <c r="N2" s="6" t="n">
        <v>20327433071.868</v>
      </c>
      <c r="O2" s="6" t="n">
        <v>22299419087.1925</v>
      </c>
      <c r="P2" s="6" t="n">
        <v>30047499633.6923</v>
      </c>
      <c r="Q2" s="6" t="n">
        <v>36064262185.4265</v>
      </c>
      <c r="R2" s="6" t="n">
        <v>48095228294.4257</v>
      </c>
      <c r="S2" s="6" t="n">
        <v>54949159389.8795</v>
      </c>
      <c r="T2" s="6" t="n">
        <v>60090041313.6819</v>
      </c>
      <c r="U2" s="6" t="n">
        <v>67494420492.7756</v>
      </c>
      <c r="V2" s="6" t="n">
        <v>70311619938.4288</v>
      </c>
      <c r="W2" s="6" t="n">
        <v>67137585503.4054</v>
      </c>
      <c r="X2" s="6" t="n">
        <v>60588913053.2894</v>
      </c>
      <c r="Y2" s="6" t="n">
        <v>52533419878.4013</v>
      </c>
      <c r="Z2" s="6" t="n">
        <v>44650446663.7625</v>
      </c>
      <c r="AA2" s="6" t="n">
        <v>44152923508.0319</v>
      </c>
      <c r="AB2" s="6" t="n">
        <v>42167618086.0887</v>
      </c>
      <c r="AC2" s="6" t="n">
        <v>44375936218.5256</v>
      </c>
      <c r="AD2" s="6" t="n">
        <v>47811650494.6845</v>
      </c>
      <c r="AE2" s="6" t="n">
        <v>57099357096.1345</v>
      </c>
      <c r="AF2" s="6" t="n">
        <v>63795941136.9166</v>
      </c>
      <c r="AG2" s="6" t="n">
        <v>76605527828.1885</v>
      </c>
      <c r="AH2" s="6" t="n">
        <v>69897642281.0485</v>
      </c>
      <c r="AI2" s="6" t="n">
        <v>76208884843.0291</v>
      </c>
      <c r="AJ2" s="6" t="n">
        <v>80251219288.667</v>
      </c>
      <c r="AK2" s="6" t="n">
        <v>82018401351.6539</v>
      </c>
      <c r="AL2" s="6" t="n">
        <v>29624606979.03</v>
      </c>
      <c r="AM2" s="6"/>
      <c r="AN2" s="6"/>
    </row>
    <row r="3">
      <c r="A3" t="str">
        <f>L3</f>
      </c>
      <c r="L3" t="s">
        <v>46</v>
      </c>
      <c r="M3" s="6" t="n">
        <v>63672315816.1905</v>
      </c>
      <c r="N3" s="6" t="n">
        <v>59449297956.8139</v>
      </c>
      <c r="O3" s="6" t="n">
        <v>66820586639.8137</v>
      </c>
      <c r="P3" s="6" t="n">
        <v>74245564477.9185</v>
      </c>
      <c r="Q3" s="6" t="n">
        <v>64316517037.8983</v>
      </c>
      <c r="R3" s="6" t="n">
        <v>72042474997.1504</v>
      </c>
      <c r="S3" s="6" t="n">
        <v>75695700201.7231</v>
      </c>
      <c r="T3" s="6" t="n">
        <v>78083927579.1888</v>
      </c>
      <c r="U3" s="6" t="n">
        <v>79507962567.9358</v>
      </c>
      <c r="V3" s="6" t="n">
        <v>84712504960.0934</v>
      </c>
      <c r="W3" s="6" t="n">
        <v>80243189162.8102</v>
      </c>
      <c r="X3" s="6" t="n">
        <v>83142973654.693</v>
      </c>
      <c r="Y3" s="6" t="n">
        <v>77566871160.6306</v>
      </c>
      <c r="Z3" s="6" t="n">
        <v>73017266577.9527</v>
      </c>
      <c r="AA3" s="6" t="n">
        <v>72977534773.8584</v>
      </c>
      <c r="AB3" s="6" t="n">
        <v>67630006045.23</v>
      </c>
      <c r="AC3" s="6" t="n">
        <v>80125687866.9749</v>
      </c>
      <c r="AD3" s="6" t="n">
        <v>83766740025.2376</v>
      </c>
      <c r="AE3" s="6" t="n">
        <v>85959754461.1324</v>
      </c>
      <c r="AF3" s="6" t="n">
        <v>80865506872.3722</v>
      </c>
      <c r="AG3" s="6" t="n">
        <v>82822988659.4306</v>
      </c>
      <c r="AH3" s="6" t="n">
        <v>83091102755.1717</v>
      </c>
      <c r="AI3" s="6" t="n">
        <v>91353551661.9144</v>
      </c>
      <c r="AJ3" s="6" t="n">
        <v>103634220217.737</v>
      </c>
      <c r="AK3" s="6" t="n">
        <v>108695534176.821</v>
      </c>
      <c r="AL3" s="6" t="n">
        <v>44475295903.37</v>
      </c>
      <c r="AM3" s="6"/>
      <c r="AN3" s="6"/>
    </row>
    <row r="4">
      <c r="A4" t="str">
        <f>L4</f>
      </c>
      <c r="L4" t="s">
        <v>47</v>
      </c>
      <c r="M4" s="6" t="n">
        <v>51047231088.338</v>
      </c>
      <c r="N4" s="6" t="n">
        <v>60396851724.5699</v>
      </c>
      <c r="O4" s="6" t="n">
        <v>73666683854.2375</v>
      </c>
      <c r="P4" s="6" t="n">
        <v>90640854119.2208</v>
      </c>
      <c r="Q4" s="6" t="n">
        <v>106290708366.818</v>
      </c>
      <c r="R4" s="6" t="n">
        <v>118938244478.264</v>
      </c>
      <c r="S4" s="6" t="n">
        <v>129538539668.357</v>
      </c>
      <c r="T4" s="6" t="n">
        <v>148459987287.612</v>
      </c>
      <c r="U4" s="6" t="n">
        <v>177986442349.564</v>
      </c>
      <c r="V4" s="6" t="n">
        <v>201355227721.092</v>
      </c>
      <c r="W4" s="6" t="n">
        <v>224923977761.014</v>
      </c>
      <c r="X4" s="6" t="n">
        <v>201174806140.513</v>
      </c>
      <c r="Y4" s="6" t="n">
        <v>201711944287.896</v>
      </c>
      <c r="Z4" s="6" t="n">
        <v>180300660369.165</v>
      </c>
      <c r="AA4" s="6" t="n">
        <v>179646118054.959</v>
      </c>
      <c r="AB4" s="6" t="n">
        <v>175595552769.206</v>
      </c>
      <c r="AC4" s="6" t="n">
        <v>178267420615.215</v>
      </c>
      <c r="AD4" s="6" t="n">
        <v>190956371964.801</v>
      </c>
      <c r="AE4" s="6" t="n">
        <v>209992705280.127</v>
      </c>
      <c r="AF4" s="6" t="n">
        <v>231558812879.078</v>
      </c>
      <c r="AG4" s="6" t="n">
        <v>252010728216.602</v>
      </c>
      <c r="AH4" s="6" t="n">
        <v>256052616499.818</v>
      </c>
      <c r="AI4" s="6" t="n">
        <v>303947563998.42</v>
      </c>
      <c r="AJ4" s="6" t="n">
        <v>316171399964.237</v>
      </c>
      <c r="AK4" s="6" t="n">
        <v>322598320011.117</v>
      </c>
      <c r="AL4" s="6" t="n">
        <v>127823720617.57</v>
      </c>
      <c r="AM4" s="6"/>
      <c r="AN4" s="6"/>
    </row>
    <row r="5">
      <c r="A5" t="str">
        <f>L5</f>
      </c>
      <c r="L5" t="s">
        <v>48</v>
      </c>
      <c r="M5" s="6" t="n">
        <v>68907965675.9021</v>
      </c>
      <c r="N5" s="6" t="n">
        <v>76276592826.9451</v>
      </c>
      <c r="O5" s="6" t="n">
        <v>90327397230.7473</v>
      </c>
      <c r="P5" s="6" t="n">
        <v>111282645704.389</v>
      </c>
      <c r="Q5" s="6" t="n">
        <v>113058490408.69</v>
      </c>
      <c r="R5" s="6" t="n">
        <v>125715055680.478</v>
      </c>
      <c r="S5" s="6" t="n">
        <v>140255494756.001</v>
      </c>
      <c r="T5" s="6" t="n">
        <v>156060235102.208</v>
      </c>
      <c r="U5" s="6" t="n">
        <v>176392566364.464</v>
      </c>
      <c r="V5" s="6" t="n">
        <v>176555594683.719</v>
      </c>
      <c r="W5" s="6" t="n">
        <v>172612494739.139</v>
      </c>
      <c r="X5" s="6" t="n">
        <v>186693348337.885</v>
      </c>
      <c r="Y5" s="6" t="n">
        <v>182798014959.004</v>
      </c>
      <c r="Z5" s="6" t="n">
        <v>161210543840.796</v>
      </c>
      <c r="AA5" s="6" t="n">
        <v>145287949860.821</v>
      </c>
      <c r="AB5" s="6" t="n">
        <v>151172103934.274</v>
      </c>
      <c r="AC5" s="6" t="n">
        <v>169292186888.721</v>
      </c>
      <c r="AD5" s="6" t="n">
        <v>185312289024.521</v>
      </c>
      <c r="AE5" s="6" t="n">
        <v>198926302456.079</v>
      </c>
      <c r="AF5" s="6" t="n">
        <v>209910837050.838</v>
      </c>
      <c r="AG5" s="6" t="n">
        <v>256227901580.02</v>
      </c>
      <c r="AH5" s="6" t="n">
        <v>232936924714.284</v>
      </c>
      <c r="AI5" s="6" t="n">
        <v>219838666504.367</v>
      </c>
      <c r="AJ5" s="6" t="n">
        <v>257218154831.39</v>
      </c>
      <c r="AK5" s="6" t="n">
        <v>239117710564.48</v>
      </c>
      <c r="AL5" s="6" t="n">
        <v>111691853867.95</v>
      </c>
      <c r="AM5" s="6"/>
      <c r="AN5" s="6"/>
    </row>
    <row r="6">
      <c r="A6" t="str">
        <f>L6</f>
      </c>
      <c r="L6" t="s">
        <v>42</v>
      </c>
      <c r="M6" s="6" t="n">
        <v>5562769590.1768</v>
      </c>
      <c r="N6" s="6" t="n">
        <v>6671939391.2667</v>
      </c>
      <c r="O6" s="6" t="n">
        <v>11065454754.9176</v>
      </c>
      <c r="P6" s="6" t="n">
        <v>13318069621.0244</v>
      </c>
      <c r="Q6" s="6" t="n">
        <v>19644384886.7847</v>
      </c>
      <c r="R6" s="6" t="n">
        <v>26630718724.3925</v>
      </c>
      <c r="S6" s="6" t="n">
        <v>30711799711.7995</v>
      </c>
      <c r="T6" s="6" t="n">
        <v>27138259104.4067</v>
      </c>
      <c r="U6" s="6" t="n">
        <v>26943420643.4928</v>
      </c>
      <c r="V6" s="6" t="n">
        <v>22284681110.435</v>
      </c>
      <c r="W6" s="6" t="n">
        <v>16544433312.5044</v>
      </c>
      <c r="X6" s="6" t="n">
        <v>8681417512.1464</v>
      </c>
      <c r="Y6" s="6" t="n">
        <v>6592557694.2718</v>
      </c>
      <c r="Z6" s="6" t="n">
        <v>4823370115.4522</v>
      </c>
      <c r="AA6" s="6" t="n">
        <v>4434811390.8515</v>
      </c>
      <c r="AB6" s="6" t="n">
        <v>3673199828.8309</v>
      </c>
      <c r="AC6" s="6" t="n">
        <v>3758657152.6796</v>
      </c>
      <c r="AD6" s="6" t="n">
        <v>3264295883.0262</v>
      </c>
      <c r="AE6" s="6" t="n">
        <v>4372059239.4628</v>
      </c>
      <c r="AF6" s="6" t="n">
        <v>3923626611.8567</v>
      </c>
      <c r="AG6" s="6" t="n">
        <v>4095736192.3236</v>
      </c>
      <c r="AH6" s="6" t="n">
        <v>3815187533.1604</v>
      </c>
      <c r="AI6" s="6" t="n">
        <v>3408952640.3398</v>
      </c>
      <c r="AJ6" s="6" t="n">
        <v>3807036956.7082</v>
      </c>
      <c r="AK6" s="6" t="n">
        <v>3423008969.5091</v>
      </c>
      <c r="AL6" s="6" t="n">
        <v>1393937131.3</v>
      </c>
      <c r="AM6" s="6"/>
      <c r="AN6" s="6"/>
    </row>
    <row r="7">
      <c r="A7" t="str">
        <f>L7</f>
      </c>
      <c r="L7" t="s">
        <v>30</v>
      </c>
      <c r="M7" s="6" t="str">
        <f>Sum(M2:M6)</f>
      </c>
      <c r="N7" s="6" t="str">
        <f>Sum(N2:N6)</f>
      </c>
      <c r="O7" s="6" t="str">
        <f>Sum(O2:O6)</f>
      </c>
      <c r="P7" s="6" t="str">
        <f>Sum(P2:P6)</f>
      </c>
      <c r="Q7" s="6" t="str">
        <f>Sum(Q2:Q6)</f>
      </c>
      <c r="R7" s="6" t="str">
        <f>Sum(R2:R6)</f>
      </c>
      <c r="S7" s="6" t="str">
        <f>Sum(S2:S6)</f>
      </c>
      <c r="T7" s="6" t="str">
        <f>Sum(T2:T6)</f>
      </c>
      <c r="U7" s="6" t="str">
        <f>Sum(U2:U6)</f>
      </c>
      <c r="V7" s="6" t="str">
        <f>Sum(V2:V6)</f>
      </c>
      <c r="W7" s="6" t="str">
        <f>Sum(W2:W6)</f>
      </c>
      <c r="X7" s="6" t="str">
        <f>Sum(X2:X6)</f>
      </c>
      <c r="Y7" s="6" t="str">
        <f>Sum(Y2:Y6)</f>
      </c>
      <c r="Z7" s="6" t="str">
        <f>Sum(Z2:Z6)</f>
      </c>
      <c r="AA7" s="6" t="str">
        <f>Sum(AA2:AA6)</f>
      </c>
      <c r="AB7" s="6" t="str">
        <f>Sum(AB2:AB6)</f>
      </c>
      <c r="AC7" s="6" t="str">
        <f>Sum(AC2:AC6)</f>
      </c>
      <c r="AD7" s="6" t="str">
        <f>Sum(AD2:AD6)</f>
      </c>
      <c r="AE7" s="6" t="str">
        <f>Sum(AE2:AE6)</f>
      </c>
      <c r="AF7" s="6" t="str">
        <f>Sum(AF2:AF6)</f>
      </c>
      <c r="AG7" s="6" t="str">
        <f>Sum(AG2:AG6)</f>
      </c>
      <c r="AH7" s="6" t="str">
        <f>Sum(AH2:AH6)</f>
      </c>
      <c r="AI7" s="6" t="str">
        <f>Sum(AI2:AI6)</f>
      </c>
      <c r="AJ7" s="6" t="str">
        <f>Sum(AJ2:AJ6)</f>
      </c>
      <c r="AK7" s="6" t="str">
        <f>Sum(AK2:AK6)</f>
      </c>
      <c r="AL7" s="6" t="str">
        <f>Sum(AL2:AL6)</f>
      </c>
      <c r="AM7" s="6" t="str">
        <f>Sum(AM2:AM6)</f>
      </c>
      <c r="AN7" s="6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49</v>
      </c>
      <c r="O1" t="s">
        <v>50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</row>
    <row r="2">
      <c r="A2" t="str">
        <f>N2</f>
      </c>
      <c r="B2" t="str">
        <f>O2</f>
      </c>
      <c r="N2" t="s">
        <v>51</v>
      </c>
      <c r="O2" t="s">
        <v>52</v>
      </c>
      <c r="P2" s="7" t="n">
        <v>115584932087.843</v>
      </c>
      <c r="Q2" s="7" t="n">
        <v>121502367782.02</v>
      </c>
      <c r="R2" s="7" t="n">
        <v>141593494397.09</v>
      </c>
      <c r="S2" s="7" t="n">
        <v>161285608480.54</v>
      </c>
      <c r="T2" s="7" t="n">
        <v>163996030847.09</v>
      </c>
      <c r="U2" s="7" t="n">
        <v>175328319971.78</v>
      </c>
      <c r="V2" s="7" t="n">
        <v>192560637208.94</v>
      </c>
      <c r="W2" s="7" t="n">
        <v>211744401940.64</v>
      </c>
      <c r="X2" s="7" t="n">
        <v>233778708533.83</v>
      </c>
      <c r="Y2" s="7" t="n">
        <v>249159557830.25</v>
      </c>
      <c r="Z2" s="7" t="n">
        <v>233830052488.546</v>
      </c>
      <c r="AA2" s="7" t="n">
        <v>241482384013.595</v>
      </c>
      <c r="AB2" s="7" t="n">
        <v>234644269222.769</v>
      </c>
      <c r="AC2" s="7" t="n">
        <v>220649797969.318</v>
      </c>
      <c r="AD2" s="7" t="n">
        <v>205868349030.096</v>
      </c>
      <c r="AE2" s="7" t="n">
        <v>202950852109.667</v>
      </c>
      <c r="AF2" s="7" t="n">
        <v>221377738695.742</v>
      </c>
      <c r="AG2" s="7" t="n">
        <v>236813005408.073</v>
      </c>
      <c r="AH2" s="7" t="n">
        <v>240263846698.15</v>
      </c>
      <c r="AI2" s="7" t="n">
        <v>260617535659.55</v>
      </c>
      <c r="AJ2" s="7" t="n">
        <v>303891362541.91</v>
      </c>
      <c r="AK2" s="7" t="n">
        <v>278053239730.06</v>
      </c>
      <c r="AL2" s="7" t="n">
        <v>290753329708.25</v>
      </c>
      <c r="AM2" s="7" t="n">
        <v>300926082777.59</v>
      </c>
      <c r="AN2" s="7" t="n">
        <v>272402781565.84</v>
      </c>
      <c r="AO2" s="7" t="n">
        <v>122901870485.08</v>
      </c>
      <c r="AP2" s="7"/>
    </row>
    <row r="3">
      <c r="A3" t="str">
        <f>N3</f>
      </c>
      <c r="B3" t="str">
        <f>O3</f>
      </c>
      <c r="N3" t="s">
        <v>51</v>
      </c>
      <c r="O3" t="s">
        <v>53</v>
      </c>
      <c r="P3" s="7" t="n">
        <v>12424490879.0119</v>
      </c>
      <c r="Q3" s="7" t="n">
        <v>12398785334.88</v>
      </c>
      <c r="R3" s="7" t="n">
        <v>14572212695.81</v>
      </c>
      <c r="S3" s="7" t="n">
        <v>17953386972.19</v>
      </c>
      <c r="T3" s="7" t="n">
        <v>10439748453.19</v>
      </c>
      <c r="U3" s="7" t="n">
        <v>15387923565.0402</v>
      </c>
      <c r="V3" s="7" t="n">
        <v>16349199022.49</v>
      </c>
      <c r="W3" s="7" t="n">
        <v>17287774018.13</v>
      </c>
      <c r="X3" s="7" t="n">
        <v>19402260045.67</v>
      </c>
      <c r="Y3" s="7" t="n">
        <v>18036960407.42</v>
      </c>
      <c r="Z3" s="7" t="n">
        <v>18838466035.7132</v>
      </c>
      <c r="AA3" s="7" t="n">
        <v>19068572744.5791</v>
      </c>
      <c r="AB3" s="7" t="n">
        <v>15609105830.1121</v>
      </c>
      <c r="AC3" s="7" t="n">
        <v>14671363072.5204</v>
      </c>
      <c r="AD3" s="7" t="n">
        <v>15386698059.2257</v>
      </c>
      <c r="AE3" s="7" t="n">
        <v>15371395945.8963</v>
      </c>
      <c r="AF3" s="7" t="n">
        <v>15939407819.5676</v>
      </c>
      <c r="AG3" s="7" t="n">
        <v>16445854200.7774</v>
      </c>
      <c r="AH3" s="7" t="n">
        <v>18122420104.74</v>
      </c>
      <c r="AI3" s="7" t="n">
        <v>18307348766.47</v>
      </c>
      <c r="AJ3" s="7" t="n">
        <v>18751614110.04</v>
      </c>
      <c r="AK3" s="7" t="n">
        <v>18079383098.6</v>
      </c>
      <c r="AL3" s="7" t="n">
        <v>17619524286.9399</v>
      </c>
      <c r="AM3" s="7" t="n">
        <v>18564512230.82</v>
      </c>
      <c r="AN3" s="7" t="n">
        <v>18885974131.15</v>
      </c>
      <c r="AO3" s="7" t="n">
        <v>6877464236.2</v>
      </c>
      <c r="AP3" s="7"/>
    </row>
    <row r="4">
      <c r="A4" t="str">
        <f>N4</f>
      </c>
      <c r="B4" t="str">
        <f>O4</f>
      </c>
      <c r="N4" t="s">
        <v>54</v>
      </c>
      <c r="O4" t="s">
        <v>55</v>
      </c>
      <c r="P4" s="7" t="n">
        <v>2924283951.6635</v>
      </c>
      <c r="Q4" s="7" t="n">
        <v>3207191850.0918</v>
      </c>
      <c r="R4" s="7" t="n">
        <v>3874952414.6563</v>
      </c>
      <c r="S4" s="7" t="n">
        <v>6046089235.4572</v>
      </c>
      <c r="T4" s="7" t="n">
        <v>6517723173.9598</v>
      </c>
      <c r="U4" s="7" t="n">
        <v>7361479923.7156</v>
      </c>
      <c r="V4" s="7" t="n">
        <v>10244737777.7215</v>
      </c>
      <c r="W4" s="7" t="n">
        <v>9564407533.4996</v>
      </c>
      <c r="X4" s="7" t="n">
        <v>10960045597.3539</v>
      </c>
      <c r="Y4" s="7" t="n">
        <v>11978600453.1904</v>
      </c>
      <c r="Z4" s="7" t="n">
        <v>15621451371.1824</v>
      </c>
      <c r="AA4" s="7" t="n">
        <v>16861341352.9837</v>
      </c>
      <c r="AB4" s="7" t="n">
        <v>18982743607.8388</v>
      </c>
      <c r="AC4" s="7" t="n">
        <v>17611974768.2794</v>
      </c>
      <c r="AD4" s="7" t="n">
        <v>19114152539.0507</v>
      </c>
      <c r="AE4" s="7" t="n">
        <v>21876752873.9362</v>
      </c>
      <c r="AF4" s="7" t="n">
        <v>23706172088.7046</v>
      </c>
      <c r="AG4" s="7" t="n">
        <v>27628005661.5531</v>
      </c>
      <c r="AH4" s="7" t="n">
        <v>31723701465.4611</v>
      </c>
      <c r="AI4" s="7" t="n">
        <v>30294003975.1963</v>
      </c>
      <c r="AJ4" s="7" t="n">
        <v>32912233053.9116</v>
      </c>
      <c r="AK4" s="7" t="n">
        <v>35673646859.41</v>
      </c>
      <c r="AL4" s="7" t="n">
        <v>36438665738.0698</v>
      </c>
      <c r="AM4" s="7" t="n">
        <v>41953935024.797</v>
      </c>
      <c r="AN4" s="7" t="n">
        <v>44249119911.4933</v>
      </c>
      <c r="AO4" s="7" t="n">
        <v>16045018091.44</v>
      </c>
      <c r="AP4" s="7"/>
    </row>
    <row r="5">
      <c r="A5" t="str">
        <f>N5</f>
      </c>
      <c r="B5" t="str">
        <f>O5</f>
      </c>
      <c r="N5" t="s">
        <v>54</v>
      </c>
      <c r="O5" t="s">
        <v>56</v>
      </c>
      <c r="P5" s="7" t="n">
        <v>12804541051.7536</v>
      </c>
      <c r="Q5" s="7" t="n">
        <v>16873262693.0018</v>
      </c>
      <c r="R5" s="7" t="n">
        <v>22130372261.5838</v>
      </c>
      <c r="S5" s="7" t="n">
        <v>29036319534.7097</v>
      </c>
      <c r="T5" s="7" t="n">
        <v>28896257654.6845</v>
      </c>
      <c r="U5" s="7" t="n">
        <v>27985121320.1103</v>
      </c>
      <c r="V5" s="7" t="n">
        <v>28608695358.7399</v>
      </c>
      <c r="W5" s="7" t="n">
        <v>28419281384.4194</v>
      </c>
      <c r="X5" s="7" t="n">
        <v>28301482390.3614</v>
      </c>
      <c r="Y5" s="7" t="n">
        <v>29145223208.8904</v>
      </c>
      <c r="Z5" s="7" t="n">
        <v>30481486022.048</v>
      </c>
      <c r="AA5" s="7" t="n">
        <v>28787764705.0707</v>
      </c>
      <c r="AB5" s="7" t="n">
        <v>27565436312.6723</v>
      </c>
      <c r="AC5" s="7" t="n">
        <v>26341597412.0245</v>
      </c>
      <c r="AD5" s="7" t="n">
        <v>28514322156.6811</v>
      </c>
      <c r="AE5" s="7" t="n">
        <v>27170572289.2424</v>
      </c>
      <c r="AF5" s="7" t="n">
        <v>28404542612.8277</v>
      </c>
      <c r="AG5" s="7" t="n">
        <v>29276109719.641</v>
      </c>
      <c r="AH5" s="7" t="n">
        <v>32092451726.2584</v>
      </c>
      <c r="AI5" s="7" t="n">
        <v>35270020674.4173</v>
      </c>
      <c r="AJ5" s="7" t="n">
        <v>39992299401.8298</v>
      </c>
      <c r="AK5" s="7" t="n">
        <v>42574994512.184</v>
      </c>
      <c r="AL5" s="7" t="n">
        <v>45468863712.7538</v>
      </c>
      <c r="AM5" s="7" t="n">
        <v>50127935085.405</v>
      </c>
      <c r="AN5" s="7" t="n">
        <v>52657836136.9445</v>
      </c>
      <c r="AO5" s="7" t="n">
        <v>18691017774.63</v>
      </c>
      <c r="AP5" s="7"/>
    </row>
    <row r="6">
      <c r="A6" t="str">
        <f>N6</f>
      </c>
      <c r="B6" t="str">
        <f>O6</f>
      </c>
      <c r="N6" t="s">
        <v>54</v>
      </c>
      <c r="O6" t="s">
        <v>57</v>
      </c>
      <c r="P6" s="7" t="n">
        <v>12499350083.2159</v>
      </c>
      <c r="Q6" s="7" t="n">
        <v>13610392675.4568</v>
      </c>
      <c r="R6" s="7" t="n">
        <v>17269119548.3314</v>
      </c>
      <c r="S6" s="7" t="n">
        <v>22442982846.4399</v>
      </c>
      <c r="T6" s="7" t="n">
        <v>28374850068.4161</v>
      </c>
      <c r="U6" s="7" t="n">
        <v>36667866725.8685</v>
      </c>
      <c r="V6" s="7" t="n">
        <v>43450040207.2155</v>
      </c>
      <c r="W6" s="7" t="n">
        <v>49537652392.8318</v>
      </c>
      <c r="X6" s="7" t="n">
        <v>58296941967.6551</v>
      </c>
      <c r="Y6" s="7" t="n">
        <v>70755225318.678</v>
      </c>
      <c r="Z6" s="7" t="n">
        <v>97069660263.6013</v>
      </c>
      <c r="AA6" s="7" t="n">
        <v>80093220983.5518</v>
      </c>
      <c r="AB6" s="7" t="n">
        <v>74546629220.6372</v>
      </c>
      <c r="AC6" s="7" t="n">
        <v>66847036617.2891</v>
      </c>
      <c r="AD6" s="7" t="n">
        <v>64428236170.0944</v>
      </c>
      <c r="AE6" s="7" t="n">
        <v>63377140940.6581</v>
      </c>
      <c r="AF6" s="7" t="n">
        <v>69942453671.4085</v>
      </c>
      <c r="AG6" s="7" t="n">
        <v>72695491339.1477</v>
      </c>
      <c r="AH6" s="7" t="n">
        <v>85093046747.5623</v>
      </c>
      <c r="AI6" s="7" t="n">
        <v>91689007118.2997</v>
      </c>
      <c r="AJ6" s="7" t="n">
        <v>97258044710.1001</v>
      </c>
      <c r="AK6" s="7" t="n">
        <v>92661038675.0052</v>
      </c>
      <c r="AL6" s="7" t="n">
        <v>104949993341.112</v>
      </c>
      <c r="AM6" s="7" t="n">
        <v>123328551353.892</v>
      </c>
      <c r="AN6" s="7" t="n">
        <v>132978957310.474</v>
      </c>
      <c r="AO6" s="7" t="n">
        <v>49241265631.31</v>
      </c>
      <c r="AP6" s="7"/>
    </row>
    <row r="7">
      <c r="A7" t="str">
        <f>N7</f>
      </c>
      <c r="B7" t="str">
        <f>O7</f>
      </c>
      <c r="N7" t="s">
        <v>54</v>
      </c>
      <c r="O7" t="s">
        <v>58</v>
      </c>
      <c r="P7" s="7" t="n">
        <v>42335529372.3551</v>
      </c>
      <c r="Q7" s="7" t="n">
        <v>48917333171.8777</v>
      </c>
      <c r="R7" s="7" t="n">
        <v>57454020947.247</v>
      </c>
      <c r="S7" s="7" t="n">
        <v>77397735316.5918</v>
      </c>
      <c r="T7" s="7" t="n">
        <v>96729076010.967</v>
      </c>
      <c r="U7" s="7" t="n">
        <v>126006897249.582</v>
      </c>
      <c r="V7" s="7" t="n">
        <v>138189605286.346</v>
      </c>
      <c r="W7" s="7" t="n">
        <v>152278596019.012</v>
      </c>
      <c r="X7" s="7" t="n">
        <v>176992562159.486</v>
      </c>
      <c r="Y7" s="7" t="n">
        <v>175807040178.201</v>
      </c>
      <c r="Z7" s="7" t="n">
        <v>165348458600.938</v>
      </c>
      <c r="AA7" s="7" t="n">
        <v>153864370550.964</v>
      </c>
      <c r="AB7" s="7" t="n">
        <v>149755532268.463</v>
      </c>
      <c r="AC7" s="7" t="n">
        <v>117832148608.451</v>
      </c>
      <c r="AD7" s="7" t="n">
        <v>113132246206.875</v>
      </c>
      <c r="AE7" s="7" t="n">
        <v>109430096987.006</v>
      </c>
      <c r="AF7" s="7" t="n">
        <v>116420314684.446</v>
      </c>
      <c r="AG7" s="7" t="n">
        <v>128243356113.859</v>
      </c>
      <c r="AH7" s="7" t="n">
        <v>149051590332.517</v>
      </c>
      <c r="AI7" s="7" t="n">
        <v>153875006598.917</v>
      </c>
      <c r="AJ7" s="7" t="n">
        <v>178955739455.671</v>
      </c>
      <c r="AK7" s="7" t="n">
        <v>178756105576.716</v>
      </c>
      <c r="AL7" s="7" t="n">
        <v>199544845267.319</v>
      </c>
      <c r="AM7" s="7" t="n">
        <v>226196676468.225</v>
      </c>
      <c r="AN7" s="7" t="n">
        <v>234676048634.219</v>
      </c>
      <c r="AO7" s="7" t="n">
        <v>101273651433.94</v>
      </c>
      <c r="AP7" s="7"/>
    </row>
    <row r="8">
      <c r="A8" t="str">
        <f>N8</f>
      </c>
      <c r="B8" t="str">
        <f>O8</f>
      </c>
      <c r="N8" t="s">
        <v>54</v>
      </c>
      <c r="O8" t="s">
        <v>59</v>
      </c>
      <c r="P8" s="7" t="n">
        <v>7030877168.3082</v>
      </c>
      <c r="Q8" s="7" t="n">
        <v>6612007723.823</v>
      </c>
      <c r="R8" s="7" t="n">
        <v>7284000092.3487</v>
      </c>
      <c r="S8" s="7" t="n">
        <v>5366434247.8165</v>
      </c>
      <c r="T8" s="7" t="n">
        <v>4415654379.2757</v>
      </c>
      <c r="U8" s="7" t="n">
        <v>2683711410.774</v>
      </c>
      <c r="V8" s="7" t="n">
        <v>1747131444.4168</v>
      </c>
      <c r="W8" s="7" t="n">
        <v>1000337098.5642</v>
      </c>
      <c r="X8" s="7" t="n">
        <v>592811723.8758</v>
      </c>
      <c r="Y8" s="7" t="n">
        <v>337021017.1379</v>
      </c>
      <c r="Z8" s="7" t="n">
        <v>271869696.8448</v>
      </c>
      <c r="AA8" s="7" t="n">
        <v>123556347.7826</v>
      </c>
      <c r="AB8" s="7" t="n">
        <v>99091517.7124</v>
      </c>
      <c r="AC8" s="7" t="n">
        <v>47651396.2464</v>
      </c>
      <c r="AD8" s="7" t="n">
        <v>55333426.4992</v>
      </c>
      <c r="AE8" s="7" t="n">
        <v>61667152.8337</v>
      </c>
      <c r="AF8" s="7" t="n">
        <v>29264169.4202</v>
      </c>
      <c r="AG8" s="7" t="n">
        <v>7714685.453</v>
      </c>
      <c r="AH8" s="7" t="n">
        <v>3121458.2472</v>
      </c>
      <c r="AI8" s="7" t="n">
        <v>1801758.2113</v>
      </c>
      <c r="AJ8" s="7" t="n">
        <v>1589203.1028</v>
      </c>
      <c r="AK8" s="7" t="n">
        <v>-4965343.4824</v>
      </c>
      <c r="AL8" s="7" t="n">
        <v>-17602406.375</v>
      </c>
      <c r="AM8" s="7" t="n">
        <v>-15651681.9895</v>
      </c>
      <c r="AN8" s="7" t="n">
        <v>-1314944.4</v>
      </c>
      <c r="AO8" s="7" t="n">
        <v>-14742791.4</v>
      </c>
      <c r="AP8" s="7"/>
    </row>
    <row r="9">
      <c r="A9" t="str">
        <f>N9</f>
      </c>
      <c r="B9" t="str">
        <f>O9</f>
      </c>
      <c r="N9"/>
      <c r="O9"/>
      <c r="P9" s="7" t="n">
        <v>18006362</v>
      </c>
      <c r="Q9" s="7" t="n">
        <v>773740.3125</v>
      </c>
      <c r="R9" s="7" t="n">
        <v>1369209.8414</v>
      </c>
      <c r="S9" s="7" t="n">
        <v>6076922.5</v>
      </c>
      <c r="T9" s="7" t="n">
        <v>5022298.0339</v>
      </c>
      <c r="U9" s="7" t="n">
        <v>402007.8403</v>
      </c>
      <c r="V9" s="7" t="n">
        <v>647421.89</v>
      </c>
      <c r="W9" s="7" t="n">
        <v>0</v>
      </c>
      <c r="X9" s="7" t="n">
        <v>0</v>
      </c>
      <c r="Y9" s="7" t="n">
        <v>0</v>
      </c>
      <c r="Z9" s="7" t="n">
        <v>236000</v>
      </c>
      <c r="AA9" s="7" t="n">
        <v>248000</v>
      </c>
      <c r="AB9" s="7" t="n">
        <v>0</v>
      </c>
      <c r="AC9" s="7" t="n">
        <v>717723</v>
      </c>
      <c r="AD9" s="7" t="n">
        <v>0</v>
      </c>
      <c r="AE9" s="7" t="n">
        <v>2364.39</v>
      </c>
      <c r="AF9" s="7" t="n">
        <v>-5000</v>
      </c>
      <c r="AG9" s="7" t="n">
        <v>1810263.7657</v>
      </c>
      <c r="AH9" s="7" t="n">
        <v>0</v>
      </c>
      <c r="AI9" s="7" t="n">
        <v>0</v>
      </c>
      <c r="AJ9" s="7" t="n">
        <v>0</v>
      </c>
      <c r="AK9" s="7" t="n">
        <v>30674.99</v>
      </c>
      <c r="AL9" s="7" t="n">
        <v>0</v>
      </c>
      <c r="AM9" s="7" t="n">
        <v>-10000</v>
      </c>
      <c r="AN9" s="7" t="n">
        <v>3572327.86</v>
      </c>
      <c r="AO9" s="7" t="n">
        <v>-6130361.98</v>
      </c>
      <c r="AP9" s="7"/>
    </row>
    <row r="10">
      <c r="A10" t="str">
        <f>N10</f>
      </c>
      <c r="B10" t="str">
        <f>O10</f>
      </c>
      <c r="N10" t="s">
        <v>30</v>
      </c>
      <c r="O10" t="s">
        <v>60</v>
      </c>
      <c r="P10" s="7" t="str">
        <f>Sum(P2:P9)</f>
      </c>
      <c r="Q10" s="7" t="str">
        <f>Sum(Q2:Q9)</f>
      </c>
      <c r="R10" s="7" t="str">
        <f>Sum(R2:R9)</f>
      </c>
      <c r="S10" s="7" t="str">
        <f>Sum(S2:S9)</f>
      </c>
      <c r="T10" s="7" t="str">
        <f>Sum(T2:T9)</f>
      </c>
      <c r="U10" s="7" t="str">
        <f>Sum(U2:U9)</f>
      </c>
      <c r="V10" s="7" t="str">
        <f>Sum(V2:V9)</f>
      </c>
      <c r="W10" s="7" t="str">
        <f>Sum(W2:W9)</f>
      </c>
      <c r="X10" s="7" t="str">
        <f>Sum(X2:X9)</f>
      </c>
      <c r="Y10" s="7" t="str">
        <f>Sum(Y2:Y9)</f>
      </c>
      <c r="Z10" s="7" t="str">
        <f>Sum(Z2:Z9)</f>
      </c>
      <c r="AA10" s="7" t="str">
        <f>Sum(AA2:AA9)</f>
      </c>
      <c r="AB10" s="7" t="str">
        <f>Sum(AB2:AB9)</f>
      </c>
      <c r="AC10" s="7" t="str">
        <f>Sum(AC2:AC9)</f>
      </c>
      <c r="AD10" s="7" t="str">
        <f>Sum(AD2:AD9)</f>
      </c>
      <c r="AE10" s="7" t="str">
        <f>Sum(AE2:AE9)</f>
      </c>
      <c r="AF10" s="7" t="str">
        <f>Sum(AF2:AF9)</f>
      </c>
      <c r="AG10" s="7" t="str">
        <f>Sum(AG2:AG9)</f>
      </c>
      <c r="AH10" s="7" t="str">
        <f>Sum(AH2:AH9)</f>
      </c>
      <c r="AI10" s="7" t="str">
        <f>Sum(AI2:AI9)</f>
      </c>
      <c r="AJ10" s="7" t="str">
        <f>Sum(AJ2:AJ9)</f>
      </c>
      <c r="AK10" s="7" t="str">
        <f>Sum(AK2:AK9)</f>
      </c>
      <c r="AL10" s="7" t="str">
        <f>Sum(AL2:AL9)</f>
      </c>
      <c r="AM10" s="7" t="str">
        <f>Sum(AM2:AM9)</f>
      </c>
      <c r="AN10" s="7" t="str">
        <f>Sum(AN2:AN9)</f>
      </c>
      <c r="AO10" s="7" t="str">
        <f>Sum(AO2:AO9)</f>
      </c>
      <c r="AP10" s="7"/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61</v>
      </c>
      <c r="N1" t="s">
        <v>62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</row>
    <row r="2">
      <c r="A2" t="str">
        <f>M2</f>
      </c>
      <c r="B2" t="str">
        <f>N2</f>
      </c>
      <c r="M2" t="s">
        <v>63</v>
      </c>
      <c r="N2" t="s">
        <v>64</v>
      </c>
      <c r="O2" s="8" t="n">
        <v>61526460970.5886</v>
      </c>
      <c r="P2" s="8" t="n">
        <v>68145396056.5009</v>
      </c>
      <c r="Q2" s="8" t="n">
        <v>74275828344.8101</v>
      </c>
      <c r="R2" s="8" t="n">
        <v>93542707447.2576</v>
      </c>
      <c r="S2" s="8" t="n">
        <v>97294140370.4383</v>
      </c>
      <c r="T2" s="8" t="n">
        <v>101882643026.21</v>
      </c>
      <c r="U2" s="8" t="n">
        <v>110969944621.803</v>
      </c>
      <c r="V2" s="8" t="n">
        <v>108870228119.205</v>
      </c>
      <c r="W2" s="8" t="n">
        <v>111197070360.647</v>
      </c>
      <c r="X2" s="8" t="n">
        <v>124076896109.344</v>
      </c>
      <c r="Y2" s="8" t="n">
        <v>128405035322.108</v>
      </c>
      <c r="Z2" s="8" t="n">
        <v>131706813762.984</v>
      </c>
      <c r="AA2" s="8" t="n">
        <v>127776963987.566</v>
      </c>
      <c r="AB2" s="8" t="n">
        <v>121948917214.72</v>
      </c>
      <c r="AC2" s="8" t="n">
        <v>120933778192.924</v>
      </c>
      <c r="AD2" s="8" t="n">
        <v>120372218684.722</v>
      </c>
      <c r="AE2" s="8" t="n">
        <v>125050020017.782</v>
      </c>
      <c r="AF2" s="8" t="n">
        <v>131871236628.585</v>
      </c>
      <c r="AG2" s="8" t="n">
        <v>135430961780.64</v>
      </c>
      <c r="AH2" s="8" t="n">
        <v>146374179580.828</v>
      </c>
      <c r="AI2" s="8" t="n">
        <v>151698179379.069</v>
      </c>
      <c r="AJ2" s="8" t="n">
        <v>152620614917.721</v>
      </c>
      <c r="AK2" s="8" t="n">
        <v>161892999045.947</v>
      </c>
      <c r="AL2" s="8" t="n">
        <v>174926861772.469</v>
      </c>
      <c r="AM2" s="8" t="n">
        <v>183665475867.39</v>
      </c>
      <c r="AN2" s="8" t="n">
        <v>83332892222.7</v>
      </c>
      <c r="AO2" s="8"/>
    </row>
    <row r="3">
      <c r="A3" t="str">
        <f>M3</f>
      </c>
      <c r="B3" t="str">
        <f>N3</f>
      </c>
      <c r="M3" t="s">
        <v>63</v>
      </c>
      <c r="N3" t="s">
        <v>65</v>
      </c>
      <c r="O3" s="8" t="n">
        <v>7784321830.983</v>
      </c>
      <c r="P3" s="8" t="n">
        <v>8033416348.5964</v>
      </c>
      <c r="Q3" s="8" t="n">
        <v>11303794587.2126</v>
      </c>
      <c r="R3" s="8" t="n">
        <v>14306203808.9154</v>
      </c>
      <c r="S3" s="8" t="n">
        <v>19199698658.2391</v>
      </c>
      <c r="T3" s="8" t="n">
        <v>22186202351.528</v>
      </c>
      <c r="U3" s="8" t="n">
        <v>25727293630.5376</v>
      </c>
      <c r="V3" s="8" t="n">
        <v>26652112058.5641</v>
      </c>
      <c r="W3" s="8" t="n">
        <v>29313764596.9244</v>
      </c>
      <c r="X3" s="8" t="n">
        <v>29711187340.9265</v>
      </c>
      <c r="Y3" s="8" t="n">
        <v>30409975313.0567</v>
      </c>
      <c r="Z3" s="8" t="n">
        <v>25846694971.8174</v>
      </c>
      <c r="AA3" s="8" t="n">
        <v>24114277974.225</v>
      </c>
      <c r="AB3" s="8" t="n">
        <v>19736277692.5748</v>
      </c>
      <c r="AC3" s="8" t="n">
        <v>19029505673.7095</v>
      </c>
      <c r="AD3" s="8" t="n">
        <v>19176804776.7006</v>
      </c>
      <c r="AE3" s="8" t="n">
        <v>21060317994.4208</v>
      </c>
      <c r="AF3" s="8" t="n">
        <v>22566532370.7647</v>
      </c>
      <c r="AG3" s="8" t="n">
        <v>26934989505.0943</v>
      </c>
      <c r="AH3" s="8" t="n">
        <v>27721156607.1502</v>
      </c>
      <c r="AI3" s="8" t="n">
        <v>30915566908.939</v>
      </c>
      <c r="AJ3" s="8" t="n">
        <v>31382115876.729</v>
      </c>
      <c r="AK3" s="8" t="n">
        <v>32132953559.4293</v>
      </c>
      <c r="AL3" s="8" t="n">
        <v>36554548494.6757</v>
      </c>
      <c r="AM3" s="8" t="n">
        <v>39014084334.76</v>
      </c>
      <c r="AN3" s="8" t="n">
        <v>11082019592.86</v>
      </c>
      <c r="AO3" s="8"/>
    </row>
    <row r="4">
      <c r="A4" t="str">
        <f>M4</f>
      </c>
      <c r="B4" t="str">
        <f>N4</f>
      </c>
      <c r="M4" t="s">
        <v>66</v>
      </c>
      <c r="N4" t="s">
        <v>67</v>
      </c>
      <c r="O4" s="8" t="n">
        <v>17523656.9485</v>
      </c>
      <c r="P4" s="8" t="n">
        <v>246829934.3663</v>
      </c>
      <c r="Q4" s="8" t="n">
        <v>240561578.0934</v>
      </c>
      <c r="R4" s="8" t="n">
        <v>279359480.2335</v>
      </c>
      <c r="S4" s="8" t="n">
        <v>1456301959.1252</v>
      </c>
      <c r="T4" s="8" t="n">
        <v>2220294165.4598</v>
      </c>
      <c r="U4" s="8" t="n">
        <v>6689166601.598</v>
      </c>
      <c r="V4" s="8" t="n">
        <v>24363474828.0824</v>
      </c>
      <c r="W4" s="8" t="n">
        <v>33701694788.1014</v>
      </c>
      <c r="X4" s="8" t="n">
        <v>39052924167.8856</v>
      </c>
      <c r="Y4" s="8" t="n">
        <v>2238458074.2073</v>
      </c>
      <c r="Z4" s="8" t="n">
        <v>1831323148.2721</v>
      </c>
      <c r="AA4" s="8" t="n">
        <v>785476508.9011</v>
      </c>
      <c r="AB4" s="8" t="n">
        <v>519149395.803</v>
      </c>
      <c r="AC4" s="8" t="n">
        <v>262532081.6101</v>
      </c>
      <c r="AD4" s="8" t="n">
        <v>207709404.6078</v>
      </c>
      <c r="AE4" s="8" t="n">
        <v>90658037.3053</v>
      </c>
      <c r="AF4" s="8" t="n">
        <v>-68745122.5447</v>
      </c>
      <c r="AG4" s="8" t="n">
        <v>38071401.6312</v>
      </c>
      <c r="AH4" s="8" t="n">
        <v>36577835.9133</v>
      </c>
      <c r="AI4" s="8" t="n">
        <v>22538011.2837</v>
      </c>
      <c r="AJ4" s="8" t="n">
        <v>31357794.8213</v>
      </c>
      <c r="AK4" s="8" t="n">
        <v>14872210.6103</v>
      </c>
      <c r="AL4" s="8" t="n">
        <v>-9403747.7499</v>
      </c>
      <c r="AM4" s="8" t="n">
        <v>-2955409.79</v>
      </c>
      <c r="AN4" s="8" t="n">
        <v>929373.25</v>
      </c>
      <c r="AO4" s="8"/>
    </row>
    <row r="5">
      <c r="A5" t="str">
        <f>M5</f>
      </c>
      <c r="B5" t="str">
        <f>N5</f>
      </c>
      <c r="M5" t="s">
        <v>66</v>
      </c>
      <c r="N5" t="s">
        <v>68</v>
      </c>
      <c r="O5" s="8" t="n">
        <v>9806179274.7188</v>
      </c>
      <c r="P5" s="8" t="n">
        <v>11074071865.3475</v>
      </c>
      <c r="Q5" s="8" t="n">
        <v>10190484305.78</v>
      </c>
      <c r="R5" s="8" t="n">
        <v>11447721481.7713</v>
      </c>
      <c r="S5" s="8" t="n">
        <v>14139558152.9088</v>
      </c>
      <c r="T5" s="8" t="n">
        <v>14758336973.0057</v>
      </c>
      <c r="U5" s="8" t="n">
        <v>18100108387.2813</v>
      </c>
      <c r="V5" s="8" t="n">
        <v>22440233877.1263</v>
      </c>
      <c r="W5" s="8" t="n">
        <v>20532481609.963</v>
      </c>
      <c r="X5" s="8" t="n">
        <v>21799193140.1943</v>
      </c>
      <c r="Y5" s="8" t="n">
        <v>28845647566.7374</v>
      </c>
      <c r="Z5" s="8" t="n">
        <v>17763401408.4263</v>
      </c>
      <c r="AA5" s="8" t="n">
        <v>25637559369.6935</v>
      </c>
      <c r="AB5" s="8" t="n">
        <v>17751011149.2887</v>
      </c>
      <c r="AC5" s="8" t="n">
        <v>10453926626.8232</v>
      </c>
      <c r="AD5" s="8" t="n">
        <v>9882649420.1728</v>
      </c>
      <c r="AE5" s="8" t="n">
        <v>27097808861.7496</v>
      </c>
      <c r="AF5" s="8" t="n">
        <v>38988442606.3022</v>
      </c>
      <c r="AG5" s="8" t="n">
        <v>39751342837.5832</v>
      </c>
      <c r="AH5" s="8" t="n">
        <v>32691217945.3575</v>
      </c>
      <c r="AI5" s="8" t="n">
        <v>55411471115.5603</v>
      </c>
      <c r="AJ5" s="8" t="n">
        <v>25780258986.2601</v>
      </c>
      <c r="AK5" s="8" t="n">
        <v>29873760705.5846</v>
      </c>
      <c r="AL5" s="8" t="n">
        <v>33208270818.3261</v>
      </c>
      <c r="AM5" s="8" t="n">
        <v>40259713312.6644</v>
      </c>
      <c r="AN5" s="8" t="n">
        <v>23499096361.24</v>
      </c>
      <c r="AO5" s="8"/>
    </row>
    <row r="6">
      <c r="A6" t="str">
        <f>M6</f>
      </c>
      <c r="B6" t="str">
        <f>N6</f>
      </c>
      <c r="M6" t="s">
        <v>66</v>
      </c>
      <c r="N6"/>
      <c r="O6" s="8" t="n">
        <v>14024668216.4693</v>
      </c>
      <c r="P6" s="8" t="n">
        <v>6841906151.3045</v>
      </c>
      <c r="Q6" s="8" t="n">
        <v>9106146485.0279</v>
      </c>
      <c r="R6" s="8" t="n">
        <v>10191485233.0203</v>
      </c>
      <c r="S6" s="8" t="n">
        <v>11013390052.9525</v>
      </c>
      <c r="T6" s="8" t="n">
        <v>10033098800.4971</v>
      </c>
      <c r="U6" s="8" t="n">
        <v>8327536895.2557</v>
      </c>
      <c r="V6" s="8" t="n">
        <v>4971029758.2893</v>
      </c>
      <c r="W6" s="8" t="n">
        <v>11201364175.7961</v>
      </c>
      <c r="X6" s="8" t="n">
        <v>8886737326.0814</v>
      </c>
      <c r="Y6" s="8" t="n">
        <v>3675947434.8922</v>
      </c>
      <c r="Z6" s="8" t="n">
        <v>2878446853.5754</v>
      </c>
      <c r="AA6" s="8" t="n">
        <v>4219590895.0932</v>
      </c>
      <c r="AB6" s="8" t="n">
        <v>962618713.2722</v>
      </c>
      <c r="AC6" s="8" t="n">
        <v>1124570660.915</v>
      </c>
      <c r="AD6" s="8" t="n">
        <v>1123233883.4636</v>
      </c>
      <c r="AE6" s="8" t="n">
        <v>673157054.9751</v>
      </c>
      <c r="AF6" s="8" t="n">
        <v>991904563.2262</v>
      </c>
      <c r="AG6" s="8" t="n">
        <v>112502433.3395</v>
      </c>
      <c r="AH6" s="8" t="n">
        <v>108223543.48</v>
      </c>
      <c r="AI6" s="8" t="n">
        <v>167854385.142</v>
      </c>
      <c r="AJ6" s="8" t="n">
        <v>71931687.8198</v>
      </c>
      <c r="AK6" s="8" t="n">
        <v>479801873.5269</v>
      </c>
      <c r="AL6" s="8" t="n">
        <v>418245585.7645</v>
      </c>
      <c r="AM6" s="8" t="n">
        <v>58688025.56</v>
      </c>
      <c r="AN6" s="8" t="n">
        <v>1121667516.72</v>
      </c>
      <c r="AO6" s="8"/>
    </row>
    <row r="7">
      <c r="A7" t="str">
        <f>M7</f>
      </c>
      <c r="B7" t="str">
        <f>N7</f>
      </c>
      <c r="M7" t="s">
        <v>69</v>
      </c>
      <c r="N7" t="s">
        <v>70</v>
      </c>
      <c r="O7" s="8" t="n">
        <v>92238134042.3335</v>
      </c>
      <c r="P7" s="8" t="n">
        <v>101937277470.137</v>
      </c>
      <c r="Q7" s="8" t="n">
        <v>125626880793.554</v>
      </c>
      <c r="R7" s="8" t="n">
        <v>153596249303.135</v>
      </c>
      <c r="S7" s="8" t="n">
        <v>154062404761.697</v>
      </c>
      <c r="T7" s="8" t="n">
        <v>183221897256.125</v>
      </c>
      <c r="U7" s="8" t="n">
        <v>203600692407.844</v>
      </c>
      <c r="V7" s="8" t="n">
        <v>227673220859.84</v>
      </c>
      <c r="W7" s="8" t="n">
        <v>257079629559.919</v>
      </c>
      <c r="X7" s="8" t="n">
        <v>264127595947.248</v>
      </c>
      <c r="Y7" s="8" t="n">
        <v>298315293643.842</v>
      </c>
      <c r="Z7" s="8" t="n">
        <v>270699043120.858</v>
      </c>
      <c r="AA7" s="8" t="n">
        <v>254711471289.202</v>
      </c>
      <c r="AB7" s="8" t="n">
        <v>225111942993.848</v>
      </c>
      <c r="AC7" s="8" t="n">
        <v>227240300263.993</v>
      </c>
      <c r="AD7" s="8" t="n">
        <v>226564900124.814</v>
      </c>
      <c r="AE7" s="8" t="n">
        <v>240737456710.99</v>
      </c>
      <c r="AF7" s="8" t="n">
        <v>253673758887.494</v>
      </c>
      <c r="AG7" s="8" t="n">
        <v>279920025189.035</v>
      </c>
      <c r="AH7" s="8" t="n">
        <v>299687619499.447</v>
      </c>
      <c r="AI7" s="8" t="n">
        <v>343369955973.478</v>
      </c>
      <c r="AJ7" s="8" t="n">
        <v>356241477385.965</v>
      </c>
      <c r="AK7" s="8" t="n">
        <v>385387255705.173</v>
      </c>
      <c r="AL7" s="8" t="n">
        <v>408015659301.015</v>
      </c>
      <c r="AM7" s="8" t="n">
        <v>403368512290.977</v>
      </c>
      <c r="AN7" s="8" t="n">
        <v>158528307734.13</v>
      </c>
      <c r="AO7" s="8"/>
    </row>
    <row r="8">
      <c r="A8" t="str">
        <f>M8</f>
      </c>
      <c r="B8" t="str">
        <f>N8</f>
      </c>
      <c r="M8" t="s">
        <v>69</v>
      </c>
      <c r="N8" t="s">
        <v>71</v>
      </c>
      <c r="O8" s="8" t="n">
        <v>12167262598.7949</v>
      </c>
      <c r="P8" s="8" t="n">
        <v>15639938462.2456</v>
      </c>
      <c r="Q8" s="8" t="n">
        <v>19261455323.0289</v>
      </c>
      <c r="R8" s="8" t="n">
        <v>19745095433.3321</v>
      </c>
      <c r="S8" s="8" t="n">
        <v>22861349342.8529</v>
      </c>
      <c r="T8" s="8" t="n">
        <v>33175198758.9274</v>
      </c>
      <c r="U8" s="8" t="n">
        <v>30051800537.1538</v>
      </c>
      <c r="V8" s="8" t="n">
        <v>28161879582.7742</v>
      </c>
      <c r="W8" s="8" t="n">
        <v>33946495966.3581</v>
      </c>
      <c r="X8" s="8" t="n">
        <v>35266930370.6826</v>
      </c>
      <c r="Y8" s="8" t="n">
        <v>29054827318.9573</v>
      </c>
      <c r="Z8" s="8" t="n">
        <v>30090467386.0612</v>
      </c>
      <c r="AA8" s="8" t="n">
        <v>33629421141.569</v>
      </c>
      <c r="AB8" s="8" t="n">
        <v>24509247662.6344</v>
      </c>
      <c r="AC8" s="8" t="n">
        <v>17675860761.069</v>
      </c>
      <c r="AD8" s="8" t="n">
        <v>14255832711.1234</v>
      </c>
      <c r="AE8" s="8" t="n">
        <v>12722785733.0225</v>
      </c>
      <c r="AF8" s="8" t="n">
        <v>14115884887.4631</v>
      </c>
      <c r="AG8" s="8" t="n">
        <v>15729708856.7193</v>
      </c>
      <c r="AH8" s="8" t="n">
        <v>13485590028.5762</v>
      </c>
      <c r="AI8" s="8" t="n">
        <v>12810155007.081</v>
      </c>
      <c r="AJ8" s="8" t="n">
        <v>14108548962.3295</v>
      </c>
      <c r="AK8" s="8" t="n">
        <v>22202208416.8249</v>
      </c>
      <c r="AL8" s="8" t="n">
        <v>22140950156.917</v>
      </c>
      <c r="AM8" s="8" t="n">
        <v>24161454486.32</v>
      </c>
      <c r="AN8" s="8" t="n">
        <v>8902255924.46</v>
      </c>
      <c r="AO8" s="8"/>
    </row>
    <row r="9">
      <c r="A9" t="str">
        <f>M9</f>
      </c>
      <c r="B9" t="str">
        <f>N9</f>
      </c>
      <c r="M9" t="s">
        <v>72</v>
      </c>
      <c r="N9" t="s">
        <v>72</v>
      </c>
      <c r="O9" s="8" t="n">
        <v>8057460365.3147</v>
      </c>
      <c r="P9" s="8" t="n">
        <v>11203278682.9659</v>
      </c>
      <c r="Q9" s="8" t="n">
        <v>14174390149.402</v>
      </c>
      <c r="R9" s="8" t="n">
        <v>16425811368.5802</v>
      </c>
      <c r="S9" s="8" t="n">
        <v>19347519587.4031</v>
      </c>
      <c r="T9" s="8" t="n">
        <v>23944050842.9583</v>
      </c>
      <c r="U9" s="8" t="n">
        <v>27684150646.287</v>
      </c>
      <c r="V9" s="8" t="n">
        <v>26700271303.2158</v>
      </c>
      <c r="W9" s="8" t="n">
        <v>31352311360.5228</v>
      </c>
      <c r="X9" s="8" t="n">
        <v>32298164011.4066</v>
      </c>
      <c r="Y9" s="8" t="n">
        <v>40516495805.0716</v>
      </c>
      <c r="Z9" s="8" t="n">
        <v>59465268046.5319</v>
      </c>
      <c r="AA9" s="8" t="n">
        <v>50328046813.9546</v>
      </c>
      <c r="AB9" s="8" t="n">
        <v>53463122744.987</v>
      </c>
      <c r="AC9" s="8" t="n">
        <v>49778863327.4782</v>
      </c>
      <c r="AD9" s="8" t="n">
        <v>48655131658.0248</v>
      </c>
      <c r="AE9" s="8" t="n">
        <v>48387684331.8709</v>
      </c>
      <c r="AF9" s="8" t="n">
        <v>48972332570.9797</v>
      </c>
      <c r="AG9" s="8" t="n">
        <v>58432576528.8937</v>
      </c>
      <c r="AH9" s="8" t="n">
        <v>69950159510.3093</v>
      </c>
      <c r="AI9" s="8" t="n">
        <v>77367161696.0119</v>
      </c>
      <c r="AJ9" s="8" t="n">
        <v>65557168171.8375</v>
      </c>
      <c r="AK9" s="8" t="n">
        <v>62773768130.9745</v>
      </c>
      <c r="AL9" s="8" t="n">
        <v>85826898877.3221</v>
      </c>
      <c r="AM9" s="8" t="n">
        <v>65328002165.7</v>
      </c>
      <c r="AN9" s="8" t="n">
        <v>28542245773.86</v>
      </c>
      <c r="AO9" s="8"/>
    </row>
    <row r="10">
      <c r="A10" t="str">
        <f>M10</f>
      </c>
      <c r="B10" t="str">
        <f>N10</f>
      </c>
      <c r="M10" t="s">
        <v>30</v>
      </c>
      <c r="N10" t="s">
        <v>60</v>
      </c>
      <c r="O10" s="8" t="str">
        <f>Sum(O2:O9)</f>
      </c>
      <c r="P10" s="8" t="str">
        <f>Sum(P2:P9)</f>
      </c>
      <c r="Q10" s="8" t="str">
        <f>Sum(Q2:Q9)</f>
      </c>
      <c r="R10" s="8" t="str">
        <f>Sum(R2:R9)</f>
      </c>
      <c r="S10" s="8" t="str">
        <f>Sum(S2:S9)</f>
      </c>
      <c r="T10" s="8" t="str">
        <f>Sum(T2:T9)</f>
      </c>
      <c r="U10" s="8" t="str">
        <f>Sum(U2:U9)</f>
      </c>
      <c r="V10" s="8" t="str">
        <f>Sum(V2:V9)</f>
      </c>
      <c r="W10" s="8" t="str">
        <f>Sum(W2:W9)</f>
      </c>
      <c r="X10" s="8" t="str">
        <f>Sum(X2:X9)</f>
      </c>
      <c r="Y10" s="8" t="str">
        <f>Sum(Y2:Y9)</f>
      </c>
      <c r="Z10" s="8" t="str">
        <f>Sum(Z2:Z9)</f>
      </c>
      <c r="AA10" s="8" t="str">
        <f>Sum(AA2:AA9)</f>
      </c>
      <c r="AB10" s="8" t="str">
        <f>Sum(AB2:AB9)</f>
      </c>
      <c r="AC10" s="8" t="str">
        <f>Sum(AC2:AC9)</f>
      </c>
      <c r="AD10" s="8" t="str">
        <f>Sum(AD2:AD9)</f>
      </c>
      <c r="AE10" s="8" t="str">
        <f>Sum(AE2:AE9)</f>
      </c>
      <c r="AF10" s="8" t="str">
        <f>Sum(AF2:AF9)</f>
      </c>
      <c r="AG10" s="8" t="str">
        <f>Sum(AG2:AG9)</f>
      </c>
      <c r="AH10" s="8" t="str">
        <f>Sum(AH2:AH9)</f>
      </c>
      <c r="AI10" s="8" t="str">
        <f>Sum(AI2:AI9)</f>
      </c>
      <c r="AJ10" s="8" t="str">
        <f>Sum(AJ2:AJ9)</f>
      </c>
      <c r="AK10" s="8" t="str">
        <f>Sum(AK2:AK9)</f>
      </c>
      <c r="AL10" s="8" t="str">
        <f>Sum(AL2:AL9)</f>
      </c>
      <c r="AM10" s="8" t="str">
        <f>Sum(AM2:AM9)</f>
      </c>
      <c r="AN10" s="8" t="str">
        <f>Sum(AN2:AN9)</f>
      </c>
      <c r="AO10" s="8"/>
    </row>
    <row r="13">
      <c r="A13" t="str">
        <f>M13</f>
      </c>
      <c r="B13" t="str">
        <f>N13</f>
      </c>
      <c r="C13" t="str">
        <f>AI13</f>
      </c>
      <c r="D13" t="str">
        <f>AL13</f>
      </c>
      <c r="E13" t="str">
        <f>AM13</f>
      </c>
      <c r="F13" t="str">
        <f>AN13</f>
      </c>
      <c r="G13" t="str">
        <f>AL13&amp;"-"&amp;AM13</f>
      </c>
      <c r="H13" t="str">
        <f>AI13&amp;"-"&amp;AM13</f>
      </c>
      <c r="I13" t="str">
        <f>AN13&amp;"/"&amp;AM13</f>
      </c>
      <c r="J13" t="str">
        <f>"Share "&amp;AM13</f>
      </c>
      <c r="K13" t="str">
        <f>"Share "&amp;AN13</f>
      </c>
      <c r="M13" t="s">
        <v>61</v>
      </c>
      <c r="N13" t="s">
        <v>62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</row>
    <row r="14">
      <c r="A14" t="str">
        <f>M14</f>
      </c>
      <c r="B14" t="str">
        <f>N14</f>
      </c>
      <c r="C14" s="8" t="str">
        <f>AI14</f>
      </c>
      <c r="D14" s="8" t="str">
        <f>AL14</f>
      </c>
      <c r="E14" s="8" t="str">
        <f>AM14</f>
      </c>
      <c r="F14" s="8" t="str">
        <f>AN14</f>
      </c>
      <c r="G14" s="3" t="str">
        <f>AM14/AL14-1</f>
      </c>
      <c r="H14" s="3" t="str">
        <f>AM14/AI14-1</f>
      </c>
      <c r="I14" s="3" t="str">
        <f>AN14/AM14</f>
      </c>
      <c r="J14" s="3" t="str">
        <f>AM14/Sum(AM$13:AM$21)</f>
      </c>
      <c r="K14" s="3" t="str">
        <f>AN14/Sum(AN13:AN$21)</f>
      </c>
      <c r="M14" t="s">
        <v>63</v>
      </c>
      <c r="N14" t="s">
        <v>64</v>
      </c>
      <c r="O14" s="8" t="n">
        <v>103436649049.335</v>
      </c>
      <c r="P14" s="8" t="n">
        <v>111853011858.535</v>
      </c>
      <c r="Q14" s="8" t="n">
        <v>120027142823.325</v>
      </c>
      <c r="R14" s="8" t="n">
        <v>148314823884.546</v>
      </c>
      <c r="S14" s="8" t="n">
        <v>150585719735.443</v>
      </c>
      <c r="T14" s="8" t="n">
        <v>153030813841.891</v>
      </c>
      <c r="U14" s="8" t="n">
        <v>161436075969.005</v>
      </c>
      <c r="V14" s="8" t="n">
        <v>154138120502.119</v>
      </c>
      <c r="W14" s="8" t="n">
        <v>154230500777.531</v>
      </c>
      <c r="X14" s="8" t="n">
        <v>170352791580.116</v>
      </c>
      <c r="Y14" s="8" t="n">
        <v>174781474754.958</v>
      </c>
      <c r="Z14" s="8" t="n">
        <v>175748259360.908</v>
      </c>
      <c r="AA14" s="8" t="n">
        <v>167465471332.822</v>
      </c>
      <c r="AB14" s="8" t="n">
        <v>156978849723.822</v>
      </c>
      <c r="AC14" s="8" t="n">
        <v>152883039605.355</v>
      </c>
      <c r="AD14" s="8" t="n">
        <v>150613332662.977</v>
      </c>
      <c r="AE14" s="8" t="n">
        <v>155225299472.234</v>
      </c>
      <c r="AF14" s="8" t="n">
        <v>160975218583.437</v>
      </c>
      <c r="AG14" s="8" t="n">
        <v>161730165319.131</v>
      </c>
      <c r="AH14" s="8" t="n">
        <v>171625166734.949</v>
      </c>
      <c r="AI14" s="8" t="n">
        <v>175574066123.608</v>
      </c>
      <c r="AJ14" s="8" t="n">
        <v>170764422208.789</v>
      </c>
      <c r="AK14" s="8" t="n">
        <v>169299052461.086</v>
      </c>
      <c r="AL14" s="8" t="n">
        <v>174926861772.469</v>
      </c>
      <c r="AM14" s="8" t="n">
        <v>178888092612.732</v>
      </c>
      <c r="AN14" s="8" t="n">
        <v>79422596455.3766</v>
      </c>
      <c r="AO14" s="8"/>
    </row>
    <row r="15">
      <c r="A15" t="str">
        <f>M15</f>
      </c>
      <c r="B15" t="str">
        <f>N15</f>
      </c>
      <c r="C15" s="8" t="str">
        <f>AI15</f>
      </c>
      <c r="D15" s="8" t="str">
        <f>AL15</f>
      </c>
      <c r="E15" s="8" t="str">
        <f>AM15</f>
      </c>
      <c r="F15" s="8" t="str">
        <f>AN15</f>
      </c>
      <c r="G15" s="3" t="str">
        <f>AM15/AL15-1</f>
      </c>
      <c r="H15" s="3" t="str">
        <f>AM15/AI15-1</f>
      </c>
      <c r="I15" s="3" t="str">
        <f>AN15/AM15</f>
      </c>
      <c r="J15" s="3" t="str">
        <f>AM15/Sum(AM$13:AM$21)</f>
      </c>
      <c r="K15" s="3" t="str">
        <f>AN15/Sum(AN13:AN$21)</f>
      </c>
      <c r="M15" t="s">
        <v>63</v>
      </c>
      <c r="N15" t="s">
        <v>65</v>
      </c>
      <c r="O15" s="8" t="n">
        <v>13086794732.1619</v>
      </c>
      <c r="P15" s="8" t="n">
        <v>13185950425.1627</v>
      </c>
      <c r="Q15" s="8" t="n">
        <v>18266537009.4079</v>
      </c>
      <c r="R15" s="8" t="n">
        <v>22682923728.4164</v>
      </c>
      <c r="S15" s="8" t="n">
        <v>29716079818.8522</v>
      </c>
      <c r="T15" s="8" t="n">
        <v>33324347514.638</v>
      </c>
      <c r="U15" s="8" t="n">
        <v>37427371376.739</v>
      </c>
      <c r="V15" s="8" t="n">
        <v>37733974945.1142</v>
      </c>
      <c r="W15" s="8" t="n">
        <v>40658234778.9832</v>
      </c>
      <c r="X15" s="8" t="n">
        <v>40792313987.4989</v>
      </c>
      <c r="Y15" s="8" t="n">
        <v>41393239129.173</v>
      </c>
      <c r="Z15" s="8" t="n">
        <v>34489572116.6241</v>
      </c>
      <c r="AA15" s="8" t="n">
        <v>31604358100.0817</v>
      </c>
      <c r="AB15" s="8" t="n">
        <v>25405540621.2032</v>
      </c>
      <c r="AC15" s="8" t="n">
        <v>24056874043.4365</v>
      </c>
      <c r="AD15" s="8" t="n">
        <v>23994593676.2297</v>
      </c>
      <c r="AE15" s="8" t="n">
        <v>26142292237.9346</v>
      </c>
      <c r="AF15" s="8" t="n">
        <v>27546966070.2842</v>
      </c>
      <c r="AG15" s="8" t="n">
        <v>32165468281.7935</v>
      </c>
      <c r="AH15" s="8" t="n">
        <v>32503329059.8947</v>
      </c>
      <c r="AI15" s="8" t="n">
        <v>35781390461.8808</v>
      </c>
      <c r="AJ15" s="8" t="n">
        <v>35112877040.0247</v>
      </c>
      <c r="AK15" s="8" t="n">
        <v>33602926763.0251</v>
      </c>
      <c r="AL15" s="8" t="n">
        <v>36554548494.6757</v>
      </c>
      <c r="AM15" s="8" t="n">
        <v>37999276122.6206</v>
      </c>
      <c r="AN15" s="8" t="n">
        <v>10562009148.5861</v>
      </c>
      <c r="AO15" s="8"/>
    </row>
    <row r="16">
      <c r="A16" t="str">
        <f>M16</f>
      </c>
      <c r="B16" t="str">
        <f>N16</f>
      </c>
      <c r="C16" s="8" t="str">
        <f>AI16</f>
      </c>
      <c r="D16" s="8" t="str">
        <f>AL16</f>
      </c>
      <c r="E16" s="8" t="str">
        <f>AM16</f>
      </c>
      <c r="F16" s="8" t="str">
        <f>AN16</f>
      </c>
      <c r="G16" s="3" t="str">
        <f>AM16/AL16-1</f>
      </c>
      <c r="H16" s="3" t="str">
        <f>AM16/AI16-1</f>
      </c>
      <c r="I16" s="3" t="str">
        <f>AN16/AM16</f>
      </c>
      <c r="J16" s="3" t="str">
        <f>AM16/Sum(AM$13:AM$21)</f>
      </c>
      <c r="K16" s="3" t="str">
        <f>AN16/Sum(AN13:AN$21)</f>
      </c>
      <c r="M16" t="s">
        <v>66</v>
      </c>
      <c r="N16" t="s">
        <v>67</v>
      </c>
      <c r="O16" s="8" t="n">
        <v>29460305.7814327</v>
      </c>
      <c r="P16" s="8" t="n">
        <v>405143607.248598</v>
      </c>
      <c r="Q16" s="8" t="n">
        <v>388739103.084518</v>
      </c>
      <c r="R16" s="8" t="n">
        <v>442933000.786526</v>
      </c>
      <c r="S16" s="8" t="n">
        <v>2253972108.00205</v>
      </c>
      <c r="T16" s="8" t="n">
        <v>3334949045.45526</v>
      </c>
      <c r="U16" s="8" t="n">
        <v>9731218766.89428</v>
      </c>
      <c r="V16" s="8" t="n">
        <v>34493729679.6099</v>
      </c>
      <c r="W16" s="8" t="n">
        <v>46744300433.1156</v>
      </c>
      <c r="X16" s="8" t="n">
        <v>53618158254.8864</v>
      </c>
      <c r="Y16" s="8" t="n">
        <v>3046928824.9145</v>
      </c>
      <c r="Z16" s="8" t="n">
        <v>2443699353.43932</v>
      </c>
      <c r="AA16" s="8" t="n">
        <v>1029451551.19496</v>
      </c>
      <c r="AB16" s="8" t="n">
        <v>668275511.167352</v>
      </c>
      <c r="AC16" s="8" t="n">
        <v>331889925.463535</v>
      </c>
      <c r="AD16" s="8" t="n">
        <v>259892240.877953</v>
      </c>
      <c r="AE16" s="8" t="n">
        <v>112534336.166272</v>
      </c>
      <c r="AF16" s="8" t="n">
        <v>-83917171.1064358</v>
      </c>
      <c r="AG16" s="8" t="n">
        <v>45464449.1834747</v>
      </c>
      <c r="AH16" s="8" t="n">
        <v>42887872.7477831</v>
      </c>
      <c r="AI16" s="8" t="n">
        <v>26085285.2658887</v>
      </c>
      <c r="AJ16" s="8" t="n">
        <v>35085664.6547248</v>
      </c>
      <c r="AK16" s="8" t="n">
        <v>15552563.6016595</v>
      </c>
      <c r="AL16" s="8" t="n">
        <v>-9403747.7499</v>
      </c>
      <c r="AM16" s="8" t="n">
        <v>-2878535.6514352</v>
      </c>
      <c r="AN16" s="8" t="n">
        <v>885763.52773059</v>
      </c>
      <c r="AO16" s="8"/>
    </row>
    <row r="17">
      <c r="A17" t="str">
        <f>M17</f>
      </c>
      <c r="B17" t="str">
        <f>N17</f>
      </c>
      <c r="C17" s="8" t="str">
        <f>AI17</f>
      </c>
      <c r="D17" s="8" t="str">
        <f>AL17</f>
      </c>
      <c r="E17" s="8" t="str">
        <f>AM17</f>
      </c>
      <c r="F17" s="8" t="str">
        <f>AN17</f>
      </c>
      <c r="G17" s="3" t="str">
        <f>AM17/AL17-1</f>
      </c>
      <c r="H17" s="3" t="str">
        <f>AM17/AI17-1</f>
      </c>
      <c r="I17" s="3" t="str">
        <f>AN17/AM17</f>
      </c>
      <c r="J17" s="3" t="str">
        <f>AM17/Sum(AM$13:AM$21)</f>
      </c>
      <c r="K17" s="3" t="str">
        <f>AN17/Sum(AN13:AN$21)</f>
      </c>
      <c r="M17" t="s">
        <v>66</v>
      </c>
      <c r="N17" t="s">
        <v>68</v>
      </c>
      <c r="O17" s="8" t="n">
        <v>16485887667.7275</v>
      </c>
      <c r="P17" s="8" t="n">
        <v>18176844854.6395</v>
      </c>
      <c r="Q17" s="8" t="n">
        <v>16467466502.4342</v>
      </c>
      <c r="R17" s="8" t="n">
        <v>18150712565.2265</v>
      </c>
      <c r="S17" s="8" t="n">
        <v>21884314236.09</v>
      </c>
      <c r="T17" s="8" t="n">
        <v>22167468872.504</v>
      </c>
      <c r="U17" s="8" t="n">
        <v>26331548444.1746</v>
      </c>
      <c r="V17" s="8" t="n">
        <v>31770811297.1069</v>
      </c>
      <c r="W17" s="8" t="n">
        <v>28478582310.1213</v>
      </c>
      <c r="X17" s="8" t="n">
        <v>29929451187.7023</v>
      </c>
      <c r="Y17" s="8" t="n">
        <v>39263918345.0159</v>
      </c>
      <c r="Z17" s="8" t="n">
        <v>23703305764.2566</v>
      </c>
      <c r="AA17" s="8" t="n">
        <v>33600782407.7485</v>
      </c>
      <c r="AB17" s="8" t="n">
        <v>22850004537.0942</v>
      </c>
      <c r="AC17" s="8" t="n">
        <v>13215729322.2945</v>
      </c>
      <c r="AD17" s="8" t="n">
        <v>12365467555.3553</v>
      </c>
      <c r="AE17" s="8" t="n">
        <v>33636663912.6351</v>
      </c>
      <c r="AF17" s="8" t="n">
        <v>47593191898.6557</v>
      </c>
      <c r="AG17" s="8" t="n">
        <v>47470616499.0022</v>
      </c>
      <c r="AH17" s="8" t="n">
        <v>38330774913.3605</v>
      </c>
      <c r="AI17" s="8" t="n">
        <v>64132722841.3142</v>
      </c>
      <c r="AJ17" s="8" t="n">
        <v>28845061543.9794</v>
      </c>
      <c r="AK17" s="8" t="n">
        <v>31240383529.3044</v>
      </c>
      <c r="AL17" s="8" t="n">
        <v>33208270818.3261</v>
      </c>
      <c r="AM17" s="8" t="n">
        <v>39212504634.4469</v>
      </c>
      <c r="AN17" s="8" t="n">
        <v>22396429520.0158</v>
      </c>
      <c r="AO17" s="8"/>
    </row>
    <row r="18">
      <c r="A18" t="str">
        <f>M18</f>
      </c>
      <c r="B18" t="str">
        <f>N18</f>
      </c>
      <c r="C18" s="8" t="str">
        <f>AI18</f>
      </c>
      <c r="D18" s="8" t="str">
        <f>AL18</f>
      </c>
      <c r="E18" s="8" t="str">
        <f>AM18</f>
      </c>
      <c r="F18" s="8" t="str">
        <f>AN18</f>
      </c>
      <c r="G18" s="3" t="str">
        <f>AM18/AL18-1</f>
      </c>
      <c r="H18" s="3" t="str">
        <f>AM18/AI18-1</f>
      </c>
      <c r="I18" s="3" t="str">
        <f>AN18/AM18</f>
      </c>
      <c r="J18" s="3" t="str">
        <f>AM18/Sum(AM$13:AM$21)</f>
      </c>
      <c r="K18" s="3" t="str">
        <f>AN18/Sum(AN13:AN$21)</f>
      </c>
      <c r="M18" t="s">
        <v>66</v>
      </c>
      <c r="N18"/>
      <c r="O18" s="8" t="n">
        <v>23577899028.4156</v>
      </c>
      <c r="P18" s="8" t="n">
        <v>11230220296.0612</v>
      </c>
      <c r="Q18" s="8" t="n">
        <v>14715214479.3945</v>
      </c>
      <c r="R18" s="8" t="n">
        <v>16158911567.8485</v>
      </c>
      <c r="S18" s="8" t="n">
        <v>17045828880.7177</v>
      </c>
      <c r="T18" s="8" t="n">
        <v>15070018103.0953</v>
      </c>
      <c r="U18" s="8" t="n">
        <v>12114675585.7086</v>
      </c>
      <c r="V18" s="8" t="n">
        <v>7037968020.64067</v>
      </c>
      <c r="W18" s="8" t="n">
        <v>15536308651.1309</v>
      </c>
      <c r="X18" s="8" t="n">
        <v>12201147506.1648</v>
      </c>
      <c r="Y18" s="8" t="n">
        <v>5003600615.66484</v>
      </c>
      <c r="Z18" s="8" t="n">
        <v>3840970787.50327</v>
      </c>
      <c r="AA18" s="8" t="n">
        <v>5530228266.71034</v>
      </c>
      <c r="AB18" s="8" t="n">
        <v>1239131775.69284</v>
      </c>
      <c r="AC18" s="8" t="n">
        <v>1421668812.97146</v>
      </c>
      <c r="AD18" s="8" t="n">
        <v>1405423945.79874</v>
      </c>
      <c r="AE18" s="8" t="n">
        <v>835593672.320068</v>
      </c>
      <c r="AF18" s="8" t="n">
        <v>1210817900.56282</v>
      </c>
      <c r="AG18" s="8" t="n">
        <v>134349168.783669</v>
      </c>
      <c r="AH18" s="8" t="n">
        <v>126893170.281754</v>
      </c>
      <c r="AI18" s="8" t="n">
        <v>194273108.857927</v>
      </c>
      <c r="AJ18" s="8" t="n">
        <v>80483053.4569213</v>
      </c>
      <c r="AK18" s="8" t="n">
        <v>501751175.380375</v>
      </c>
      <c r="AL18" s="8" t="n">
        <v>418245585.7645</v>
      </c>
      <c r="AM18" s="8" t="n">
        <v>57161471.9753636</v>
      </c>
      <c r="AN18" s="8" t="n">
        <v>1069034617.20113</v>
      </c>
      <c r="AO18" s="8"/>
    </row>
    <row r="19">
      <c r="A19" t="str">
        <f>M19</f>
      </c>
      <c r="B19" t="str">
        <f>N19</f>
      </c>
      <c r="C19" s="8" t="str">
        <f>AI19</f>
      </c>
      <c r="D19" s="8" t="str">
        <f>AL19</f>
      </c>
      <c r="E19" s="8" t="str">
        <f>AM19</f>
      </c>
      <c r="F19" s="8" t="str">
        <f>AN19</f>
      </c>
      <c r="G19" s="3" t="str">
        <f>AM19/AL19-1</f>
      </c>
      <c r="H19" s="3" t="str">
        <f>AM19/AI19-1</f>
      </c>
      <c r="I19" s="3" t="str">
        <f>AN19/AM19</f>
      </c>
      <c r="J19" s="3" t="str">
        <f>AM19/Sum(AM$13:AM$21)</f>
      </c>
      <c r="K19" s="3" t="str">
        <f>AN19/Sum(AN13:AN$21)</f>
      </c>
      <c r="M19" t="s">
        <v>69</v>
      </c>
      <c r="N19" t="s">
        <v>70</v>
      </c>
      <c r="O19" s="8" t="n">
        <v>155068296622.214</v>
      </c>
      <c r="P19" s="8" t="n">
        <v>167318588863.146</v>
      </c>
      <c r="Q19" s="8" t="n">
        <v>203008648970.663</v>
      </c>
      <c r="R19" s="8" t="n">
        <v>243531551377.917</v>
      </c>
      <c r="S19" s="8" t="n">
        <v>238448050590.54</v>
      </c>
      <c r="T19" s="8" t="n">
        <v>275204835857.539</v>
      </c>
      <c r="U19" s="8" t="n">
        <v>296192784081.437</v>
      </c>
      <c r="V19" s="8" t="n">
        <v>322339017362.721</v>
      </c>
      <c r="W19" s="8" t="n">
        <v>356569825788.869</v>
      </c>
      <c r="X19" s="8" t="n">
        <v>362636999424.184</v>
      </c>
      <c r="Y19" s="8" t="n">
        <v>406058740875.967</v>
      </c>
      <c r="Z19" s="8" t="n">
        <v>361218104666.69</v>
      </c>
      <c r="AA19" s="8" t="n">
        <v>333826812456.38</v>
      </c>
      <c r="AB19" s="8" t="n">
        <v>289775544362.138</v>
      </c>
      <c r="AC19" s="8" t="n">
        <v>287274476530.21</v>
      </c>
      <c r="AD19" s="8" t="n">
        <v>283484802765.24</v>
      </c>
      <c r="AE19" s="8" t="n">
        <v>298828771133.611</v>
      </c>
      <c r="AF19" s="8" t="n">
        <v>309659557533.449</v>
      </c>
      <c r="AG19" s="8" t="n">
        <v>334277415996.536</v>
      </c>
      <c r="AH19" s="8" t="n">
        <v>351386684538.79</v>
      </c>
      <c r="AI19" s="8" t="n">
        <v>397413202991.059</v>
      </c>
      <c r="AJ19" s="8" t="n">
        <v>398592091149.779</v>
      </c>
      <c r="AK19" s="8" t="n">
        <v>403017410301.643</v>
      </c>
      <c r="AL19" s="8" t="n">
        <v>408015659301.015</v>
      </c>
      <c r="AM19" s="8" t="n">
        <v>392876360911.004</v>
      </c>
      <c r="AN19" s="8" t="n">
        <v>151089557509.584</v>
      </c>
      <c r="AO19" s="8"/>
    </row>
    <row r="20">
      <c r="A20" t="str">
        <f>M20</f>
      </c>
      <c r="B20" t="str">
        <f>N20</f>
      </c>
      <c r="C20" s="8" t="str">
        <f>AI20</f>
      </c>
      <c r="D20" s="8" t="str">
        <f>AL20</f>
      </c>
      <c r="E20" s="8" t="str">
        <f>AM20</f>
      </c>
      <c r="F20" s="8" t="str">
        <f>AN20</f>
      </c>
      <c r="G20" s="3" t="str">
        <f>AM20/AL20-1</f>
      </c>
      <c r="H20" s="3" t="str">
        <f>AM20/AI20-1</f>
      </c>
      <c r="I20" s="3" t="str">
        <f>AN20/AM20</f>
      </c>
      <c r="J20" s="3" t="str">
        <f>AM20/Sum(AM$13:AM$21)</f>
      </c>
      <c r="K20" s="3" t="str">
        <f>AN20/Sum(AN13:AN$21)</f>
      </c>
      <c r="M20" t="s">
        <v>69</v>
      </c>
      <c r="N20" t="s">
        <v>71</v>
      </c>
      <c r="O20" s="8" t="n">
        <v>20455278126.9877</v>
      </c>
      <c r="P20" s="8" t="n">
        <v>25671201922.9277</v>
      </c>
      <c r="Q20" s="8" t="n">
        <v>31125838655.2054</v>
      </c>
      <c r="R20" s="8" t="n">
        <v>31306452760.4077</v>
      </c>
      <c r="S20" s="8" t="n">
        <v>35383351266.6802</v>
      </c>
      <c r="T20" s="8" t="n">
        <v>49830152758.5924</v>
      </c>
      <c r="U20" s="8" t="n">
        <v>43718547135.0426</v>
      </c>
      <c r="V20" s="8" t="n">
        <v>39871498973.4655</v>
      </c>
      <c r="W20" s="8" t="n">
        <v>47083840028.8173</v>
      </c>
      <c r="X20" s="8" t="n">
        <v>48420134831.6525</v>
      </c>
      <c r="Y20" s="8" t="n">
        <v>39548648188.2823</v>
      </c>
      <c r="Z20" s="8" t="n">
        <v>40152419721.9831</v>
      </c>
      <c r="AA20" s="8" t="n">
        <v>44074977886.2397</v>
      </c>
      <c r="AB20" s="8" t="n">
        <v>31549550365.4395</v>
      </c>
      <c r="AC20" s="8" t="n">
        <v>22345612294.3769</v>
      </c>
      <c r="AD20" s="8" t="n">
        <v>17837325738.1912</v>
      </c>
      <c r="AE20" s="8" t="n">
        <v>15792866128.6791</v>
      </c>
      <c r="AF20" s="8" t="n">
        <v>17231260685.4363</v>
      </c>
      <c r="AG20" s="8" t="n">
        <v>18784245348.1171</v>
      </c>
      <c r="AH20" s="8" t="n">
        <v>15811987085.4374</v>
      </c>
      <c r="AI20" s="8" t="n">
        <v>14826354617.2608</v>
      </c>
      <c r="AJ20" s="8" t="n">
        <v>15785798091.9252</v>
      </c>
      <c r="AK20" s="8" t="n">
        <v>23217883847.128</v>
      </c>
      <c r="AL20" s="8" t="n">
        <v>22140950156.917</v>
      </c>
      <c r="AM20" s="8" t="n">
        <v>23532982926.676</v>
      </c>
      <c r="AN20" s="8" t="n">
        <v>8484528269.35812</v>
      </c>
      <c r="AO20" s="8"/>
    </row>
    <row r="21">
      <c r="A21" t="str">
        <f>M21</f>
      </c>
      <c r="B21" t="str">
        <f>N21</f>
      </c>
      <c r="C21" s="8" t="str">
        <f>AI21</f>
      </c>
      <c r="D21" s="8" t="str">
        <f>AL21</f>
      </c>
      <c r="E21" s="8" t="str">
        <f>AM21</f>
      </c>
      <c r="F21" s="8" t="str">
        <f>AN21</f>
      </c>
      <c r="G21" s="3" t="str">
        <f>AM21/AL21-1</f>
      </c>
      <c r="H21" s="3" t="str">
        <f>AM21/AI21-1</f>
      </c>
      <c r="I21" s="3" t="str">
        <f>AN21/AM21</f>
      </c>
      <c r="J21" s="3" t="str">
        <f>AM21/Sum(AM$13:AM$21)</f>
      </c>
      <c r="K21" s="3" t="str">
        <f>AN21/Sum(AN13:AN$21)</f>
      </c>
      <c r="M21" t="s">
        <v>72</v>
      </c>
      <c r="N21" t="s">
        <v>72</v>
      </c>
      <c r="O21" s="8" t="n">
        <v>13545987968.24</v>
      </c>
      <c r="P21" s="8" t="n">
        <v>18388923330.0701</v>
      </c>
      <c r="Q21" s="8" t="n">
        <v>22905319116.7095</v>
      </c>
      <c r="R21" s="8" t="n">
        <v>26043626347.52</v>
      </c>
      <c r="S21" s="8" t="n">
        <v>29944867708.0856</v>
      </c>
      <c r="T21" s="8" t="n">
        <v>35964689159.3391</v>
      </c>
      <c r="U21" s="8" t="n">
        <v>40274154070.302</v>
      </c>
      <c r="V21" s="8" t="n">
        <v>37802158649.5452</v>
      </c>
      <c r="W21" s="8" t="n">
        <v>43485702150.0972</v>
      </c>
      <c r="X21" s="8" t="n">
        <v>44344133152.7733</v>
      </c>
      <c r="Y21" s="8" t="n">
        <v>55149962545.8554</v>
      </c>
      <c r="Z21" s="8" t="n">
        <v>79349860899.4894</v>
      </c>
      <c r="AA21" s="8" t="n">
        <v>65960325069.0741</v>
      </c>
      <c r="AB21" s="8" t="n">
        <v>68820451241.6821</v>
      </c>
      <c r="AC21" s="8" t="n">
        <v>62929845137.7556</v>
      </c>
      <c r="AD21" s="8" t="n">
        <v>60878760981.9236</v>
      </c>
      <c r="AE21" s="8" t="n">
        <v>60063907147.8317</v>
      </c>
      <c r="AF21" s="8" t="n">
        <v>59780526380.8788</v>
      </c>
      <c r="AG21" s="8" t="n">
        <v>69779540348.7394</v>
      </c>
      <c r="AH21" s="8" t="n">
        <v>82017250743.7612</v>
      </c>
      <c r="AI21" s="8" t="n">
        <v>89544035525.0944</v>
      </c>
      <c r="AJ21" s="8" t="n">
        <v>73350719694.9997</v>
      </c>
      <c r="AK21" s="8" t="n">
        <v>65645454260.6236</v>
      </c>
      <c r="AL21" s="8" t="n">
        <v>85826898877.3221</v>
      </c>
      <c r="AM21" s="8" t="n">
        <v>63628733960.1062</v>
      </c>
      <c r="AN21" s="8" t="n">
        <v>27202935210.3773</v>
      </c>
      <c r="AO21" s="8"/>
    </row>
    <row r="22">
      <c r="A22" t="str">
        <f>M22</f>
      </c>
      <c r="B22" t="str">
        <f>N22</f>
      </c>
      <c r="C22" s="8" t="str">
        <f>AI22</f>
      </c>
      <c r="D22" s="8" t="str">
        <f>AL22</f>
      </c>
      <c r="E22" s="8" t="str">
        <f>AM22</f>
      </c>
      <c r="F22" s="8" t="str">
        <f>AN22</f>
      </c>
      <c r="G22" s="3" t="str">
        <f>AM22/AL22-1</f>
      </c>
      <c r="H22" s="3" t="str">
        <f>AM22/AI22-1</f>
      </c>
      <c r="I22" s="3" t="str">
        <f>AN22/AM22</f>
      </c>
      <c r="J22" s="3" t="str">
        <f>Sum(J$13:J$21)</f>
      </c>
      <c r="K22" s="3" t="str">
        <f>Sum(K$13:K$21)</f>
      </c>
      <c r="M22" t="s">
        <v>30</v>
      </c>
      <c r="N22" t="s">
        <v>60</v>
      </c>
      <c r="O22" s="8" t="str">
        <f>Sum(O14:O21)</f>
      </c>
      <c r="P22" s="8" t="str">
        <f>Sum(P14:P21)</f>
      </c>
      <c r="Q22" s="8" t="str">
        <f>Sum(Q14:Q21)</f>
      </c>
      <c r="R22" s="8" t="str">
        <f>Sum(R14:R21)</f>
      </c>
      <c r="S22" s="8" t="str">
        <f>Sum(S14:S21)</f>
      </c>
      <c r="T22" s="8" t="str">
        <f>Sum(T14:T21)</f>
      </c>
      <c r="U22" s="8" t="str">
        <f>Sum(U14:U21)</f>
      </c>
      <c r="V22" s="8" t="str">
        <f>Sum(V14:V21)</f>
      </c>
      <c r="W22" s="8" t="str">
        <f>Sum(W14:W21)</f>
      </c>
      <c r="X22" s="8" t="str">
        <f>Sum(X14:X21)</f>
      </c>
      <c r="Y22" s="8" t="str">
        <f>Sum(Y14:Y21)</f>
      </c>
      <c r="Z22" s="8" t="str">
        <f>Sum(Z14:Z21)</f>
      </c>
      <c r="AA22" s="8" t="str">
        <f>Sum(AA14:AA21)</f>
      </c>
      <c r="AB22" s="8" t="str">
        <f>Sum(AB14:AB21)</f>
      </c>
      <c r="AC22" s="8" t="str">
        <f>Sum(AC14:AC21)</f>
      </c>
      <c r="AD22" s="8" t="str">
        <f>Sum(AD14:AD21)</f>
      </c>
      <c r="AE22" s="8" t="str">
        <f>Sum(AE14:AE21)</f>
      </c>
      <c r="AF22" s="8" t="str">
        <f>Sum(AF14:AF21)</f>
      </c>
      <c r="AG22" s="8" t="str">
        <f>Sum(AG14:AG21)</f>
      </c>
      <c r="AH22" s="8" t="str">
        <f>Sum(AH14:AH21)</f>
      </c>
      <c r="AI22" s="8" t="str">
        <f>Sum(AI14:AI21)</f>
      </c>
      <c r="AJ22" s="8" t="str">
        <f>Sum(AJ14:AJ21)</f>
      </c>
      <c r="AK22" s="8" t="str">
        <f>Sum(AK14:AK21)</f>
      </c>
      <c r="AL22" s="8" t="str">
        <f>Sum(AL14:AL21)</f>
      </c>
      <c r="AM22" s="8" t="str">
        <f>Sum(AM14:AM21)</f>
      </c>
      <c r="AN22" s="8" t="str">
        <f>Sum(AN14:AN21)</f>
      </c>
      <c r="AO22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73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74</v>
      </c>
      <c r="M2" s="9" t="n">
        <v>5370966607</v>
      </c>
      <c r="N2" s="9" t="n">
        <v>6332880490.1202</v>
      </c>
      <c r="O2" s="9" t="n">
        <v>6702633252.9387</v>
      </c>
      <c r="P2" s="9" t="n">
        <v>7450779482.9272</v>
      </c>
      <c r="Q2" s="9" t="n">
        <v>7240942347.0276</v>
      </c>
      <c r="R2" s="9" t="n">
        <v>8220877392.7517</v>
      </c>
      <c r="S2" s="9" t="n">
        <v>9206297010.0259</v>
      </c>
      <c r="T2" s="9" t="n">
        <v>9836808944.9333</v>
      </c>
      <c r="U2" s="9" t="n">
        <v>10049974407.1413</v>
      </c>
      <c r="V2" s="9" t="n">
        <v>11060595595.4686</v>
      </c>
      <c r="W2" s="9" t="n">
        <v>9503006419.9798</v>
      </c>
      <c r="X2" s="9" t="n">
        <v>8675148475.8477</v>
      </c>
      <c r="Y2" s="9" t="n">
        <v>8647457053.9128</v>
      </c>
      <c r="Z2" s="9" t="n">
        <v>7152234540.592</v>
      </c>
      <c r="AA2" s="9" t="n">
        <v>5818836293.8379</v>
      </c>
      <c r="AB2" s="9" t="n">
        <v>5625821637.2589</v>
      </c>
      <c r="AC2" s="9" t="n">
        <v>5925956672.117</v>
      </c>
      <c r="AD2" s="9" t="n">
        <v>6221667231.7905</v>
      </c>
      <c r="AE2" s="9" t="n">
        <v>6527200769.4142</v>
      </c>
      <c r="AF2" s="9" t="n">
        <v>8122109372.4326</v>
      </c>
      <c r="AG2" s="9" t="n">
        <v>10095703489.6365</v>
      </c>
      <c r="AH2" s="9" t="n">
        <v>3832491969.6857</v>
      </c>
      <c r="AI2" s="9" t="n">
        <v>2872079736.9751</v>
      </c>
      <c r="AJ2" s="9" t="n">
        <v>2107234762.8554</v>
      </c>
      <c r="AK2" s="9" t="n">
        <v>1388443870.61</v>
      </c>
      <c r="AL2" s="9" t="n">
        <v>446180541.16</v>
      </c>
      <c r="AM2" s="9"/>
      <c r="AN2" s="9"/>
    </row>
    <row r="3">
      <c r="A3" t="str">
        <f>L3</f>
      </c>
      <c r="L3" t="s">
        <v>75</v>
      </c>
      <c r="M3" s="9" t="n">
        <v>3303644015.8486</v>
      </c>
      <c r="N3" s="9" t="n">
        <v>3479699162.6385</v>
      </c>
      <c r="O3" s="9" t="n">
        <v>3990696319.0243</v>
      </c>
      <c r="P3" s="9" t="n">
        <v>5133389558.2546</v>
      </c>
      <c r="Q3" s="9" t="n">
        <v>8003850455.7847</v>
      </c>
      <c r="R3" s="9" t="n">
        <v>8353858364.7899</v>
      </c>
      <c r="S3" s="9" t="n">
        <v>8523636108.1404</v>
      </c>
      <c r="T3" s="9" t="n">
        <v>9081887398.7478</v>
      </c>
      <c r="U3" s="9" t="n">
        <v>9936883408.879</v>
      </c>
      <c r="V3" s="9" t="n">
        <v>10105025548.0066</v>
      </c>
      <c r="W3" s="9" t="n">
        <v>11311464726.4232</v>
      </c>
      <c r="X3" s="9" t="n">
        <v>12304504786.3214</v>
      </c>
      <c r="Y3" s="9" t="n">
        <v>11159567586.8213</v>
      </c>
      <c r="Z3" s="9" t="n">
        <v>10151453228.2411</v>
      </c>
      <c r="AA3" s="9" t="n">
        <v>10648858505.5854</v>
      </c>
      <c r="AB3" s="9" t="n">
        <v>9583981564.0002</v>
      </c>
      <c r="AC3" s="9" t="n">
        <v>10391493343.8562</v>
      </c>
      <c r="AD3" s="9" t="n">
        <v>10948903467.8601</v>
      </c>
      <c r="AE3" s="9" t="n">
        <v>11513481583.724</v>
      </c>
      <c r="AF3" s="9" t="n">
        <v>12582699258.0695</v>
      </c>
      <c r="AG3" s="9" t="n">
        <v>13886626364.8495</v>
      </c>
      <c r="AH3" s="9" t="n">
        <v>14503834267.6218</v>
      </c>
      <c r="AI3" s="9" t="n">
        <v>17547484958.8625</v>
      </c>
      <c r="AJ3" s="9" t="n">
        <v>22389190916.8099</v>
      </c>
      <c r="AK3" s="9" t="n">
        <v>24188629989.27</v>
      </c>
      <c r="AL3" s="9" t="n">
        <v>8128999259.77</v>
      </c>
      <c r="AM3" s="9"/>
      <c r="AN3" s="9"/>
    </row>
    <row r="4">
      <c r="A4" t="str">
        <f>L4</f>
      </c>
      <c r="L4" t="s">
        <v>76</v>
      </c>
      <c r="M4" s="9" t="n">
        <v>3662286928.2421</v>
      </c>
      <c r="N4" s="9" t="n">
        <v>4978626933.3856</v>
      </c>
      <c r="O4" s="9" t="n">
        <v>6196289210.771</v>
      </c>
      <c r="P4" s="9" t="n">
        <v>6855684101.1315</v>
      </c>
      <c r="Q4" s="9" t="n">
        <v>7746922027.9881</v>
      </c>
      <c r="R4" s="9" t="n">
        <v>7783828800.0874</v>
      </c>
      <c r="S4" s="9" t="n">
        <v>7170246721.9059</v>
      </c>
      <c r="T4" s="9" t="n">
        <v>7353234196.3414</v>
      </c>
      <c r="U4" s="9" t="n">
        <v>10114027344.6387</v>
      </c>
      <c r="V4" s="9" t="n">
        <v>10153529792.6717</v>
      </c>
      <c r="W4" s="9" t="n">
        <v>10190240783.2638</v>
      </c>
      <c r="X4" s="9" t="n">
        <v>9307706486.9906</v>
      </c>
      <c r="Y4" s="9" t="n">
        <v>8932360525.0324</v>
      </c>
      <c r="Z4" s="9" t="n">
        <v>8104408056.6367</v>
      </c>
      <c r="AA4" s="9" t="n">
        <v>8095139426.1538</v>
      </c>
      <c r="AB4" s="9" t="n">
        <v>8095568886.8594</v>
      </c>
      <c r="AC4" s="9" t="n">
        <v>8470027825.6476</v>
      </c>
      <c r="AD4" s="9" t="n">
        <v>8523502109.1043</v>
      </c>
      <c r="AE4" s="9" t="n">
        <v>9328319822.3864</v>
      </c>
      <c r="AF4" s="9" t="n">
        <v>9578069532.9949</v>
      </c>
      <c r="AG4" s="9" t="n">
        <v>11516767972.9629</v>
      </c>
      <c r="AH4" s="9" t="n">
        <v>11294868952.2025</v>
      </c>
      <c r="AI4" s="9" t="n">
        <v>11871642922.0361</v>
      </c>
      <c r="AJ4" s="9" t="n">
        <v>12925971928.4951</v>
      </c>
      <c r="AK4" s="9" t="n">
        <v>11961597753.11</v>
      </c>
      <c r="AL4" s="9" t="n">
        <v>5519708037.04</v>
      </c>
      <c r="AM4" s="9"/>
      <c r="AN4" s="9"/>
    </row>
    <row r="5">
      <c r="A5" t="str">
        <f>L5</f>
      </c>
      <c r="L5" t="s">
        <v>77</v>
      </c>
      <c r="M5" s="9" t="n">
        <v>586614636</v>
      </c>
      <c r="N5" s="9" t="n">
        <v>659698404.05</v>
      </c>
      <c r="O5" s="9" t="n">
        <v>925409662.2008</v>
      </c>
      <c r="P5" s="9" t="n">
        <v>1071101371</v>
      </c>
      <c r="Q5" s="9" t="n">
        <v>1415044457.8859</v>
      </c>
      <c r="R5" s="9" t="n">
        <v>1809007101.5943</v>
      </c>
      <c r="S5" s="9" t="n">
        <v>1871963887.0024</v>
      </c>
      <c r="T5" s="9" t="n">
        <v>2017155364.0062</v>
      </c>
      <c r="U5" s="9" t="n">
        <v>1953471057.3493</v>
      </c>
      <c r="V5" s="9" t="n">
        <v>1830271039.644</v>
      </c>
      <c r="W5" s="9" t="n">
        <v>1873429401.4443</v>
      </c>
      <c r="X5" s="9" t="n">
        <v>2009596853.498</v>
      </c>
      <c r="Y5" s="9" t="n">
        <v>1532499453.1134</v>
      </c>
      <c r="Z5" s="9" t="n">
        <v>1342596870.6962</v>
      </c>
      <c r="AA5" s="9" t="n">
        <v>1718850873.4704</v>
      </c>
      <c r="AB5" s="9" t="n">
        <v>1784325184.121</v>
      </c>
      <c r="AC5" s="9" t="n">
        <v>1960006744.936</v>
      </c>
      <c r="AD5" s="9" t="n">
        <v>1857613132.3092</v>
      </c>
      <c r="AE5" s="9" t="n">
        <v>1294663395.6531</v>
      </c>
      <c r="AF5" s="9" t="n">
        <v>906537803.0599</v>
      </c>
      <c r="AG5" s="9" t="n">
        <v>1418757410.7503</v>
      </c>
      <c r="AH5" s="9" t="n">
        <v>648094069.9207</v>
      </c>
      <c r="AI5" s="9" t="n">
        <v>487005970.4257</v>
      </c>
      <c r="AJ5" s="9" t="n">
        <v>370611692.9997</v>
      </c>
      <c r="AK5" s="9" t="n">
        <v>284076583.69</v>
      </c>
      <c r="AL5" s="9" t="n">
        <v>234356917.5</v>
      </c>
      <c r="AM5" s="9"/>
      <c r="AN5" s="9"/>
    </row>
    <row r="6">
      <c r="A6" t="str">
        <f>L6</f>
      </c>
      <c r="L6" t="s">
        <v>78</v>
      </c>
      <c r="M6" s="9" t="n">
        <v>3567865005.4707</v>
      </c>
      <c r="N6" s="9" t="n">
        <v>3983876397.7238</v>
      </c>
      <c r="O6" s="9" t="n">
        <v>4144779163.5996</v>
      </c>
      <c r="P6" s="9" t="n">
        <v>3957106666.3677</v>
      </c>
      <c r="Q6" s="9" t="n">
        <v>4423095574.3237</v>
      </c>
      <c r="R6" s="9" t="n">
        <v>3489409371.7124</v>
      </c>
      <c r="S6" s="9" t="n">
        <v>3467744045.7506</v>
      </c>
      <c r="T6" s="9" t="n">
        <v>4776184495.8133</v>
      </c>
      <c r="U6" s="9" t="n">
        <v>5705634930.8987</v>
      </c>
      <c r="V6" s="9" t="n">
        <v>6901983483.0439</v>
      </c>
      <c r="W6" s="9" t="n">
        <v>7547925674.0451</v>
      </c>
      <c r="X6" s="9" t="n">
        <v>6898461911.5584</v>
      </c>
      <c r="Y6" s="9" t="n">
        <v>6105391672.521</v>
      </c>
      <c r="Z6" s="9" t="n">
        <v>4964299850.6893</v>
      </c>
      <c r="AA6" s="9" t="n">
        <v>5070940987.5976</v>
      </c>
      <c r="AB6" s="9" t="n">
        <v>5230488235.6831</v>
      </c>
      <c r="AC6" s="9" t="n">
        <v>6379445211.1857</v>
      </c>
      <c r="AD6" s="9" t="n">
        <v>6607568651.059</v>
      </c>
      <c r="AE6" s="9" t="n">
        <v>7203025789.3785</v>
      </c>
      <c r="AF6" s="9" t="n">
        <v>8314257463.983</v>
      </c>
      <c r="AG6" s="9" t="n">
        <v>9480572267.1584</v>
      </c>
      <c r="AH6" s="9" t="n">
        <v>4072939624.5945</v>
      </c>
      <c r="AI6" s="9" t="n">
        <v>2687075225.9432</v>
      </c>
      <c r="AJ6" s="9" t="n">
        <v>2575249574.9718</v>
      </c>
      <c r="AK6" s="9" t="n">
        <v>2338731199.16</v>
      </c>
      <c r="AL6" s="9" t="n">
        <v>1023407114.08</v>
      </c>
      <c r="AM6" s="9"/>
      <c r="AN6" s="9"/>
    </row>
    <row r="7">
      <c r="A7" t="str">
        <f>L7</f>
      </c>
      <c r="L7" t="s">
        <v>79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 t="n">
        <v>5847517429.5949</v>
      </c>
      <c r="AI7" s="9" t="n">
        <v>9235983684.7462</v>
      </c>
      <c r="AJ7" s="9" t="n">
        <v>15126333528.4604</v>
      </c>
      <c r="AK7" s="9" t="n">
        <v>14897237183.65</v>
      </c>
      <c r="AL7" s="9" t="n">
        <v>6539945556.58</v>
      </c>
      <c r="AM7" s="9"/>
      <c r="AN7" s="9"/>
    </row>
    <row r="8">
      <c r="A8" t="str">
        <f>L8</f>
      </c>
      <c r="L8" t="s">
        <v>80</v>
      </c>
      <c r="M8" s="9" t="n">
        <v>5407539851.7802</v>
      </c>
      <c r="N8" s="9" t="n">
        <v>5310030553.4</v>
      </c>
      <c r="O8" s="9" t="n">
        <v>7767108212.7695</v>
      </c>
      <c r="P8" s="9" t="n">
        <v>9354349524.6238</v>
      </c>
      <c r="Q8" s="9" t="n">
        <v>9923768133.1371</v>
      </c>
      <c r="R8" s="9" t="n">
        <v>12667697520.6553</v>
      </c>
      <c r="S8" s="9" t="n">
        <v>16099128304.7425</v>
      </c>
      <c r="T8" s="9" t="n">
        <v>16325229960.3405</v>
      </c>
      <c r="U8" s="9" t="n">
        <v>14211264245.359</v>
      </c>
      <c r="V8" s="9" t="n">
        <v>15474984487.0335</v>
      </c>
      <c r="W8" s="9" t="n">
        <v>13661529046.9149</v>
      </c>
      <c r="X8" s="9" t="n">
        <v>11972344783.6413</v>
      </c>
      <c r="Y8" s="9" t="n">
        <v>10083907219.3833</v>
      </c>
      <c r="Z8" s="9" t="n">
        <v>8425993531.6349</v>
      </c>
      <c r="AA8" s="9" t="n">
        <v>6276925597.0013</v>
      </c>
      <c r="AB8" s="9" t="n">
        <v>6029586653.3259</v>
      </c>
      <c r="AC8" s="9" t="n">
        <v>5410262323.8035</v>
      </c>
      <c r="AD8" s="9" t="n">
        <v>5634382744.3203</v>
      </c>
      <c r="AE8" s="9" t="n">
        <v>5268279390.341</v>
      </c>
      <c r="AF8" s="9" t="n">
        <v>5479252950.1163</v>
      </c>
      <c r="AG8" s="9" t="n">
        <v>4874756587.0276</v>
      </c>
      <c r="AH8" s="9" t="n">
        <v>948154485.21</v>
      </c>
      <c r="AI8" s="9" t="n">
        <v>788628892.7088</v>
      </c>
      <c r="AJ8" s="9" t="n">
        <v>647770518.0496</v>
      </c>
      <c r="AK8" s="9" t="n">
        <v>447502284.21</v>
      </c>
      <c r="AL8" s="9" t="n">
        <v>271300311.66</v>
      </c>
      <c r="AM8" s="9"/>
      <c r="AN8" s="9"/>
    </row>
    <row r="9">
      <c r="A9" t="str">
        <f>L9</f>
      </c>
      <c r="L9" t="s">
        <v>81</v>
      </c>
      <c r="M9" s="9" t="n">
        <v>1341132031.5039</v>
      </c>
      <c r="N9" s="9" t="n">
        <v>1385639555.6801</v>
      </c>
      <c r="O9" s="9" t="n">
        <v>1696213190.0246</v>
      </c>
      <c r="P9" s="9" t="n">
        <v>1623342137.4613</v>
      </c>
      <c r="Q9" s="9" t="n">
        <v>2131889057.8671</v>
      </c>
      <c r="R9" s="9" t="n">
        <v>2650234078.7561</v>
      </c>
      <c r="S9" s="9" t="n">
        <v>2802140455.8549</v>
      </c>
      <c r="T9" s="9" t="n">
        <v>2999522044.4949</v>
      </c>
      <c r="U9" s="9" t="n">
        <v>3588708011.1354</v>
      </c>
      <c r="V9" s="9" t="n">
        <v>4142960366.2222</v>
      </c>
      <c r="W9" s="9" t="n">
        <v>3561300392.9948</v>
      </c>
      <c r="X9" s="9" t="n">
        <v>3171162191.2706</v>
      </c>
      <c r="Y9" s="9" t="n">
        <v>3076508186.7688</v>
      </c>
      <c r="Z9" s="9" t="n">
        <v>2526741308.9468</v>
      </c>
      <c r="AA9" s="9" t="n">
        <v>2560080057.7205</v>
      </c>
      <c r="AB9" s="9" t="n">
        <v>2432402030.2084</v>
      </c>
      <c r="AC9" s="9" t="n">
        <v>2096225962.2955</v>
      </c>
      <c r="AD9" s="9" t="n">
        <v>1826356818.9335</v>
      </c>
      <c r="AE9" s="9" t="n">
        <v>2058323624.1976</v>
      </c>
      <c r="AF9" s="9" t="n">
        <v>2249503819.6068</v>
      </c>
      <c r="AG9" s="9" t="n">
        <v>2424814083.5003</v>
      </c>
      <c r="AH9" s="9" t="n">
        <v>7998149086.678</v>
      </c>
      <c r="AI9" s="9" t="n">
        <v>7757874960.2035</v>
      </c>
      <c r="AJ9" s="9" t="n">
        <v>9063480259.6264</v>
      </c>
      <c r="AK9" s="9" t="n">
        <v>8554010400.09</v>
      </c>
      <c r="AL9" s="9" t="n">
        <v>2275505580.98</v>
      </c>
      <c r="AM9" s="9"/>
      <c r="AN9" s="9"/>
    </row>
    <row r="10">
      <c r="A10" t="str">
        <f>L10</f>
      </c>
      <c r="L10" t="s">
        <v>82</v>
      </c>
      <c r="M10" s="9" t="n">
        <v>14616624997.0744</v>
      </c>
      <c r="N10" s="9" t="n">
        <v>13844119531.84</v>
      </c>
      <c r="O10" s="9" t="n">
        <v>14534172801.59</v>
      </c>
      <c r="P10" s="9" t="n">
        <v>21388760729.8234</v>
      </c>
      <c r="Q10" s="9" t="n">
        <v>12041587267.8961</v>
      </c>
      <c r="R10" s="9" t="n">
        <v>13010592440.4942</v>
      </c>
      <c r="S10" s="9" t="n">
        <v>13349135549.9731</v>
      </c>
      <c r="T10" s="9" t="n">
        <v>13791227540.023</v>
      </c>
      <c r="U10" s="9" t="n">
        <v>12175541537.4954</v>
      </c>
      <c r="V10" s="9" t="n">
        <v>14835111894.0497</v>
      </c>
      <c r="W10" s="9" t="n">
        <v>14262879987.8424</v>
      </c>
      <c r="X10" s="9" t="n">
        <v>14042169941.6787</v>
      </c>
      <c r="Y10" s="9" t="n">
        <v>13694028086.8825</v>
      </c>
      <c r="Z10" s="9" t="n">
        <v>13468916941.3581</v>
      </c>
      <c r="AA10" s="9" t="n">
        <v>14434060874.8486</v>
      </c>
      <c r="AB10" s="9" t="n">
        <v>14019910044.552</v>
      </c>
      <c r="AC10" s="9" t="n">
        <v>16597284608.4739</v>
      </c>
      <c r="AD10" s="9" t="n">
        <v>13392250479.3942</v>
      </c>
      <c r="AE10" s="9" t="n">
        <v>13504351363.7002</v>
      </c>
      <c r="AF10" s="9" t="n">
        <v>11681060127.2986</v>
      </c>
      <c r="AG10" s="9" t="n">
        <v>12767731272.8977</v>
      </c>
      <c r="AH10" s="9" t="n">
        <v>15665915756.3238</v>
      </c>
      <c r="AI10" s="9" t="n">
        <v>17624564512.3809</v>
      </c>
      <c r="AJ10" s="9" t="n">
        <v>20162273081.0762</v>
      </c>
      <c r="AK10" s="9" t="n">
        <v>20407117884.52</v>
      </c>
      <c r="AL10" s="9" t="n">
        <v>9311973557.6</v>
      </c>
      <c r="AM10" s="9"/>
      <c r="AN10" s="9"/>
    </row>
    <row r="11">
      <c r="A11" t="str">
        <f>L11</f>
      </c>
      <c r="L11" t="s">
        <v>83</v>
      </c>
      <c r="M11" s="9" t="n">
        <v>51324604</v>
      </c>
      <c r="N11" s="9" t="n">
        <v>40503756</v>
      </c>
      <c r="O11" s="9" t="n">
        <v>38864158</v>
      </c>
      <c r="P11" s="9" t="n">
        <v>32116193.41</v>
      </c>
      <c r="Q11" s="9" t="n">
        <v>86917905.77</v>
      </c>
      <c r="R11" s="9" t="n">
        <v>17058443.27</v>
      </c>
      <c r="S11" s="9" t="n">
        <v>25727126</v>
      </c>
      <c r="T11" s="9" t="n">
        <v>31656115</v>
      </c>
      <c r="U11" s="9" t="n">
        <v>44676305.77</v>
      </c>
      <c r="V11" s="9" t="n">
        <v>7406758</v>
      </c>
      <c r="W11" s="9" t="n">
        <v>173535</v>
      </c>
      <c r="X11" s="9"/>
      <c r="Y11" s="9"/>
      <c r="Z11" s="9" t="n">
        <v>0</v>
      </c>
      <c r="AA11" s="9" t="n">
        <v>-6564.35</v>
      </c>
      <c r="AB11" s="9" t="n">
        <v>-32404.0801</v>
      </c>
      <c r="AC11" s="9"/>
      <c r="AD11" s="9" t="n">
        <v>0</v>
      </c>
      <c r="AE11" s="9"/>
      <c r="AF11" s="9" t="n">
        <v>-94815.73</v>
      </c>
      <c r="AG11" s="9"/>
      <c r="AH11" s="9"/>
      <c r="AI11" s="9"/>
      <c r="AJ11" s="9"/>
      <c r="AK11" s="9"/>
      <c r="AL11" s="9"/>
      <c r="AM11" s="9"/>
      <c r="AN11" s="9"/>
    </row>
    <row r="12">
      <c r="A12" t="str">
        <f>L12</f>
      </c>
      <c r="L12" t="s">
        <v>30</v>
      </c>
      <c r="M12" s="9" t="str">
        <f>Sum(M2:M11)</f>
      </c>
      <c r="N12" s="9" t="str">
        <f>Sum(N2:N11)</f>
      </c>
      <c r="O12" s="9" t="str">
        <f>Sum(O2:O11)</f>
      </c>
      <c r="P12" s="9" t="str">
        <f>Sum(P2:P11)</f>
      </c>
      <c r="Q12" s="9" t="str">
        <f>Sum(Q2:Q11)</f>
      </c>
      <c r="R12" s="9" t="str">
        <f>Sum(R2:R11)</f>
      </c>
      <c r="S12" s="9" t="str">
        <f>Sum(S2:S11)</f>
      </c>
      <c r="T12" s="9" t="str">
        <f>Sum(T2:T11)</f>
      </c>
      <c r="U12" s="9" t="str">
        <f>Sum(U2:U11)</f>
      </c>
      <c r="V12" s="9" t="str">
        <f>Sum(V2:V11)</f>
      </c>
      <c r="W12" s="9" t="str">
        <f>Sum(W2:W11)</f>
      </c>
      <c r="X12" s="9" t="str">
        <f>Sum(X2:X11)</f>
      </c>
      <c r="Y12" s="9" t="str">
        <f>Sum(Y2:Y11)</f>
      </c>
      <c r="Z12" s="9" t="str">
        <f>Sum(Z2:Z11)</f>
      </c>
      <c r="AA12" s="9" t="str">
        <f>Sum(AA2:AA11)</f>
      </c>
      <c r="AB12" s="9" t="str">
        <f>Sum(AB2:AB11)</f>
      </c>
      <c r="AC12" s="9" t="str">
        <f>Sum(AC2:AC11)</f>
      </c>
      <c r="AD12" s="9" t="str">
        <f>Sum(AD2:AD11)</f>
      </c>
      <c r="AE12" s="9" t="str">
        <f>Sum(AE2:AE11)</f>
      </c>
      <c r="AF12" s="9" t="str">
        <f>Sum(AF2:AF11)</f>
      </c>
      <c r="AG12" s="9" t="str">
        <f>Sum(AG2:AG11)</f>
      </c>
      <c r="AH12" s="9" t="str">
        <f>Sum(AH2:AH11)</f>
      </c>
      <c r="AI12" s="9" t="str">
        <f>Sum(AI2:AI11)</f>
      </c>
      <c r="AJ12" s="9" t="str">
        <f>Sum(AJ2:AJ11)</f>
      </c>
      <c r="AK12" s="9" t="str">
        <f>Sum(AK2:AK11)</f>
      </c>
      <c r="AL12" s="9" t="str">
        <f>Sum(AL2:AL11)</f>
      </c>
      <c r="AM12" s="9" t="str">
        <f>Sum(AM2:AM11)</f>
      </c>
      <c r="AN12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73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84</v>
      </c>
      <c r="M2" s="10" t="n">
        <v>8292707837.797</v>
      </c>
      <c r="N2" s="10" t="n">
        <v>9639893678.1369</v>
      </c>
      <c r="O2" s="10" t="n">
        <v>12710455836.4112</v>
      </c>
      <c r="P2" s="10" t="n">
        <v>13756432020.0669</v>
      </c>
      <c r="Q2" s="10" t="n">
        <v>14790427181.4965</v>
      </c>
      <c r="R2" s="10" t="n">
        <v>18892436615.4646</v>
      </c>
      <c r="S2" s="10" t="n">
        <v>19991354525.686</v>
      </c>
      <c r="T2" s="10" t="n">
        <v>21388355117.2934</v>
      </c>
      <c r="U2" s="10" t="n">
        <v>30382269743.0629</v>
      </c>
      <c r="V2" s="10" t="n">
        <v>36996776485.4938</v>
      </c>
      <c r="W2" s="10" t="n">
        <v>35913853232.7376</v>
      </c>
      <c r="X2" s="10" t="n">
        <v>26689712316.7149</v>
      </c>
      <c r="Y2" s="10" t="n">
        <v>25087058370.962</v>
      </c>
      <c r="Z2" s="10" t="n">
        <v>18192874681.6517</v>
      </c>
      <c r="AA2" s="10" t="n">
        <v>18959169741.2955</v>
      </c>
      <c r="AB2" s="10" t="n">
        <v>17086050295.2576</v>
      </c>
      <c r="AC2" s="10" t="n">
        <v>16257353163.2756</v>
      </c>
      <c r="AD2" s="10" t="n">
        <v>16571383581.0541</v>
      </c>
      <c r="AE2" s="10" t="n">
        <v>20211297379.0978</v>
      </c>
      <c r="AF2" s="10" t="n">
        <v>27167704190.1166</v>
      </c>
      <c r="AG2" s="10" t="n">
        <v>31327488900.4795</v>
      </c>
      <c r="AH2" s="10" t="n">
        <v>23351510624.1655</v>
      </c>
      <c r="AI2" s="10" t="n">
        <v>28425432330.2978</v>
      </c>
      <c r="AJ2" s="10" t="n">
        <v>32226585198.6431</v>
      </c>
      <c r="AK2" s="10" t="n">
        <v>31365111847.9992</v>
      </c>
      <c r="AL2" s="10" t="n">
        <v>6976664041.92</v>
      </c>
      <c r="AM2" s="10"/>
      <c r="AN2" s="10"/>
    </row>
    <row r="3">
      <c r="A3" t="str">
        <f>L3</f>
      </c>
      <c r="L3" t="s">
        <v>85</v>
      </c>
      <c r="M3" s="10" t="n">
        <v>9452104326.5537</v>
      </c>
      <c r="N3" s="10" t="n">
        <v>10746661308.7561</v>
      </c>
      <c r="O3" s="10" t="n">
        <v>11688603191.3082</v>
      </c>
      <c r="P3" s="10" t="n">
        <v>14107113586.8925</v>
      </c>
      <c r="Q3" s="10" t="n">
        <v>14831509322.6877</v>
      </c>
      <c r="R3" s="10" t="n">
        <v>18002355483.9843</v>
      </c>
      <c r="S3" s="10" t="n">
        <v>18797483591.247</v>
      </c>
      <c r="T3" s="10" t="n">
        <v>20227404902.4099</v>
      </c>
      <c r="U3" s="10" t="n">
        <v>23976121577.4325</v>
      </c>
      <c r="V3" s="10" t="n">
        <v>25093013865.2899</v>
      </c>
      <c r="W3" s="10" t="n">
        <v>25422296555.1437</v>
      </c>
      <c r="X3" s="10" t="n">
        <v>28839093628.7442</v>
      </c>
      <c r="Y3" s="10" t="n">
        <v>31879521637.8357</v>
      </c>
      <c r="Z3" s="10" t="n">
        <v>26097273728.95</v>
      </c>
      <c r="AA3" s="10" t="n">
        <v>28071617577.903</v>
      </c>
      <c r="AB3" s="10" t="n">
        <v>27530894334.0384</v>
      </c>
      <c r="AC3" s="10" t="n">
        <v>28865274967.2005</v>
      </c>
      <c r="AD3" s="10" t="n">
        <v>32312541425.584</v>
      </c>
      <c r="AE3" s="10" t="n">
        <v>35332650069.0419</v>
      </c>
      <c r="AF3" s="10" t="n">
        <v>36839203439.9061</v>
      </c>
      <c r="AG3" s="10" t="n">
        <v>36136327094.4602</v>
      </c>
      <c r="AH3" s="10" t="n">
        <v>36393945320.5802</v>
      </c>
      <c r="AI3" s="10" t="n">
        <v>39644581150.4161</v>
      </c>
      <c r="AJ3" s="10" t="n">
        <v>45010266258.2024</v>
      </c>
      <c r="AK3" s="10" t="n">
        <v>48626513355.245</v>
      </c>
      <c r="AL3" s="10" t="n">
        <v>21729180273.55</v>
      </c>
      <c r="AM3" s="10"/>
      <c r="AN3" s="10"/>
    </row>
    <row r="4">
      <c r="A4" t="str">
        <f>L4</f>
      </c>
      <c r="L4" t="s">
        <v>86</v>
      </c>
      <c r="M4" s="10" t="n">
        <v>25168873395.1278</v>
      </c>
      <c r="N4" s="10" t="n">
        <v>28502423992.5656</v>
      </c>
      <c r="O4" s="10" t="n">
        <v>34662616827.6747</v>
      </c>
      <c r="P4" s="10" t="n">
        <v>38761464625.1446</v>
      </c>
      <c r="Q4" s="10" t="n">
        <v>37487117509.2609</v>
      </c>
      <c r="R4" s="10" t="n">
        <v>40036039943.6117</v>
      </c>
      <c r="S4" s="10" t="n">
        <v>45233143998.683</v>
      </c>
      <c r="T4" s="10" t="n">
        <v>43822784022.0046</v>
      </c>
      <c r="U4" s="10" t="n">
        <v>44191537691.6594</v>
      </c>
      <c r="V4" s="10" t="n">
        <v>53571297804.6249</v>
      </c>
      <c r="W4" s="10" t="n">
        <v>51444579141.1057</v>
      </c>
      <c r="X4" s="10" t="n">
        <v>46148419048.1045</v>
      </c>
      <c r="Y4" s="10" t="n">
        <v>42050734204.0114</v>
      </c>
      <c r="Z4" s="10" t="n">
        <v>39664816396.6691</v>
      </c>
      <c r="AA4" s="10" t="n">
        <v>42699736094.5976</v>
      </c>
      <c r="AB4" s="10" t="n">
        <v>39917615615.415</v>
      </c>
      <c r="AC4" s="10" t="n">
        <v>41947439602.6361</v>
      </c>
      <c r="AD4" s="10" t="n">
        <v>46626292170.3277</v>
      </c>
      <c r="AE4" s="10" t="n">
        <v>54068437830.5052</v>
      </c>
      <c r="AF4" s="10" t="n">
        <v>54481873785.7102</v>
      </c>
      <c r="AG4" s="10" t="n">
        <v>59515839909.1369</v>
      </c>
      <c r="AH4" s="10" t="n">
        <v>60370485159.825</v>
      </c>
      <c r="AI4" s="10" t="n">
        <v>67515012644.4059</v>
      </c>
      <c r="AJ4" s="10" t="n">
        <v>73945665598.7916</v>
      </c>
      <c r="AK4" s="10" t="n">
        <v>74721250491.9803</v>
      </c>
      <c r="AL4" s="10" t="n">
        <v>31802368722.68</v>
      </c>
      <c r="AM4" s="10"/>
      <c r="AN4" s="10"/>
    </row>
    <row r="5">
      <c r="A5" t="str">
        <f>L5</f>
      </c>
      <c r="L5" t="s">
        <v>87</v>
      </c>
      <c r="M5" s="10" t="n">
        <v>15379557648.5624</v>
      </c>
      <c r="N5" s="10" t="n">
        <v>18162365750.6652</v>
      </c>
      <c r="O5" s="10" t="n">
        <v>20678373514.1119</v>
      </c>
      <c r="P5" s="10" t="n">
        <v>24678045613.5711</v>
      </c>
      <c r="Q5" s="10" t="n">
        <v>28326531720.606</v>
      </c>
      <c r="R5" s="10" t="n">
        <v>27906570072.533</v>
      </c>
      <c r="S5" s="10" t="n">
        <v>28400742657.0474</v>
      </c>
      <c r="T5" s="10" t="n">
        <v>29711359345.7864</v>
      </c>
      <c r="U5" s="10" t="n">
        <v>31231340257.8935</v>
      </c>
      <c r="V5" s="10" t="n">
        <v>33280674867.0761</v>
      </c>
      <c r="W5" s="10" t="n">
        <v>34837647572.9997</v>
      </c>
      <c r="X5" s="10" t="n">
        <v>36261580239.4076</v>
      </c>
      <c r="Y5" s="10" t="n">
        <v>34867583681.823</v>
      </c>
      <c r="Z5" s="10" t="n">
        <v>33268178424.4292</v>
      </c>
      <c r="AA5" s="10" t="n">
        <v>34737041127.485</v>
      </c>
      <c r="AB5" s="10" t="n">
        <v>35541277548.3734</v>
      </c>
      <c r="AC5" s="10" t="n">
        <v>37847315927.7446</v>
      </c>
      <c r="AD5" s="10" t="n">
        <v>40091556491.5838</v>
      </c>
      <c r="AE5" s="10" t="n">
        <v>44524772990.9471</v>
      </c>
      <c r="AF5" s="10" t="n">
        <v>47707217560.4401</v>
      </c>
      <c r="AG5" s="10" t="n">
        <v>53383593136.9794</v>
      </c>
      <c r="AH5" s="10" t="n">
        <v>51730812107.277</v>
      </c>
      <c r="AI5" s="10" t="n">
        <v>55062936711.4826</v>
      </c>
      <c r="AJ5" s="10" t="n">
        <v>58995737341.2977</v>
      </c>
      <c r="AK5" s="10" t="n">
        <v>62901533769.1344</v>
      </c>
      <c r="AL5" s="10" t="n">
        <v>24684882431.22</v>
      </c>
      <c r="AM5" s="10"/>
      <c r="AN5" s="10"/>
    </row>
    <row r="6">
      <c r="A6" t="str">
        <f>L6</f>
      </c>
      <c r="L6" t="s">
        <v>88</v>
      </c>
      <c r="M6" s="10" t="n">
        <v>3529323412.5425</v>
      </c>
      <c r="N6" s="10" t="n">
        <v>4626248792.1016</v>
      </c>
      <c r="O6" s="10" t="n">
        <v>6698445066.4787</v>
      </c>
      <c r="P6" s="10" t="n">
        <v>8958708600.6873</v>
      </c>
      <c r="Q6" s="10" t="n">
        <v>8652768342.1839</v>
      </c>
      <c r="R6" s="10" t="n">
        <v>10418689630.6583</v>
      </c>
      <c r="S6" s="10" t="n">
        <v>12363078438.898</v>
      </c>
      <c r="T6" s="10" t="n">
        <v>14207200317.2638</v>
      </c>
      <c r="U6" s="10" t="n">
        <v>14159604295.1729</v>
      </c>
      <c r="V6" s="10" t="n">
        <v>18375529883.7162</v>
      </c>
      <c r="W6" s="10" t="n">
        <v>17813758580.5237</v>
      </c>
      <c r="X6" s="10" t="n">
        <v>20242687450.8519</v>
      </c>
      <c r="Y6" s="10" t="n">
        <v>19146335173.1716</v>
      </c>
      <c r="Z6" s="10" t="n">
        <v>19238909497.1678</v>
      </c>
      <c r="AA6" s="10" t="n">
        <v>20880037373.4351</v>
      </c>
      <c r="AB6" s="10" t="n">
        <v>19816274440.1656</v>
      </c>
      <c r="AC6" s="10" t="n">
        <v>21916345278.4949</v>
      </c>
      <c r="AD6" s="10" t="n">
        <v>25528252926.1076</v>
      </c>
      <c r="AE6" s="10" t="n">
        <v>24549913928.4851</v>
      </c>
      <c r="AF6" s="10" t="n">
        <v>26068700738.6088</v>
      </c>
      <c r="AG6" s="10" t="n">
        <v>36258452820.4083</v>
      </c>
      <c r="AH6" s="10" t="n">
        <v>46230297741.0618</v>
      </c>
      <c r="AI6" s="10" t="n">
        <v>53116828074.7478</v>
      </c>
      <c r="AJ6" s="10" t="n">
        <v>52093014938.3353</v>
      </c>
      <c r="AK6" s="10" t="n">
        <v>57563820524.8489</v>
      </c>
      <c r="AL6" s="10" t="n">
        <v>27593477287.25</v>
      </c>
      <c r="AM6" s="10"/>
      <c r="AN6" s="10"/>
    </row>
    <row r="7">
      <c r="A7" t="str">
        <f>L7</f>
      </c>
      <c r="L7" t="s">
        <v>89</v>
      </c>
      <c r="M7" s="10" t="n">
        <v>28530469206.6139</v>
      </c>
      <c r="N7" s="10" t="n">
        <v>29998082279.2151</v>
      </c>
      <c r="O7" s="10" t="n">
        <v>37377529012.7112</v>
      </c>
      <c r="P7" s="10" t="n">
        <v>47739121744.587</v>
      </c>
      <c r="Q7" s="10" t="n">
        <v>55391938188.1307</v>
      </c>
      <c r="R7" s="10" t="n">
        <v>63940660465.3947</v>
      </c>
      <c r="S7" s="10" t="n">
        <v>73888682163.769</v>
      </c>
      <c r="T7" s="10" t="n">
        <v>79010430136.9888</v>
      </c>
      <c r="U7" s="10" t="n">
        <v>88937069387.6775</v>
      </c>
      <c r="V7" s="10" t="n">
        <v>96547593636.9267</v>
      </c>
      <c r="W7" s="10" t="n">
        <v>100654353796.536</v>
      </c>
      <c r="X7" s="10" t="n">
        <v>97279644477.2086</v>
      </c>
      <c r="Y7" s="10" t="n">
        <v>92943192375.6758</v>
      </c>
      <c r="Z7" s="10" t="n">
        <v>87020139918.8665</v>
      </c>
      <c r="AA7" s="10" t="n">
        <v>81294388700.1118</v>
      </c>
      <c r="AB7" s="10" t="n">
        <v>81834582446.4643</v>
      </c>
      <c r="AC7" s="10" t="n">
        <v>85306588278.0582</v>
      </c>
      <c r="AD7" s="10" t="n">
        <v>92414534566.5938</v>
      </c>
      <c r="AE7" s="10" t="n">
        <v>98987363523.6309</v>
      </c>
      <c r="AF7" s="10" t="n">
        <v>106014148842.495</v>
      </c>
      <c r="AG7" s="10" t="n">
        <v>113130683027.179</v>
      </c>
      <c r="AH7" s="10" t="n">
        <v>117732762618.535</v>
      </c>
      <c r="AI7" s="10" t="n">
        <v>120900730339.48</v>
      </c>
      <c r="AJ7" s="10" t="n">
        <v>131089752661.834</v>
      </c>
      <c r="AK7" s="10" t="n">
        <v>137235207430.549</v>
      </c>
      <c r="AL7" s="10" t="n">
        <v>48850279215.36</v>
      </c>
      <c r="AM7" s="10"/>
      <c r="AN7" s="10"/>
    </row>
    <row r="8">
      <c r="A8" t="str">
        <f>L8</f>
      </c>
      <c r="L8" t="s">
        <v>30</v>
      </c>
      <c r="M8" s="10" t="str">
        <f>Sum(M2:M7)</f>
      </c>
      <c r="N8" s="10" t="str">
        <f>Sum(N2:N7)</f>
      </c>
      <c r="O8" s="10" t="str">
        <f>Sum(O2:O7)</f>
      </c>
      <c r="P8" s="10" t="str">
        <f>Sum(P2:P7)</f>
      </c>
      <c r="Q8" s="10" t="str">
        <f>Sum(Q2:Q7)</f>
      </c>
      <c r="R8" s="10" t="str">
        <f>Sum(R2:R7)</f>
      </c>
      <c r="S8" s="10" t="str">
        <f>Sum(S2:S7)</f>
      </c>
      <c r="T8" s="10" t="str">
        <f>Sum(T2:T7)</f>
      </c>
      <c r="U8" s="10" t="str">
        <f>Sum(U2:U7)</f>
      </c>
      <c r="V8" s="10" t="str">
        <f>Sum(V2:V7)</f>
      </c>
      <c r="W8" s="10" t="str">
        <f>Sum(W2:W7)</f>
      </c>
      <c r="X8" s="10" t="str">
        <f>Sum(X2:X7)</f>
      </c>
      <c r="Y8" s="10" t="str">
        <f>Sum(Y2:Y7)</f>
      </c>
      <c r="Z8" s="10" t="str">
        <f>Sum(Z2:Z7)</f>
      </c>
      <c r="AA8" s="10" t="str">
        <f>Sum(AA2:AA7)</f>
      </c>
      <c r="AB8" s="10" t="str">
        <f>Sum(AB2:AB7)</f>
      </c>
      <c r="AC8" s="10" t="str">
        <f>Sum(AC2:AC7)</f>
      </c>
      <c r="AD8" s="10" t="str">
        <f>Sum(AD2:AD7)</f>
      </c>
      <c r="AE8" s="10" t="str">
        <f>Sum(AE2:AE7)</f>
      </c>
      <c r="AF8" s="10" t="str">
        <f>Sum(AF2:AF7)</f>
      </c>
      <c r="AG8" s="10" t="str">
        <f>Sum(AG2:AG7)</f>
      </c>
      <c r="AH8" s="10" t="str">
        <f>Sum(AH2:AH7)</f>
      </c>
      <c r="AI8" s="10" t="str">
        <f>Sum(AI2:AI7)</f>
      </c>
      <c r="AJ8" s="10" t="str">
        <f>Sum(AJ2:AJ7)</f>
      </c>
      <c r="AK8" s="10" t="str">
        <f>Sum(AK2:AK7)</f>
      </c>
      <c r="AL8" s="10" t="str">
        <f>Sum(AL2:AL7)</f>
      </c>
      <c r="AM8" s="10" t="str">
        <f>Sum(AM2:AM7)</f>
      </c>
      <c r="AN8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L1</f>
      </c>
      <c r="L1" t="s">
        <v>73</v>
      </c>
      <c r="M1" t="s">
        <v>1</v>
      </c>
      <c r="N1" t="s">
        <v>2</v>
      </c>
      <c r="O1" t="s">
        <v>3</v>
      </c>
      <c r="P1" t="s">
        <v>4</v>
      </c>
      <c r="Q1" t="s">
        <v>5</v>
      </c>
      <c r="R1" t="s">
        <v>6</v>
      </c>
      <c r="S1" t="s">
        <v>7</v>
      </c>
      <c r="T1" t="s">
        <v>8</v>
      </c>
      <c r="U1" t="s">
        <v>9</v>
      </c>
      <c r="V1" t="s">
        <v>10</v>
      </c>
      <c r="W1" t="s">
        <v>11</v>
      </c>
      <c r="X1" t="s">
        <v>12</v>
      </c>
      <c r="Y1" t="s">
        <v>13</v>
      </c>
      <c r="Z1" t="s">
        <v>14</v>
      </c>
      <c r="AA1" t="s">
        <v>15</v>
      </c>
      <c r="AB1" t="s">
        <v>16</v>
      </c>
      <c r="AC1" t="s">
        <v>17</v>
      </c>
      <c r="AD1" t="s">
        <v>18</v>
      </c>
      <c r="AE1" t="s">
        <v>19</v>
      </c>
      <c r="AF1" t="s">
        <v>20</v>
      </c>
      <c r="AG1" t="s">
        <v>21</v>
      </c>
      <c r="AH1" t="s">
        <v>22</v>
      </c>
      <c r="AI1" t="s">
        <v>23</v>
      </c>
      <c r="AJ1" t="s">
        <v>24</v>
      </c>
      <c r="AK1" t="s">
        <v>25</v>
      </c>
      <c r="AL1" t="s">
        <v>26</v>
      </c>
    </row>
    <row r="2">
      <c r="A2" t="str">
        <f>L2</f>
      </c>
      <c r="L2" t="s">
        <v>84</v>
      </c>
      <c r="M2" s="11" t="n">
        <v>8292707837.797</v>
      </c>
      <c r="N2" s="11" t="n">
        <v>9639893678.1369</v>
      </c>
      <c r="O2" s="11" t="n">
        <v>12710455836.4112</v>
      </c>
      <c r="P2" s="11" t="n">
        <v>13756432020.0669</v>
      </c>
      <c r="Q2" s="11" t="n">
        <v>14790427181.4965</v>
      </c>
      <c r="R2" s="11" t="n">
        <v>18892436615.4646</v>
      </c>
      <c r="S2" s="11" t="n">
        <v>19991354525.686</v>
      </c>
      <c r="T2" s="11" t="n">
        <v>21388355117.2934</v>
      </c>
      <c r="U2" s="11" t="n">
        <v>30382269743.0629</v>
      </c>
      <c r="V2" s="11" t="n">
        <v>36996776485.4938</v>
      </c>
      <c r="W2" s="11" t="n">
        <v>35913853232.7376</v>
      </c>
      <c r="X2" s="11" t="n">
        <v>26689712316.7149</v>
      </c>
      <c r="Y2" s="11" t="n">
        <v>25087058370.962</v>
      </c>
      <c r="Z2" s="11" t="n">
        <v>18192874681.6517</v>
      </c>
      <c r="AA2" s="11" t="n">
        <v>18959169741.2955</v>
      </c>
      <c r="AB2" s="11" t="n">
        <v>17086050295.2576</v>
      </c>
      <c r="AC2" s="11" t="n">
        <v>16257353163.2756</v>
      </c>
      <c r="AD2" s="11" t="n">
        <v>16571383581.0541</v>
      </c>
      <c r="AE2" s="11" t="n">
        <v>20211297379.0978</v>
      </c>
      <c r="AF2" s="11" t="n">
        <v>27167704190.1166</v>
      </c>
      <c r="AG2" s="11" t="n">
        <v>31327488900.4795</v>
      </c>
      <c r="AH2" s="11" t="n">
        <v>23351510624.1655</v>
      </c>
      <c r="AI2" s="11" t="n">
        <v>28425432330.2978</v>
      </c>
      <c r="AJ2" s="11" t="n">
        <v>32226585198.6431</v>
      </c>
      <c r="AK2" s="11" t="n">
        <v>31365111847.9992</v>
      </c>
      <c r="AL2" s="11" t="n">
        <v>6976664041.92</v>
      </c>
      <c r="AM2" s="11"/>
      <c r="AN2" s="11"/>
    </row>
    <row r="3">
      <c r="A3" t="str">
        <f>L3</f>
      </c>
      <c r="L3" t="s">
        <v>85</v>
      </c>
      <c r="M3" s="11" t="n">
        <v>9452104326.5537</v>
      </c>
      <c r="N3" s="11" t="n">
        <v>10746661308.7561</v>
      </c>
      <c r="O3" s="11" t="n">
        <v>11688603191.3082</v>
      </c>
      <c r="P3" s="11" t="n">
        <v>14107113586.8925</v>
      </c>
      <c r="Q3" s="11" t="n">
        <v>14831509322.6877</v>
      </c>
      <c r="R3" s="11" t="n">
        <v>18002355483.9843</v>
      </c>
      <c r="S3" s="11" t="n">
        <v>18797483591.247</v>
      </c>
      <c r="T3" s="11" t="n">
        <v>20227404902.4099</v>
      </c>
      <c r="U3" s="11" t="n">
        <v>23976121577.4325</v>
      </c>
      <c r="V3" s="11" t="n">
        <v>25093013865.2899</v>
      </c>
      <c r="W3" s="11" t="n">
        <v>25422296555.1437</v>
      </c>
      <c r="X3" s="11" t="n">
        <v>28839093628.7442</v>
      </c>
      <c r="Y3" s="11" t="n">
        <v>31879521637.8357</v>
      </c>
      <c r="Z3" s="11" t="n">
        <v>26097273728.95</v>
      </c>
      <c r="AA3" s="11" t="n">
        <v>28071617577.903</v>
      </c>
      <c r="AB3" s="11" t="n">
        <v>27530894334.0384</v>
      </c>
      <c r="AC3" s="11" t="n">
        <v>28865274967.2005</v>
      </c>
      <c r="AD3" s="11" t="n">
        <v>32312541425.584</v>
      </c>
      <c r="AE3" s="11" t="n">
        <v>35332650069.0419</v>
      </c>
      <c r="AF3" s="11" t="n">
        <v>36839203439.9061</v>
      </c>
      <c r="AG3" s="11" t="n">
        <v>36136327094.4602</v>
      </c>
      <c r="AH3" s="11" t="n">
        <v>36393945320.5802</v>
      </c>
      <c r="AI3" s="11" t="n">
        <v>39644581150.4161</v>
      </c>
      <c r="AJ3" s="11" t="n">
        <v>45010266258.2024</v>
      </c>
      <c r="AK3" s="11" t="n">
        <v>48626513355.245</v>
      </c>
      <c r="AL3" s="11" t="n">
        <v>21729180273.55</v>
      </c>
      <c r="AM3" s="11"/>
      <c r="AN3" s="11"/>
    </row>
    <row r="4">
      <c r="A4" t="str">
        <f>L4</f>
      </c>
      <c r="L4" t="s">
        <v>86</v>
      </c>
      <c r="M4" s="11" t="n">
        <v>25168873395.1278</v>
      </c>
      <c r="N4" s="11" t="n">
        <v>28502423992.5656</v>
      </c>
      <c r="O4" s="11" t="n">
        <v>34662616827.6747</v>
      </c>
      <c r="P4" s="11" t="n">
        <v>38761464625.1446</v>
      </c>
      <c r="Q4" s="11" t="n">
        <v>37487117509.2609</v>
      </c>
      <c r="R4" s="11" t="n">
        <v>40036039943.6117</v>
      </c>
      <c r="S4" s="11" t="n">
        <v>45233143998.683</v>
      </c>
      <c r="T4" s="11" t="n">
        <v>43822784022.0046</v>
      </c>
      <c r="U4" s="11" t="n">
        <v>44191537691.6594</v>
      </c>
      <c r="V4" s="11" t="n">
        <v>53571297804.6249</v>
      </c>
      <c r="W4" s="11" t="n">
        <v>51444579141.1057</v>
      </c>
      <c r="X4" s="11" t="n">
        <v>46148419048.1045</v>
      </c>
      <c r="Y4" s="11" t="n">
        <v>42050734204.0114</v>
      </c>
      <c r="Z4" s="11" t="n">
        <v>39664816396.6691</v>
      </c>
      <c r="AA4" s="11" t="n">
        <v>42699736094.5976</v>
      </c>
      <c r="AB4" s="11" t="n">
        <v>39917615615.415</v>
      </c>
      <c r="AC4" s="11" t="n">
        <v>41947439602.6361</v>
      </c>
      <c r="AD4" s="11" t="n">
        <v>46626292170.3277</v>
      </c>
      <c r="AE4" s="11" t="n">
        <v>54068437830.5052</v>
      </c>
      <c r="AF4" s="11" t="n">
        <v>54481873785.7102</v>
      </c>
      <c r="AG4" s="11" t="n">
        <v>59515839909.1369</v>
      </c>
      <c r="AH4" s="11" t="n">
        <v>60370485159.825</v>
      </c>
      <c r="AI4" s="11" t="n">
        <v>67515012644.4059</v>
      </c>
      <c r="AJ4" s="11" t="n">
        <v>73945665598.7916</v>
      </c>
      <c r="AK4" s="11" t="n">
        <v>74721250491.9803</v>
      </c>
      <c r="AL4" s="11" t="n">
        <v>31802368722.68</v>
      </c>
      <c r="AM4" s="11"/>
      <c r="AN4" s="11"/>
    </row>
    <row r="5">
      <c r="A5" t="str">
        <f>L5</f>
      </c>
      <c r="L5" t="s">
        <v>87</v>
      </c>
      <c r="M5" s="11" t="n">
        <v>15379557648.5624</v>
      </c>
      <c r="N5" s="11" t="n">
        <v>18162365750.6652</v>
      </c>
      <c r="O5" s="11" t="n">
        <v>20678373514.1119</v>
      </c>
      <c r="P5" s="11" t="n">
        <v>24678045613.5711</v>
      </c>
      <c r="Q5" s="11" t="n">
        <v>28326531720.606</v>
      </c>
      <c r="R5" s="11" t="n">
        <v>27906570072.533</v>
      </c>
      <c r="S5" s="11" t="n">
        <v>28400742657.0474</v>
      </c>
      <c r="T5" s="11" t="n">
        <v>29711359345.7864</v>
      </c>
      <c r="U5" s="11" t="n">
        <v>31231340257.8935</v>
      </c>
      <c r="V5" s="11" t="n">
        <v>33280674867.0761</v>
      </c>
      <c r="W5" s="11" t="n">
        <v>34837647572.9997</v>
      </c>
      <c r="X5" s="11" t="n">
        <v>36261580239.4076</v>
      </c>
      <c r="Y5" s="11" t="n">
        <v>34867583681.823</v>
      </c>
      <c r="Z5" s="11" t="n">
        <v>33268178424.4292</v>
      </c>
      <c r="AA5" s="11" t="n">
        <v>34737041127.485</v>
      </c>
      <c r="AB5" s="11" t="n">
        <v>35541277548.3734</v>
      </c>
      <c r="AC5" s="11" t="n">
        <v>37847315927.7446</v>
      </c>
      <c r="AD5" s="11" t="n">
        <v>40091556491.5838</v>
      </c>
      <c r="AE5" s="11" t="n">
        <v>44524772990.9471</v>
      </c>
      <c r="AF5" s="11" t="n">
        <v>47707217560.4401</v>
      </c>
      <c r="AG5" s="11" t="n">
        <v>53383593136.9794</v>
      </c>
      <c r="AH5" s="11" t="n">
        <v>51730812107.277</v>
      </c>
      <c r="AI5" s="11" t="n">
        <v>55062936711.4826</v>
      </c>
      <c r="AJ5" s="11" t="n">
        <v>58995737341.2977</v>
      </c>
      <c r="AK5" s="11" t="n">
        <v>62901533769.1344</v>
      </c>
      <c r="AL5" s="11" t="n">
        <v>24684882431.22</v>
      </c>
      <c r="AM5" s="11"/>
      <c r="AN5" s="11"/>
    </row>
    <row r="6">
      <c r="A6" t="str">
        <f>L6</f>
      </c>
      <c r="L6" t="s">
        <v>88</v>
      </c>
      <c r="M6" s="11" t="n">
        <v>3529323412.5425</v>
      </c>
      <c r="N6" s="11" t="n">
        <v>4626248792.1016</v>
      </c>
      <c r="O6" s="11" t="n">
        <v>6698445066.4787</v>
      </c>
      <c r="P6" s="11" t="n">
        <v>8958708600.6873</v>
      </c>
      <c r="Q6" s="11" t="n">
        <v>8652768342.1839</v>
      </c>
      <c r="R6" s="11" t="n">
        <v>10418689630.6583</v>
      </c>
      <c r="S6" s="11" t="n">
        <v>12363078438.898</v>
      </c>
      <c r="T6" s="11" t="n">
        <v>14207200317.2638</v>
      </c>
      <c r="U6" s="11" t="n">
        <v>14159604295.1729</v>
      </c>
      <c r="V6" s="11" t="n">
        <v>18375529883.7162</v>
      </c>
      <c r="W6" s="11" t="n">
        <v>17813758580.5237</v>
      </c>
      <c r="X6" s="11" t="n">
        <v>20242687450.8519</v>
      </c>
      <c r="Y6" s="11" t="n">
        <v>19146335173.1716</v>
      </c>
      <c r="Z6" s="11" t="n">
        <v>19238909497.1678</v>
      </c>
      <c r="AA6" s="11" t="n">
        <v>20880037373.4351</v>
      </c>
      <c r="AB6" s="11" t="n">
        <v>19816274440.1656</v>
      </c>
      <c r="AC6" s="11" t="n">
        <v>21916345278.4949</v>
      </c>
      <c r="AD6" s="11" t="n">
        <v>25528252926.1076</v>
      </c>
      <c r="AE6" s="11" t="n">
        <v>24549913928.4851</v>
      </c>
      <c r="AF6" s="11" t="n">
        <v>26068700738.6088</v>
      </c>
      <c r="AG6" s="11" t="n">
        <v>36258452820.4083</v>
      </c>
      <c r="AH6" s="11" t="n">
        <v>46230297741.0618</v>
      </c>
      <c r="AI6" s="11" t="n">
        <v>53116828074.7478</v>
      </c>
      <c r="AJ6" s="11" t="n">
        <v>52093014938.3353</v>
      </c>
      <c r="AK6" s="11" t="n">
        <v>57563820524.8489</v>
      </c>
      <c r="AL6" s="11" t="n">
        <v>27593477287.25</v>
      </c>
      <c r="AM6" s="11"/>
      <c r="AN6" s="11"/>
    </row>
    <row r="7">
      <c r="A7" t="str">
        <f>L7</f>
      </c>
      <c r="L7" t="s">
        <v>89</v>
      </c>
      <c r="M7" s="11" t="n">
        <v>28530469206.6139</v>
      </c>
      <c r="N7" s="11" t="n">
        <v>29998082279.2151</v>
      </c>
      <c r="O7" s="11" t="n">
        <v>37377529012.7112</v>
      </c>
      <c r="P7" s="11" t="n">
        <v>47739121744.587</v>
      </c>
      <c r="Q7" s="11" t="n">
        <v>55391938188.1307</v>
      </c>
      <c r="R7" s="11" t="n">
        <v>63940660465.3947</v>
      </c>
      <c r="S7" s="11" t="n">
        <v>73888682163.769</v>
      </c>
      <c r="T7" s="11" t="n">
        <v>79010430136.9888</v>
      </c>
      <c r="U7" s="11" t="n">
        <v>88937069387.6775</v>
      </c>
      <c r="V7" s="11" t="n">
        <v>96547593636.9267</v>
      </c>
      <c r="W7" s="11" t="n">
        <v>100654353796.536</v>
      </c>
      <c r="X7" s="11" t="n">
        <v>97279644477.2086</v>
      </c>
      <c r="Y7" s="11" t="n">
        <v>92943192375.6758</v>
      </c>
      <c r="Z7" s="11" t="n">
        <v>87020139918.8665</v>
      </c>
      <c r="AA7" s="11" t="n">
        <v>81294388700.1118</v>
      </c>
      <c r="AB7" s="11" t="n">
        <v>81834582446.4643</v>
      </c>
      <c r="AC7" s="11" t="n">
        <v>85306588278.0582</v>
      </c>
      <c r="AD7" s="11" t="n">
        <v>92414534566.5938</v>
      </c>
      <c r="AE7" s="11" t="n">
        <v>98987363523.6309</v>
      </c>
      <c r="AF7" s="11" t="n">
        <v>106014148842.495</v>
      </c>
      <c r="AG7" s="11" t="n">
        <v>113130683027.179</v>
      </c>
      <c r="AH7" s="11" t="n">
        <v>117732762618.535</v>
      </c>
      <c r="AI7" s="11" t="n">
        <v>120900730339.48</v>
      </c>
      <c r="AJ7" s="11" t="n">
        <v>131089752661.834</v>
      </c>
      <c r="AK7" s="11" t="n">
        <v>137235207430.549</v>
      </c>
      <c r="AL7" s="11" t="n">
        <v>48850279215.36</v>
      </c>
      <c r="AM7" s="11"/>
      <c r="AN7" s="11"/>
    </row>
    <row r="8">
      <c r="A8" t="str">
        <f>L8</f>
      </c>
      <c r="L8" t="s">
        <v>30</v>
      </c>
      <c r="M8" s="11" t="str">
        <f>Sum(M2:M7)</f>
      </c>
      <c r="N8" s="11" t="str">
        <f>Sum(N2:N7)</f>
      </c>
      <c r="O8" s="11" t="str">
        <f>Sum(O2:O7)</f>
      </c>
      <c r="P8" s="11" t="str">
        <f>Sum(P2:P7)</f>
      </c>
      <c r="Q8" s="11" t="str">
        <f>Sum(Q2:Q7)</f>
      </c>
      <c r="R8" s="11" t="str">
        <f>Sum(R2:R7)</f>
      </c>
      <c r="S8" s="11" t="str">
        <f>Sum(S2:S7)</f>
      </c>
      <c r="T8" s="11" t="str">
        <f>Sum(T2:T7)</f>
      </c>
      <c r="U8" s="11" t="str">
        <f>Sum(U2:U7)</f>
      </c>
      <c r="V8" s="11" t="str">
        <f>Sum(V2:V7)</f>
      </c>
      <c r="W8" s="11" t="str">
        <f>Sum(W2:W7)</f>
      </c>
      <c r="X8" s="11" t="str">
        <f>Sum(X2:X7)</f>
      </c>
      <c r="Y8" s="11" t="str">
        <f>Sum(Y2:Y7)</f>
      </c>
      <c r="Z8" s="11" t="str">
        <f>Sum(Z2:Z7)</f>
      </c>
      <c r="AA8" s="11" t="str">
        <f>Sum(AA2:AA7)</f>
      </c>
      <c r="AB8" s="11" t="str">
        <f>Sum(AB2:AB7)</f>
      </c>
      <c r="AC8" s="11" t="str">
        <f>Sum(AC2:AC7)</f>
      </c>
      <c r="AD8" s="11" t="str">
        <f>Sum(AD2:AD7)</f>
      </c>
      <c r="AE8" s="11" t="str">
        <f>Sum(AE2:AE7)</f>
      </c>
      <c r="AF8" s="11" t="str">
        <f>Sum(AF2:AF7)</f>
      </c>
      <c r="AG8" s="11" t="str">
        <f>Sum(AG2:AG7)</f>
      </c>
      <c r="AH8" s="11" t="str">
        <f>Sum(AH2:AH7)</f>
      </c>
      <c r="AI8" s="11" t="str">
        <f>Sum(AI2:AI7)</f>
      </c>
      <c r="AJ8" s="11" t="str">
        <f>Sum(AJ2:AJ7)</f>
      </c>
      <c r="AK8" s="11" t="str">
        <f>Sum(AK2:AK7)</f>
      </c>
      <c r="AL8" s="11" t="str">
        <f>Sum(AL2:AL7)</f>
      </c>
      <c r="AM8" s="11" t="str">
        <f>Sum(AM2:AM7)</f>
      </c>
      <c r="AN8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../output/FedAcqTrends//Fed_Acq_Trends_Contracts.xlsx</dc:creator>
  <cp:lastModifiedBy>../output/FedAcqTrends//Fed_Acq_Trends_Contracts.xlsx</cp:lastModifiedBy>
  <dcterms:created xsi:type="dcterms:W3CDTF">2025-11-13T22:46:36Z</dcterms:created>
</coreProperties>
</file>