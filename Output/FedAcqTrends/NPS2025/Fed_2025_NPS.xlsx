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8-2 PriceUCA" sheetId="1" state="visible" r:id="rId1"/>
    <sheet name="9 Dur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<sst xmlns="http://schemas.openxmlformats.org/spreadsheetml/2006/main" count="47" uniqueCount="47">
  <si>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PricingUCA</t>
  </si>
  <si>
    <t xml:space="preserve">PricingUCA.sum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</si>
  <si>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</si>
  <si>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</si>
  <si>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</si>
  <si>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</si>
  <si>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</si>
  <si>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</si>
  <si>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</si>
  <si>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</si>
  <si>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</si>
  <si>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</si>
  <si>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</si>
  <si>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</si>
  <si>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</si>
  <si>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</si>
  <si>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</si>
  <si>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</si>
  <si>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</si>
  <si>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</si>
  <si>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</si>
  <si>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</si>
  <si>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</si>
  <si>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</si>
  <si>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</si>
  <si>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</si>
  <si>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</si>
  <si>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</si>
  <si>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Combination/Other</t>
  </si>
  <si>
    <t xml:space="preserve">Crosscutting</t>
  </si>
  <si>
    <t xml:space="preserve">FFP</t>
  </si>
  <si>
    <t xml:space="preserve">Fixed-Price</t>
  </si>
  <si>
    <t xml:space="preserve">Incentive</t>
  </si>
  <si>
    <t xml:space="preserve">Other CB</t>
  </si>
  <si>
    <t xml:space="preserve">Cost or Effort-Based</t>
  </si>
  <si>
    <t xml:space="preserve">Other FP</t>
  </si>
  <si>
    <t xml:space="preserve">T&amp;M/LH/FPLOE</t>
  </si>
  <si>
    <t xml:space="preserve">UCA</t>
  </si>
  <si>
    <t xml:space="preserve">Grand Total</t>
  </si>
  <si>
    <t xml:space="preserve"/>
  </si>
  <si>
    <t xml:space="preserve">UnmodifiedUltimateDurationCategory</t>
  </si>
  <si>
    <t xml:space="preserve">&lt;=2 Months</t>
  </si>
  <si>
    <t xml:space="preserve">&gt;1-2 Years</t>
  </si>
  <si>
    <t xml:space="preserve">&gt;2-4 Years</t>
  </si>
  <si>
    <t xml:space="preserve">&gt;2-7 Months</t>
  </si>
  <si>
    <t xml:space="preserve">&gt;4 years</t>
  </si>
  <si>
    <t xml:space="preserve">&gt;7-12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</si>
</sst>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,,,&quot;B&quot;"/>
    <numFmt numFmtId="167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10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>
      <c r="A2" t="str">
        <f>M2</f>
      </c>
      <c r="B2" t="str">
        <f>N2</f>
      </c>
      <c r="M2" t="s">
        <v>28</v>
      </c>
      <c r="N2" t="s">
        <v>29</v>
      </c>
      <c r="O2" s="1" t="n">
        <v>17523656.9485</v>
      </c>
      <c r="P2" s="1" t="n">
        <v>246829934.3663</v>
      </c>
      <c r="Q2" s="1" t="n">
        <v>240561578.0934</v>
      </c>
      <c r="R2" s="1" t="n">
        <v>279359480.2335</v>
      </c>
      <c r="S2" s="1" t="n">
        <v>1456301959.1252</v>
      </c>
      <c r="T2" s="1" t="n">
        <v>2220294165.4598</v>
      </c>
      <c r="U2" s="1" t="n">
        <v>6689166601.598</v>
      </c>
      <c r="V2" s="1" t="n">
        <v>24363474828.0824</v>
      </c>
      <c r="W2" s="1" t="n">
        <v>33701694788.1014</v>
      </c>
      <c r="X2" s="1" t="n">
        <v>39052924167.8856</v>
      </c>
      <c r="Y2" s="1" t="n">
        <v>2238458074.2073</v>
      </c>
      <c r="Z2" s="1" t="n">
        <v>1831323148.2721</v>
      </c>
      <c r="AA2" s="1" t="n">
        <v>785476508.9011</v>
      </c>
      <c r="AB2" s="1" t="n">
        <v>519149395.803</v>
      </c>
      <c r="AC2" s="1" t="n">
        <v>262532081.6101</v>
      </c>
      <c r="AD2" s="1" t="n">
        <v>207709404.6078</v>
      </c>
      <c r="AE2" s="1" t="n">
        <v>90658037.3053</v>
      </c>
      <c r="AF2" s="1" t="n">
        <v>-68745122.5447</v>
      </c>
      <c r="AG2" s="1" t="n">
        <v>38071401.6312</v>
      </c>
      <c r="AH2" s="1" t="n">
        <v>36577835.9133</v>
      </c>
      <c r="AI2" s="1" t="n">
        <v>22538011.2837</v>
      </c>
      <c r="AJ2" s="1" t="n">
        <v>31357794.8213</v>
      </c>
      <c r="AK2" s="1" t="n">
        <v>14872210.6103</v>
      </c>
      <c r="AL2" s="1" t="n">
        <v>-9403747.7499</v>
      </c>
      <c r="AM2" s="1" t="n">
        <v>-2955409.79</v>
      </c>
      <c r="AN2" s="1" t="n">
        <v>929373.25</v>
      </c>
      <c r="AO2" s="1"/>
    </row>
    <row r="3">
      <c r="A3" t="str">
        <f>M3</f>
      </c>
      <c r="B3" t="str">
        <f>N3</f>
      </c>
      <c r="M3" t="s">
        <v>30</v>
      </c>
      <c r="N3" t="s">
        <v>31</v>
      </c>
      <c r="O3" s="1" t="n">
        <v>92238134042.3335</v>
      </c>
      <c r="P3" s="1" t="n">
        <v>101937277470.137</v>
      </c>
      <c r="Q3" s="1" t="n">
        <v>125626880793.554</v>
      </c>
      <c r="R3" s="1" t="n">
        <v>153596249303.135</v>
      </c>
      <c r="S3" s="1" t="n">
        <v>154062404761.697</v>
      </c>
      <c r="T3" s="1" t="n">
        <v>183221897256.125</v>
      </c>
      <c r="U3" s="1" t="n">
        <v>203600692407.844</v>
      </c>
      <c r="V3" s="1" t="n">
        <v>227673220859.84</v>
      </c>
      <c r="W3" s="1" t="n">
        <v>257079629559.919</v>
      </c>
      <c r="X3" s="1" t="n">
        <v>264127595947.248</v>
      </c>
      <c r="Y3" s="1" t="n">
        <v>298315293643.842</v>
      </c>
      <c r="Z3" s="1" t="n">
        <v>270699043120.858</v>
      </c>
      <c r="AA3" s="1" t="n">
        <v>254711471289.202</v>
      </c>
      <c r="AB3" s="1" t="n">
        <v>225111942993.848</v>
      </c>
      <c r="AC3" s="1" t="n">
        <v>227240300263.993</v>
      </c>
      <c r="AD3" s="1" t="n">
        <v>226564900124.814</v>
      </c>
      <c r="AE3" s="1" t="n">
        <v>240737456710.99</v>
      </c>
      <c r="AF3" s="1" t="n">
        <v>253673758887.494</v>
      </c>
      <c r="AG3" s="1" t="n">
        <v>279920025189.035</v>
      </c>
      <c r="AH3" s="1" t="n">
        <v>299687619499.447</v>
      </c>
      <c r="AI3" s="1" t="n">
        <v>343369955973.478</v>
      </c>
      <c r="AJ3" s="1" t="n">
        <v>356241477385.965</v>
      </c>
      <c r="AK3" s="1" t="n">
        <v>385387255705.173</v>
      </c>
      <c r="AL3" s="1" t="n">
        <v>408015659301.015</v>
      </c>
      <c r="AM3" s="1" t="n">
        <v>403368512290.977</v>
      </c>
      <c r="AN3" s="1" t="n">
        <v>158528307734.13</v>
      </c>
      <c r="AO3" s="1"/>
    </row>
    <row r="4">
      <c r="A4" t="str">
        <f>M4</f>
      </c>
      <c r="B4" t="str">
        <f>N4</f>
      </c>
      <c r="M4" t="s">
        <v>32</v>
      </c>
      <c r="N4" t="s">
        <v>32</v>
      </c>
      <c r="O4" s="1" t="n">
        <v>8057460365.3147</v>
      </c>
      <c r="P4" s="1" t="n">
        <v>11203278682.9659</v>
      </c>
      <c r="Q4" s="1" t="n">
        <v>14174390149.402</v>
      </c>
      <c r="R4" s="1" t="n">
        <v>16425811368.5802</v>
      </c>
      <c r="S4" s="1" t="n">
        <v>19347519587.4031</v>
      </c>
      <c r="T4" s="1" t="n">
        <v>23944050842.9583</v>
      </c>
      <c r="U4" s="1" t="n">
        <v>27684150646.287</v>
      </c>
      <c r="V4" s="1" t="n">
        <v>26700271303.2158</v>
      </c>
      <c r="W4" s="1" t="n">
        <v>31352311360.5228</v>
      </c>
      <c r="X4" s="1" t="n">
        <v>32298164011.4066</v>
      </c>
      <c r="Y4" s="1" t="n">
        <v>40516495805.0716</v>
      </c>
      <c r="Z4" s="1" t="n">
        <v>59465268046.5319</v>
      </c>
      <c r="AA4" s="1" t="n">
        <v>50328046813.9546</v>
      </c>
      <c r="AB4" s="1" t="n">
        <v>53463122744.987</v>
      </c>
      <c r="AC4" s="1" t="n">
        <v>49778863327.4782</v>
      </c>
      <c r="AD4" s="1" t="n">
        <v>48655131658.0248</v>
      </c>
      <c r="AE4" s="1" t="n">
        <v>48387684331.8709</v>
      </c>
      <c r="AF4" s="1" t="n">
        <v>48972332570.9797</v>
      </c>
      <c r="AG4" s="1" t="n">
        <v>58432576528.8937</v>
      </c>
      <c r="AH4" s="1" t="n">
        <v>69950159510.3093</v>
      </c>
      <c r="AI4" s="1" t="n">
        <v>77367161696.0119</v>
      </c>
      <c r="AJ4" s="1" t="n">
        <v>65557168171.8375</v>
      </c>
      <c r="AK4" s="1" t="n">
        <v>62773768130.9745</v>
      </c>
      <c r="AL4" s="1" t="n">
        <v>85826898877.3221</v>
      </c>
      <c r="AM4" s="1" t="n">
        <v>65328002165.7</v>
      </c>
      <c r="AN4" s="1" t="n">
        <v>28542245773.86</v>
      </c>
      <c r="AO4" s="1"/>
    </row>
    <row r="5">
      <c r="A5" t="str">
        <f>M5</f>
      </c>
      <c r="B5" t="str">
        <f>N5</f>
      </c>
      <c r="M5" t="s">
        <v>33</v>
      </c>
      <c r="N5" t="s">
        <v>34</v>
      </c>
      <c r="O5" s="1" t="n">
        <v>61526460970.5886</v>
      </c>
      <c r="P5" s="1" t="n">
        <v>68145396056.5009</v>
      </c>
      <c r="Q5" s="1" t="n">
        <v>74275828344.8101</v>
      </c>
      <c r="R5" s="1" t="n">
        <v>93542707447.2576</v>
      </c>
      <c r="S5" s="1" t="n">
        <v>97294140370.4383</v>
      </c>
      <c r="T5" s="1" t="n">
        <v>101882643026.21</v>
      </c>
      <c r="U5" s="1" t="n">
        <v>110969944621.803</v>
      </c>
      <c r="V5" s="1" t="n">
        <v>108870228119.205</v>
      </c>
      <c r="W5" s="1" t="n">
        <v>111197070360.647</v>
      </c>
      <c r="X5" s="1" t="n">
        <v>124076896109.344</v>
      </c>
      <c r="Y5" s="1" t="n">
        <v>128405035322.108</v>
      </c>
      <c r="Z5" s="1" t="n">
        <v>131706813762.984</v>
      </c>
      <c r="AA5" s="1" t="n">
        <v>127776963987.566</v>
      </c>
      <c r="AB5" s="1" t="n">
        <v>121948917214.72</v>
      </c>
      <c r="AC5" s="1" t="n">
        <v>120933778192.924</v>
      </c>
      <c r="AD5" s="1" t="n">
        <v>120372218684.722</v>
      </c>
      <c r="AE5" s="1" t="n">
        <v>125050020017.782</v>
      </c>
      <c r="AF5" s="1" t="n">
        <v>131871236628.585</v>
      </c>
      <c r="AG5" s="1" t="n">
        <v>135430961780.64</v>
      </c>
      <c r="AH5" s="1" t="n">
        <v>146374179580.828</v>
      </c>
      <c r="AI5" s="1" t="n">
        <v>151698179379.069</v>
      </c>
      <c r="AJ5" s="1" t="n">
        <v>152620614917.721</v>
      </c>
      <c r="AK5" s="1" t="n">
        <v>161892999045.947</v>
      </c>
      <c r="AL5" s="1" t="n">
        <v>174926861772.469</v>
      </c>
      <c r="AM5" s="1" t="n">
        <v>183665475867.39</v>
      </c>
      <c r="AN5" s="1" t="n">
        <v>83332892222.7</v>
      </c>
      <c r="AO5" s="1"/>
    </row>
    <row r="6">
      <c r="A6" t="str">
        <f>M6</f>
      </c>
      <c r="B6" t="str">
        <f>N6</f>
      </c>
      <c r="M6" t="s">
        <v>35</v>
      </c>
      <c r="N6" t="s">
        <v>31</v>
      </c>
      <c r="O6" s="1" t="n">
        <v>12167262598.7949</v>
      </c>
      <c r="P6" s="1" t="n">
        <v>15639938462.2456</v>
      </c>
      <c r="Q6" s="1" t="n">
        <v>19261455323.0289</v>
      </c>
      <c r="R6" s="1" t="n">
        <v>19745095433.3321</v>
      </c>
      <c r="S6" s="1" t="n">
        <v>22861349342.8529</v>
      </c>
      <c r="T6" s="1" t="n">
        <v>33175198758.9274</v>
      </c>
      <c r="U6" s="1" t="n">
        <v>30051800537.1538</v>
      </c>
      <c r="V6" s="1" t="n">
        <v>28161879582.7742</v>
      </c>
      <c r="W6" s="1" t="n">
        <v>33946495966.3581</v>
      </c>
      <c r="X6" s="1" t="n">
        <v>35266930370.6826</v>
      </c>
      <c r="Y6" s="1" t="n">
        <v>29054827318.9573</v>
      </c>
      <c r="Z6" s="1" t="n">
        <v>30090467386.0612</v>
      </c>
      <c r="AA6" s="1" t="n">
        <v>33629421141.569</v>
      </c>
      <c r="AB6" s="1" t="n">
        <v>24509247662.6344</v>
      </c>
      <c r="AC6" s="1" t="n">
        <v>17675860761.069</v>
      </c>
      <c r="AD6" s="1" t="n">
        <v>14255832711.1234</v>
      </c>
      <c r="AE6" s="1" t="n">
        <v>12722785733.0225</v>
      </c>
      <c r="AF6" s="1" t="n">
        <v>14115884887.4631</v>
      </c>
      <c r="AG6" s="1" t="n">
        <v>15729708856.7193</v>
      </c>
      <c r="AH6" s="1" t="n">
        <v>13485590028.5762</v>
      </c>
      <c r="AI6" s="1" t="n">
        <v>12810155007.081</v>
      </c>
      <c r="AJ6" s="1" t="n">
        <v>14108548962.3295</v>
      </c>
      <c r="AK6" s="1" t="n">
        <v>22202208416.8249</v>
      </c>
      <c r="AL6" s="1" t="n">
        <v>22140950156.917</v>
      </c>
      <c r="AM6" s="1" t="n">
        <v>24161454486.32</v>
      </c>
      <c r="AN6" s="1" t="n">
        <v>8902255924.46</v>
      </c>
      <c r="AO6" s="1"/>
    </row>
    <row r="7">
      <c r="A7" t="str">
        <f>M7</f>
      </c>
      <c r="B7" t="str">
        <f>N7</f>
      </c>
      <c r="M7" t="s">
        <v>36</v>
      </c>
      <c r="N7" t="s">
        <v>34</v>
      </c>
      <c r="O7" s="1" t="n">
        <v>7784321830.983</v>
      </c>
      <c r="P7" s="1" t="n">
        <v>8033416348.5964</v>
      </c>
      <c r="Q7" s="1" t="n">
        <v>11303794587.2126</v>
      </c>
      <c r="R7" s="1" t="n">
        <v>14306203808.9154</v>
      </c>
      <c r="S7" s="1" t="n">
        <v>19199698658.2391</v>
      </c>
      <c r="T7" s="1" t="n">
        <v>22186202351.528</v>
      </c>
      <c r="U7" s="1" t="n">
        <v>25727293630.5376</v>
      </c>
      <c r="V7" s="1" t="n">
        <v>26652112058.5641</v>
      </c>
      <c r="W7" s="1" t="n">
        <v>29313764596.9244</v>
      </c>
      <c r="X7" s="1" t="n">
        <v>29711187340.9265</v>
      </c>
      <c r="Y7" s="1" t="n">
        <v>30409975313.0567</v>
      </c>
      <c r="Z7" s="1" t="n">
        <v>25846694971.8174</v>
      </c>
      <c r="AA7" s="1" t="n">
        <v>24114277974.225</v>
      </c>
      <c r="AB7" s="1" t="n">
        <v>19736277692.5748</v>
      </c>
      <c r="AC7" s="1" t="n">
        <v>19029505673.7095</v>
      </c>
      <c r="AD7" s="1" t="n">
        <v>19176804776.7006</v>
      </c>
      <c r="AE7" s="1" t="n">
        <v>21060317994.4208</v>
      </c>
      <c r="AF7" s="1" t="n">
        <v>22566532370.7647</v>
      </c>
      <c r="AG7" s="1" t="n">
        <v>26934989505.0943</v>
      </c>
      <c r="AH7" s="1" t="n">
        <v>27721156607.1502</v>
      </c>
      <c r="AI7" s="1" t="n">
        <v>30915566908.939</v>
      </c>
      <c r="AJ7" s="1" t="n">
        <v>31382115876.729</v>
      </c>
      <c r="AK7" s="1" t="n">
        <v>32132953559.4293</v>
      </c>
      <c r="AL7" s="1" t="n">
        <v>36554548494.6757</v>
      </c>
      <c r="AM7" s="1" t="n">
        <v>39014084334.76</v>
      </c>
      <c r="AN7" s="1" t="n">
        <v>11082019592.86</v>
      </c>
      <c r="AO7" s="1"/>
    </row>
    <row r="8">
      <c r="A8" t="str">
        <f>M8</f>
      </c>
      <c r="B8" t="str">
        <f>N8</f>
      </c>
      <c r="M8" t="s">
        <v>37</v>
      </c>
      <c r="N8" t="s">
        <v>29</v>
      </c>
      <c r="O8" s="1" t="n">
        <v>9806179274.7188</v>
      </c>
      <c r="P8" s="1" t="n">
        <v>11074071865.3475</v>
      </c>
      <c r="Q8" s="1" t="n">
        <v>10190484305.78</v>
      </c>
      <c r="R8" s="1" t="n">
        <v>11447721481.7713</v>
      </c>
      <c r="S8" s="1" t="n">
        <v>14139558152.9088</v>
      </c>
      <c r="T8" s="1" t="n">
        <v>14758336973.0057</v>
      </c>
      <c r="U8" s="1" t="n">
        <v>18100108387.2813</v>
      </c>
      <c r="V8" s="1" t="n">
        <v>22440233877.1263</v>
      </c>
      <c r="W8" s="1" t="n">
        <v>20532481609.963</v>
      </c>
      <c r="X8" s="1" t="n">
        <v>21799193140.1943</v>
      </c>
      <c r="Y8" s="1" t="n">
        <v>28845647566.7374</v>
      </c>
      <c r="Z8" s="1" t="n">
        <v>17763401408.4263</v>
      </c>
      <c r="AA8" s="1" t="n">
        <v>25637559369.6935</v>
      </c>
      <c r="AB8" s="1" t="n">
        <v>17751011149.2887</v>
      </c>
      <c r="AC8" s="1" t="n">
        <v>10453926626.8232</v>
      </c>
      <c r="AD8" s="1" t="n">
        <v>9882649420.1728</v>
      </c>
      <c r="AE8" s="1" t="n">
        <v>27097808861.7496</v>
      </c>
      <c r="AF8" s="1" t="n">
        <v>38988442606.3022</v>
      </c>
      <c r="AG8" s="1" t="n">
        <v>39751342837.5832</v>
      </c>
      <c r="AH8" s="1" t="n">
        <v>32691217945.3575</v>
      </c>
      <c r="AI8" s="1" t="n">
        <v>55411471115.5603</v>
      </c>
      <c r="AJ8" s="1" t="n">
        <v>25780258986.2601</v>
      </c>
      <c r="AK8" s="1" t="n">
        <v>29873760705.5846</v>
      </c>
      <c r="AL8" s="1" t="n">
        <v>33208270818.3261</v>
      </c>
      <c r="AM8" s="1" t="n">
        <v>40259713312.6644</v>
      </c>
      <c r="AN8" s="1" t="n">
        <v>23499096361.24</v>
      </c>
      <c r="AO8" s="1"/>
    </row>
    <row r="9">
      <c r="A9" t="str">
        <f>M9</f>
      </c>
      <c r="B9" t="str">
        <f>N9</f>
      </c>
      <c r="M9"/>
      <c r="N9" t="s">
        <v>29</v>
      </c>
      <c r="O9" s="1" t="n">
        <v>14024668216.4693</v>
      </c>
      <c r="P9" s="1" t="n">
        <v>6841906151.3045</v>
      </c>
      <c r="Q9" s="1" t="n">
        <v>9106146485.0279</v>
      </c>
      <c r="R9" s="1" t="n">
        <v>10191485233.0203</v>
      </c>
      <c r="S9" s="1" t="n">
        <v>11013390052.9525</v>
      </c>
      <c r="T9" s="1" t="n">
        <v>10033098800.4971</v>
      </c>
      <c r="U9" s="1" t="n">
        <v>8327536895.2557</v>
      </c>
      <c r="V9" s="1" t="n">
        <v>4971029758.2893</v>
      </c>
      <c r="W9" s="1" t="n">
        <v>11201364175.7961</v>
      </c>
      <c r="X9" s="1" t="n">
        <v>8886737326.0814</v>
      </c>
      <c r="Y9" s="1" t="n">
        <v>3675947434.8922</v>
      </c>
      <c r="Z9" s="1" t="n">
        <v>2878446853.5754</v>
      </c>
      <c r="AA9" s="1" t="n">
        <v>4219590895.0932</v>
      </c>
      <c r="AB9" s="1" t="n">
        <v>962618713.2722</v>
      </c>
      <c r="AC9" s="1" t="n">
        <v>1124570660.915</v>
      </c>
      <c r="AD9" s="1" t="n">
        <v>1123233883.4636</v>
      </c>
      <c r="AE9" s="1" t="n">
        <v>673157054.9751</v>
      </c>
      <c r="AF9" s="1" t="n">
        <v>991904563.2262</v>
      </c>
      <c r="AG9" s="1" t="n">
        <v>112502433.3395</v>
      </c>
      <c r="AH9" s="1" t="n">
        <v>108223543.48</v>
      </c>
      <c r="AI9" s="1" t="n">
        <v>167854385.142</v>
      </c>
      <c r="AJ9" s="1" t="n">
        <v>71931687.8198</v>
      </c>
      <c r="AK9" s="1" t="n">
        <v>479801873.5269</v>
      </c>
      <c r="AL9" s="1" t="n">
        <v>418245585.7645</v>
      </c>
      <c r="AM9" s="1" t="n">
        <v>58688025.56</v>
      </c>
      <c r="AN9" s="1" t="n">
        <v>1121667516.72</v>
      </c>
      <c r="AO9" s="1"/>
    </row>
    <row r="10">
      <c r="A10" t="str">
        <f>M10</f>
      </c>
      <c r="B10" t="str">
        <f>N10</f>
      </c>
      <c r="M10" t="s">
        <v>38</v>
      </c>
      <c r="N10" t="s">
        <v>39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</row>
    <row r="14">
      <c r="A14" t="str">
        <f>M14</f>
      </c>
      <c r="B14" t="str">
        <f>N14</f>
      </c>
      <c r="M14" t="s">
        <v>28</v>
      </c>
      <c r="N14" t="s">
        <v>29</v>
      </c>
      <c r="O14" s="1" t="n">
        <v>29460305.7814327</v>
      </c>
      <c r="P14" s="1" t="n">
        <v>405143607.248598</v>
      </c>
      <c r="Q14" s="1" t="n">
        <v>388739103.084518</v>
      </c>
      <c r="R14" s="1" t="n">
        <v>442933000.786526</v>
      </c>
      <c r="S14" s="1" t="n">
        <v>2253972108.00205</v>
      </c>
      <c r="T14" s="1" t="n">
        <v>3334949045.45526</v>
      </c>
      <c r="U14" s="1" t="n">
        <v>9731218766.89428</v>
      </c>
      <c r="V14" s="1" t="n">
        <v>34493729679.6099</v>
      </c>
      <c r="W14" s="1" t="n">
        <v>46744300433.1156</v>
      </c>
      <c r="X14" s="1" t="n">
        <v>53618158254.8864</v>
      </c>
      <c r="Y14" s="1" t="n">
        <v>3046928824.9145</v>
      </c>
      <c r="Z14" s="1" t="n">
        <v>2443699353.43932</v>
      </c>
      <c r="AA14" s="1" t="n">
        <v>1029451551.19496</v>
      </c>
      <c r="AB14" s="1" t="n">
        <v>668275511.167352</v>
      </c>
      <c r="AC14" s="1" t="n">
        <v>331889925.463535</v>
      </c>
      <c r="AD14" s="1" t="n">
        <v>259892240.877953</v>
      </c>
      <c r="AE14" s="1" t="n">
        <v>112534336.166272</v>
      </c>
      <c r="AF14" s="1" t="n">
        <v>-83917171.1064358</v>
      </c>
      <c r="AG14" s="1" t="n">
        <v>45464449.1834747</v>
      </c>
      <c r="AH14" s="1" t="n">
        <v>42887872.7477831</v>
      </c>
      <c r="AI14" s="1" t="n">
        <v>26085285.2658887</v>
      </c>
      <c r="AJ14" s="1" t="n">
        <v>35085664.6547248</v>
      </c>
      <c r="AK14" s="1" t="n">
        <v>15552563.6016595</v>
      </c>
      <c r="AL14" s="1" t="n">
        <v>-9403747.7499</v>
      </c>
      <c r="AM14" s="1" t="n">
        <v>-2878535.6514352</v>
      </c>
      <c r="AN14" s="1" t="n">
        <v>885763.52773059</v>
      </c>
      <c r="AO14" s="1"/>
    </row>
    <row r="15">
      <c r="A15" t="str">
        <f>M15</f>
      </c>
      <c r="B15" t="str">
        <f>N15</f>
      </c>
      <c r="M15" t="s">
        <v>30</v>
      </c>
      <c r="N15" t="s">
        <v>31</v>
      </c>
      <c r="O15" s="1" t="n">
        <v>155068296622.214</v>
      </c>
      <c r="P15" s="1" t="n">
        <v>167318588863.146</v>
      </c>
      <c r="Q15" s="1" t="n">
        <v>203008648970.663</v>
      </c>
      <c r="R15" s="1" t="n">
        <v>243531551377.917</v>
      </c>
      <c r="S15" s="1" t="n">
        <v>238448050590.54</v>
      </c>
      <c r="T15" s="1" t="n">
        <v>275204835857.539</v>
      </c>
      <c r="U15" s="1" t="n">
        <v>296192784081.437</v>
      </c>
      <c r="V15" s="1" t="n">
        <v>322339017362.721</v>
      </c>
      <c r="W15" s="1" t="n">
        <v>356569825788.869</v>
      </c>
      <c r="X15" s="1" t="n">
        <v>362636999424.184</v>
      </c>
      <c r="Y15" s="1" t="n">
        <v>406058740875.967</v>
      </c>
      <c r="Z15" s="1" t="n">
        <v>361218104666.69</v>
      </c>
      <c r="AA15" s="1" t="n">
        <v>333826812456.38</v>
      </c>
      <c r="AB15" s="1" t="n">
        <v>289775544362.138</v>
      </c>
      <c r="AC15" s="1" t="n">
        <v>287274476530.21</v>
      </c>
      <c r="AD15" s="1" t="n">
        <v>283484802765.24</v>
      </c>
      <c r="AE15" s="1" t="n">
        <v>298828771133.611</v>
      </c>
      <c r="AF15" s="1" t="n">
        <v>309659557533.449</v>
      </c>
      <c r="AG15" s="1" t="n">
        <v>334277415996.536</v>
      </c>
      <c r="AH15" s="1" t="n">
        <v>351386684538.79</v>
      </c>
      <c r="AI15" s="1" t="n">
        <v>397413202991.059</v>
      </c>
      <c r="AJ15" s="1" t="n">
        <v>398592091149.779</v>
      </c>
      <c r="AK15" s="1" t="n">
        <v>403017410301.643</v>
      </c>
      <c r="AL15" s="1" t="n">
        <v>408015659301.015</v>
      </c>
      <c r="AM15" s="1" t="n">
        <v>392876360911.004</v>
      </c>
      <c r="AN15" s="1" t="n">
        <v>151089557509.584</v>
      </c>
      <c r="AO15" s="1"/>
    </row>
    <row r="16">
      <c r="A16" t="str">
        <f>M16</f>
      </c>
      <c r="B16" t="str">
        <f>N16</f>
      </c>
      <c r="M16" t="s">
        <v>32</v>
      </c>
      <c r="N16" t="s">
        <v>32</v>
      </c>
      <c r="O16" s="1" t="n">
        <v>13545987968.24</v>
      </c>
      <c r="P16" s="1" t="n">
        <v>18388923330.0701</v>
      </c>
      <c r="Q16" s="1" t="n">
        <v>22905319116.7095</v>
      </c>
      <c r="R16" s="1" t="n">
        <v>26043626347.52</v>
      </c>
      <c r="S16" s="1" t="n">
        <v>29944867708.0856</v>
      </c>
      <c r="T16" s="1" t="n">
        <v>35964689159.3391</v>
      </c>
      <c r="U16" s="1" t="n">
        <v>40274154070.302</v>
      </c>
      <c r="V16" s="1" t="n">
        <v>37802158649.5452</v>
      </c>
      <c r="W16" s="1" t="n">
        <v>43485702150.0972</v>
      </c>
      <c r="X16" s="1" t="n">
        <v>44344133152.7733</v>
      </c>
      <c r="Y16" s="1" t="n">
        <v>55149962545.8554</v>
      </c>
      <c r="Z16" s="1" t="n">
        <v>79349860899.4894</v>
      </c>
      <c r="AA16" s="1" t="n">
        <v>65960325069.0741</v>
      </c>
      <c r="AB16" s="1" t="n">
        <v>68820451241.6821</v>
      </c>
      <c r="AC16" s="1" t="n">
        <v>62929845137.7556</v>
      </c>
      <c r="AD16" s="1" t="n">
        <v>60878760981.9236</v>
      </c>
      <c r="AE16" s="1" t="n">
        <v>60063907147.8317</v>
      </c>
      <c r="AF16" s="1" t="n">
        <v>59780526380.8788</v>
      </c>
      <c r="AG16" s="1" t="n">
        <v>69779540348.7394</v>
      </c>
      <c r="AH16" s="1" t="n">
        <v>82017250743.7612</v>
      </c>
      <c r="AI16" s="1" t="n">
        <v>89544035525.0944</v>
      </c>
      <c r="AJ16" s="1" t="n">
        <v>73350719694.9997</v>
      </c>
      <c r="AK16" s="1" t="n">
        <v>65645454260.6236</v>
      </c>
      <c r="AL16" s="1" t="n">
        <v>85826898877.3221</v>
      </c>
      <c r="AM16" s="1" t="n">
        <v>63628733960.1062</v>
      </c>
      <c r="AN16" s="1" t="n">
        <v>27202935210.3773</v>
      </c>
      <c r="AO16" s="1"/>
    </row>
    <row r="17">
      <c r="A17" t="str">
        <f>M17</f>
      </c>
      <c r="B17" t="str">
        <f>N17</f>
      </c>
      <c r="M17" t="s">
        <v>33</v>
      </c>
      <c r="N17" t="s">
        <v>34</v>
      </c>
      <c r="O17" s="1" t="n">
        <v>103436649049.335</v>
      </c>
      <c r="P17" s="1" t="n">
        <v>111853011858.535</v>
      </c>
      <c r="Q17" s="1" t="n">
        <v>120027142823.325</v>
      </c>
      <c r="R17" s="1" t="n">
        <v>148314823884.546</v>
      </c>
      <c r="S17" s="1" t="n">
        <v>150585719735.443</v>
      </c>
      <c r="T17" s="1" t="n">
        <v>153030813841.891</v>
      </c>
      <c r="U17" s="1" t="n">
        <v>161436075969.005</v>
      </c>
      <c r="V17" s="1" t="n">
        <v>154138120502.119</v>
      </c>
      <c r="W17" s="1" t="n">
        <v>154230500777.531</v>
      </c>
      <c r="X17" s="1" t="n">
        <v>170352791580.116</v>
      </c>
      <c r="Y17" s="1" t="n">
        <v>174781474754.958</v>
      </c>
      <c r="Z17" s="1" t="n">
        <v>175748259360.908</v>
      </c>
      <c r="AA17" s="1" t="n">
        <v>167465471332.822</v>
      </c>
      <c r="AB17" s="1" t="n">
        <v>156978849723.822</v>
      </c>
      <c r="AC17" s="1" t="n">
        <v>152883039605.355</v>
      </c>
      <c r="AD17" s="1" t="n">
        <v>150613332662.977</v>
      </c>
      <c r="AE17" s="1" t="n">
        <v>155225299472.234</v>
      </c>
      <c r="AF17" s="1" t="n">
        <v>160975218583.437</v>
      </c>
      <c r="AG17" s="1" t="n">
        <v>161730165319.131</v>
      </c>
      <c r="AH17" s="1" t="n">
        <v>171625166734.949</v>
      </c>
      <c r="AI17" s="1" t="n">
        <v>175574066123.608</v>
      </c>
      <c r="AJ17" s="1" t="n">
        <v>170764422208.789</v>
      </c>
      <c r="AK17" s="1" t="n">
        <v>169299052461.086</v>
      </c>
      <c r="AL17" s="1" t="n">
        <v>174926861772.469</v>
      </c>
      <c r="AM17" s="1" t="n">
        <v>178888092612.732</v>
      </c>
      <c r="AN17" s="1" t="n">
        <v>79422596455.3766</v>
      </c>
      <c r="AO17" s="1"/>
    </row>
    <row r="18">
      <c r="A18" t="str">
        <f>M18</f>
      </c>
      <c r="B18" t="str">
        <f>N18</f>
      </c>
      <c r="M18" t="s">
        <v>35</v>
      </c>
      <c r="N18" t="s">
        <v>31</v>
      </c>
      <c r="O18" s="1" t="n">
        <v>20455278126.9877</v>
      </c>
      <c r="P18" s="1" t="n">
        <v>25671201922.9277</v>
      </c>
      <c r="Q18" s="1" t="n">
        <v>31125838655.2054</v>
      </c>
      <c r="R18" s="1" t="n">
        <v>31306452760.4077</v>
      </c>
      <c r="S18" s="1" t="n">
        <v>35383351266.6802</v>
      </c>
      <c r="T18" s="1" t="n">
        <v>49830152758.5924</v>
      </c>
      <c r="U18" s="1" t="n">
        <v>43718547135.0426</v>
      </c>
      <c r="V18" s="1" t="n">
        <v>39871498973.4655</v>
      </c>
      <c r="W18" s="1" t="n">
        <v>47083840028.8173</v>
      </c>
      <c r="X18" s="1" t="n">
        <v>48420134831.6525</v>
      </c>
      <c r="Y18" s="1" t="n">
        <v>39548648188.2823</v>
      </c>
      <c r="Z18" s="1" t="n">
        <v>40152419721.9831</v>
      </c>
      <c r="AA18" s="1" t="n">
        <v>44074977886.2397</v>
      </c>
      <c r="AB18" s="1" t="n">
        <v>31549550365.4395</v>
      </c>
      <c r="AC18" s="1" t="n">
        <v>22345612294.3769</v>
      </c>
      <c r="AD18" s="1" t="n">
        <v>17837325738.1912</v>
      </c>
      <c r="AE18" s="1" t="n">
        <v>15792866128.6791</v>
      </c>
      <c r="AF18" s="1" t="n">
        <v>17231260685.4363</v>
      </c>
      <c r="AG18" s="1" t="n">
        <v>18784245348.1171</v>
      </c>
      <c r="AH18" s="1" t="n">
        <v>15811987085.4374</v>
      </c>
      <c r="AI18" s="1" t="n">
        <v>14826354617.2608</v>
      </c>
      <c r="AJ18" s="1" t="n">
        <v>15785798091.9252</v>
      </c>
      <c r="AK18" s="1" t="n">
        <v>23217883847.128</v>
      </c>
      <c r="AL18" s="1" t="n">
        <v>22140950156.917</v>
      </c>
      <c r="AM18" s="1" t="n">
        <v>23532982926.676</v>
      </c>
      <c r="AN18" s="1" t="n">
        <v>8484528269.35812</v>
      </c>
      <c r="AO18" s="1"/>
    </row>
    <row r="19">
      <c r="A19" t="str">
        <f>M19</f>
      </c>
      <c r="B19" t="str">
        <f>N19</f>
      </c>
      <c r="M19" t="s">
        <v>36</v>
      </c>
      <c r="N19" t="s">
        <v>34</v>
      </c>
      <c r="O19" s="1" t="n">
        <v>13086794732.1619</v>
      </c>
      <c r="P19" s="1" t="n">
        <v>13185950425.1627</v>
      </c>
      <c r="Q19" s="1" t="n">
        <v>18266537009.4079</v>
      </c>
      <c r="R19" s="1" t="n">
        <v>22682923728.4164</v>
      </c>
      <c r="S19" s="1" t="n">
        <v>29716079818.8522</v>
      </c>
      <c r="T19" s="1" t="n">
        <v>33324347514.638</v>
      </c>
      <c r="U19" s="1" t="n">
        <v>37427371376.739</v>
      </c>
      <c r="V19" s="1" t="n">
        <v>37733974945.1142</v>
      </c>
      <c r="W19" s="1" t="n">
        <v>40658234778.9832</v>
      </c>
      <c r="X19" s="1" t="n">
        <v>40792313987.4989</v>
      </c>
      <c r="Y19" s="1" t="n">
        <v>41393239129.173</v>
      </c>
      <c r="Z19" s="1" t="n">
        <v>34489572116.6241</v>
      </c>
      <c r="AA19" s="1" t="n">
        <v>31604358100.0817</v>
      </c>
      <c r="AB19" s="1" t="n">
        <v>25405540621.2032</v>
      </c>
      <c r="AC19" s="1" t="n">
        <v>24056874043.4365</v>
      </c>
      <c r="AD19" s="1" t="n">
        <v>23994593676.2297</v>
      </c>
      <c r="AE19" s="1" t="n">
        <v>26142292237.9346</v>
      </c>
      <c r="AF19" s="1" t="n">
        <v>27546966070.2842</v>
      </c>
      <c r="AG19" s="1" t="n">
        <v>32165468281.7935</v>
      </c>
      <c r="AH19" s="1" t="n">
        <v>32503329059.8947</v>
      </c>
      <c r="AI19" s="1" t="n">
        <v>35781390461.8808</v>
      </c>
      <c r="AJ19" s="1" t="n">
        <v>35112877040.0247</v>
      </c>
      <c r="AK19" s="1" t="n">
        <v>33602926763.0251</v>
      </c>
      <c r="AL19" s="1" t="n">
        <v>36554548494.6757</v>
      </c>
      <c r="AM19" s="1" t="n">
        <v>37999276122.6206</v>
      </c>
      <c r="AN19" s="1" t="n">
        <v>10562009148.5861</v>
      </c>
      <c r="AO19" s="1"/>
    </row>
    <row r="20">
      <c r="A20" t="str">
        <f>M20</f>
      </c>
      <c r="B20" t="str">
        <f>N20</f>
      </c>
      <c r="M20" t="s">
        <v>37</v>
      </c>
      <c r="N20" t="s">
        <v>29</v>
      </c>
      <c r="O20" s="1" t="n">
        <v>16485887667.7275</v>
      </c>
      <c r="P20" s="1" t="n">
        <v>18176844854.6395</v>
      </c>
      <c r="Q20" s="1" t="n">
        <v>16467466502.4342</v>
      </c>
      <c r="R20" s="1" t="n">
        <v>18150712565.2265</v>
      </c>
      <c r="S20" s="1" t="n">
        <v>21884314236.09</v>
      </c>
      <c r="T20" s="1" t="n">
        <v>22167468872.504</v>
      </c>
      <c r="U20" s="1" t="n">
        <v>26331548444.1746</v>
      </c>
      <c r="V20" s="1" t="n">
        <v>31770811297.1069</v>
      </c>
      <c r="W20" s="1" t="n">
        <v>28478582310.1213</v>
      </c>
      <c r="X20" s="1" t="n">
        <v>29929451187.7023</v>
      </c>
      <c r="Y20" s="1" t="n">
        <v>39263918345.0159</v>
      </c>
      <c r="Z20" s="1" t="n">
        <v>23703305764.2566</v>
      </c>
      <c r="AA20" s="1" t="n">
        <v>33600782407.7485</v>
      </c>
      <c r="AB20" s="1" t="n">
        <v>22850004537.0942</v>
      </c>
      <c r="AC20" s="1" t="n">
        <v>13215729322.2945</v>
      </c>
      <c r="AD20" s="1" t="n">
        <v>12365467555.3553</v>
      </c>
      <c r="AE20" s="1" t="n">
        <v>33636663912.6351</v>
      </c>
      <c r="AF20" s="1" t="n">
        <v>47593191898.6557</v>
      </c>
      <c r="AG20" s="1" t="n">
        <v>47470616499.0022</v>
      </c>
      <c r="AH20" s="1" t="n">
        <v>38330774913.3605</v>
      </c>
      <c r="AI20" s="1" t="n">
        <v>64132722841.3142</v>
      </c>
      <c r="AJ20" s="1" t="n">
        <v>28845061543.9794</v>
      </c>
      <c r="AK20" s="1" t="n">
        <v>31240383529.3044</v>
      </c>
      <c r="AL20" s="1" t="n">
        <v>33208270818.3261</v>
      </c>
      <c r="AM20" s="1" t="n">
        <v>39212504634.4469</v>
      </c>
      <c r="AN20" s="1" t="n">
        <v>22396429520.0158</v>
      </c>
      <c r="AO20" s="1"/>
    </row>
    <row r="21">
      <c r="A21" t="str">
        <f>M21</f>
      </c>
      <c r="B21" t="str">
        <f>N21</f>
      </c>
      <c r="M21"/>
      <c r="N21" t="s">
        <v>29</v>
      </c>
      <c r="O21" s="1" t="n">
        <v>23577899028.4156</v>
      </c>
      <c r="P21" s="1" t="n">
        <v>11230220296.0612</v>
      </c>
      <c r="Q21" s="1" t="n">
        <v>14715214479.3945</v>
      </c>
      <c r="R21" s="1" t="n">
        <v>16158911567.8485</v>
      </c>
      <c r="S21" s="1" t="n">
        <v>17045828880.7177</v>
      </c>
      <c r="T21" s="1" t="n">
        <v>15070018103.0953</v>
      </c>
      <c r="U21" s="1" t="n">
        <v>12114675585.7086</v>
      </c>
      <c r="V21" s="1" t="n">
        <v>7037968020.64067</v>
      </c>
      <c r="W21" s="1" t="n">
        <v>15536308651.1309</v>
      </c>
      <c r="X21" s="1" t="n">
        <v>12201147506.1648</v>
      </c>
      <c r="Y21" s="1" t="n">
        <v>5003600615.66484</v>
      </c>
      <c r="Z21" s="1" t="n">
        <v>3840970787.50327</v>
      </c>
      <c r="AA21" s="1" t="n">
        <v>5530228266.71034</v>
      </c>
      <c r="AB21" s="1" t="n">
        <v>1239131775.69284</v>
      </c>
      <c r="AC21" s="1" t="n">
        <v>1421668812.97146</v>
      </c>
      <c r="AD21" s="1" t="n">
        <v>1405423945.79874</v>
      </c>
      <c r="AE21" s="1" t="n">
        <v>835593672.320068</v>
      </c>
      <c r="AF21" s="1" t="n">
        <v>1210817900.56282</v>
      </c>
      <c r="AG21" s="1" t="n">
        <v>134349168.783669</v>
      </c>
      <c r="AH21" s="1" t="n">
        <v>126893170.281754</v>
      </c>
      <c r="AI21" s="1" t="n">
        <v>194273108.857927</v>
      </c>
      <c r="AJ21" s="1" t="n">
        <v>80483053.4569213</v>
      </c>
      <c r="AK21" s="1" t="n">
        <v>501751175.380375</v>
      </c>
      <c r="AL21" s="1" t="n">
        <v>418245585.7645</v>
      </c>
      <c r="AM21" s="1" t="n">
        <v>57161471.9753636</v>
      </c>
      <c r="AN21" s="1" t="n">
        <v>1069034617.20113</v>
      </c>
      <c r="AO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tr">
        <f>L1</f>
      </c>
      <c r="L1" t="s">
        <v>40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</row>
    <row r="2">
      <c r="A2" t="str">
        <f>L2</f>
      </c>
      <c r="L2" t="s">
        <v>41</v>
      </c>
      <c r="M2" s="2" t="n">
        <v>10216159711.7458</v>
      </c>
      <c r="N2" s="2" t="n">
        <v>11470879776.0852</v>
      </c>
      <c r="O2" s="2" t="n">
        <v>15128082687.2126</v>
      </c>
      <c r="P2" s="2" t="n">
        <v>16329003604.9103</v>
      </c>
      <c r="Q2" s="2" t="n">
        <v>10640277474.8407</v>
      </c>
      <c r="R2" s="2" t="n">
        <v>14405086743.2375</v>
      </c>
      <c r="S2" s="2" t="n">
        <v>22954940532.9395</v>
      </c>
      <c r="T2" s="2" t="n">
        <v>44503521028.502</v>
      </c>
      <c r="U2" s="2" t="n">
        <v>51761064040.5969</v>
      </c>
      <c r="V2" s="2" t="n">
        <v>43840460241.4517</v>
      </c>
      <c r="W2" s="2" t="n">
        <v>45384180577.6074</v>
      </c>
      <c r="X2" s="2" t="n">
        <v>42607284482.0355</v>
      </c>
      <c r="Y2" s="2" t="n">
        <v>40880978031.9413</v>
      </c>
      <c r="Z2" s="2" t="n">
        <v>37609975905.8345</v>
      </c>
      <c r="AA2" s="2" t="n">
        <v>47928691565.8346</v>
      </c>
      <c r="AB2" s="2" t="n">
        <v>45762701295.1843</v>
      </c>
      <c r="AC2" s="2" t="n">
        <v>44252676224.0787</v>
      </c>
      <c r="AD2" s="2" t="n">
        <v>45089613129.0173</v>
      </c>
      <c r="AE2" s="2" t="n">
        <v>46692376996.1801</v>
      </c>
      <c r="AF2" s="2" t="n">
        <v>41012614141.468</v>
      </c>
      <c r="AG2" s="2" t="n">
        <v>48710848386.5919</v>
      </c>
      <c r="AH2" s="2" t="n">
        <v>52989181266.7215</v>
      </c>
      <c r="AI2" s="2" t="n">
        <v>57707962671.4197</v>
      </c>
      <c r="AJ2" s="2" t="n">
        <v>65153130887.0962</v>
      </c>
      <c r="AK2" s="2" t="n">
        <v>85876820161.8683</v>
      </c>
      <c r="AL2" s="2" t="n">
        <v>37411273696.26</v>
      </c>
      <c r="AM2" s="2"/>
      <c r="AN2" s="2"/>
    </row>
    <row r="3">
      <c r="A3" t="str">
        <f>L3</f>
      </c>
      <c r="L3" t="s">
        <v>42</v>
      </c>
      <c r="M3" s="2" t="n">
        <v>6985442439.8992</v>
      </c>
      <c r="N3" s="2" t="n">
        <v>9890871589.2792</v>
      </c>
      <c r="O3" s="2" t="n">
        <v>14090420266.5989</v>
      </c>
      <c r="P3" s="2" t="n">
        <v>15568771056.0097</v>
      </c>
      <c r="Q3" s="2" t="n">
        <v>16900402198.8329</v>
      </c>
      <c r="R3" s="2" t="n">
        <v>22031233692.4653</v>
      </c>
      <c r="S3" s="2" t="n">
        <v>29551417891.009</v>
      </c>
      <c r="T3" s="2" t="n">
        <v>62791654469.3294</v>
      </c>
      <c r="U3" s="2" t="n">
        <v>79519495941.2923</v>
      </c>
      <c r="V3" s="2" t="n">
        <v>87203554516.8599</v>
      </c>
      <c r="W3" s="2" t="n">
        <v>83506131909.3432</v>
      </c>
      <c r="X3" s="2" t="n">
        <v>79337697735.5252</v>
      </c>
      <c r="Y3" s="2" t="n">
        <v>81545577018.8771</v>
      </c>
      <c r="Z3" s="2" t="n">
        <v>66295375545.9883</v>
      </c>
      <c r="AA3" s="2" t="n">
        <v>57125810819.1979</v>
      </c>
      <c r="AB3" s="2" t="n">
        <v>58294067616.0912</v>
      </c>
      <c r="AC3" s="2" t="n">
        <v>65874119612.5651</v>
      </c>
      <c r="AD3" s="2" t="n">
        <v>75216169245.7628</v>
      </c>
      <c r="AE3" s="2" t="n">
        <v>83195754157.4856</v>
      </c>
      <c r="AF3" s="2" t="n">
        <v>92450320102.3964</v>
      </c>
      <c r="AG3" s="2" t="n">
        <v>121904661011.545</v>
      </c>
      <c r="AH3" s="2" t="n">
        <v>83996694295.3114</v>
      </c>
      <c r="AI3" s="2" t="n">
        <v>89241902680.6967</v>
      </c>
      <c r="AJ3" s="2" t="n">
        <v>93936629980.5425</v>
      </c>
      <c r="AK3" s="2" t="n">
        <v>86649836431.8912</v>
      </c>
      <c r="AL3" s="2" t="n">
        <v>33649158711.74</v>
      </c>
      <c r="AM3" s="2"/>
      <c r="AN3" s="2"/>
    </row>
    <row r="4">
      <c r="A4" t="str">
        <f>L4</f>
      </c>
      <c r="L4" t="s">
        <v>43</v>
      </c>
      <c r="M4" s="2" t="n">
        <v>8230807095.714</v>
      </c>
      <c r="N4" s="2" t="n">
        <v>10560451597.8689</v>
      </c>
      <c r="O4" s="2" t="n">
        <v>13764099457.4384</v>
      </c>
      <c r="P4" s="2" t="n">
        <v>17891792040.2701</v>
      </c>
      <c r="Q4" s="2" t="n">
        <v>23817612543.4739</v>
      </c>
      <c r="R4" s="2" t="n">
        <v>24519010882.5346</v>
      </c>
      <c r="S4" s="2" t="n">
        <v>30808334005.8803</v>
      </c>
      <c r="T4" s="2" t="n">
        <v>61455757363.1546</v>
      </c>
      <c r="U4" s="2" t="n">
        <v>78686085720.5173</v>
      </c>
      <c r="V4" s="2" t="n">
        <v>83141720122.6335</v>
      </c>
      <c r="W4" s="2" t="n">
        <v>83740172441.5912</v>
      </c>
      <c r="X4" s="2" t="n">
        <v>83522004495.7916</v>
      </c>
      <c r="Y4" s="2" t="n">
        <v>82436300526.8215</v>
      </c>
      <c r="Z4" s="2" t="n">
        <v>84128476760.5834</v>
      </c>
      <c r="AA4" s="2" t="n">
        <v>76773133981.4242</v>
      </c>
      <c r="AB4" s="2" t="n">
        <v>77540220680.1836</v>
      </c>
      <c r="AC4" s="2" t="n">
        <v>86565555062.5251</v>
      </c>
      <c r="AD4" s="2" t="n">
        <v>88150173817.1372</v>
      </c>
      <c r="AE4" s="2" t="n">
        <v>102225928221.144</v>
      </c>
      <c r="AF4" s="2" t="n">
        <v>107929740369.752</v>
      </c>
      <c r="AG4" s="2" t="n">
        <v>106695511180.549</v>
      </c>
      <c r="AH4" s="2" t="n">
        <v>97070013500.8136</v>
      </c>
      <c r="AI4" s="2" t="n">
        <v>109501283943.375</v>
      </c>
      <c r="AJ4" s="2" t="n">
        <v>124863339117.665</v>
      </c>
      <c r="AK4" s="2" t="n">
        <v>122929712498.62</v>
      </c>
      <c r="AL4" s="2" t="n">
        <v>38136666576.3</v>
      </c>
      <c r="AM4" s="2"/>
      <c r="AN4" s="2"/>
    </row>
    <row r="5">
      <c r="A5" t="str">
        <f>L5</f>
      </c>
      <c r="L5" t="s">
        <v>44</v>
      </c>
      <c r="M5" s="2" t="n">
        <v>10095602751.7792</v>
      </c>
      <c r="N5" s="2" t="n">
        <v>10053401989.3701</v>
      </c>
      <c r="O5" s="2" t="n">
        <v>14832650820.3911</v>
      </c>
      <c r="P5" s="2" t="n">
        <v>15303206438.2715</v>
      </c>
      <c r="Q5" s="2" t="n">
        <v>17117682142.989</v>
      </c>
      <c r="R5" s="2" t="n">
        <v>24244423723.9112</v>
      </c>
      <c r="S5" s="2" t="n">
        <v>30422948937.0949</v>
      </c>
      <c r="T5" s="2" t="n">
        <v>49965982281.4677</v>
      </c>
      <c r="U5" s="2" t="n">
        <v>56076217420.461</v>
      </c>
      <c r="V5" s="2" t="n">
        <v>63047305635.9184</v>
      </c>
      <c r="W5" s="2" t="n">
        <v>63841403220.4104</v>
      </c>
      <c r="X5" s="2" t="n">
        <v>66290519510.1948</v>
      </c>
      <c r="Y5" s="2" t="n">
        <v>60546730781.8537</v>
      </c>
      <c r="Z5" s="2" t="n">
        <v>40828118931.0142</v>
      </c>
      <c r="AA5" s="2" t="n">
        <v>38180041426.8094</v>
      </c>
      <c r="AB5" s="2" t="n">
        <v>39936359927.7054</v>
      </c>
      <c r="AC5" s="2" t="n">
        <v>39339281783.5481</v>
      </c>
      <c r="AD5" s="2" t="n">
        <v>54812025130.9456</v>
      </c>
      <c r="AE5" s="2" t="n">
        <v>49337487092.061</v>
      </c>
      <c r="AF5" s="2" t="n">
        <v>47963331669.6968</v>
      </c>
      <c r="AG5" s="2" t="n">
        <v>54339332990.9159</v>
      </c>
      <c r="AH5" s="2" t="n">
        <v>53909110557.1904</v>
      </c>
      <c r="AI5" s="2" t="n">
        <v>54380754881.1247</v>
      </c>
      <c r="AJ5" s="2" t="n">
        <v>58412714280.4301</v>
      </c>
      <c r="AK5" s="2" t="n">
        <v>43621235258.8636</v>
      </c>
      <c r="AL5" s="2" t="n">
        <v>17667064062.33</v>
      </c>
      <c r="AM5" s="2"/>
      <c r="AN5" s="2"/>
    </row>
    <row r="6">
      <c r="A6" t="str">
        <f>L6</f>
      </c>
      <c r="L6" t="s">
        <v>45</v>
      </c>
      <c r="M6" s="2" t="n">
        <v>20400191016.0788</v>
      </c>
      <c r="N6" s="2" t="n">
        <v>28192887528.8715</v>
      </c>
      <c r="O6" s="2" t="n">
        <v>41392123273.1324</v>
      </c>
      <c r="P6" s="2" t="n">
        <v>63099497608.3842</v>
      </c>
      <c r="Q6" s="2" t="n">
        <v>74249549129.6656</v>
      </c>
      <c r="R6" s="2" t="n">
        <v>87205228213.2689</v>
      </c>
      <c r="S6" s="2" t="n">
        <v>107244576467.908</v>
      </c>
      <c r="T6" s="2" t="n">
        <v>129145551661.045</v>
      </c>
      <c r="U6" s="2" t="n">
        <v>147003126895.036</v>
      </c>
      <c r="V6" s="2" t="n">
        <v>157879218654.289</v>
      </c>
      <c r="W6" s="2" t="n">
        <v>147185625884.609</v>
      </c>
      <c r="X6" s="2" t="n">
        <v>155657965433.714</v>
      </c>
      <c r="Y6" s="2" t="n">
        <v>156238033941.023</v>
      </c>
      <c r="Z6" s="2" t="n">
        <v>151438170103.653</v>
      </c>
      <c r="AA6" s="2" t="n">
        <v>141298320860.011</v>
      </c>
      <c r="AB6" s="2" t="n">
        <v>136418480997.38</v>
      </c>
      <c r="AC6" s="2" t="n">
        <v>152804456517.66</v>
      </c>
      <c r="AD6" s="2" t="n">
        <v>162247845114.868</v>
      </c>
      <c r="AE6" s="2" t="n">
        <v>182028332913.059</v>
      </c>
      <c r="AF6" s="2" t="n">
        <v>209652048453.283</v>
      </c>
      <c r="AG6" s="2" t="n">
        <v>230139772648.291</v>
      </c>
      <c r="AH6" s="2" t="n">
        <v>233704997302.719</v>
      </c>
      <c r="AI6" s="2" t="n">
        <v>260036287194.898</v>
      </c>
      <c r="AJ6" s="2" t="n">
        <v>302690161066.755</v>
      </c>
      <c r="AK6" s="2" t="n">
        <v>301691029042.944</v>
      </c>
      <c r="AL6" s="2" t="n">
        <v>140754397445.51</v>
      </c>
      <c r="AM6" s="2"/>
      <c r="AN6" s="2"/>
    </row>
    <row r="7">
      <c r="A7" t="str">
        <f>L7</f>
      </c>
      <c r="L7" t="s">
        <v>46</v>
      </c>
      <c r="M7" s="2" t="n">
        <v>11219704324.6334</v>
      </c>
      <c r="N7" s="2" t="n">
        <v>13495054409.5492</v>
      </c>
      <c r="O7" s="2" t="n">
        <v>18929268365.3096</v>
      </c>
      <c r="P7" s="2" t="n">
        <v>24942342232.2954</v>
      </c>
      <c r="Q7" s="2" t="n">
        <v>26440303923.5798</v>
      </c>
      <c r="R7" s="2" t="n">
        <v>28406533255.6492</v>
      </c>
      <c r="S7" s="2" t="n">
        <v>36465739626.2993</v>
      </c>
      <c r="T7" s="2" t="n">
        <v>61066011643.481</v>
      </c>
      <c r="U7" s="2" t="n">
        <v>73900234358.177</v>
      </c>
      <c r="V7" s="2" t="n">
        <v>85713966187.7007</v>
      </c>
      <c r="W7" s="2" t="n">
        <v>92227270715.9696</v>
      </c>
      <c r="X7" s="2" t="n">
        <v>93883613027.3615</v>
      </c>
      <c r="Y7" s="2" t="n">
        <v>87990243664.0848</v>
      </c>
      <c r="Z7" s="2" t="n">
        <v>73353230670.7415</v>
      </c>
      <c r="AA7" s="2" t="n">
        <v>75625845071.6703</v>
      </c>
      <c r="AB7" s="2" t="n">
        <v>71361026086.5685</v>
      </c>
      <c r="AC7" s="2" t="n">
        <v>72859782183.7295</v>
      </c>
      <c r="AD7" s="2" t="n">
        <v>74764830378.1765</v>
      </c>
      <c r="AE7" s="2" t="n">
        <v>82042945183.2896</v>
      </c>
      <c r="AF7" s="2" t="n">
        <v>80033274016.7934</v>
      </c>
      <c r="AG7" s="2" t="n">
        <v>96024135052.4401</v>
      </c>
      <c r="AH7" s="2" t="n">
        <v>111507970930.936</v>
      </c>
      <c r="AI7" s="2" t="n">
        <v>109658800460.662</v>
      </c>
      <c r="AJ7" s="2" t="n">
        <v>101868909703.6</v>
      </c>
      <c r="AK7" s="2" t="n">
        <v>99625721827.9041</v>
      </c>
      <c r="AL7" s="2" t="n">
        <v>40907315267.65</v>
      </c>
      <c r="AM7" s="2"/>
      <c r="AN7" s="2"/>
    </row>
    <row r="8">
      <c r="A8" t="str">
        <f>L8</f>
      </c>
      <c r="L8"/>
      <c r="M8" s="2" t="n">
        <v>138474103616.301</v>
      </c>
      <c r="N8" s="2" t="n">
        <v>139458568080.44</v>
      </c>
      <c r="O8" s="2" t="n">
        <v>146042896696.826</v>
      </c>
      <c r="P8" s="2" t="n">
        <v>166400020576.104</v>
      </c>
      <c r="Q8" s="2" t="n">
        <v>170208535472.235</v>
      </c>
      <c r="R8" s="2" t="n">
        <v>190610205663.644</v>
      </c>
      <c r="S8" s="2" t="n">
        <v>173702736266.629</v>
      </c>
      <c r="T8" s="2" t="n">
        <v>60903971940.117</v>
      </c>
      <c r="U8" s="2" t="n">
        <v>41378588042.1519</v>
      </c>
      <c r="V8" s="2" t="n">
        <v>34393403054.9144</v>
      </c>
      <c r="W8" s="2" t="n">
        <v>45576895729.3422</v>
      </c>
      <c r="X8" s="2" t="n">
        <v>18982374013.9037</v>
      </c>
      <c r="Y8" s="2" t="n">
        <v>11564944015.603</v>
      </c>
      <c r="Z8" s="2" t="n">
        <v>10348939649.3136</v>
      </c>
      <c r="AA8" s="2" t="n">
        <v>9567493863.5743</v>
      </c>
      <c r="AB8" s="2" t="n">
        <v>10925624060.5162</v>
      </c>
      <c r="AC8" s="2" t="n">
        <v>14124017358.0099</v>
      </c>
      <c r="AD8" s="2" t="n">
        <v>10830690576.3624</v>
      </c>
      <c r="AE8" s="2" t="n">
        <v>10827353969.7173</v>
      </c>
      <c r="AF8" s="2" t="n">
        <v>11013395797.6725</v>
      </c>
      <c r="AG8" s="2" t="n">
        <v>13948621206.2322</v>
      </c>
      <c r="AH8" s="2" t="n">
        <v>12615505929.7909</v>
      </c>
      <c r="AI8" s="2" t="n">
        <v>14230627815.8941</v>
      </c>
      <c r="AJ8" s="2" t="n">
        <v>14157146222.651</v>
      </c>
      <c r="AK8" s="2" t="n">
        <v>15458619851.49</v>
      </c>
      <c r="AL8" s="2" t="n">
        <v>6483538739.43</v>
      </c>
      <c r="AM8" s="2"/>
      <c r="AN8" s="2"/>
    </row>
    <row r="9">
      <c r="A9" t="str">
        <f>L9</f>
      </c>
      <c r="L9" t="s">
        <v>38</v>
      </c>
      <c r="M9" s="2" t="str">
        <f>Sum(M2:M8)</f>
      </c>
      <c r="N9" s="2" t="str">
        <f>Sum(N2:N8)</f>
      </c>
      <c r="O9" s="2" t="str">
        <f>Sum(O2:O8)</f>
      </c>
      <c r="P9" s="2" t="str">
        <f>Sum(P2:P8)</f>
      </c>
      <c r="Q9" s="2" t="str">
        <f>Sum(Q2:Q8)</f>
      </c>
      <c r="R9" s="2" t="str">
        <f>Sum(R2:R8)</f>
      </c>
      <c r="S9" s="2" t="str">
        <f>Sum(S2:S8)</f>
      </c>
      <c r="T9" s="2" t="str">
        <f>Sum(T2:T8)</f>
      </c>
      <c r="U9" s="2" t="str">
        <f>Sum(U2:U8)</f>
      </c>
      <c r="V9" s="2" t="str">
        <f>Sum(V2:V8)</f>
      </c>
      <c r="W9" s="2" t="str">
        <f>Sum(W2:W8)</f>
      </c>
      <c r="X9" s="2" t="str">
        <f>Sum(X2:X8)</f>
      </c>
      <c r="Y9" s="2" t="str">
        <f>Sum(Y2:Y8)</f>
      </c>
      <c r="Z9" s="2" t="str">
        <f>Sum(Z2:Z8)</f>
      </c>
      <c r="AA9" s="2" t="str">
        <f>Sum(AA2:AA8)</f>
      </c>
      <c r="AB9" s="2" t="str">
        <f>Sum(AB2:AB8)</f>
      </c>
      <c r="AC9" s="2" t="str">
        <f>Sum(AC2:AC8)</f>
      </c>
      <c r="AD9" s="2" t="str">
        <f>Sum(AD2:AD8)</f>
      </c>
      <c r="AE9" s="2" t="str">
        <f>Sum(AE2:AE8)</f>
      </c>
      <c r="AF9" s="2" t="str">
        <f>Sum(AF2:AF8)</f>
      </c>
      <c r="AG9" s="2" t="str">
        <f>Sum(AG2:AG8)</f>
      </c>
      <c r="AH9" s="2" t="str">
        <f>Sum(AH2:AH8)</f>
      </c>
      <c r="AI9" s="2" t="str">
        <f>Sum(AI2:AI8)</f>
      </c>
      <c r="AJ9" s="2" t="str">
        <f>Sum(AJ2:AJ8)</f>
      </c>
      <c r="AK9" s="2" t="str">
        <f>Sum(AK2:AK8)</f>
      </c>
      <c r="AL9" s="2" t="str">
        <f>Sum(AL2:AL8)</f>
      </c>
      <c r="AM9" s="2" t="str">
        <f>Sum(AM2:AM8)</f>
      </c>
      <c r="AN9" s="2"/>
    </row>
    <row r="12">
      <c r="A12" t="str">
        <f>L12</f>
      </c>
      <c r="B12" t="str">
        <f>AG12</f>
      </c>
      <c r="C12" t="str">
        <f>AJ12</f>
      </c>
      <c r="D12" t="str">
        <f>AK12</f>
      </c>
      <c r="F12" t="str">
        <f>AJ12&amp;"-"&amp;AK12</f>
      </c>
      <c r="G12" t="str">
        <f>AG12&amp;"-"&amp;AK12</f>
      </c>
      <c r="I12" t="str">
        <f>"Share "&amp;AK12</f>
      </c>
      <c r="L12" t="s">
        <v>40</v>
      </c>
      <c r="M12" t="s">
        <v>2</v>
      </c>
      <c r="N12" t="s">
        <v>3</v>
      </c>
      <c r="O12" t="s">
        <v>4</v>
      </c>
      <c r="P12" t="s">
        <v>5</v>
      </c>
      <c r="Q12" t="s">
        <v>6</v>
      </c>
      <c r="R12" t="s">
        <v>7</v>
      </c>
      <c r="S12" t="s">
        <v>8</v>
      </c>
      <c r="T12" t="s">
        <v>9</v>
      </c>
      <c r="U12" t="s">
        <v>10</v>
      </c>
      <c r="V12" t="s">
        <v>11</v>
      </c>
      <c r="W12" t="s">
        <v>12</v>
      </c>
      <c r="X12" t="s">
        <v>13</v>
      </c>
      <c r="Y12" t="s">
        <v>14</v>
      </c>
      <c r="Z12" t="s">
        <v>15</v>
      </c>
      <c r="AA12" t="s">
        <v>16</v>
      </c>
      <c r="AB12" t="s">
        <v>17</v>
      </c>
      <c r="AC12" t="s">
        <v>18</v>
      </c>
      <c r="AD12" t="s">
        <v>19</v>
      </c>
      <c r="AE12" t="s">
        <v>20</v>
      </c>
      <c r="AF12" t="s">
        <v>21</v>
      </c>
      <c r="AG12" t="s">
        <v>22</v>
      </c>
      <c r="AH12" t="s">
        <v>23</v>
      </c>
      <c r="AI12" t="s">
        <v>24</v>
      </c>
      <c r="AJ12" t="s">
        <v>25</v>
      </c>
      <c r="AK12" t="s">
        <v>26</v>
      </c>
      <c r="AL12" t="s">
        <v>27</v>
      </c>
    </row>
    <row r="13">
      <c r="A13" t="str">
        <f>L13</f>
      </c>
      <c r="B13" s="2" t="str">
        <f>AG13</f>
      </c>
      <c r="C13" s="2" t="str">
        <f>AJ13</f>
      </c>
      <c r="D13" s="2" t="str">
        <f>AK13</f>
      </c>
      <c r="E13" s="2"/>
      <c r="F13" s="3" t="str">
        <f>AK13/AJ13-1</f>
      </c>
      <c r="G13" s="3" t="str">
        <f>AK13/AG13-1</f>
      </c>
      <c r="H13" s="3"/>
      <c r="I13" s="3" t="str">
        <f>AK13/Sum(AK$12:AK$19)</f>
      </c>
      <c r="J13" s="3"/>
      <c r="L13" t="s">
        <v>41</v>
      </c>
      <c r="M13" s="2" t="n">
        <v>17175135869.4423</v>
      </c>
      <c r="N13" s="2" t="n">
        <v>18828160460.8839</v>
      </c>
      <c r="O13" s="2" t="n">
        <v>24446452928.2899</v>
      </c>
      <c r="P13" s="2" t="n">
        <v>25890134677.1249</v>
      </c>
      <c r="Q13" s="2" t="n">
        <v>16468348819.7049</v>
      </c>
      <c r="R13" s="2" t="n">
        <v>21636876334.4074</v>
      </c>
      <c r="S13" s="2" t="n">
        <v>33394227025.7881</v>
      </c>
      <c r="T13" s="2" t="n">
        <v>63007942626.4176</v>
      </c>
      <c r="U13" s="2" t="n">
        <v>71792672251.7715</v>
      </c>
      <c r="V13" s="2" t="n">
        <v>60191260584.9428</v>
      </c>
      <c r="W13" s="2" t="n">
        <v>61775723919.2458</v>
      </c>
      <c r="X13" s="2" t="n">
        <v>56854735680.4804</v>
      </c>
      <c r="Y13" s="2" t="n">
        <v>53578924095.6765</v>
      </c>
      <c r="Z13" s="2" t="n">
        <v>48413474188.0752</v>
      </c>
      <c r="AA13" s="2" t="n">
        <v>60590880069.9412</v>
      </c>
      <c r="AB13" s="2" t="n">
        <v>57259665303.5095</v>
      </c>
      <c r="AC13" s="2" t="n">
        <v>54931098118.6058</v>
      </c>
      <c r="AD13" s="2" t="n">
        <v>55040890757.1648</v>
      </c>
      <c r="AE13" s="2" t="n">
        <v>55759523165.5137</v>
      </c>
      <c r="AF13" s="2" t="n">
        <v>48087693884.4172</v>
      </c>
      <c r="AG13" s="2" t="n">
        <v>56377484229.3499</v>
      </c>
      <c r="AH13" s="2" t="n">
        <v>59288628388.8103</v>
      </c>
      <c r="AI13" s="2" t="n">
        <v>60347905451.7871</v>
      </c>
      <c r="AJ13" s="2" t="n">
        <v>65153130887.0962</v>
      </c>
      <c r="AK13" s="2" t="n">
        <v>83643049875.6069</v>
      </c>
      <c r="AL13" s="2" t="n">
        <v>35655794661.7184</v>
      </c>
      <c r="AM13" s="2"/>
      <c r="AN13" s="2"/>
    </row>
    <row r="14">
      <c r="A14" t="str">
        <f>L14</f>
      </c>
      <c r="B14" s="2" t="str">
        <f>AG14</f>
      </c>
      <c r="C14" s="2" t="str">
        <f>AJ14</f>
      </c>
      <c r="D14" s="2" t="str">
        <f>AK14</f>
      </c>
      <c r="E14" s="2"/>
      <c r="F14" s="3" t="str">
        <f>AK14/AJ14-1</f>
      </c>
      <c r="G14" s="3" t="str">
        <f>AK14/AG14-1</f>
      </c>
      <c r="H14" s="3"/>
      <c r="I14" s="3" t="str">
        <f>AK14/Sum(AK$12:AK$19)</f>
      </c>
      <c r="J14" s="3"/>
      <c r="L14" t="s">
        <v>42</v>
      </c>
      <c r="M14" s="2" t="n">
        <v>11743739956.9525</v>
      </c>
      <c r="N14" s="2" t="n">
        <v>16234754527.6516</v>
      </c>
      <c r="O14" s="2" t="n">
        <v>22769626720.6681</v>
      </c>
      <c r="P14" s="2" t="n">
        <v>24684762717.3164</v>
      </c>
      <c r="Q14" s="2" t="n">
        <v>26157374115.6459</v>
      </c>
      <c r="R14" s="2" t="n">
        <v>33091579897.7805</v>
      </c>
      <c r="S14" s="2" t="n">
        <v>42990603986.5449</v>
      </c>
      <c r="T14" s="2" t="n">
        <v>88900223415.7497</v>
      </c>
      <c r="U14" s="2" t="n">
        <v>110293658284.569</v>
      </c>
      <c r="V14" s="2" t="n">
        <v>119727116114.869</v>
      </c>
      <c r="W14" s="2" t="n">
        <v>113666297038.775</v>
      </c>
      <c r="X14" s="2" t="n">
        <v>105867432977.405</v>
      </c>
      <c r="Y14" s="2" t="n">
        <v>106874260151.478</v>
      </c>
      <c r="Z14" s="2" t="n">
        <v>85338779817.8979</v>
      </c>
      <c r="AA14" s="2" t="n">
        <v>72217768504.8994</v>
      </c>
      <c r="AB14" s="2" t="n">
        <v>72939286939.0948</v>
      </c>
      <c r="AC14" s="2" t="n">
        <v>81769918492.4249</v>
      </c>
      <c r="AD14" s="2" t="n">
        <v>91816377815.9406</v>
      </c>
      <c r="AE14" s="2" t="n">
        <v>99351454769.5058</v>
      </c>
      <c r="AF14" s="2" t="n">
        <v>108398910570.915</v>
      </c>
      <c r="AG14" s="2" t="n">
        <v>141091324238.86</v>
      </c>
      <c r="AH14" s="2" t="n">
        <v>93982369134.8637</v>
      </c>
      <c r="AI14" s="2" t="n">
        <v>93324415834.5501</v>
      </c>
      <c r="AJ14" s="2" t="n">
        <v>93936629980.5425</v>
      </c>
      <c r="AK14" s="2" t="n">
        <v>84395958964.5358</v>
      </c>
      <c r="AL14" s="2" t="n">
        <v>32070212399.2458</v>
      </c>
      <c r="AM14" s="2"/>
      <c r="AN14" s="2"/>
    </row>
    <row r="15">
      <c r="A15" t="str">
        <f>L15</f>
      </c>
      <c r="B15" s="2" t="str">
        <f>AG15</f>
      </c>
      <c r="C15" s="2" t="str">
        <f>AJ15</f>
      </c>
      <c r="D15" s="2" t="str">
        <f>AK15</f>
      </c>
      <c r="E15" s="2"/>
      <c r="F15" s="3" t="str">
        <f>AK15/AJ15-1</f>
      </c>
      <c r="G15" s="3" t="str">
        <f>AK15/AG15-1</f>
      </c>
      <c r="H15" s="3"/>
      <c r="I15" s="3" t="str">
        <f>AK15/Sum(AK$12:AK$19)</f>
      </c>
      <c r="J15" s="3"/>
      <c r="L15" t="s">
        <v>43</v>
      </c>
      <c r="M15" s="2" t="n">
        <v>13837413878.8694</v>
      </c>
      <c r="N15" s="2" t="n">
        <v>17333794888.0441</v>
      </c>
      <c r="O15" s="2" t="n">
        <v>22242303697.2815</v>
      </c>
      <c r="P15" s="2" t="n">
        <v>28367983543.0013</v>
      </c>
      <c r="Q15" s="2" t="n">
        <v>36863394995.6629</v>
      </c>
      <c r="R15" s="2" t="n">
        <v>36828296542.9863</v>
      </c>
      <c r="S15" s="2" t="n">
        <v>44819131576.5926</v>
      </c>
      <c r="T15" s="2" t="n">
        <v>87008864568.7328</v>
      </c>
      <c r="U15" s="2" t="n">
        <v>109137717077.787</v>
      </c>
      <c r="V15" s="2" t="n">
        <v>114150374193.611</v>
      </c>
      <c r="W15" s="2" t="n">
        <v>113984866706.048</v>
      </c>
      <c r="X15" s="2" t="n">
        <v>111450930206.883</v>
      </c>
      <c r="Y15" s="2" t="n">
        <v>108041649228.743</v>
      </c>
      <c r="Z15" s="2" t="n">
        <v>108294454862.938</v>
      </c>
      <c r="AA15" s="2" t="n">
        <v>97055680046.5204</v>
      </c>
      <c r="AB15" s="2" t="n">
        <v>97020651273.8093</v>
      </c>
      <c r="AC15" s="2" t="n">
        <v>107454314734.614</v>
      </c>
      <c r="AD15" s="2" t="n">
        <v>107604917199.25</v>
      </c>
      <c r="AE15" s="2" t="n">
        <v>122077079374.848</v>
      </c>
      <c r="AF15" s="2" t="n">
        <v>126548683242.25</v>
      </c>
      <c r="AG15" s="2" t="n">
        <v>123488395258.161</v>
      </c>
      <c r="AH15" s="2" t="n">
        <v>108609867534.619</v>
      </c>
      <c r="AI15" s="2" t="n">
        <v>114510594801.103</v>
      </c>
      <c r="AJ15" s="2" t="n">
        <v>124863339117.665</v>
      </c>
      <c r="AK15" s="2" t="n">
        <v>119732147211.963</v>
      </c>
      <c r="AL15" s="2" t="n">
        <v>36347149353.0815</v>
      </c>
      <c r="AM15" s="2"/>
      <c r="AN15" s="2"/>
    </row>
    <row r="16">
      <c r="A16" t="str">
        <f>L16</f>
      </c>
      <c r="B16" s="2" t="str">
        <f>AG16</f>
      </c>
      <c r="C16" s="2" t="str">
        <f>AJ16</f>
      </c>
      <c r="D16" s="2" t="str">
        <f>AK16</f>
      </c>
      <c r="E16" s="2"/>
      <c r="F16" s="3" t="str">
        <f>AK16/AJ16-1</f>
      </c>
      <c r="G16" s="3" t="str">
        <f>AK16/AG16-1</f>
      </c>
      <c r="H16" s="3"/>
      <c r="I16" s="3" t="str">
        <f>AK16/Sum(AK$12:AK$19)</f>
      </c>
      <c r="J16" s="3"/>
      <c r="L16" t="s">
        <v>44</v>
      </c>
      <c r="M16" s="2" t="n">
        <v>16972458716.2012</v>
      </c>
      <c r="N16" s="2" t="n">
        <v>16501529919.9858</v>
      </c>
      <c r="O16" s="2" t="n">
        <v>23969045356.2205</v>
      </c>
      <c r="P16" s="2" t="n">
        <v>24263701892.965</v>
      </c>
      <c r="Q16" s="2" t="n">
        <v>26493666277.2318</v>
      </c>
      <c r="R16" s="2" t="n">
        <v>36415858318.9027</v>
      </c>
      <c r="S16" s="2" t="n">
        <v>44258483795.3056</v>
      </c>
      <c r="T16" s="2" t="n">
        <v>70741677784.2597</v>
      </c>
      <c r="U16" s="2" t="n">
        <v>77777796361.1547</v>
      </c>
      <c r="V16" s="2" t="n">
        <v>86561518328.2673</v>
      </c>
      <c r="W16" s="2" t="n">
        <v>86899198129.562</v>
      </c>
      <c r="X16" s="2" t="n">
        <v>88457408414.8205</v>
      </c>
      <c r="Y16" s="2" t="n">
        <v>79353010837.159</v>
      </c>
      <c r="Z16" s="2" t="n">
        <v>52556031595.5342</v>
      </c>
      <c r="AA16" s="2" t="n">
        <v>48266752869.3032</v>
      </c>
      <c r="AB16" s="2" t="n">
        <v>49969572122.7352</v>
      </c>
      <c r="AC16" s="2" t="n">
        <v>48832073717.4252</v>
      </c>
      <c r="AD16" s="2" t="n">
        <v>66909039090.1985</v>
      </c>
      <c r="AE16" s="2" t="n">
        <v>58918284555.594</v>
      </c>
      <c r="AF16" s="2" t="n">
        <v>56237478621.9027</v>
      </c>
      <c r="AG16" s="2" t="n">
        <v>62891840117.7347</v>
      </c>
      <c r="AH16" s="2" t="n">
        <v>60317920492.2693</v>
      </c>
      <c r="AI16" s="2" t="n">
        <v>56868489235.1648</v>
      </c>
      <c r="AJ16" s="2" t="n">
        <v>58412714280.4301</v>
      </c>
      <c r="AK16" s="2" t="n">
        <v>42486588924.875</v>
      </c>
      <c r="AL16" s="2" t="n">
        <v>16838058324.2435</v>
      </c>
      <c r="AM16" s="2"/>
      <c r="AN16" s="2"/>
    </row>
    <row r="17">
      <c r="A17" t="str">
        <f>L17</f>
      </c>
      <c r="B17" s="2" t="str">
        <f>AG17</f>
      </c>
      <c r="C17" s="2" t="str">
        <f>AJ17</f>
      </c>
      <c r="D17" s="2" t="str">
        <f>AK17</f>
      </c>
      <c r="E17" s="2"/>
      <c r="F17" s="3" t="str">
        <f>AK17/AJ17-1</f>
      </c>
      <c r="G17" s="3" t="str">
        <f>AK17/AG17-1</f>
      </c>
      <c r="H17" s="3"/>
      <c r="I17" s="3" t="str">
        <f>AK17/Sum(AK$12:AK$19)</f>
      </c>
      <c r="J17" s="3"/>
      <c r="L17" t="s">
        <v>45</v>
      </c>
      <c r="M17" s="2" t="n">
        <v>34296258315.235</v>
      </c>
      <c r="N17" s="2" t="n">
        <v>46275457559.5774</v>
      </c>
      <c r="O17" s="2" t="n">
        <v>66888224642.8976</v>
      </c>
      <c r="P17" s="2" t="n">
        <v>100046183506.796</v>
      </c>
      <c r="Q17" s="2" t="n">
        <v>114918758243.328</v>
      </c>
      <c r="R17" s="2" t="n">
        <v>130984892503.342</v>
      </c>
      <c r="S17" s="2" t="n">
        <v>156016511073.715</v>
      </c>
      <c r="T17" s="2" t="n">
        <v>182843858675.919</v>
      </c>
      <c r="U17" s="2" t="n">
        <v>203893554059.929</v>
      </c>
      <c r="V17" s="2" t="n">
        <v>216762076370.319</v>
      </c>
      <c r="W17" s="2" t="n">
        <v>200345108665.799</v>
      </c>
      <c r="X17" s="2" t="n">
        <v>207708437392.356</v>
      </c>
      <c r="Y17" s="2" t="n">
        <v>204766768418.39</v>
      </c>
      <c r="Z17" s="2" t="n">
        <v>194938916147.116</v>
      </c>
      <c r="AA17" s="2" t="n">
        <v>178627651488.319</v>
      </c>
      <c r="AB17" s="2" t="n">
        <v>170690897653.482</v>
      </c>
      <c r="AC17" s="2" t="n">
        <v>189677038998.257</v>
      </c>
      <c r="AD17" s="2" t="n">
        <v>198055944569.766</v>
      </c>
      <c r="AE17" s="2" t="n">
        <v>217376233526.854</v>
      </c>
      <c r="AF17" s="2" t="n">
        <v>245819091011.534</v>
      </c>
      <c r="AG17" s="2" t="n">
        <v>266361638788.385</v>
      </c>
      <c r="AH17" s="2" t="n">
        <v>261488258668.204</v>
      </c>
      <c r="AI17" s="2" t="n">
        <v>271932061837.34</v>
      </c>
      <c r="AJ17" s="2" t="n">
        <v>302690161066.755</v>
      </c>
      <c r="AK17" s="2" t="n">
        <v>293843644206.879</v>
      </c>
      <c r="AL17" s="2" t="n">
        <v>134149666589.746</v>
      </c>
      <c r="AM17" s="2"/>
      <c r="AN17" s="2"/>
    </row>
    <row r="18">
      <c r="A18" t="str">
        <f>L18</f>
      </c>
      <c r="B18" s="2" t="str">
        <f>AG18</f>
      </c>
      <c r="C18" s="2" t="str">
        <f>AJ18</f>
      </c>
      <c r="D18" s="2" t="str">
        <f>AK18</f>
      </c>
      <c r="E18" s="2"/>
      <c r="F18" s="3" t="str">
        <f>AK18/AJ18-1</f>
      </c>
      <c r="G18" s="3" t="str">
        <f>AK18/AG18-1</f>
      </c>
      <c r="H18" s="3"/>
      <c r="I18" s="3" t="str">
        <f>AK18/Sum(AK$12:AK$19)</f>
      </c>
      <c r="J18" s="3"/>
      <c r="L18" t="s">
        <v>46</v>
      </c>
      <c r="M18" s="2" t="n">
        <v>18862268369.6885</v>
      </c>
      <c r="N18" s="2" t="n">
        <v>22150615716.5974</v>
      </c>
      <c r="O18" s="2" t="n">
        <v>30589036140.7572</v>
      </c>
      <c r="P18" s="2" t="n">
        <v>39546846530.3591</v>
      </c>
      <c r="Q18" s="2" t="n">
        <v>40922630912.7849</v>
      </c>
      <c r="R18" s="2" t="n">
        <v>42667472823.8102</v>
      </c>
      <c r="S18" s="2" t="n">
        <v>53049372356.0946</v>
      </c>
      <c r="T18" s="2" t="n">
        <v>86457063826.3071</v>
      </c>
      <c r="U18" s="2" t="n">
        <v>102499734171.704</v>
      </c>
      <c r="V18" s="2" t="n">
        <v>117681968805.947</v>
      </c>
      <c r="W18" s="2" t="n">
        <v>125537276228.501</v>
      </c>
      <c r="X18" s="2" t="n">
        <v>125277357341.318</v>
      </c>
      <c r="Y18" s="2" t="n">
        <v>115320689802.347</v>
      </c>
      <c r="Z18" s="2" t="n">
        <v>94424009964.3071</v>
      </c>
      <c r="AA18" s="2" t="n">
        <v>95605291094.4041</v>
      </c>
      <c r="AB18" s="2" t="n">
        <v>89289057546.5638</v>
      </c>
      <c r="AC18" s="2" t="n">
        <v>90441261083.7077</v>
      </c>
      <c r="AD18" s="2" t="n">
        <v>91265428460.1721</v>
      </c>
      <c r="AE18" s="2" t="n">
        <v>97974782969.1528</v>
      </c>
      <c r="AF18" s="2" t="n">
        <v>93839801779.3235</v>
      </c>
      <c r="AG18" s="2" t="n">
        <v>111137443482.632</v>
      </c>
      <c r="AH18" s="2" t="n">
        <v>124764234752.698</v>
      </c>
      <c r="AI18" s="2" t="n">
        <v>114675317162.667</v>
      </c>
      <c r="AJ18" s="2" t="n">
        <v>101868909703.6</v>
      </c>
      <c r="AK18" s="2" t="n">
        <v>97034324326.8433</v>
      </c>
      <c r="AL18" s="2" t="n">
        <v>38987788686.0431</v>
      </c>
      <c r="AM18" s="2"/>
      <c r="AN18" s="2"/>
    </row>
    <row r="19">
      <c r="A19" t="str">
        <f>L19</f>
      </c>
      <c r="B19" s="2" t="str">
        <f>AG19</f>
      </c>
      <c r="C19" s="2" t="str">
        <f>AJ19</f>
      </c>
      <c r="D19" s="2" t="str">
        <f>AK19</f>
      </c>
      <c r="E19" s="2"/>
      <c r="F19" s="3" t="str">
        <f>AK19/AJ19-1</f>
      </c>
      <c r="G19" s="3" t="str">
        <f>AK19/AG19-1</f>
      </c>
      <c r="H19" s="3"/>
      <c r="I19" s="3" t="str">
        <f>AK19/Sum(AK$12:AK$19)</f>
      </c>
      <c r="J19" s="3"/>
      <c r="L19"/>
      <c r="M19" s="2" t="n">
        <v>232798978394.474</v>
      </c>
      <c r="N19" s="2" t="n">
        <v>228905572085.051</v>
      </c>
      <c r="O19" s="2" t="n">
        <v>236000217174.109</v>
      </c>
      <c r="P19" s="2" t="n">
        <v>263832322365.107</v>
      </c>
      <c r="Q19" s="2" t="n">
        <v>263438010980.052</v>
      </c>
      <c r="R19" s="2" t="n">
        <v>286302298731.825</v>
      </c>
      <c r="S19" s="2" t="n">
        <v>252698045615.263</v>
      </c>
      <c r="T19" s="2" t="n">
        <v>86227648532.9369</v>
      </c>
      <c r="U19" s="2" t="n">
        <v>57392162711.7506</v>
      </c>
      <c r="V19" s="2" t="n">
        <v>47220815527.0217</v>
      </c>
      <c r="W19" s="2" t="n">
        <v>62038042591.9002</v>
      </c>
      <c r="X19" s="2" t="n">
        <v>25329890657.6305</v>
      </c>
      <c r="Y19" s="2" t="n">
        <v>15157104536.4571</v>
      </c>
      <c r="Z19" s="2" t="n">
        <v>13321681562.3715</v>
      </c>
      <c r="AA19" s="2" t="n">
        <v>12095111598.4765</v>
      </c>
      <c r="AB19" s="2" t="n">
        <v>13670468727.3992</v>
      </c>
      <c r="AC19" s="2" t="n">
        <v>17532222896.3766</v>
      </c>
      <c r="AD19" s="2" t="n">
        <v>13221023989.1053</v>
      </c>
      <c r="AE19" s="2" t="n">
        <v>12929907049.818</v>
      </c>
      <c r="AF19" s="2" t="n">
        <v>12913315008.8795</v>
      </c>
      <c r="AG19" s="2" t="n">
        <v>16144004839.2175</v>
      </c>
      <c r="AH19" s="2" t="n">
        <v>14115259476.1441</v>
      </c>
      <c r="AI19" s="2" t="n">
        <v>14881630579.1795</v>
      </c>
      <c r="AJ19" s="2" t="n">
        <v>14157146222.651</v>
      </c>
      <c r="AK19" s="2" t="n">
        <v>15056520593.2061</v>
      </c>
      <c r="AL19" s="2" t="n">
        <v>6179306479.94814</v>
      </c>
      <c r="AM19" s="2"/>
      <c r="AN19" s="2"/>
    </row>
    <row r="20">
      <c r="A20" t="str">
        <f>L20</f>
      </c>
      <c r="B20" s="2" t="str">
        <f>AG20</f>
      </c>
      <c r="C20" s="2" t="str">
        <f>AJ20</f>
      </c>
      <c r="D20" s="2" t="str">
        <f>AK20</f>
      </c>
      <c r="E20" s="2"/>
      <c r="F20" s="3" t="str">
        <f>AK20/AJ20-1</f>
      </c>
      <c r="G20" s="3" t="str">
        <f>AK20/AG20-1</f>
      </c>
      <c r="H20" s="3"/>
      <c r="I20" s="3" t="str">
        <f>Sum(I$12:I$19)</f>
      </c>
      <c r="J20" s="3"/>
      <c r="L20" t="s">
        <v>38</v>
      </c>
      <c r="M20" s="2" t="str">
        <f>Sum(M13:M19)</f>
      </c>
      <c r="N20" s="2" t="str">
        <f>Sum(N13:N19)</f>
      </c>
      <c r="O20" s="2" t="str">
        <f>Sum(O13:O19)</f>
      </c>
      <c r="P20" s="2" t="str">
        <f>Sum(P13:P19)</f>
      </c>
      <c r="Q20" s="2" t="str">
        <f>Sum(Q13:Q19)</f>
      </c>
      <c r="R20" s="2" t="str">
        <f>Sum(R13:R19)</f>
      </c>
      <c r="S20" s="2" t="str">
        <f>Sum(S13:S19)</f>
      </c>
      <c r="T20" s="2" t="str">
        <f>Sum(T13:T19)</f>
      </c>
      <c r="U20" s="2" t="str">
        <f>Sum(U13:U19)</f>
      </c>
      <c r="V20" s="2" t="str">
        <f>Sum(V13:V19)</f>
      </c>
      <c r="W20" s="2" t="str">
        <f>Sum(W13:W19)</f>
      </c>
      <c r="X20" s="2" t="str">
        <f>Sum(X13:X19)</f>
      </c>
      <c r="Y20" s="2" t="str">
        <f>Sum(Y13:Y19)</f>
      </c>
      <c r="Z20" s="2" t="str">
        <f>Sum(Z13:Z19)</f>
      </c>
      <c r="AA20" s="2" t="str">
        <f>Sum(AA13:AA19)</f>
      </c>
      <c r="AB20" s="2" t="str">
        <f>Sum(AB13:AB19)</f>
      </c>
      <c r="AC20" s="2" t="str">
        <f>Sum(AC13:AC19)</f>
      </c>
      <c r="AD20" s="2" t="str">
        <f>Sum(AD13:AD19)</f>
      </c>
      <c r="AE20" s="2" t="str">
        <f>Sum(AE13:AE19)</f>
      </c>
      <c r="AF20" s="2" t="str">
        <f>Sum(AF13:AF19)</f>
      </c>
      <c r="AG20" s="2" t="str">
        <f>Sum(AG13:AG19)</f>
      </c>
      <c r="AH20" s="2" t="str">
        <f>Sum(AH13:AH19)</f>
      </c>
      <c r="AI20" s="2" t="str">
        <f>Sum(AI13:AI19)</f>
      </c>
      <c r="AJ20" s="2" t="str">
        <f>Sum(AJ13:AJ19)</f>
      </c>
      <c r="AK20" s="2" t="str">
        <f>Sum(AK13:AK19)</f>
      </c>
      <c r="AL20" s="2" t="str">
        <f>Sum(AL13:AL19)</f>
      </c>
      <c r="AM20" s="2" t="str">
        <f>Sum(AM13:AM19)</f>
      </c>
      <c r="AN20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../output/FedAcqTrends/NPS2025//Fed_2025_NPS.xlsx</dc:creator>
  <cp:lastModifiedBy>../output/FedAcqTrends/NPS2025//Fed_2025_NPS.xlsx</cp:lastModifiedBy>
  <dcterms:created xsi:type="dcterms:W3CDTF">2025-11-16T22:34:59Z</dcterms:created>
</coreProperties>
</file>